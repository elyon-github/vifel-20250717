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slicers/slicer1.xml" ContentType="application/vnd.ms-excel.slicer+xml"/>
  <Override PartName="/xl/tables/table3.xml" ContentType="application/vnd.openxmlformats-officedocument.spreadsheetml.table+xml"/>
  <Override PartName="/xl/drawings/drawing3.xml" ContentType="application/vnd.openxmlformats-officedocument.drawing+xml"/>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fileSharing userName="Inventory Annex 1" algorithmName="SHA-512" hashValue="5c7x8oJmq0682UuJNQTqLYwyPrUyRc0UjjD50L6B2Xispe/3Un1mZdWr2ZpZXF5hXsNk/ASUvLwxAdenmhS23Q==" saltValue="OEILrNOmnqKulKRDX5Q9tg==" spinCount="100000"/>
  <workbookPr codeName="ThisWorkbook" defaultThemeVersion="202300"/>
  <mc:AlternateContent xmlns:mc="http://schemas.openxmlformats.org/markup-compatibility/2006">
    <mc:Choice Requires="x15">
      <x15ac:absPath xmlns:x15ac="http://schemas.microsoft.com/office/spreadsheetml/2010/11/ac" url="\\192.168.5.64\Inventory File\5. VIFEL CLIENTS INVENTORY\VIFEL INVENTORIES\DUOPOWER FOODS\MAR 2026\"/>
    </mc:Choice>
  </mc:AlternateContent>
  <xr:revisionPtr revIDLastSave="0" documentId="8_{9D17BB6C-DF07-4A63-A0BA-EBD105DEC292}" xr6:coauthVersionLast="47" xr6:coauthVersionMax="47" xr10:uidLastSave="{00000000-0000-0000-0000-000000000000}"/>
  <bookViews>
    <workbookView xWindow="-120" yWindow="-120" windowWidth="29040" windowHeight="15720" tabRatio="666" xr2:uid="{F5D63A93-807B-4287-A982-44770272AB8D}"/>
  </bookViews>
  <sheets>
    <sheet name="Summary" sheetId="6" r:id="rId1"/>
    <sheet name="Stocks Inquiry" sheetId="1" r:id="rId2"/>
    <sheet name="Outbound data" sheetId="4" r:id="rId3"/>
    <sheet name="Inbound data" sheetId="2" r:id="rId4"/>
    <sheet name="Pallet Monitoring" sheetId="7" r:id="rId5"/>
    <sheet name="Outbound Inquiry" sheetId="5" r:id="rId6"/>
    <sheet name="Billing" sheetId="8" state="hidden" r:id="rId7"/>
  </sheets>
  <definedNames>
    <definedName name="_xlnm._FilterDatabase" localSheetId="3" hidden="1">'Inbound data'!$B$8:$AG$8</definedName>
    <definedName name="_xlnm._FilterDatabase" localSheetId="2" hidden="1">'Outbound data'!$A$3:$Q$22</definedName>
    <definedName name="_xlnm._FilterDatabase" localSheetId="5" hidden="1">'Outbound Inquiry'!$B$8:$N$8</definedName>
    <definedName name="_xlnm._FilterDatabase" localSheetId="4" hidden="1">'Pallet Monitoring'!$A$4:$T$5</definedName>
    <definedName name="_xlnm._FilterDatabase" localSheetId="1" hidden="1">'Stocks Inquiry'!$B$8:$O$8</definedName>
    <definedName name="Ageing_Day_s">'Inbound data'!$P$9:$P$1500</definedName>
    <definedName name="Ageing_Remarks">'Inbound data'!$Q$9:$Q$1500</definedName>
    <definedName name="CLM">'Inbound data'!$AB$9:$AB$1500</definedName>
    <definedName name="CONTAINER_NUMBER">'Outbound data'!$Q$4:$Q$1480</definedName>
    <definedName name="CONTAINER_NUMBER__OUT">'Outbound data'!$Q$4:$Q$1480</definedName>
    <definedName name="Container_Van_No.">'Inbound data'!$M$9:$M$1500</definedName>
    <definedName name="DATE">'Outbound data'!$B$4:$B$1480</definedName>
    <definedName name="Date_Inbound">'Inbound data'!$D$9:$D$1500</definedName>
    <definedName name="DESTINATION">'Outbound data'!$D$4:$D$1480</definedName>
    <definedName name="ENCODED_BY">'Outbound data'!$J$4:$J$1480</definedName>
    <definedName name="Encoder">'Inbound data'!$Y$9:$Y$1500</definedName>
    <definedName name="ENDING_KILOS4">'Inbound data'!#REF!</definedName>
    <definedName name="Ending_Pallet_Quantity">'Inbound data'!$V$9:$V$1500</definedName>
    <definedName name="ENDING_QTY3">'Inbound data'!#REF!</definedName>
    <definedName name="Ending_Quantity">'Inbound data'!$T$9:$T$1500</definedName>
    <definedName name="Ending_Weight">'Inbound data'!$U$9:$U$1500</definedName>
    <definedName name="Expiration_Date">'Inbound data'!$O$9:$O$1500</definedName>
    <definedName name="From_Location">'Inbound data'!$AF$9:$AF$1500</definedName>
    <definedName name="FRZ">'Inbound data'!$AA$9:$AA$1500</definedName>
    <definedName name="GATEPASS" localSheetId="2">'Outbound data'!$K$4:$K$1480</definedName>
    <definedName name="Gatepass">'Inbound data'!$I$9:$I$1500</definedName>
    <definedName name="Generated_Stockcode">'Inbound data'!$C$9:$C$1500</definedName>
    <definedName name="In_Quantity">'Inbound data'!$R$9:$R$1500</definedName>
    <definedName name="In_Weight">'Inbound data'!$S$9:$S$1500</definedName>
    <definedName name="Inventory_Status">'Inbound data'!$A$9:$A$1500</definedName>
    <definedName name="ITEM_DESCRIPTION" localSheetId="2">'Outbound data'!$O$4:$O$1480</definedName>
    <definedName name="Item_Description">'Inbound data'!$L$9:$L$1500</definedName>
    <definedName name="ITEM_DESCRIPTION__OUT">'Outbound data'!$O$4:$O$1480</definedName>
    <definedName name="KILOS">'Outbound data'!$G$4:$G$1480</definedName>
    <definedName name="KILOS_OUT">'Outbound data'!$G$4:$G$1480</definedName>
    <definedName name="Location">'Inbound data'!$AG$9:$AG$1500</definedName>
    <definedName name="LVL">'Inbound data'!$AD$9:$AD$1500</definedName>
    <definedName name="Mode_of_Inbound">'Inbound data'!$E$9:$E$1500</definedName>
    <definedName name="No.">'Inbound data'!$B$9:$B$1500</definedName>
    <definedName name="OUT_REMARKS">'Outbound data'!$M$4:$M$1480</definedName>
    <definedName name="OUTBOUND_DATE">'Outbound data'!$B$4:$B$1480</definedName>
    <definedName name="Pallet">'Inbound data'!$J$9:$J$1500</definedName>
    <definedName name="PALLET_COUNT5">'Inbound data'!#REF!</definedName>
    <definedName name="PALLET_NUMBER">'Outbound data'!$N$4:$N$1480</definedName>
    <definedName name="PALLET_NUMBER__OUT">'Outbound data'!$N$4:$N$1480</definedName>
    <definedName name="PALLET_OUT">'Outbound data'!$H$4:$H$1480</definedName>
    <definedName name="Pallet_qty">'Inbound data'!$K$9:$K$1500</definedName>
    <definedName name="Pallet_Qty_In">'Inbound data'!$K$9:$K$1500</definedName>
    <definedName name="Pallet_Series">'Inbound data'!$J$9:$J$1500</definedName>
    <definedName name="PALLET_SERIES__OUT">'Outbound data'!$N$4:$N$1480</definedName>
    <definedName name="PICKLIST">'Outbound data'!$I$4:$I$1480</definedName>
    <definedName name="PLATE">'Outbound data'!$L$4:$L$1480</definedName>
    <definedName name="Production_Date">'Inbound data'!$N$9:$N$1500</definedName>
    <definedName name="QTY_OUT">'Outbound data'!$F$4:$F$1480</definedName>
    <definedName name="Receiving_Report_ref.">'Inbound data'!$F$9:$F$1500</definedName>
    <definedName name="REMARKS">'Outbound data'!$M$4:$M$1480</definedName>
    <definedName name="RW">'Inbound data'!$AC$9:$AC$1500</definedName>
    <definedName name="SIDE">'Inbound data'!$AE$9:$AE$1500</definedName>
    <definedName name="Slicer_Inventory_Status">#N/A</definedName>
    <definedName name="Source">'Inbound data'!$G$9:$G$1500</definedName>
    <definedName name="STOCK_CODE">'Outbound data'!$E$4:$E$1480</definedName>
    <definedName name="STOCK_CODE_OUT">'Outbound data'!$E$4:$E$1480</definedName>
    <definedName name="Stock_Remarks">'Inbound data'!$Z$9:$Z$1500</definedName>
    <definedName name="Truck_No.">'Inbound data'!$H$9:$H$1500</definedName>
    <definedName name="UOM">'Inbound data'!$W$9:$W$1500</definedName>
    <definedName name="UOM__OUT">'Outbound data'!$P$4:$P$1480</definedName>
    <definedName name="WH">'Inbound data'!$X$9:$X$1500</definedName>
    <definedName name="Withdrawal_Report_No.">'Outbound data'!$C$4:$C$1480</definedName>
    <definedName name="WR">'Outbound data'!$C$4:$C$1480</definedName>
  </definedNames>
  <calcPr calcId="191029" iterate="1"/>
  <pivotCaches>
    <pivotCache cacheId="1202" r:id="rId8"/>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76" i="7" l="1"/>
  <c r="A175" i="7" l="1"/>
  <c r="A173" i="7"/>
  <c r="A174" i="7" s="1"/>
  <c r="A168" i="7"/>
  <c r="A169" i="7" s="1"/>
  <c r="A170" i="7" s="1"/>
  <c r="A171" i="7" s="1"/>
  <c r="A172" i="7" s="1"/>
  <c r="A167" i="7"/>
  <c r="D160" i="7" l="1"/>
  <c r="D161" i="7"/>
  <c r="D162" i="7"/>
  <c r="D163" i="7"/>
  <c r="D164" i="7"/>
  <c r="D165" i="7"/>
  <c r="D166" i="7"/>
  <c r="D167" i="7"/>
  <c r="D168" i="7"/>
  <c r="D169" i="7"/>
  <c r="D170" i="7"/>
  <c r="D171" i="7"/>
  <c r="D172" i="7"/>
  <c r="D173" i="7"/>
  <c r="D174" i="7"/>
  <c r="D175" i="7"/>
  <c r="D176" i="7"/>
  <c r="D177" i="7"/>
  <c r="D178" i="7"/>
  <c r="D179" i="7"/>
  <c r="D180" i="7"/>
  <c r="D181" i="7"/>
  <c r="E160" i="7"/>
  <c r="E161" i="7"/>
  <c r="E162" i="7"/>
  <c r="E163" i="7"/>
  <c r="E164" i="7"/>
  <c r="E165" i="7"/>
  <c r="E166" i="7"/>
  <c r="E167" i="7"/>
  <c r="E168" i="7"/>
  <c r="E169" i="7"/>
  <c r="E170" i="7"/>
  <c r="E171" i="7"/>
  <c r="E172" i="7"/>
  <c r="E173" i="7"/>
  <c r="E174" i="7"/>
  <c r="E175" i="7"/>
  <c r="E176" i="7"/>
  <c r="E177" i="7"/>
  <c r="E178" i="7"/>
  <c r="E179" i="7"/>
  <c r="E180" i="7"/>
  <c r="E181" i="7"/>
  <c r="F160" i="7"/>
  <c r="F161" i="7"/>
  <c r="F162" i="7"/>
  <c r="F163" i="7"/>
  <c r="F164" i="7"/>
  <c r="F165" i="7"/>
  <c r="F166" i="7"/>
  <c r="F167" i="7"/>
  <c r="F168" i="7"/>
  <c r="F169" i="7"/>
  <c r="F170" i="7"/>
  <c r="F171" i="7"/>
  <c r="F172" i="7"/>
  <c r="F173" i="7"/>
  <c r="F174" i="7"/>
  <c r="F175" i="7"/>
  <c r="F176" i="7"/>
  <c r="F177" i="7"/>
  <c r="F178" i="7"/>
  <c r="F179" i="7"/>
  <c r="F180" i="7"/>
  <c r="F181" i="7"/>
  <c r="H160" i="7"/>
  <c r="J160" i="7" s="1"/>
  <c r="H161" i="7"/>
  <c r="J161" i="7" s="1"/>
  <c r="O161" i="7" s="1"/>
  <c r="H162" i="7"/>
  <c r="J162" i="7" s="1"/>
  <c r="H163" i="7"/>
  <c r="J163" i="7" s="1"/>
  <c r="H164" i="7"/>
  <c r="L164" i="7" s="1"/>
  <c r="H165" i="7"/>
  <c r="L165" i="7" s="1"/>
  <c r="H166" i="7"/>
  <c r="N166" i="7" s="1"/>
  <c r="H167" i="7"/>
  <c r="L167" i="7" s="1"/>
  <c r="H168" i="7"/>
  <c r="J168" i="7" s="1"/>
  <c r="H169" i="7"/>
  <c r="J169" i="7" s="1"/>
  <c r="H170" i="7"/>
  <c r="J170" i="7" s="1"/>
  <c r="H171" i="7"/>
  <c r="H172" i="7"/>
  <c r="L172" i="7" s="1"/>
  <c r="H173" i="7"/>
  <c r="N173" i="7" s="1"/>
  <c r="H174" i="7"/>
  <c r="N174" i="7" s="1"/>
  <c r="H175" i="7"/>
  <c r="N175" i="7" s="1"/>
  <c r="H176" i="7"/>
  <c r="L176" i="7" s="1"/>
  <c r="H177" i="7"/>
  <c r="L177" i="7" s="1"/>
  <c r="H178" i="7"/>
  <c r="N178" i="7" s="1"/>
  <c r="H179" i="7"/>
  <c r="N179" i="7" s="1"/>
  <c r="H180" i="7"/>
  <c r="L180" i="7" s="1"/>
  <c r="H181" i="7"/>
  <c r="N181" i="7" s="1"/>
  <c r="I160" i="7"/>
  <c r="I161" i="7"/>
  <c r="I162" i="7"/>
  <c r="I163" i="7"/>
  <c r="I164" i="7"/>
  <c r="I165" i="7"/>
  <c r="I166" i="7"/>
  <c r="I167" i="7"/>
  <c r="I168" i="7"/>
  <c r="I169" i="7"/>
  <c r="I170" i="7"/>
  <c r="I171" i="7"/>
  <c r="I172" i="7"/>
  <c r="I173" i="7"/>
  <c r="I174" i="7"/>
  <c r="I175" i="7"/>
  <c r="I176" i="7"/>
  <c r="I177" i="7"/>
  <c r="I178" i="7"/>
  <c r="I179" i="7"/>
  <c r="I180" i="7"/>
  <c r="I181" i="7"/>
  <c r="J171" i="7"/>
  <c r="O171" i="7" s="1"/>
  <c r="K160" i="7"/>
  <c r="K161" i="7"/>
  <c r="K162" i="7"/>
  <c r="K163" i="7"/>
  <c r="K164" i="7"/>
  <c r="K165" i="7"/>
  <c r="K166" i="7"/>
  <c r="K167" i="7"/>
  <c r="K168" i="7"/>
  <c r="K169" i="7"/>
  <c r="K170" i="7"/>
  <c r="K171" i="7"/>
  <c r="K172" i="7"/>
  <c r="K173" i="7"/>
  <c r="K174" i="7"/>
  <c r="K175" i="7"/>
  <c r="K176" i="7"/>
  <c r="K177" i="7"/>
  <c r="K178" i="7"/>
  <c r="K179" i="7"/>
  <c r="K180" i="7"/>
  <c r="K181" i="7"/>
  <c r="L171" i="7"/>
  <c r="P171" i="7" s="1"/>
  <c r="M160" i="7"/>
  <c r="M161" i="7"/>
  <c r="M162" i="7"/>
  <c r="M163" i="7"/>
  <c r="M164" i="7"/>
  <c r="M165" i="7"/>
  <c r="M166" i="7"/>
  <c r="M167" i="7"/>
  <c r="M168" i="7"/>
  <c r="M169" i="7"/>
  <c r="M170" i="7"/>
  <c r="M171" i="7"/>
  <c r="M172" i="7"/>
  <c r="M173" i="7"/>
  <c r="M174" i="7"/>
  <c r="M175" i="7"/>
  <c r="M176" i="7"/>
  <c r="M177" i="7"/>
  <c r="M178" i="7"/>
  <c r="M179" i="7"/>
  <c r="M180" i="7"/>
  <c r="M181" i="7"/>
  <c r="N171" i="7"/>
  <c r="D159" i="7"/>
  <c r="E159" i="7"/>
  <c r="F159" i="7"/>
  <c r="H159" i="7"/>
  <c r="J159" i="7" s="1"/>
  <c r="I159" i="7"/>
  <c r="K159" i="7"/>
  <c r="M159" i="7"/>
  <c r="N161" i="7" l="1"/>
  <c r="Q161" i="7" s="1"/>
  <c r="L161" i="7"/>
  <c r="P161" i="7" s="1"/>
  <c r="O169" i="7"/>
  <c r="N169" i="7"/>
  <c r="Q169" i="7" s="1"/>
  <c r="L181" i="7"/>
  <c r="P181" i="7" s="1"/>
  <c r="L169" i="7"/>
  <c r="P169" i="7" s="1"/>
  <c r="J173" i="7"/>
  <c r="O173" i="7" s="1"/>
  <c r="L173" i="7"/>
  <c r="P173" i="7" s="1"/>
  <c r="J181" i="7"/>
  <c r="O181" i="7" s="1"/>
  <c r="N168" i="7"/>
  <c r="Q168" i="7" s="1"/>
  <c r="L168" i="7"/>
  <c r="P168" i="7" s="1"/>
  <c r="J180" i="7"/>
  <c r="O180" i="7" s="1"/>
  <c r="P176" i="7"/>
  <c r="P164" i="7"/>
  <c r="P165" i="7"/>
  <c r="O163" i="7"/>
  <c r="O162" i="7"/>
  <c r="Q173" i="7"/>
  <c r="O160" i="7"/>
  <c r="O170" i="7"/>
  <c r="O168" i="7"/>
  <c r="Q181" i="7"/>
  <c r="Q171" i="7"/>
  <c r="P180" i="7"/>
  <c r="P167" i="7"/>
  <c r="L170" i="7"/>
  <c r="P170" i="7" s="1"/>
  <c r="N170" i="7"/>
  <c r="Q170" i="7" s="1"/>
  <c r="N180" i="7"/>
  <c r="Q180" i="7" s="1"/>
  <c r="L162" i="7"/>
  <c r="P162" i="7" s="1"/>
  <c r="L160" i="7"/>
  <c r="P160" i="7" s="1"/>
  <c r="N160" i="7"/>
  <c r="Q160" i="7" s="1"/>
  <c r="J172" i="7"/>
  <c r="O172" i="7" s="1"/>
  <c r="J179" i="7"/>
  <c r="O179" i="7" s="1"/>
  <c r="L179" i="7"/>
  <c r="P179" i="7" s="1"/>
  <c r="N172" i="7"/>
  <c r="Q172" i="7" s="1"/>
  <c r="N167" i="7"/>
  <c r="Q167" i="7" s="1"/>
  <c r="J167" i="7"/>
  <c r="O167" i="7" s="1"/>
  <c r="Q166" i="7"/>
  <c r="L174" i="7"/>
  <c r="P174" i="7" s="1"/>
  <c r="Q179" i="7"/>
  <c r="Q178" i="7"/>
  <c r="L163" i="7"/>
  <c r="P163" i="7" s="1"/>
  <c r="P172" i="7"/>
  <c r="L175" i="7"/>
  <c r="P175" i="7" s="1"/>
  <c r="Q175" i="7"/>
  <c r="P177" i="7"/>
  <c r="Q174" i="7"/>
  <c r="N163" i="7"/>
  <c r="Q163" i="7" s="1"/>
  <c r="J177" i="7"/>
  <c r="O177" i="7" s="1"/>
  <c r="J165" i="7"/>
  <c r="O165" i="7" s="1"/>
  <c r="J178" i="7"/>
  <c r="O178" i="7" s="1"/>
  <c r="J166" i="7"/>
  <c r="O166" i="7" s="1"/>
  <c r="J176" i="7"/>
  <c r="O176" i="7" s="1"/>
  <c r="J164" i="7"/>
  <c r="O164" i="7" s="1"/>
  <c r="N176" i="7"/>
  <c r="Q176" i="7" s="1"/>
  <c r="N162" i="7"/>
  <c r="Q162" i="7" s="1"/>
  <c r="J175" i="7"/>
  <c r="O175" i="7" s="1"/>
  <c r="N177" i="7"/>
  <c r="Q177" i="7" s="1"/>
  <c r="N165" i="7"/>
  <c r="Q165" i="7" s="1"/>
  <c r="L178" i="7"/>
  <c r="P178" i="7" s="1"/>
  <c r="L166" i="7"/>
  <c r="P166" i="7" s="1"/>
  <c r="J174" i="7"/>
  <c r="O174" i="7" s="1"/>
  <c r="N164" i="7"/>
  <c r="Q164" i="7" s="1"/>
  <c r="O159" i="7"/>
  <c r="N159" i="7"/>
  <c r="Q159" i="7" s="1"/>
  <c r="L159" i="7"/>
  <c r="P159" i="7" s="1"/>
  <c r="D128" i="7" l="1"/>
  <c r="D129" i="7"/>
  <c r="D130" i="7"/>
  <c r="D131" i="7"/>
  <c r="D132" i="7"/>
  <c r="D133" i="7"/>
  <c r="D134" i="7"/>
  <c r="D135" i="7"/>
  <c r="D136" i="7"/>
  <c r="D137" i="7"/>
  <c r="D138" i="7"/>
  <c r="D139" i="7"/>
  <c r="D140" i="7"/>
  <c r="D141" i="7"/>
  <c r="D142" i="7"/>
  <c r="D143" i="7"/>
  <c r="D144" i="7"/>
  <c r="D145" i="7"/>
  <c r="D146" i="7"/>
  <c r="D147" i="7"/>
  <c r="D148" i="7"/>
  <c r="D149" i="7"/>
  <c r="D150" i="7"/>
  <c r="D151" i="7"/>
  <c r="D152" i="7"/>
  <c r="D153" i="7"/>
  <c r="D154" i="7"/>
  <c r="D155" i="7"/>
  <c r="D156" i="7"/>
  <c r="D157" i="7"/>
  <c r="D158" i="7"/>
  <c r="E128" i="7"/>
  <c r="E129" i="7"/>
  <c r="E130" i="7"/>
  <c r="E131" i="7"/>
  <c r="E132" i="7"/>
  <c r="E133" i="7"/>
  <c r="E134" i="7"/>
  <c r="E135" i="7"/>
  <c r="E136" i="7"/>
  <c r="E137" i="7"/>
  <c r="E138" i="7"/>
  <c r="E139" i="7"/>
  <c r="E140" i="7"/>
  <c r="E141" i="7"/>
  <c r="E142" i="7"/>
  <c r="E143" i="7"/>
  <c r="E144" i="7"/>
  <c r="E145" i="7"/>
  <c r="E146" i="7"/>
  <c r="E147" i="7"/>
  <c r="E148" i="7"/>
  <c r="E149" i="7"/>
  <c r="E150" i="7"/>
  <c r="E151" i="7"/>
  <c r="E152" i="7"/>
  <c r="E153" i="7"/>
  <c r="E154" i="7"/>
  <c r="E155" i="7"/>
  <c r="E156" i="7"/>
  <c r="E157" i="7"/>
  <c r="E158" i="7"/>
  <c r="F128" i="7"/>
  <c r="F129" i="7"/>
  <c r="F130" i="7"/>
  <c r="F131" i="7"/>
  <c r="F132" i="7"/>
  <c r="F133" i="7"/>
  <c r="F134" i="7"/>
  <c r="F135" i="7"/>
  <c r="F136" i="7"/>
  <c r="F137" i="7"/>
  <c r="F138" i="7"/>
  <c r="F139" i="7"/>
  <c r="F140" i="7"/>
  <c r="F141" i="7"/>
  <c r="F142" i="7"/>
  <c r="F143" i="7"/>
  <c r="F144" i="7"/>
  <c r="F145" i="7"/>
  <c r="F146" i="7"/>
  <c r="F147" i="7"/>
  <c r="F148" i="7"/>
  <c r="F149" i="7"/>
  <c r="F150" i="7"/>
  <c r="F151" i="7"/>
  <c r="F152" i="7"/>
  <c r="F153" i="7"/>
  <c r="F154" i="7"/>
  <c r="F155" i="7"/>
  <c r="F156" i="7"/>
  <c r="F157" i="7"/>
  <c r="F158" i="7"/>
  <c r="H128" i="7"/>
  <c r="J128" i="7" s="1"/>
  <c r="H129" i="7"/>
  <c r="J129" i="7" s="1"/>
  <c r="H130" i="7"/>
  <c r="N130" i="7" s="1"/>
  <c r="H131" i="7"/>
  <c r="N131" i="7" s="1"/>
  <c r="H132" i="7"/>
  <c r="L132" i="7" s="1"/>
  <c r="H133" i="7"/>
  <c r="N133" i="7" s="1"/>
  <c r="H134" i="7"/>
  <c r="H135" i="7"/>
  <c r="H136" i="7"/>
  <c r="L136" i="7" s="1"/>
  <c r="H137" i="7"/>
  <c r="N137" i="7" s="1"/>
  <c r="H138" i="7"/>
  <c r="L138" i="7" s="1"/>
  <c r="H139" i="7"/>
  <c r="J139" i="7" s="1"/>
  <c r="H140" i="7"/>
  <c r="N140" i="7" s="1"/>
  <c r="H141" i="7"/>
  <c r="L141" i="7" s="1"/>
  <c r="H142" i="7"/>
  <c r="N142" i="7" s="1"/>
  <c r="H143" i="7"/>
  <c r="N143" i="7" s="1"/>
  <c r="H144" i="7"/>
  <c r="L144" i="7" s="1"/>
  <c r="H145" i="7"/>
  <c r="L145" i="7" s="1"/>
  <c r="H146" i="7"/>
  <c r="H147" i="7"/>
  <c r="H148" i="7"/>
  <c r="J148" i="7" s="1"/>
  <c r="H149" i="7"/>
  <c r="J149" i="7" s="1"/>
  <c r="H150" i="7"/>
  <c r="J150" i="7" s="1"/>
  <c r="H151" i="7"/>
  <c r="L151" i="7" s="1"/>
  <c r="H152" i="7"/>
  <c r="N152" i="7" s="1"/>
  <c r="H153" i="7"/>
  <c r="N153" i="7" s="1"/>
  <c r="H154" i="7"/>
  <c r="N154" i="7" s="1"/>
  <c r="H155" i="7"/>
  <c r="N155" i="7" s="1"/>
  <c r="H156" i="7"/>
  <c r="L156" i="7" s="1"/>
  <c r="H157" i="7"/>
  <c r="L157" i="7" s="1"/>
  <c r="H158"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K128" i="7"/>
  <c r="K129" i="7"/>
  <c r="K130" i="7"/>
  <c r="K131" i="7"/>
  <c r="K132" i="7"/>
  <c r="K133" i="7"/>
  <c r="K134" i="7"/>
  <c r="K135" i="7"/>
  <c r="K136" i="7"/>
  <c r="K137" i="7"/>
  <c r="K138" i="7"/>
  <c r="K139" i="7"/>
  <c r="K140" i="7"/>
  <c r="K141" i="7"/>
  <c r="K142" i="7"/>
  <c r="K143" i="7"/>
  <c r="K144" i="7"/>
  <c r="K145" i="7"/>
  <c r="K146" i="7"/>
  <c r="K147" i="7"/>
  <c r="K148" i="7"/>
  <c r="K149" i="7"/>
  <c r="K150" i="7"/>
  <c r="K151" i="7"/>
  <c r="K152" i="7"/>
  <c r="K153" i="7"/>
  <c r="K154" i="7"/>
  <c r="K155" i="7"/>
  <c r="K156" i="7"/>
  <c r="K157" i="7"/>
  <c r="K158" i="7"/>
  <c r="M128" i="7"/>
  <c r="M129" i="7"/>
  <c r="M130" i="7"/>
  <c r="M131" i="7"/>
  <c r="M132" i="7"/>
  <c r="M133" i="7"/>
  <c r="M134" i="7"/>
  <c r="M135" i="7"/>
  <c r="M136" i="7"/>
  <c r="M137" i="7"/>
  <c r="M138" i="7"/>
  <c r="M139" i="7"/>
  <c r="M140" i="7"/>
  <c r="M141" i="7"/>
  <c r="M142" i="7"/>
  <c r="M143" i="7"/>
  <c r="M144" i="7"/>
  <c r="M145" i="7"/>
  <c r="M146" i="7"/>
  <c r="M147" i="7"/>
  <c r="M148" i="7"/>
  <c r="M149" i="7"/>
  <c r="M150" i="7"/>
  <c r="M151" i="7"/>
  <c r="M152" i="7"/>
  <c r="M153" i="7"/>
  <c r="M154" i="7"/>
  <c r="M155" i="7"/>
  <c r="M156" i="7"/>
  <c r="M157" i="7"/>
  <c r="M158" i="7"/>
  <c r="D96" i="7"/>
  <c r="D97" i="7"/>
  <c r="D98" i="7"/>
  <c r="D99" i="7"/>
  <c r="D100" i="7"/>
  <c r="D101" i="7"/>
  <c r="D102" i="7"/>
  <c r="D103" i="7"/>
  <c r="D104" i="7"/>
  <c r="D105" i="7"/>
  <c r="D106" i="7"/>
  <c r="D107" i="7"/>
  <c r="D108" i="7"/>
  <c r="D109" i="7"/>
  <c r="D110" i="7"/>
  <c r="D111" i="7"/>
  <c r="D112" i="7"/>
  <c r="D113" i="7"/>
  <c r="D114" i="7"/>
  <c r="D115" i="7"/>
  <c r="D116" i="7"/>
  <c r="D117" i="7"/>
  <c r="D118" i="7"/>
  <c r="D119" i="7"/>
  <c r="D120" i="7"/>
  <c r="D121" i="7"/>
  <c r="D122" i="7"/>
  <c r="D123" i="7"/>
  <c r="D124" i="7"/>
  <c r="D125" i="7"/>
  <c r="D126" i="7"/>
  <c r="D127" i="7"/>
  <c r="E96" i="7"/>
  <c r="E97" i="7"/>
  <c r="E98" i="7"/>
  <c r="E99" i="7"/>
  <c r="E100" i="7"/>
  <c r="E101" i="7"/>
  <c r="E102" i="7"/>
  <c r="E103" i="7"/>
  <c r="E104" i="7"/>
  <c r="E105" i="7"/>
  <c r="E106" i="7"/>
  <c r="E107" i="7"/>
  <c r="E108" i="7"/>
  <c r="E109" i="7"/>
  <c r="E110" i="7"/>
  <c r="E111" i="7"/>
  <c r="E112" i="7"/>
  <c r="E113" i="7"/>
  <c r="E114" i="7"/>
  <c r="E115" i="7"/>
  <c r="E116" i="7"/>
  <c r="E117" i="7"/>
  <c r="E118" i="7"/>
  <c r="E119" i="7"/>
  <c r="E120" i="7"/>
  <c r="E121" i="7"/>
  <c r="E122" i="7"/>
  <c r="E123" i="7"/>
  <c r="E124" i="7"/>
  <c r="E125" i="7"/>
  <c r="E126" i="7"/>
  <c r="E127" i="7"/>
  <c r="F96" i="7"/>
  <c r="F97" i="7"/>
  <c r="F98" i="7"/>
  <c r="F99" i="7"/>
  <c r="F100" i="7"/>
  <c r="F101" i="7"/>
  <c r="F102" i="7"/>
  <c r="F103" i="7"/>
  <c r="F104" i="7"/>
  <c r="F105" i="7"/>
  <c r="F106" i="7"/>
  <c r="F107" i="7"/>
  <c r="F108" i="7"/>
  <c r="F109" i="7"/>
  <c r="F110" i="7"/>
  <c r="F111" i="7"/>
  <c r="F112" i="7"/>
  <c r="F113" i="7"/>
  <c r="F114" i="7"/>
  <c r="F115" i="7"/>
  <c r="F116" i="7"/>
  <c r="F117" i="7"/>
  <c r="F118" i="7"/>
  <c r="F119" i="7"/>
  <c r="F120" i="7"/>
  <c r="F121" i="7"/>
  <c r="F122" i="7"/>
  <c r="F123" i="7"/>
  <c r="F124" i="7"/>
  <c r="F125" i="7"/>
  <c r="F126" i="7"/>
  <c r="F127" i="7"/>
  <c r="H96" i="7"/>
  <c r="J96" i="7" s="1"/>
  <c r="H97" i="7"/>
  <c r="J97" i="7" s="1"/>
  <c r="H98" i="7"/>
  <c r="N98" i="7" s="1"/>
  <c r="H99" i="7"/>
  <c r="J99" i="7" s="1"/>
  <c r="H100" i="7"/>
  <c r="J100" i="7" s="1"/>
  <c r="H101" i="7"/>
  <c r="L101" i="7" s="1"/>
  <c r="H102" i="7"/>
  <c r="L102" i="7" s="1"/>
  <c r="H103" i="7"/>
  <c r="L103" i="7" s="1"/>
  <c r="H104" i="7"/>
  <c r="L104" i="7" s="1"/>
  <c r="H105" i="7"/>
  <c r="N105" i="7" s="1"/>
  <c r="H106" i="7"/>
  <c r="J106" i="7" s="1"/>
  <c r="H107" i="7"/>
  <c r="L107" i="7" s="1"/>
  <c r="H108" i="7"/>
  <c r="J108" i="7" s="1"/>
  <c r="H109" i="7"/>
  <c r="J109" i="7" s="1"/>
  <c r="H110" i="7"/>
  <c r="J110" i="7" s="1"/>
  <c r="H111" i="7"/>
  <c r="L111" i="7" s="1"/>
  <c r="H112" i="7"/>
  <c r="J112" i="7" s="1"/>
  <c r="H113" i="7"/>
  <c r="L113" i="7" s="1"/>
  <c r="H114" i="7"/>
  <c r="L114" i="7" s="1"/>
  <c r="H115" i="7"/>
  <c r="L115" i="7" s="1"/>
  <c r="H116" i="7"/>
  <c r="J116" i="7" s="1"/>
  <c r="H117" i="7"/>
  <c r="N117" i="7" s="1"/>
  <c r="H118" i="7"/>
  <c r="N118" i="7" s="1"/>
  <c r="H119" i="7"/>
  <c r="L119" i="7" s="1"/>
  <c r="H120" i="7"/>
  <c r="J120" i="7" s="1"/>
  <c r="H121" i="7"/>
  <c r="L121" i="7" s="1"/>
  <c r="H122" i="7"/>
  <c r="L122" i="7" s="1"/>
  <c r="H123" i="7"/>
  <c r="J123" i="7" s="1"/>
  <c r="H124" i="7"/>
  <c r="J124" i="7" s="1"/>
  <c r="H125" i="7"/>
  <c r="L125" i="7" s="1"/>
  <c r="H126" i="7"/>
  <c r="L126" i="7" s="1"/>
  <c r="H127" i="7"/>
  <c r="J127" i="7" s="1"/>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K96" i="7"/>
  <c r="K97" i="7"/>
  <c r="K98" i="7"/>
  <c r="K99" i="7"/>
  <c r="K100" i="7"/>
  <c r="K101" i="7"/>
  <c r="K102" i="7"/>
  <c r="K103" i="7"/>
  <c r="K104" i="7"/>
  <c r="K105" i="7"/>
  <c r="K106" i="7"/>
  <c r="K107" i="7"/>
  <c r="K108" i="7"/>
  <c r="K109" i="7"/>
  <c r="K110" i="7"/>
  <c r="K111" i="7"/>
  <c r="K112" i="7"/>
  <c r="K113" i="7"/>
  <c r="K114" i="7"/>
  <c r="K115" i="7"/>
  <c r="K116" i="7"/>
  <c r="K117" i="7"/>
  <c r="K118" i="7"/>
  <c r="K119" i="7"/>
  <c r="K120" i="7"/>
  <c r="K121" i="7"/>
  <c r="K122" i="7"/>
  <c r="K123" i="7"/>
  <c r="K124" i="7"/>
  <c r="K125" i="7"/>
  <c r="K126" i="7"/>
  <c r="K127" i="7"/>
  <c r="M96" i="7"/>
  <c r="M97" i="7"/>
  <c r="M98" i="7"/>
  <c r="M99" i="7"/>
  <c r="M100" i="7"/>
  <c r="M101" i="7"/>
  <c r="M102" i="7"/>
  <c r="M103" i="7"/>
  <c r="M104" i="7"/>
  <c r="M105" i="7"/>
  <c r="M106" i="7"/>
  <c r="M107" i="7"/>
  <c r="M108" i="7"/>
  <c r="M109" i="7"/>
  <c r="M110" i="7"/>
  <c r="M111" i="7"/>
  <c r="M112" i="7"/>
  <c r="M113" i="7"/>
  <c r="M114" i="7"/>
  <c r="M115" i="7"/>
  <c r="M116" i="7"/>
  <c r="M117" i="7"/>
  <c r="M118" i="7"/>
  <c r="M119" i="7"/>
  <c r="M120" i="7"/>
  <c r="M121" i="7"/>
  <c r="M122" i="7"/>
  <c r="M123" i="7"/>
  <c r="M124" i="7"/>
  <c r="M125" i="7"/>
  <c r="M126" i="7"/>
  <c r="M127" i="7"/>
  <c r="D95" i="7"/>
  <c r="E95" i="7"/>
  <c r="F95" i="7"/>
  <c r="H95" i="7"/>
  <c r="N95" i="7" s="1"/>
  <c r="I95" i="7"/>
  <c r="K95" i="7"/>
  <c r="M95" i="7"/>
  <c r="S110" i="2"/>
  <c r="S109" i="2"/>
  <c r="S106" i="2"/>
  <c r="S103" i="2"/>
  <c r="S104" i="2"/>
  <c r="S105" i="2"/>
  <c r="S102" i="2"/>
  <c r="S101" i="2"/>
  <c r="S100" i="2"/>
  <c r="S94" i="2"/>
  <c r="S95" i="2"/>
  <c r="S96" i="2"/>
  <c r="S97" i="2"/>
  <c r="S98" i="2"/>
  <c r="S99" i="2"/>
  <c r="S93" i="2"/>
  <c r="S76" i="2"/>
  <c r="E71" i="7" s="1"/>
  <c r="D94" i="7"/>
  <c r="E94" i="7"/>
  <c r="F94" i="7"/>
  <c r="H94" i="7"/>
  <c r="J94" i="7" s="1"/>
  <c r="I94" i="7"/>
  <c r="K94" i="7"/>
  <c r="M94" i="7"/>
  <c r="D89" i="7"/>
  <c r="D90" i="7"/>
  <c r="D91" i="7"/>
  <c r="D92" i="7"/>
  <c r="D93" i="7"/>
  <c r="E89" i="7"/>
  <c r="E90" i="7"/>
  <c r="E91" i="7"/>
  <c r="E92" i="7"/>
  <c r="E93" i="7"/>
  <c r="F89" i="7"/>
  <c r="F90" i="7"/>
  <c r="F91" i="7"/>
  <c r="F92" i="7"/>
  <c r="F93" i="7"/>
  <c r="H89" i="7"/>
  <c r="N89" i="7" s="1"/>
  <c r="H90" i="7"/>
  <c r="H91" i="7"/>
  <c r="N91" i="7" s="1"/>
  <c r="H92" i="7"/>
  <c r="N92" i="7" s="1"/>
  <c r="H93" i="7"/>
  <c r="L93" i="7" s="1"/>
  <c r="I89" i="7"/>
  <c r="I90" i="7"/>
  <c r="I91" i="7"/>
  <c r="I92" i="7"/>
  <c r="I93" i="7"/>
  <c r="K89" i="7"/>
  <c r="K90" i="7"/>
  <c r="K91" i="7"/>
  <c r="K92" i="7"/>
  <c r="K93" i="7"/>
  <c r="M89" i="7"/>
  <c r="M90" i="7"/>
  <c r="M91" i="7"/>
  <c r="M92" i="7"/>
  <c r="M93" i="7"/>
  <c r="D85" i="7"/>
  <c r="D86" i="7"/>
  <c r="D87" i="7"/>
  <c r="D88" i="7"/>
  <c r="E85" i="7"/>
  <c r="E86" i="7"/>
  <c r="E87" i="7"/>
  <c r="E88" i="7"/>
  <c r="F85" i="7"/>
  <c r="F86" i="7"/>
  <c r="F87" i="7"/>
  <c r="F88" i="7"/>
  <c r="H85" i="7"/>
  <c r="J85" i="7" s="1"/>
  <c r="H86" i="7"/>
  <c r="J86" i="7" s="1"/>
  <c r="H87" i="7"/>
  <c r="J87" i="7" s="1"/>
  <c r="H88" i="7"/>
  <c r="J88" i="7" s="1"/>
  <c r="I85" i="7"/>
  <c r="I86" i="7"/>
  <c r="I87" i="7"/>
  <c r="I88" i="7"/>
  <c r="K85" i="7"/>
  <c r="K86" i="7"/>
  <c r="K87" i="7"/>
  <c r="K88" i="7"/>
  <c r="M85" i="7"/>
  <c r="M86" i="7"/>
  <c r="M87" i="7"/>
  <c r="M88" i="7"/>
  <c r="S92" i="2"/>
  <c r="S88" i="2"/>
  <c r="S89" i="2"/>
  <c r="S90" i="2"/>
  <c r="S91" i="2"/>
  <c r="S87" i="2"/>
  <c r="S86" i="2"/>
  <c r="S85" i="2"/>
  <c r="S84" i="2"/>
  <c r="S83" i="2"/>
  <c r="S82" i="2"/>
  <c r="S81" i="2"/>
  <c r="S80" i="2"/>
  <c r="S79" i="2"/>
  <c r="S78" i="2"/>
  <c r="S77" i="2"/>
  <c r="F56" i="7"/>
  <c r="D56" i="7"/>
  <c r="D60" i="7"/>
  <c r="D61" i="7"/>
  <c r="D62" i="7"/>
  <c r="D63" i="7"/>
  <c r="D64" i="7"/>
  <c r="D65" i="7"/>
  <c r="D66" i="7"/>
  <c r="D67" i="7"/>
  <c r="D68" i="7"/>
  <c r="D69" i="7"/>
  <c r="D70" i="7"/>
  <c r="D71" i="7"/>
  <c r="D72" i="7"/>
  <c r="D73" i="7"/>
  <c r="D74" i="7"/>
  <c r="D75" i="7"/>
  <c r="D76" i="7"/>
  <c r="D77" i="7"/>
  <c r="D78" i="7"/>
  <c r="D79" i="7"/>
  <c r="D80" i="7"/>
  <c r="D81" i="7"/>
  <c r="D82" i="7"/>
  <c r="D83" i="7"/>
  <c r="D84" i="7"/>
  <c r="E60" i="7"/>
  <c r="E61" i="7"/>
  <c r="E62" i="7"/>
  <c r="E63" i="7"/>
  <c r="E64" i="7"/>
  <c r="E65" i="7"/>
  <c r="E66" i="7"/>
  <c r="E67" i="7"/>
  <c r="E68" i="7"/>
  <c r="E69" i="7"/>
  <c r="E70" i="7"/>
  <c r="E72" i="7"/>
  <c r="E73" i="7"/>
  <c r="E74" i="7"/>
  <c r="E75" i="7"/>
  <c r="E76" i="7"/>
  <c r="E77" i="7"/>
  <c r="E78" i="7"/>
  <c r="E79" i="7"/>
  <c r="E80" i="7"/>
  <c r="E81" i="7"/>
  <c r="E82" i="7"/>
  <c r="E83" i="7"/>
  <c r="E84" i="7"/>
  <c r="F60" i="7"/>
  <c r="F61" i="7"/>
  <c r="F62" i="7"/>
  <c r="F63" i="7"/>
  <c r="F64" i="7"/>
  <c r="F65" i="7"/>
  <c r="F66" i="7"/>
  <c r="F67" i="7"/>
  <c r="F68" i="7"/>
  <c r="F69" i="7"/>
  <c r="F70" i="7"/>
  <c r="F71" i="7"/>
  <c r="F72" i="7"/>
  <c r="F73" i="7"/>
  <c r="F74" i="7"/>
  <c r="F75" i="7"/>
  <c r="F76" i="7"/>
  <c r="F77" i="7"/>
  <c r="F78" i="7"/>
  <c r="F79" i="7"/>
  <c r="F80" i="7"/>
  <c r="F81" i="7"/>
  <c r="F82" i="7"/>
  <c r="F83" i="7"/>
  <c r="F84" i="7"/>
  <c r="H60" i="7"/>
  <c r="J60" i="7" s="1"/>
  <c r="H61" i="7"/>
  <c r="L61" i="7" s="1"/>
  <c r="H62" i="7"/>
  <c r="L62" i="7" s="1"/>
  <c r="H63" i="7"/>
  <c r="N63" i="7" s="1"/>
  <c r="H64" i="7"/>
  <c r="N64" i="7" s="1"/>
  <c r="H65" i="7"/>
  <c r="L65" i="7" s="1"/>
  <c r="H66" i="7"/>
  <c r="L66" i="7" s="1"/>
  <c r="H67" i="7"/>
  <c r="J67" i="7" s="1"/>
  <c r="H68" i="7"/>
  <c r="J68" i="7" s="1"/>
  <c r="H69" i="7"/>
  <c r="N69" i="7" s="1"/>
  <c r="H70" i="7"/>
  <c r="J70" i="7" s="1"/>
  <c r="H71" i="7"/>
  <c r="L71" i="7" s="1"/>
  <c r="H72" i="7"/>
  <c r="J72" i="7" s="1"/>
  <c r="H73" i="7"/>
  <c r="J73" i="7" s="1"/>
  <c r="H74" i="7"/>
  <c r="N74" i="7" s="1"/>
  <c r="H75" i="7"/>
  <c r="N75" i="7" s="1"/>
  <c r="H76" i="7"/>
  <c r="N76" i="7" s="1"/>
  <c r="H77" i="7"/>
  <c r="L77" i="7" s="1"/>
  <c r="H78" i="7"/>
  <c r="L78" i="7" s="1"/>
  <c r="H79" i="7"/>
  <c r="J79" i="7" s="1"/>
  <c r="H80" i="7"/>
  <c r="N80" i="7" s="1"/>
  <c r="H81" i="7"/>
  <c r="J81" i="7" s="1"/>
  <c r="H82" i="7"/>
  <c r="L82" i="7" s="1"/>
  <c r="H83" i="7"/>
  <c r="L83" i="7" s="1"/>
  <c r="H84" i="7"/>
  <c r="J84" i="7" s="1"/>
  <c r="I60" i="7"/>
  <c r="I61" i="7"/>
  <c r="I62" i="7"/>
  <c r="I63" i="7"/>
  <c r="I64" i="7"/>
  <c r="I65" i="7"/>
  <c r="I66" i="7"/>
  <c r="I67" i="7"/>
  <c r="I68" i="7"/>
  <c r="I69" i="7"/>
  <c r="I70" i="7"/>
  <c r="I71" i="7"/>
  <c r="I72" i="7"/>
  <c r="I73" i="7"/>
  <c r="I74" i="7"/>
  <c r="I75" i="7"/>
  <c r="I76" i="7"/>
  <c r="I77" i="7"/>
  <c r="I78" i="7"/>
  <c r="I79" i="7"/>
  <c r="I80" i="7"/>
  <c r="I81" i="7"/>
  <c r="I82" i="7"/>
  <c r="I83" i="7"/>
  <c r="I84" i="7"/>
  <c r="K60" i="7"/>
  <c r="K61" i="7"/>
  <c r="K62" i="7"/>
  <c r="K63" i="7"/>
  <c r="K64" i="7"/>
  <c r="K65" i="7"/>
  <c r="K66" i="7"/>
  <c r="K67" i="7"/>
  <c r="K68" i="7"/>
  <c r="K69" i="7"/>
  <c r="K70" i="7"/>
  <c r="K71" i="7"/>
  <c r="K72" i="7"/>
  <c r="K73" i="7"/>
  <c r="K74" i="7"/>
  <c r="K75" i="7"/>
  <c r="K76" i="7"/>
  <c r="K77" i="7"/>
  <c r="K78" i="7"/>
  <c r="K79" i="7"/>
  <c r="K80" i="7"/>
  <c r="K81" i="7"/>
  <c r="K82" i="7"/>
  <c r="K83" i="7"/>
  <c r="K84" i="7"/>
  <c r="M60" i="7"/>
  <c r="M61" i="7"/>
  <c r="M62" i="7"/>
  <c r="M63" i="7"/>
  <c r="M64" i="7"/>
  <c r="M65" i="7"/>
  <c r="M66" i="7"/>
  <c r="M67" i="7"/>
  <c r="M68" i="7"/>
  <c r="M69" i="7"/>
  <c r="M70" i="7"/>
  <c r="M71" i="7"/>
  <c r="M72" i="7"/>
  <c r="M73" i="7"/>
  <c r="M74" i="7"/>
  <c r="M75" i="7"/>
  <c r="M76" i="7"/>
  <c r="M77" i="7"/>
  <c r="M78" i="7"/>
  <c r="M79" i="7"/>
  <c r="M80" i="7"/>
  <c r="M81" i="7"/>
  <c r="M82" i="7"/>
  <c r="M83" i="7"/>
  <c r="M84" i="7"/>
  <c r="S52" i="2"/>
  <c r="S53" i="2"/>
  <c r="S54" i="2"/>
  <c r="S55" i="2"/>
  <c r="S56" i="2"/>
  <c r="S57" i="2"/>
  <c r="S58" i="2"/>
  <c r="S51" i="2"/>
  <c r="S50" i="2"/>
  <c r="S49" i="2"/>
  <c r="S45" i="2"/>
  <c r="S44" i="2"/>
  <c r="S41" i="2"/>
  <c r="S42" i="2"/>
  <c r="S43" i="2"/>
  <c r="S40" i="2"/>
  <c r="S33" i="2"/>
  <c r="S34" i="2"/>
  <c r="S35" i="2"/>
  <c r="S36" i="2"/>
  <c r="S37" i="2"/>
  <c r="S38" i="2"/>
  <c r="S39" i="2"/>
  <c r="S32" i="2"/>
  <c r="S31" i="2"/>
  <c r="S30" i="2"/>
  <c r="S9" i="2"/>
  <c r="S10" i="2"/>
  <c r="S11" i="2"/>
  <c r="S12" i="2"/>
  <c r="S13" i="2"/>
  <c r="S14" i="2"/>
  <c r="S15" i="2"/>
  <c r="S16" i="2"/>
  <c r="S17" i="2"/>
  <c r="S18" i="2"/>
  <c r="J132" i="7" l="1"/>
  <c r="O132" i="7" s="1"/>
  <c r="Q153" i="7"/>
  <c r="P141" i="7"/>
  <c r="O129" i="7"/>
  <c r="Q154" i="7"/>
  <c r="Q142" i="7"/>
  <c r="Q130" i="7"/>
  <c r="Q152" i="7"/>
  <c r="Q140" i="7"/>
  <c r="P151" i="7"/>
  <c r="Q137" i="7"/>
  <c r="Q155" i="7"/>
  <c r="Q143" i="7"/>
  <c r="Q131" i="7"/>
  <c r="P132" i="7"/>
  <c r="J144" i="7"/>
  <c r="O144" i="7" s="1"/>
  <c r="J131" i="7"/>
  <c r="O131" i="7" s="1"/>
  <c r="L131" i="7"/>
  <c r="P131" i="7" s="1"/>
  <c r="L143" i="7"/>
  <c r="P143" i="7" s="1"/>
  <c r="J136" i="7"/>
  <c r="O136" i="7" s="1"/>
  <c r="L148" i="7"/>
  <c r="P148" i="7" s="1"/>
  <c r="N148" i="7"/>
  <c r="Q148" i="7" s="1"/>
  <c r="L129" i="7"/>
  <c r="P129" i="7" s="1"/>
  <c r="P144" i="7"/>
  <c r="J145" i="7"/>
  <c r="O145" i="7" s="1"/>
  <c r="J156" i="7"/>
  <c r="O156" i="7" s="1"/>
  <c r="L142" i="7"/>
  <c r="P142" i="7" s="1"/>
  <c r="J155" i="7"/>
  <c r="O155" i="7" s="1"/>
  <c r="J130" i="7"/>
  <c r="O130" i="7" s="1"/>
  <c r="J154" i="7"/>
  <c r="O154" i="7" s="1"/>
  <c r="L130" i="7"/>
  <c r="P130" i="7" s="1"/>
  <c r="J143" i="7"/>
  <c r="O143" i="7" s="1"/>
  <c r="P157" i="7"/>
  <c r="P145" i="7"/>
  <c r="J142" i="7"/>
  <c r="O142" i="7" s="1"/>
  <c r="N141" i="7"/>
  <c r="Q141" i="7" s="1"/>
  <c r="J153" i="7"/>
  <c r="O153" i="7" s="1"/>
  <c r="P156" i="7"/>
  <c r="J141" i="7"/>
  <c r="O141" i="7" s="1"/>
  <c r="L154" i="7"/>
  <c r="P154" i="7" s="1"/>
  <c r="J140" i="7"/>
  <c r="O140" i="7" s="1"/>
  <c r="N150" i="7"/>
  <c r="Q150" i="7" s="1"/>
  <c r="L149" i="7"/>
  <c r="P149" i="7" s="1"/>
  <c r="N149" i="7"/>
  <c r="Q149" i="7" s="1"/>
  <c r="N151" i="7"/>
  <c r="Q151" i="7" s="1"/>
  <c r="L150" i="7"/>
  <c r="P150" i="7" s="1"/>
  <c r="N139" i="7"/>
  <c r="Q139" i="7" s="1"/>
  <c r="L140" i="7"/>
  <c r="P140" i="7" s="1"/>
  <c r="J133" i="7"/>
  <c r="O133" i="7" s="1"/>
  <c r="O128" i="7"/>
  <c r="J151" i="7"/>
  <c r="O151" i="7" s="1"/>
  <c r="J137" i="7"/>
  <c r="O137" i="7" s="1"/>
  <c r="N138" i="7"/>
  <c r="Q138" i="7" s="1"/>
  <c r="L155" i="7"/>
  <c r="P155" i="7" s="1"/>
  <c r="L139" i="7"/>
  <c r="P139" i="7" s="1"/>
  <c r="O139" i="7"/>
  <c r="L128" i="7"/>
  <c r="P128" i="7" s="1"/>
  <c r="J152" i="7"/>
  <c r="O152" i="7" s="1"/>
  <c r="J138" i="7"/>
  <c r="O138" i="7" s="1"/>
  <c r="O150" i="7"/>
  <c r="N136" i="7"/>
  <c r="Q136" i="7" s="1"/>
  <c r="L153" i="7"/>
  <c r="P153" i="7" s="1"/>
  <c r="L137" i="7"/>
  <c r="P137" i="7" s="1"/>
  <c r="O149" i="7"/>
  <c r="P136" i="7"/>
  <c r="N129" i="7"/>
  <c r="Q129" i="7" s="1"/>
  <c r="L152" i="7"/>
  <c r="P152" i="7" s="1"/>
  <c r="J157" i="7"/>
  <c r="O157" i="7" s="1"/>
  <c r="O148" i="7"/>
  <c r="N128" i="7"/>
  <c r="Q128" i="7" s="1"/>
  <c r="P138" i="7"/>
  <c r="J158" i="7"/>
  <c r="O158" i="7" s="1"/>
  <c r="N158" i="7"/>
  <c r="Q158" i="7" s="1"/>
  <c r="L158" i="7"/>
  <c r="P158" i="7" s="1"/>
  <c r="L135" i="7"/>
  <c r="P135" i="7" s="1"/>
  <c r="J135" i="7"/>
  <c r="O135" i="7" s="1"/>
  <c r="N135" i="7"/>
  <c r="Q135" i="7" s="1"/>
  <c r="N147" i="7"/>
  <c r="Q147" i="7" s="1"/>
  <c r="J147" i="7"/>
  <c r="O147" i="7" s="1"/>
  <c r="L147" i="7"/>
  <c r="P147" i="7" s="1"/>
  <c r="J146" i="7"/>
  <c r="O146" i="7" s="1"/>
  <c r="N146" i="7"/>
  <c r="Q146" i="7" s="1"/>
  <c r="L146" i="7"/>
  <c r="P146" i="7" s="1"/>
  <c r="J134" i="7"/>
  <c r="O134" i="7" s="1"/>
  <c r="N134" i="7"/>
  <c r="Q134" i="7" s="1"/>
  <c r="L134" i="7"/>
  <c r="P134" i="7" s="1"/>
  <c r="Q133" i="7"/>
  <c r="N156" i="7"/>
  <c r="Q156" i="7" s="1"/>
  <c r="N144" i="7"/>
  <c r="Q144" i="7" s="1"/>
  <c r="N132" i="7"/>
  <c r="Q132" i="7" s="1"/>
  <c r="N157" i="7"/>
  <c r="Q157" i="7" s="1"/>
  <c r="N145" i="7"/>
  <c r="Q145" i="7" s="1"/>
  <c r="L133" i="7"/>
  <c r="P133" i="7" s="1"/>
  <c r="O116" i="7"/>
  <c r="P104" i="7"/>
  <c r="O127" i="7"/>
  <c r="P119" i="7"/>
  <c r="P107" i="7"/>
  <c r="N102" i="7"/>
  <c r="Q102" i="7" s="1"/>
  <c r="L100" i="7"/>
  <c r="P100" i="7" s="1"/>
  <c r="L97" i="7"/>
  <c r="P97" i="7" s="1"/>
  <c r="N100" i="7"/>
  <c r="Q100" i="7" s="1"/>
  <c r="Q105" i="7"/>
  <c r="Q117" i="7"/>
  <c r="Q118" i="7"/>
  <c r="O106" i="7"/>
  <c r="P103" i="7"/>
  <c r="P115" i="7"/>
  <c r="O120" i="7"/>
  <c r="O108" i="7"/>
  <c r="O96" i="7"/>
  <c r="P126" i="7"/>
  <c r="P114" i="7"/>
  <c r="P102" i="7"/>
  <c r="Q92" i="7"/>
  <c r="J115" i="7"/>
  <c r="O115" i="7" s="1"/>
  <c r="Q91" i="7"/>
  <c r="J103" i="7"/>
  <c r="O103" i="7" s="1"/>
  <c r="O124" i="7"/>
  <c r="O112" i="7"/>
  <c r="O100" i="7"/>
  <c r="P101" i="7"/>
  <c r="N115" i="7"/>
  <c r="Q115" i="7" s="1"/>
  <c r="O123" i="7"/>
  <c r="P111" i="7"/>
  <c r="O99" i="7"/>
  <c r="P125" i="7"/>
  <c r="N103" i="7"/>
  <c r="Q103" i="7" s="1"/>
  <c r="P122" i="7"/>
  <c r="O110" i="7"/>
  <c r="Q98" i="7"/>
  <c r="P113" i="7"/>
  <c r="P121" i="7"/>
  <c r="O109" i="7"/>
  <c r="O97" i="7"/>
  <c r="N114" i="7"/>
  <c r="Q114" i="7" s="1"/>
  <c r="N110" i="7"/>
  <c r="Q110" i="7" s="1"/>
  <c r="L98" i="7"/>
  <c r="P98" i="7" s="1"/>
  <c r="J98" i="7"/>
  <c r="O98" i="7" s="1"/>
  <c r="N111" i="7"/>
  <c r="Q111" i="7" s="1"/>
  <c r="L99" i="7"/>
  <c r="P99" i="7" s="1"/>
  <c r="J111" i="7"/>
  <c r="O111" i="7" s="1"/>
  <c r="N99" i="7"/>
  <c r="Q99" i="7" s="1"/>
  <c r="N123" i="7"/>
  <c r="Q123" i="7" s="1"/>
  <c r="L123" i="7"/>
  <c r="P123" i="7" s="1"/>
  <c r="L127" i="7"/>
  <c r="P127" i="7" s="1"/>
  <c r="N97" i="7"/>
  <c r="Q97" i="7" s="1"/>
  <c r="N109" i="7"/>
  <c r="Q109" i="7" s="1"/>
  <c r="J118" i="7"/>
  <c r="O118" i="7" s="1"/>
  <c r="N106" i="7"/>
  <c r="Q106" i="7" s="1"/>
  <c r="L106" i="7"/>
  <c r="P106" i="7" s="1"/>
  <c r="N127" i="7"/>
  <c r="Q127" i="7" s="1"/>
  <c r="L118" i="7"/>
  <c r="P118" i="7" s="1"/>
  <c r="N121" i="7"/>
  <c r="Q121" i="7" s="1"/>
  <c r="J122" i="7"/>
  <c r="O122" i="7" s="1"/>
  <c r="N113" i="7"/>
  <c r="Q113" i="7" s="1"/>
  <c r="L110" i="7"/>
  <c r="P110" i="7" s="1"/>
  <c r="N112" i="7"/>
  <c r="Q112" i="7" s="1"/>
  <c r="J117" i="7"/>
  <c r="O117" i="7" s="1"/>
  <c r="J105" i="7"/>
  <c r="O105" i="7" s="1"/>
  <c r="L117" i="7"/>
  <c r="P117" i="7" s="1"/>
  <c r="L105" i="7"/>
  <c r="P105" i="7" s="1"/>
  <c r="N122" i="7"/>
  <c r="Q122" i="7" s="1"/>
  <c r="L112" i="7"/>
  <c r="P112" i="7" s="1"/>
  <c r="N108" i="7"/>
  <c r="Q108" i="7" s="1"/>
  <c r="N124" i="7"/>
  <c r="Q124" i="7" s="1"/>
  <c r="J121" i="7"/>
  <c r="O121" i="7" s="1"/>
  <c r="L109" i="7"/>
  <c r="P109" i="7" s="1"/>
  <c r="N126" i="7"/>
  <c r="Q126" i="7" s="1"/>
  <c r="N119" i="7"/>
  <c r="Q119" i="7" s="1"/>
  <c r="N107" i="7"/>
  <c r="Q107" i="7" s="1"/>
  <c r="L116" i="7"/>
  <c r="P116" i="7" s="1"/>
  <c r="J119" i="7"/>
  <c r="O119" i="7" s="1"/>
  <c r="J107" i="7"/>
  <c r="O107" i="7" s="1"/>
  <c r="N116" i="7"/>
  <c r="Q116" i="7" s="1"/>
  <c r="N104" i="7"/>
  <c r="Q104" i="7" s="1"/>
  <c r="J104" i="7"/>
  <c r="O104" i="7" s="1"/>
  <c r="L124" i="7"/>
  <c r="P124" i="7" s="1"/>
  <c r="N120" i="7"/>
  <c r="Q120" i="7" s="1"/>
  <c r="J126" i="7"/>
  <c r="O126" i="7" s="1"/>
  <c r="J114" i="7"/>
  <c r="O114" i="7" s="1"/>
  <c r="J102" i="7"/>
  <c r="O102" i="7" s="1"/>
  <c r="J125" i="7"/>
  <c r="O125" i="7" s="1"/>
  <c r="J113" i="7"/>
  <c r="O113" i="7" s="1"/>
  <c r="J101" i="7"/>
  <c r="O101" i="7" s="1"/>
  <c r="N96" i="7"/>
  <c r="Q96" i="7" s="1"/>
  <c r="L120" i="7"/>
  <c r="P120" i="7" s="1"/>
  <c r="L108" i="7"/>
  <c r="P108" i="7" s="1"/>
  <c r="L96" i="7"/>
  <c r="P96" i="7" s="1"/>
  <c r="N125" i="7"/>
  <c r="Q125" i="7" s="1"/>
  <c r="N101" i="7"/>
  <c r="Q101" i="7" s="1"/>
  <c r="L95" i="7"/>
  <c r="P95" i="7" s="1"/>
  <c r="J95" i="7"/>
  <c r="O95" i="7" s="1"/>
  <c r="Q95" i="7"/>
  <c r="J90" i="7"/>
  <c r="O90" i="7" s="1"/>
  <c r="L90" i="7"/>
  <c r="P90" i="7" s="1"/>
  <c r="N90" i="7"/>
  <c r="Q90" i="7" s="1"/>
  <c r="N94" i="7"/>
  <c r="Q94" i="7" s="1"/>
  <c r="O94" i="7"/>
  <c r="L94" i="7"/>
  <c r="P94" i="7" s="1"/>
  <c r="L92" i="7"/>
  <c r="P92" i="7" s="1"/>
  <c r="L91" i="7"/>
  <c r="P91" i="7" s="1"/>
  <c r="Q89" i="7"/>
  <c r="J91" i="7"/>
  <c r="O91" i="7" s="1"/>
  <c r="L86" i="7"/>
  <c r="P86" i="7" s="1"/>
  <c r="L85" i="7"/>
  <c r="P85" i="7" s="1"/>
  <c r="N93" i="7"/>
  <c r="Q93" i="7" s="1"/>
  <c r="J93" i="7"/>
  <c r="O93" i="7" s="1"/>
  <c r="P93" i="7"/>
  <c r="J92" i="7"/>
  <c r="O92" i="7" s="1"/>
  <c r="J89" i="7"/>
  <c r="O89" i="7" s="1"/>
  <c r="L89" i="7"/>
  <c r="P89" i="7" s="1"/>
  <c r="N86" i="7"/>
  <c r="Q86" i="7" s="1"/>
  <c r="N85" i="7"/>
  <c r="Q85" i="7" s="1"/>
  <c r="L87" i="7"/>
  <c r="P87" i="7" s="1"/>
  <c r="L88" i="7"/>
  <c r="P88" i="7" s="1"/>
  <c r="O86" i="7"/>
  <c r="N87" i="7"/>
  <c r="Q87" i="7" s="1"/>
  <c r="O87" i="7"/>
  <c r="O85" i="7"/>
  <c r="O88" i="7"/>
  <c r="N88" i="7"/>
  <c r="Q88" i="7" s="1"/>
  <c r="Q76" i="7"/>
  <c r="Q64" i="7"/>
  <c r="N60" i="7"/>
  <c r="Q60" i="7" s="1"/>
  <c r="P66" i="7"/>
  <c r="O81" i="7"/>
  <c r="O68" i="7"/>
  <c r="N81" i="7"/>
  <c r="Q81" i="7" s="1"/>
  <c r="L81" i="7"/>
  <c r="P81" i="7" s="1"/>
  <c r="L69" i="7"/>
  <c r="P69" i="7" s="1"/>
  <c r="J69" i="7"/>
  <c r="O69" i="7" s="1"/>
  <c r="J83" i="7"/>
  <c r="O83" i="7" s="1"/>
  <c r="N83" i="7"/>
  <c r="Q83" i="7" s="1"/>
  <c r="J71" i="7"/>
  <c r="O71" i="7" s="1"/>
  <c r="N71" i="7"/>
  <c r="Q71" i="7" s="1"/>
  <c r="E56" i="7"/>
  <c r="N70" i="7"/>
  <c r="Q70" i="7" s="1"/>
  <c r="J82" i="7"/>
  <c r="O82" i="7" s="1"/>
  <c r="L70" i="7"/>
  <c r="P70" i="7" s="1"/>
  <c r="L74" i="7"/>
  <c r="P74" i="7" s="1"/>
  <c r="N62" i="7"/>
  <c r="Q62" i="7" s="1"/>
  <c r="J74" i="7"/>
  <c r="O74" i="7" s="1"/>
  <c r="J62" i="7"/>
  <c r="O62" i="7" s="1"/>
  <c r="O73" i="7"/>
  <c r="O79" i="7"/>
  <c r="O67" i="7"/>
  <c r="N84" i="7"/>
  <c r="Q84" i="7" s="1"/>
  <c r="J63" i="7"/>
  <c r="O63" i="7" s="1"/>
  <c r="N61" i="7"/>
  <c r="Q61" i="7" s="1"/>
  <c r="P82" i="7"/>
  <c r="Q74" i="7"/>
  <c r="L68" i="7"/>
  <c r="P68" i="7" s="1"/>
  <c r="N68" i="7"/>
  <c r="Q68" i="7" s="1"/>
  <c r="J80" i="7"/>
  <c r="O80" i="7" s="1"/>
  <c r="N82" i="7"/>
  <c r="Q82" i="7" s="1"/>
  <c r="L84" i="7"/>
  <c r="P84" i="7" s="1"/>
  <c r="P71" i="7"/>
  <c r="L80" i="7"/>
  <c r="P80" i="7" s="1"/>
  <c r="P77" i="7"/>
  <c r="Q75" i="7"/>
  <c r="O60" i="7"/>
  <c r="L72" i="7"/>
  <c r="P72" i="7" s="1"/>
  <c r="Q63" i="7"/>
  <c r="P83" i="7"/>
  <c r="L60" i="7"/>
  <c r="P60" i="7" s="1"/>
  <c r="N72" i="7"/>
  <c r="Q72" i="7" s="1"/>
  <c r="P78" i="7"/>
  <c r="O72" i="7"/>
  <c r="O70" i="7"/>
  <c r="P65" i="7"/>
  <c r="J64" i="7"/>
  <c r="O64" i="7" s="1"/>
  <c r="P62" i="7"/>
  <c r="O84" i="7"/>
  <c r="Q69" i="7"/>
  <c r="L73" i="7"/>
  <c r="P73" i="7" s="1"/>
  <c r="J77" i="7"/>
  <c r="O77" i="7" s="1"/>
  <c r="J75" i="7"/>
  <c r="O75" i="7" s="1"/>
  <c r="L75" i="7"/>
  <c r="P75" i="7" s="1"/>
  <c r="J76" i="7"/>
  <c r="O76" i="7" s="1"/>
  <c r="J61" i="7"/>
  <c r="O61" i="7" s="1"/>
  <c r="J65" i="7"/>
  <c r="O65" i="7" s="1"/>
  <c r="N73" i="7"/>
  <c r="Q73" i="7" s="1"/>
  <c r="L63" i="7"/>
  <c r="P63" i="7" s="1"/>
  <c r="Q80" i="7"/>
  <c r="P61" i="7"/>
  <c r="N79" i="7"/>
  <c r="Q79" i="7" s="1"/>
  <c r="N67" i="7"/>
  <c r="Q67" i="7" s="1"/>
  <c r="N78" i="7"/>
  <c r="Q78" i="7" s="1"/>
  <c r="L76" i="7"/>
  <c r="P76" i="7" s="1"/>
  <c r="L64" i="7"/>
  <c r="P64" i="7" s="1"/>
  <c r="J78" i="7"/>
  <c r="O78" i="7" s="1"/>
  <c r="J66" i="7"/>
  <c r="O66" i="7" s="1"/>
  <c r="N66" i="7"/>
  <c r="Q66" i="7" s="1"/>
  <c r="L67" i="7"/>
  <c r="P67" i="7" s="1"/>
  <c r="N77" i="7"/>
  <c r="Q77" i="7" s="1"/>
  <c r="N65" i="7"/>
  <c r="Q65" i="7" s="1"/>
  <c r="L79" i="7"/>
  <c r="P79" i="7" s="1"/>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T502" i="2"/>
  <c r="T503" i="2"/>
  <c r="T504" i="2"/>
  <c r="T505" i="2"/>
  <c r="T506" i="2"/>
  <c r="T507" i="2"/>
  <c r="T508" i="2"/>
  <c r="T509" i="2"/>
  <c r="T510" i="2"/>
  <c r="T511" i="2"/>
  <c r="T512" i="2"/>
  <c r="T513" i="2"/>
  <c r="T514" i="2"/>
  <c r="T515" i="2"/>
  <c r="T516" i="2"/>
  <c r="T517" i="2"/>
  <c r="T518" i="2"/>
  <c r="T519" i="2"/>
  <c r="T520" i="2"/>
  <c r="T521" i="2"/>
  <c r="T522" i="2"/>
  <c r="T523" i="2"/>
  <c r="T524" i="2"/>
  <c r="T525" i="2"/>
  <c r="T526" i="2"/>
  <c r="T527" i="2"/>
  <c r="T528" i="2"/>
  <c r="T529" i="2"/>
  <c r="T530" i="2"/>
  <c r="T531" i="2"/>
  <c r="T532" i="2"/>
  <c r="T533" i="2"/>
  <c r="T534" i="2"/>
  <c r="T535" i="2"/>
  <c r="T536" i="2"/>
  <c r="T537" i="2"/>
  <c r="T538" i="2"/>
  <c r="T539" i="2"/>
  <c r="T540" i="2"/>
  <c r="T541" i="2"/>
  <c r="T542" i="2"/>
  <c r="T543" i="2"/>
  <c r="T544" i="2"/>
  <c r="T545" i="2"/>
  <c r="T546" i="2"/>
  <c r="T547" i="2"/>
  <c r="T548" i="2"/>
  <c r="T549" i="2"/>
  <c r="T550" i="2"/>
  <c r="T551" i="2"/>
  <c r="T552" i="2"/>
  <c r="T553" i="2"/>
  <c r="T554" i="2"/>
  <c r="T555" i="2"/>
  <c r="T556" i="2"/>
  <c r="T557" i="2"/>
  <c r="T558" i="2"/>
  <c r="T559" i="2"/>
  <c r="T560" i="2"/>
  <c r="T561" i="2"/>
  <c r="T562" i="2"/>
  <c r="T563" i="2"/>
  <c r="T564" i="2"/>
  <c r="T565" i="2"/>
  <c r="T566" i="2"/>
  <c r="T567" i="2"/>
  <c r="T568" i="2"/>
  <c r="T569" i="2"/>
  <c r="T570" i="2"/>
  <c r="T571" i="2"/>
  <c r="T572" i="2"/>
  <c r="T573" i="2"/>
  <c r="T574" i="2"/>
  <c r="T575" i="2"/>
  <c r="T576" i="2"/>
  <c r="T577" i="2"/>
  <c r="T578" i="2"/>
  <c r="T579" i="2"/>
  <c r="T580" i="2"/>
  <c r="T581" i="2"/>
  <c r="T582" i="2"/>
  <c r="T583" i="2"/>
  <c r="T584" i="2"/>
  <c r="T585" i="2"/>
  <c r="T586" i="2"/>
  <c r="T587" i="2"/>
  <c r="T588" i="2"/>
  <c r="T589" i="2"/>
  <c r="T590" i="2"/>
  <c r="T591" i="2"/>
  <c r="T592" i="2"/>
  <c r="T593" i="2"/>
  <c r="T594" i="2"/>
  <c r="T595" i="2"/>
  <c r="T596" i="2"/>
  <c r="T597" i="2"/>
  <c r="T598" i="2"/>
  <c r="T599" i="2"/>
  <c r="T600" i="2"/>
  <c r="T601" i="2"/>
  <c r="T602" i="2"/>
  <c r="T603" i="2"/>
  <c r="T604" i="2"/>
  <c r="T605" i="2"/>
  <c r="T606" i="2"/>
  <c r="T607" i="2"/>
  <c r="T608" i="2"/>
  <c r="T609" i="2"/>
  <c r="T610" i="2"/>
  <c r="T611" i="2"/>
  <c r="T612" i="2"/>
  <c r="T613" i="2"/>
  <c r="T614" i="2"/>
  <c r="T615" i="2"/>
  <c r="T616" i="2"/>
  <c r="T617" i="2"/>
  <c r="T618" i="2"/>
  <c r="T619" i="2"/>
  <c r="T620" i="2"/>
  <c r="T621" i="2"/>
  <c r="T622" i="2"/>
  <c r="T623" i="2"/>
  <c r="T624" i="2"/>
  <c r="T625" i="2"/>
  <c r="T626" i="2"/>
  <c r="T627" i="2"/>
  <c r="T628" i="2"/>
  <c r="T629" i="2"/>
  <c r="T630" i="2"/>
  <c r="T631" i="2"/>
  <c r="T632" i="2"/>
  <c r="T633" i="2"/>
  <c r="T634" i="2"/>
  <c r="T635" i="2"/>
  <c r="T636" i="2"/>
  <c r="T637" i="2"/>
  <c r="T638" i="2"/>
  <c r="T639" i="2"/>
  <c r="T640" i="2"/>
  <c r="T641" i="2"/>
  <c r="T642" i="2"/>
  <c r="T643" i="2"/>
  <c r="T644" i="2"/>
  <c r="T645" i="2"/>
  <c r="T646" i="2"/>
  <c r="T647" i="2"/>
  <c r="T648" i="2"/>
  <c r="T649" i="2"/>
  <c r="T650" i="2"/>
  <c r="T651" i="2"/>
  <c r="T652" i="2"/>
  <c r="T653" i="2"/>
  <c r="T654" i="2"/>
  <c r="T655" i="2"/>
  <c r="T656" i="2"/>
  <c r="T657" i="2"/>
  <c r="T658" i="2"/>
  <c r="T659" i="2"/>
  <c r="T660" i="2"/>
  <c r="T661" i="2"/>
  <c r="T662" i="2"/>
  <c r="T663" i="2"/>
  <c r="T664" i="2"/>
  <c r="T665" i="2"/>
  <c r="T666" i="2"/>
  <c r="T667" i="2"/>
  <c r="T668" i="2"/>
  <c r="T669" i="2"/>
  <c r="T670" i="2"/>
  <c r="T671" i="2"/>
  <c r="T672" i="2"/>
  <c r="T673" i="2"/>
  <c r="T674" i="2"/>
  <c r="T675" i="2"/>
  <c r="T676" i="2"/>
  <c r="T677" i="2"/>
  <c r="T678" i="2"/>
  <c r="T679" i="2"/>
  <c r="T680" i="2"/>
  <c r="T681" i="2"/>
  <c r="T682" i="2"/>
  <c r="T683" i="2"/>
  <c r="T684" i="2"/>
  <c r="T685" i="2"/>
  <c r="T686" i="2"/>
  <c r="T687" i="2"/>
  <c r="T688" i="2"/>
  <c r="T689" i="2"/>
  <c r="T690" i="2"/>
  <c r="T691" i="2"/>
  <c r="T692" i="2"/>
  <c r="T693" i="2"/>
  <c r="T694" i="2"/>
  <c r="T695" i="2"/>
  <c r="T696" i="2"/>
  <c r="T697" i="2"/>
  <c r="T698" i="2"/>
  <c r="T699" i="2"/>
  <c r="T700" i="2"/>
  <c r="T701" i="2"/>
  <c r="T702" i="2"/>
  <c r="T703" i="2"/>
  <c r="T704" i="2"/>
  <c r="T705" i="2"/>
  <c r="T706" i="2"/>
  <c r="T707" i="2"/>
  <c r="T708" i="2"/>
  <c r="T709" i="2"/>
  <c r="T710" i="2"/>
  <c r="T711" i="2"/>
  <c r="T712" i="2"/>
  <c r="T713" i="2"/>
  <c r="T714" i="2"/>
  <c r="T715" i="2"/>
  <c r="T716" i="2"/>
  <c r="T717" i="2"/>
  <c r="T718" i="2"/>
  <c r="T719" i="2"/>
  <c r="T720" i="2"/>
  <c r="T721" i="2"/>
  <c r="T722" i="2"/>
  <c r="T723" i="2"/>
  <c r="T724" i="2"/>
  <c r="T725" i="2"/>
  <c r="T726" i="2"/>
  <c r="T727" i="2"/>
  <c r="T728" i="2"/>
  <c r="T729" i="2"/>
  <c r="T730" i="2"/>
  <c r="T731" i="2"/>
  <c r="T732" i="2"/>
  <c r="T733" i="2"/>
  <c r="T734" i="2"/>
  <c r="T735" i="2"/>
  <c r="T736" i="2"/>
  <c r="T737" i="2"/>
  <c r="T738" i="2"/>
  <c r="T739" i="2"/>
  <c r="T740" i="2"/>
  <c r="T741" i="2"/>
  <c r="T742" i="2"/>
  <c r="T743" i="2"/>
  <c r="T744" i="2"/>
  <c r="T745" i="2"/>
  <c r="T746" i="2"/>
  <c r="T747" i="2"/>
  <c r="T748" i="2"/>
  <c r="T749" i="2"/>
  <c r="T750" i="2"/>
  <c r="T751" i="2"/>
  <c r="T752" i="2"/>
  <c r="T753" i="2"/>
  <c r="T754" i="2"/>
  <c r="T755" i="2"/>
  <c r="T756" i="2"/>
  <c r="T757" i="2"/>
  <c r="T758" i="2"/>
  <c r="T759" i="2"/>
  <c r="T760" i="2"/>
  <c r="T761" i="2"/>
  <c r="T762" i="2"/>
  <c r="T763" i="2"/>
  <c r="T764" i="2"/>
  <c r="T765" i="2"/>
  <c r="T766" i="2"/>
  <c r="T767" i="2"/>
  <c r="T768" i="2"/>
  <c r="T769" i="2"/>
  <c r="T770" i="2"/>
  <c r="T771" i="2"/>
  <c r="T772" i="2"/>
  <c r="T773" i="2"/>
  <c r="T774" i="2"/>
  <c r="T775" i="2"/>
  <c r="T776" i="2"/>
  <c r="T777" i="2"/>
  <c r="T778" i="2"/>
  <c r="T779" i="2"/>
  <c r="T780" i="2"/>
  <c r="T781" i="2"/>
  <c r="T782" i="2"/>
  <c r="T783" i="2"/>
  <c r="T784" i="2"/>
  <c r="T785" i="2"/>
  <c r="T786" i="2"/>
  <c r="T787" i="2"/>
  <c r="T788" i="2"/>
  <c r="T789" i="2"/>
  <c r="T790" i="2"/>
  <c r="T791" i="2"/>
  <c r="T792" i="2"/>
  <c r="T793" i="2"/>
  <c r="T794" i="2"/>
  <c r="T795" i="2"/>
  <c r="T796" i="2"/>
  <c r="T797" i="2"/>
  <c r="T798" i="2"/>
  <c r="T799" i="2"/>
  <c r="T800" i="2"/>
  <c r="T801" i="2"/>
  <c r="T802" i="2"/>
  <c r="T803" i="2"/>
  <c r="T804" i="2"/>
  <c r="T805" i="2"/>
  <c r="T806" i="2"/>
  <c r="T807" i="2"/>
  <c r="T808" i="2"/>
  <c r="T809" i="2"/>
  <c r="T810" i="2"/>
  <c r="T811" i="2"/>
  <c r="T812" i="2"/>
  <c r="T813" i="2"/>
  <c r="T814" i="2"/>
  <c r="T815" i="2"/>
  <c r="T816" i="2"/>
  <c r="T817" i="2"/>
  <c r="T818" i="2"/>
  <c r="T819" i="2"/>
  <c r="T820" i="2"/>
  <c r="T821" i="2"/>
  <c r="T822" i="2"/>
  <c r="T823" i="2"/>
  <c r="T824" i="2"/>
  <c r="T825" i="2"/>
  <c r="T826" i="2"/>
  <c r="T827" i="2"/>
  <c r="T828" i="2"/>
  <c r="T829" i="2"/>
  <c r="T830" i="2"/>
  <c r="T831" i="2"/>
  <c r="T832" i="2"/>
  <c r="T833" i="2"/>
  <c r="T834" i="2"/>
  <c r="T835" i="2"/>
  <c r="T836" i="2"/>
  <c r="T837" i="2"/>
  <c r="T838" i="2"/>
  <c r="T839" i="2"/>
  <c r="T840" i="2"/>
  <c r="T841" i="2"/>
  <c r="T842" i="2"/>
  <c r="T843" i="2"/>
  <c r="T844" i="2"/>
  <c r="T845" i="2"/>
  <c r="T846" i="2"/>
  <c r="T847" i="2"/>
  <c r="T848" i="2"/>
  <c r="T849" i="2"/>
  <c r="T850" i="2"/>
  <c r="T851" i="2"/>
  <c r="T852" i="2"/>
  <c r="T853" i="2"/>
  <c r="T854" i="2"/>
  <c r="T855" i="2"/>
  <c r="T856" i="2"/>
  <c r="T857" i="2"/>
  <c r="T858" i="2"/>
  <c r="T859" i="2"/>
  <c r="T860" i="2"/>
  <c r="T861" i="2"/>
  <c r="T862" i="2"/>
  <c r="T863" i="2"/>
  <c r="T864" i="2"/>
  <c r="T865" i="2"/>
  <c r="T866" i="2"/>
  <c r="T867" i="2"/>
  <c r="T868" i="2"/>
  <c r="T869" i="2"/>
  <c r="T870" i="2"/>
  <c r="T871" i="2"/>
  <c r="T872" i="2"/>
  <c r="T873" i="2"/>
  <c r="T874" i="2"/>
  <c r="T875" i="2"/>
  <c r="T876" i="2"/>
  <c r="T877" i="2"/>
  <c r="T878" i="2"/>
  <c r="T879" i="2"/>
  <c r="T880" i="2"/>
  <c r="T881" i="2"/>
  <c r="T882" i="2"/>
  <c r="T883" i="2"/>
  <c r="T884" i="2"/>
  <c r="T885" i="2"/>
  <c r="T886" i="2"/>
  <c r="T887" i="2"/>
  <c r="T888" i="2"/>
  <c r="T889" i="2"/>
  <c r="T890" i="2"/>
  <c r="T891" i="2"/>
  <c r="T892" i="2"/>
  <c r="T893" i="2"/>
  <c r="T894" i="2"/>
  <c r="T895" i="2"/>
  <c r="T896" i="2"/>
  <c r="T897" i="2"/>
  <c r="T898" i="2"/>
  <c r="T899" i="2"/>
  <c r="T900" i="2"/>
  <c r="T901" i="2"/>
  <c r="T902" i="2"/>
  <c r="T903" i="2"/>
  <c r="T904" i="2"/>
  <c r="T905" i="2"/>
  <c r="T906" i="2"/>
  <c r="T907" i="2"/>
  <c r="T908" i="2"/>
  <c r="T909" i="2"/>
  <c r="T910" i="2"/>
  <c r="T911" i="2"/>
  <c r="T912" i="2"/>
  <c r="T913" i="2"/>
  <c r="T914" i="2"/>
  <c r="T915" i="2"/>
  <c r="T916" i="2"/>
  <c r="T917" i="2"/>
  <c r="T918" i="2"/>
  <c r="T919" i="2"/>
  <c r="T920" i="2"/>
  <c r="T921" i="2"/>
  <c r="T922" i="2"/>
  <c r="T923" i="2"/>
  <c r="T924" i="2"/>
  <c r="T925" i="2"/>
  <c r="T926" i="2"/>
  <c r="T927" i="2"/>
  <c r="T928" i="2"/>
  <c r="T929" i="2"/>
  <c r="T930" i="2"/>
  <c r="T931" i="2"/>
  <c r="T932" i="2"/>
  <c r="T933" i="2"/>
  <c r="T934" i="2"/>
  <c r="T935" i="2"/>
  <c r="T936" i="2"/>
  <c r="T937" i="2"/>
  <c r="T938" i="2"/>
  <c r="T939" i="2"/>
  <c r="T940" i="2"/>
  <c r="T941" i="2"/>
  <c r="T942" i="2"/>
  <c r="T943" i="2"/>
  <c r="T944" i="2"/>
  <c r="T945" i="2"/>
  <c r="T946" i="2"/>
  <c r="T947" i="2"/>
  <c r="T948" i="2"/>
  <c r="T949" i="2"/>
  <c r="T950" i="2"/>
  <c r="T951" i="2"/>
  <c r="T952" i="2"/>
  <c r="T953" i="2"/>
  <c r="T954" i="2"/>
  <c r="T955" i="2"/>
  <c r="T956" i="2"/>
  <c r="T957" i="2"/>
  <c r="T958" i="2"/>
  <c r="T959" i="2"/>
  <c r="T960" i="2"/>
  <c r="T961" i="2"/>
  <c r="T962" i="2"/>
  <c r="T963" i="2"/>
  <c r="T964" i="2"/>
  <c r="T965" i="2"/>
  <c r="T966" i="2"/>
  <c r="T967" i="2"/>
  <c r="T968" i="2"/>
  <c r="T969" i="2"/>
  <c r="T970" i="2"/>
  <c r="T971" i="2"/>
  <c r="T972" i="2"/>
  <c r="T973" i="2"/>
  <c r="T974" i="2"/>
  <c r="T975" i="2"/>
  <c r="T976" i="2"/>
  <c r="T977" i="2"/>
  <c r="T978" i="2"/>
  <c r="T979" i="2"/>
  <c r="T980" i="2"/>
  <c r="T981" i="2"/>
  <c r="T982" i="2"/>
  <c r="T983" i="2"/>
  <c r="T984" i="2"/>
  <c r="T985" i="2"/>
  <c r="T986" i="2"/>
  <c r="T987" i="2"/>
  <c r="T988" i="2"/>
  <c r="T989" i="2"/>
  <c r="T990" i="2"/>
  <c r="T991" i="2"/>
  <c r="T992" i="2"/>
  <c r="T993" i="2"/>
  <c r="T994" i="2"/>
  <c r="T995" i="2"/>
  <c r="T996" i="2"/>
  <c r="T997" i="2"/>
  <c r="T998" i="2"/>
  <c r="T999" i="2"/>
  <c r="T1000" i="2"/>
  <c r="T1001" i="2"/>
  <c r="T1002" i="2"/>
  <c r="T1003" i="2"/>
  <c r="T1004" i="2"/>
  <c r="T1005" i="2"/>
  <c r="T1006" i="2"/>
  <c r="T1007" i="2"/>
  <c r="T1008" i="2"/>
  <c r="T1009" i="2"/>
  <c r="T1010" i="2"/>
  <c r="T1011" i="2"/>
  <c r="T1012" i="2"/>
  <c r="T1013" i="2"/>
  <c r="T1014" i="2"/>
  <c r="T1015" i="2"/>
  <c r="T1016" i="2"/>
  <c r="T1017" i="2"/>
  <c r="T1018" i="2"/>
  <c r="T1019" i="2"/>
  <c r="T1020" i="2"/>
  <c r="T1021" i="2"/>
  <c r="T1022" i="2"/>
  <c r="T1023" i="2"/>
  <c r="T1024" i="2"/>
  <c r="T1025" i="2"/>
  <c r="T1026" i="2"/>
  <c r="T1027" i="2"/>
  <c r="T1028" i="2"/>
  <c r="T1029" i="2"/>
  <c r="T1030" i="2"/>
  <c r="T1031" i="2"/>
  <c r="T1032" i="2"/>
  <c r="T1033" i="2"/>
  <c r="T1034" i="2"/>
  <c r="T1035" i="2"/>
  <c r="T1036" i="2"/>
  <c r="T1037" i="2"/>
  <c r="T1038" i="2"/>
  <c r="T1039" i="2"/>
  <c r="T1040" i="2"/>
  <c r="T1041" i="2"/>
  <c r="T1042" i="2"/>
  <c r="T1043" i="2"/>
  <c r="T1044" i="2"/>
  <c r="T1045" i="2"/>
  <c r="T1046" i="2"/>
  <c r="T1047" i="2"/>
  <c r="T1048" i="2"/>
  <c r="T1049" i="2"/>
  <c r="T1050" i="2"/>
  <c r="T1051" i="2"/>
  <c r="T1052" i="2"/>
  <c r="T1053" i="2"/>
  <c r="T1054" i="2"/>
  <c r="T1055" i="2"/>
  <c r="T1056" i="2"/>
  <c r="T1057" i="2"/>
  <c r="T1058" i="2"/>
  <c r="T1059" i="2"/>
  <c r="T1060" i="2"/>
  <c r="T1061" i="2"/>
  <c r="T1062" i="2"/>
  <c r="T1063" i="2"/>
  <c r="T1064" i="2"/>
  <c r="T1065" i="2"/>
  <c r="T1066" i="2"/>
  <c r="T1067" i="2"/>
  <c r="T1068" i="2"/>
  <c r="T1069" i="2"/>
  <c r="T1070" i="2"/>
  <c r="T1071" i="2"/>
  <c r="T1072" i="2"/>
  <c r="T1073" i="2"/>
  <c r="T1074" i="2"/>
  <c r="T1075" i="2"/>
  <c r="T1076" i="2"/>
  <c r="T1077" i="2"/>
  <c r="T1078" i="2"/>
  <c r="T1079" i="2"/>
  <c r="T1080" i="2"/>
  <c r="T1081" i="2"/>
  <c r="T1082" i="2"/>
  <c r="T1083" i="2"/>
  <c r="T1084" i="2"/>
  <c r="T1085" i="2"/>
  <c r="T1086" i="2"/>
  <c r="T1087" i="2"/>
  <c r="T1088" i="2"/>
  <c r="T1089" i="2"/>
  <c r="T1090" i="2"/>
  <c r="T1091" i="2"/>
  <c r="T1092" i="2"/>
  <c r="T1093" i="2"/>
  <c r="T1094" i="2"/>
  <c r="T1095" i="2"/>
  <c r="T1096" i="2"/>
  <c r="T1097" i="2"/>
  <c r="T1098" i="2"/>
  <c r="T1099" i="2"/>
  <c r="T1100" i="2"/>
  <c r="T1101" i="2"/>
  <c r="T1102" i="2"/>
  <c r="T1103" i="2"/>
  <c r="T1104" i="2"/>
  <c r="T1105" i="2"/>
  <c r="T1106" i="2"/>
  <c r="T1107" i="2"/>
  <c r="T1108" i="2"/>
  <c r="T1109" i="2"/>
  <c r="T1110" i="2"/>
  <c r="T1111" i="2"/>
  <c r="T1112" i="2"/>
  <c r="T1113" i="2"/>
  <c r="T1114" i="2"/>
  <c r="T1115" i="2"/>
  <c r="T1116" i="2"/>
  <c r="T1117" i="2"/>
  <c r="T1118" i="2"/>
  <c r="T1119" i="2"/>
  <c r="T1120" i="2"/>
  <c r="T1121" i="2"/>
  <c r="T1122" i="2"/>
  <c r="T1123" i="2"/>
  <c r="T1124" i="2"/>
  <c r="T1125" i="2"/>
  <c r="T1126" i="2"/>
  <c r="T1127" i="2"/>
  <c r="T1128" i="2"/>
  <c r="T1129" i="2"/>
  <c r="T1130" i="2"/>
  <c r="T1131" i="2"/>
  <c r="T1132" i="2"/>
  <c r="T1133" i="2"/>
  <c r="T1134" i="2"/>
  <c r="T1135" i="2"/>
  <c r="T1136" i="2"/>
  <c r="T1137" i="2"/>
  <c r="T1138" i="2"/>
  <c r="T1139" i="2"/>
  <c r="T1140" i="2"/>
  <c r="T1141" i="2"/>
  <c r="T1142" i="2"/>
  <c r="T1143" i="2"/>
  <c r="T1144" i="2"/>
  <c r="T1145" i="2"/>
  <c r="T1146" i="2"/>
  <c r="T1147" i="2"/>
  <c r="T1148" i="2"/>
  <c r="T1149" i="2"/>
  <c r="T1150" i="2"/>
  <c r="T1151" i="2"/>
  <c r="T1152" i="2"/>
  <c r="T1153" i="2"/>
  <c r="T1154" i="2"/>
  <c r="T1155" i="2"/>
  <c r="T1156" i="2"/>
  <c r="T1157" i="2"/>
  <c r="T1158" i="2"/>
  <c r="T1159" i="2"/>
  <c r="T1160" i="2"/>
  <c r="T1161" i="2"/>
  <c r="T1162" i="2"/>
  <c r="T1163" i="2"/>
  <c r="T1164" i="2"/>
  <c r="T1165" i="2"/>
  <c r="T1166" i="2"/>
  <c r="T1167" i="2"/>
  <c r="T1168" i="2"/>
  <c r="T1169" i="2"/>
  <c r="T1170" i="2"/>
  <c r="T1171" i="2"/>
  <c r="T1172" i="2"/>
  <c r="T1173" i="2"/>
  <c r="T1174" i="2"/>
  <c r="T1175" i="2"/>
  <c r="T1176" i="2"/>
  <c r="T1177" i="2"/>
  <c r="T1178" i="2"/>
  <c r="T1179" i="2"/>
  <c r="T1180" i="2"/>
  <c r="T1181" i="2"/>
  <c r="T1182" i="2"/>
  <c r="T1183" i="2"/>
  <c r="T1184" i="2"/>
  <c r="T1185" i="2"/>
  <c r="T1186" i="2"/>
  <c r="T1187" i="2"/>
  <c r="T1188" i="2"/>
  <c r="T1189" i="2"/>
  <c r="T1190" i="2"/>
  <c r="T1191" i="2"/>
  <c r="T1192" i="2"/>
  <c r="T1193" i="2"/>
  <c r="T1194" i="2"/>
  <c r="T1195" i="2"/>
  <c r="T1196" i="2"/>
  <c r="T1197" i="2"/>
  <c r="T1198" i="2"/>
  <c r="T1199" i="2"/>
  <c r="T1200" i="2"/>
  <c r="T1201" i="2"/>
  <c r="T1202" i="2"/>
  <c r="T1203" i="2"/>
  <c r="T1204" i="2"/>
  <c r="T1205" i="2"/>
  <c r="T1206" i="2"/>
  <c r="T1207" i="2"/>
  <c r="T1208" i="2"/>
  <c r="T1209" i="2"/>
  <c r="T1210" i="2"/>
  <c r="T1211" i="2"/>
  <c r="T1212" i="2"/>
  <c r="T1213" i="2"/>
  <c r="T1214" i="2"/>
  <c r="T1215" i="2"/>
  <c r="T1216" i="2"/>
  <c r="T1217" i="2"/>
  <c r="T1218" i="2"/>
  <c r="T1219" i="2"/>
  <c r="T1220" i="2"/>
  <c r="T1221" i="2"/>
  <c r="T1222" i="2"/>
  <c r="T1223" i="2"/>
  <c r="T1224" i="2"/>
  <c r="T1225" i="2"/>
  <c r="T1226" i="2"/>
  <c r="T1227" i="2"/>
  <c r="T1228" i="2"/>
  <c r="T1229" i="2"/>
  <c r="T1230" i="2"/>
  <c r="T1231" i="2"/>
  <c r="T1232" i="2"/>
  <c r="T1233" i="2"/>
  <c r="T1234" i="2"/>
  <c r="T1235" i="2"/>
  <c r="T1236" i="2"/>
  <c r="T1237" i="2"/>
  <c r="T1238" i="2"/>
  <c r="T1239" i="2"/>
  <c r="T1240" i="2"/>
  <c r="T1241" i="2"/>
  <c r="T1242" i="2"/>
  <c r="T1243" i="2"/>
  <c r="T1244" i="2"/>
  <c r="T1245" i="2"/>
  <c r="T1246" i="2"/>
  <c r="T1247" i="2"/>
  <c r="T1248" i="2"/>
  <c r="T1249" i="2"/>
  <c r="T1250" i="2"/>
  <c r="T1251" i="2"/>
  <c r="T1252" i="2"/>
  <c r="T1253" i="2"/>
  <c r="T1254" i="2"/>
  <c r="T1255" i="2"/>
  <c r="T1256" i="2"/>
  <c r="T1257" i="2"/>
  <c r="T1258" i="2"/>
  <c r="T1259" i="2"/>
  <c r="T1260" i="2"/>
  <c r="T1261" i="2"/>
  <c r="T1262" i="2"/>
  <c r="T1263" i="2"/>
  <c r="T1264" i="2"/>
  <c r="T1265" i="2"/>
  <c r="T1266" i="2"/>
  <c r="T1267" i="2"/>
  <c r="T1268" i="2"/>
  <c r="T1269" i="2"/>
  <c r="T1270" i="2"/>
  <c r="T1271" i="2"/>
  <c r="T1272" i="2"/>
  <c r="T1273" i="2"/>
  <c r="T1274" i="2"/>
  <c r="T1275" i="2"/>
  <c r="T1276" i="2"/>
  <c r="T1277" i="2"/>
  <c r="T1278" i="2"/>
  <c r="T1279" i="2"/>
  <c r="T1280" i="2"/>
  <c r="T1281" i="2"/>
  <c r="T1282" i="2"/>
  <c r="T1283" i="2"/>
  <c r="T1284" i="2"/>
  <c r="T1285" i="2"/>
  <c r="T1286" i="2"/>
  <c r="T1287" i="2"/>
  <c r="T1288" i="2"/>
  <c r="T1289" i="2"/>
  <c r="T1290" i="2"/>
  <c r="T1291" i="2"/>
  <c r="T1292" i="2"/>
  <c r="T1293" i="2"/>
  <c r="T1294" i="2"/>
  <c r="T1295" i="2"/>
  <c r="T1296" i="2"/>
  <c r="T1297" i="2"/>
  <c r="T1298" i="2"/>
  <c r="T1299" i="2"/>
  <c r="T1300" i="2"/>
  <c r="T1301" i="2"/>
  <c r="T1302" i="2"/>
  <c r="T1303" i="2"/>
  <c r="T1304" i="2"/>
  <c r="T1305" i="2"/>
  <c r="T1306" i="2"/>
  <c r="T1307" i="2"/>
  <c r="T1308" i="2"/>
  <c r="T1309" i="2"/>
  <c r="T1310" i="2"/>
  <c r="T1311" i="2"/>
  <c r="T1312" i="2"/>
  <c r="T1313" i="2"/>
  <c r="T1314" i="2"/>
  <c r="T1315" i="2"/>
  <c r="T1316" i="2"/>
  <c r="T1317" i="2"/>
  <c r="T1318" i="2"/>
  <c r="T1319" i="2"/>
  <c r="T1320" i="2"/>
  <c r="T1321" i="2"/>
  <c r="T1322" i="2"/>
  <c r="T1323" i="2"/>
  <c r="T1324" i="2"/>
  <c r="T1325" i="2"/>
  <c r="T1326" i="2"/>
  <c r="T1327" i="2"/>
  <c r="T1328" i="2"/>
  <c r="T1329" i="2"/>
  <c r="T1330" i="2"/>
  <c r="T1331" i="2"/>
  <c r="T1332" i="2"/>
  <c r="T1333" i="2"/>
  <c r="T1334" i="2"/>
  <c r="T1335" i="2"/>
  <c r="T1336" i="2"/>
  <c r="T1337" i="2"/>
  <c r="T1338" i="2"/>
  <c r="T1339" i="2"/>
  <c r="T1340" i="2"/>
  <c r="T1341" i="2"/>
  <c r="T1342" i="2"/>
  <c r="T1343" i="2"/>
  <c r="T1344" i="2"/>
  <c r="T1345" i="2"/>
  <c r="T1346" i="2"/>
  <c r="T1347" i="2"/>
  <c r="T1348" i="2"/>
  <c r="T1349" i="2"/>
  <c r="T1350" i="2"/>
  <c r="T1351" i="2"/>
  <c r="T1352" i="2"/>
  <c r="T1353" i="2"/>
  <c r="T1354" i="2"/>
  <c r="T1355" i="2"/>
  <c r="T1356" i="2"/>
  <c r="T1357" i="2"/>
  <c r="T1358" i="2"/>
  <c r="T1359" i="2"/>
  <c r="T1360" i="2"/>
  <c r="T1361" i="2"/>
  <c r="T1362" i="2"/>
  <c r="T1363" i="2"/>
  <c r="T1364" i="2"/>
  <c r="T1365" i="2"/>
  <c r="T1366" i="2"/>
  <c r="T1367" i="2"/>
  <c r="T1368" i="2"/>
  <c r="T1369" i="2"/>
  <c r="T1370" i="2"/>
  <c r="T1371" i="2"/>
  <c r="T1372" i="2"/>
  <c r="T1373" i="2"/>
  <c r="T1374" i="2"/>
  <c r="T1375" i="2"/>
  <c r="T1376" i="2"/>
  <c r="T1377" i="2"/>
  <c r="T1378" i="2"/>
  <c r="T1379" i="2"/>
  <c r="T1380" i="2"/>
  <c r="T1381" i="2"/>
  <c r="T1382" i="2"/>
  <c r="T1383" i="2"/>
  <c r="T1384" i="2"/>
  <c r="T1385" i="2"/>
  <c r="T1386" i="2"/>
  <c r="T1387" i="2"/>
  <c r="T1388" i="2"/>
  <c r="T1389" i="2"/>
  <c r="T1390" i="2"/>
  <c r="T1391" i="2"/>
  <c r="T1392" i="2"/>
  <c r="T1393" i="2"/>
  <c r="T1394" i="2"/>
  <c r="T1395" i="2"/>
  <c r="T1396" i="2"/>
  <c r="T1397" i="2"/>
  <c r="T1398" i="2"/>
  <c r="T1399" i="2"/>
  <c r="T1400" i="2"/>
  <c r="T1401" i="2"/>
  <c r="T1402" i="2"/>
  <c r="T1403" i="2"/>
  <c r="T1404" i="2"/>
  <c r="T1405" i="2"/>
  <c r="T1406" i="2"/>
  <c r="T1407" i="2"/>
  <c r="T1408" i="2"/>
  <c r="T1409" i="2"/>
  <c r="T1410" i="2"/>
  <c r="T1411" i="2"/>
  <c r="T1412" i="2"/>
  <c r="T1413" i="2"/>
  <c r="T1414" i="2"/>
  <c r="T1415" i="2"/>
  <c r="T1416" i="2"/>
  <c r="T1417" i="2"/>
  <c r="T1418" i="2"/>
  <c r="T1419" i="2"/>
  <c r="T1420" i="2"/>
  <c r="T1421" i="2"/>
  <c r="T1422" i="2"/>
  <c r="T1423" i="2"/>
  <c r="T1424" i="2"/>
  <c r="T1425" i="2"/>
  <c r="T1426" i="2"/>
  <c r="T1427" i="2"/>
  <c r="T1428" i="2"/>
  <c r="T1429" i="2"/>
  <c r="T1430" i="2"/>
  <c r="T1431" i="2"/>
  <c r="T1432" i="2"/>
  <c r="T1433" i="2"/>
  <c r="T1434" i="2"/>
  <c r="T1435" i="2"/>
  <c r="T1436" i="2"/>
  <c r="T1437" i="2"/>
  <c r="T1438" i="2"/>
  <c r="T1439" i="2"/>
  <c r="T1440" i="2"/>
  <c r="T1441" i="2"/>
  <c r="T1442" i="2"/>
  <c r="T1443" i="2"/>
  <c r="T1444" i="2"/>
  <c r="T1445" i="2"/>
  <c r="T1446" i="2"/>
  <c r="T1447" i="2"/>
  <c r="T1448" i="2"/>
  <c r="T1449" i="2"/>
  <c r="T1450" i="2"/>
  <c r="T1451" i="2"/>
  <c r="T1452" i="2"/>
  <c r="T1453" i="2"/>
  <c r="T1454" i="2"/>
  <c r="T1455" i="2"/>
  <c r="T1456" i="2"/>
  <c r="T1457" i="2"/>
  <c r="T1458" i="2"/>
  <c r="T1459" i="2"/>
  <c r="T1460" i="2"/>
  <c r="T1461" i="2"/>
  <c r="T1462" i="2"/>
  <c r="T1463" i="2"/>
  <c r="T1464" i="2"/>
  <c r="T1465" i="2"/>
  <c r="T1466" i="2"/>
  <c r="T1467" i="2"/>
  <c r="T1468" i="2"/>
  <c r="T1469" i="2"/>
  <c r="T1470" i="2"/>
  <c r="T1471" i="2"/>
  <c r="T1472" i="2"/>
  <c r="T1473" i="2"/>
  <c r="T1474" i="2"/>
  <c r="T1475" i="2"/>
  <c r="T1476" i="2"/>
  <c r="T1477" i="2"/>
  <c r="T1478" i="2"/>
  <c r="T1479" i="2"/>
  <c r="T1480" i="2"/>
  <c r="T1481" i="2"/>
  <c r="T1482" i="2"/>
  <c r="T1483" i="2"/>
  <c r="T1484" i="2"/>
  <c r="T1485" i="2"/>
  <c r="T1486" i="2"/>
  <c r="T1487" i="2"/>
  <c r="T1488" i="2"/>
  <c r="T1489" i="2"/>
  <c r="T1490" i="2"/>
  <c r="T1491" i="2"/>
  <c r="T1492" i="2"/>
  <c r="T1493" i="2"/>
  <c r="T1494" i="2"/>
  <c r="T1495" i="2"/>
  <c r="T1496" i="2"/>
  <c r="T1497" i="2"/>
  <c r="T1498" i="2"/>
  <c r="T1499" i="2"/>
  <c r="T1500" i="2"/>
  <c r="Q106" i="4" l="1"/>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B9" i="2" l="1"/>
  <c r="C9" i="2" s="1"/>
  <c r="B10" i="2"/>
  <c r="C10" i="2" s="1"/>
  <c r="B11" i="2"/>
  <c r="C11" i="2" s="1"/>
  <c r="B12" i="2"/>
  <c r="C12" i="2" s="1"/>
  <c r="B13" i="2"/>
  <c r="B14" i="2"/>
  <c r="B15" i="2"/>
  <c r="C15" i="2" s="1"/>
  <c r="B16" i="2"/>
  <c r="C16" i="2" s="1"/>
  <c r="B17" i="2"/>
  <c r="C17" i="2" s="1"/>
  <c r="B18" i="2"/>
  <c r="C18" i="2" s="1"/>
  <c r="B19" i="2"/>
  <c r="C19" i="2" s="1"/>
  <c r="B20" i="2"/>
  <c r="C20" i="2" s="1"/>
  <c r="B21" i="2"/>
  <c r="C21" i="2" s="1"/>
  <c r="B22" i="2"/>
  <c r="B23" i="2"/>
  <c r="C23" i="2" s="1"/>
  <c r="B24" i="2"/>
  <c r="C24" i="2" s="1"/>
  <c r="B25" i="2"/>
  <c r="B26" i="2"/>
  <c r="B27" i="2"/>
  <c r="B28" i="2"/>
  <c r="C28" i="2" s="1"/>
  <c r="B29" i="2"/>
  <c r="C29" i="2" s="1"/>
  <c r="B30" i="2"/>
  <c r="C30" i="2" s="1"/>
  <c r="B31" i="2"/>
  <c r="C31" i="2" s="1"/>
  <c r="B32" i="2"/>
  <c r="C32" i="2" s="1"/>
  <c r="B33" i="2"/>
  <c r="C33" i="2" s="1"/>
  <c r="B34" i="2"/>
  <c r="C34" i="2" s="1"/>
  <c r="B35" i="2"/>
  <c r="C35" i="2" s="1"/>
  <c r="B36" i="2"/>
  <c r="C36" i="2" s="1"/>
  <c r="B37" i="2"/>
  <c r="B38" i="2"/>
  <c r="C38" i="2" s="1"/>
  <c r="B39" i="2"/>
  <c r="B40" i="2"/>
  <c r="C40" i="2" s="1"/>
  <c r="B41" i="2"/>
  <c r="C41" i="2" s="1"/>
  <c r="B42" i="2"/>
  <c r="C42" i="2" s="1"/>
  <c r="B43" i="2"/>
  <c r="C43" i="2" s="1"/>
  <c r="B44" i="2"/>
  <c r="C44" i="2" s="1"/>
  <c r="B45" i="2"/>
  <c r="B46" i="2"/>
  <c r="B47" i="2"/>
  <c r="B48" i="2"/>
  <c r="B49" i="2"/>
  <c r="B50" i="2"/>
  <c r="B51" i="2"/>
  <c r="B52" i="2"/>
  <c r="C52" i="2" s="1"/>
  <c r="B53" i="2"/>
  <c r="C53" i="2" s="1"/>
  <c r="B54" i="2"/>
  <c r="C54" i="2" s="1"/>
  <c r="B55" i="2"/>
  <c r="C55" i="2" s="1"/>
  <c r="B56" i="2"/>
  <c r="C56" i="2" s="1"/>
  <c r="B57" i="2"/>
  <c r="B58" i="2"/>
  <c r="B59" i="2"/>
  <c r="B60" i="2"/>
  <c r="C60" i="2" s="1"/>
  <c r="B61" i="2"/>
  <c r="C61" i="2" s="1"/>
  <c r="B62" i="2"/>
  <c r="C62" i="2" s="1"/>
  <c r="B63" i="2"/>
  <c r="B64" i="2"/>
  <c r="B65" i="2"/>
  <c r="C65" i="2" s="1"/>
  <c r="B66" i="2"/>
  <c r="C66" i="2" s="1"/>
  <c r="B67" i="2"/>
  <c r="C67" i="2" s="1"/>
  <c r="B68" i="2"/>
  <c r="C68" i="2" s="1"/>
  <c r="B69" i="2"/>
  <c r="B70" i="2"/>
  <c r="B71" i="2"/>
  <c r="B72" i="2"/>
  <c r="B73" i="2"/>
  <c r="B74" i="2"/>
  <c r="B75" i="2"/>
  <c r="B76" i="2"/>
  <c r="C76" i="2" s="1"/>
  <c r="B77" i="2"/>
  <c r="C77" i="2" s="1"/>
  <c r="B78" i="2"/>
  <c r="C78" i="2" s="1"/>
  <c r="B79" i="2"/>
  <c r="C79" i="2" s="1"/>
  <c r="B80" i="2"/>
  <c r="C80" i="2" s="1"/>
  <c r="B81" i="2"/>
  <c r="B82" i="2"/>
  <c r="B83" i="2"/>
  <c r="B84" i="2"/>
  <c r="B85" i="2"/>
  <c r="B86" i="2"/>
  <c r="B87" i="2"/>
  <c r="C87" i="2" s="1"/>
  <c r="B88" i="2"/>
  <c r="C88" i="2" s="1"/>
  <c r="B89" i="2"/>
  <c r="C89" i="2" s="1"/>
  <c r="B90" i="2"/>
  <c r="C90" i="2" s="1"/>
  <c r="B91" i="2"/>
  <c r="C91" i="2" s="1"/>
  <c r="B92" i="2"/>
  <c r="C92" i="2" s="1"/>
  <c r="B93" i="2"/>
  <c r="B94" i="2"/>
  <c r="B95" i="2"/>
  <c r="B96" i="2"/>
  <c r="B97" i="2"/>
  <c r="B98" i="2"/>
  <c r="B99" i="2"/>
  <c r="B100" i="2"/>
  <c r="B101" i="2"/>
  <c r="C101" i="2" s="1"/>
  <c r="B102" i="2"/>
  <c r="C102" i="2" s="1"/>
  <c r="B103" i="2"/>
  <c r="C103" i="2" s="1"/>
  <c r="B104" i="2"/>
  <c r="C104" i="2" s="1"/>
  <c r="B105" i="2"/>
  <c r="B106" i="2"/>
  <c r="B107" i="2"/>
  <c r="B108" i="2"/>
  <c r="B109" i="2"/>
  <c r="B110" i="2"/>
  <c r="B111" i="2"/>
  <c r="C111" i="2" s="1"/>
  <c r="B112" i="2"/>
  <c r="C112" i="2" s="1"/>
  <c r="B113" i="2"/>
  <c r="C113" i="2" s="1"/>
  <c r="B114" i="2"/>
  <c r="B115" i="2"/>
  <c r="C115" i="2" s="1"/>
  <c r="B116" i="2"/>
  <c r="C116" i="2" s="1"/>
  <c r="B117" i="2"/>
  <c r="B118" i="2"/>
  <c r="B119" i="2"/>
  <c r="B120" i="2"/>
  <c r="B121" i="2"/>
  <c r="B122" i="2"/>
  <c r="B123" i="2"/>
  <c r="B124" i="2"/>
  <c r="B125" i="2"/>
  <c r="C125" i="2" s="1"/>
  <c r="B126" i="2"/>
  <c r="B127" i="2"/>
  <c r="C127" i="2" s="1"/>
  <c r="B128" i="2"/>
  <c r="C128" i="2" s="1"/>
  <c r="B129" i="2"/>
  <c r="B130" i="2"/>
  <c r="B131" i="2"/>
  <c r="B132" i="2"/>
  <c r="B133" i="2"/>
  <c r="B134" i="2"/>
  <c r="B135" i="2"/>
  <c r="B136" i="2"/>
  <c r="B137" i="2"/>
  <c r="B138" i="2"/>
  <c r="B139" i="2"/>
  <c r="C139" i="2" s="1"/>
  <c r="B140" i="2"/>
  <c r="C140" i="2" s="1"/>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72" i="2"/>
  <c r="B273" i="2"/>
  <c r="B274" i="2"/>
  <c r="B275" i="2"/>
  <c r="B276" i="2"/>
  <c r="B277" i="2"/>
  <c r="B278" i="2"/>
  <c r="B279" i="2"/>
  <c r="B280" i="2"/>
  <c r="B281" i="2"/>
  <c r="B282" i="2"/>
  <c r="B283" i="2"/>
  <c r="B284" i="2"/>
  <c r="B285" i="2"/>
  <c r="B286" i="2"/>
  <c r="B287" i="2"/>
  <c r="B288" i="2"/>
  <c r="B289" i="2"/>
  <c r="B290" i="2"/>
  <c r="B291" i="2"/>
  <c r="B292" i="2"/>
  <c r="B293" i="2"/>
  <c r="B294" i="2"/>
  <c r="B295" i="2"/>
  <c r="B296" i="2"/>
  <c r="B297" i="2"/>
  <c r="B298" i="2"/>
  <c r="B299" i="2"/>
  <c r="B300" i="2"/>
  <c r="B301" i="2"/>
  <c r="B302" i="2"/>
  <c r="B303" i="2"/>
  <c r="B304" i="2"/>
  <c r="B305" i="2"/>
  <c r="B306" i="2"/>
  <c r="B307" i="2"/>
  <c r="B308" i="2"/>
  <c r="B309" i="2"/>
  <c r="B310" i="2"/>
  <c r="B311" i="2"/>
  <c r="B312" i="2"/>
  <c r="B313" i="2"/>
  <c r="B314" i="2"/>
  <c r="B315" i="2"/>
  <c r="B316" i="2"/>
  <c r="B317" i="2"/>
  <c r="B318" i="2"/>
  <c r="B319" i="2"/>
  <c r="B320" i="2"/>
  <c r="B321" i="2"/>
  <c r="B322" i="2"/>
  <c r="B323" i="2"/>
  <c r="B324" i="2"/>
  <c r="B325" i="2"/>
  <c r="B326" i="2"/>
  <c r="B327" i="2"/>
  <c r="B328" i="2"/>
  <c r="B329" i="2"/>
  <c r="B330" i="2"/>
  <c r="B331" i="2"/>
  <c r="B332" i="2"/>
  <c r="B333" i="2"/>
  <c r="B334" i="2"/>
  <c r="B335" i="2"/>
  <c r="B336" i="2"/>
  <c r="B337" i="2"/>
  <c r="B338" i="2"/>
  <c r="B339" i="2"/>
  <c r="B340" i="2"/>
  <c r="B341" i="2"/>
  <c r="B342" i="2"/>
  <c r="B343" i="2"/>
  <c r="B344" i="2"/>
  <c r="B345" i="2"/>
  <c r="B346" i="2"/>
  <c r="B347" i="2"/>
  <c r="B348" i="2"/>
  <c r="B349" i="2"/>
  <c r="B350" i="2"/>
  <c r="B351" i="2"/>
  <c r="B352" i="2"/>
  <c r="B353" i="2"/>
  <c r="B354" i="2"/>
  <c r="B355" i="2"/>
  <c r="B356" i="2"/>
  <c r="B357" i="2"/>
  <c r="B358" i="2"/>
  <c r="B359" i="2"/>
  <c r="B360" i="2"/>
  <c r="B361" i="2"/>
  <c r="B362" i="2"/>
  <c r="B363" i="2"/>
  <c r="B364" i="2"/>
  <c r="B365" i="2"/>
  <c r="B366" i="2"/>
  <c r="B367" i="2"/>
  <c r="B368" i="2"/>
  <c r="B369" i="2"/>
  <c r="B370" i="2"/>
  <c r="B371" i="2"/>
  <c r="B372" i="2"/>
  <c r="B373" i="2"/>
  <c r="B374" i="2"/>
  <c r="B375" i="2"/>
  <c r="B376" i="2"/>
  <c r="B377" i="2"/>
  <c r="B378" i="2"/>
  <c r="B379" i="2"/>
  <c r="B380" i="2"/>
  <c r="B381" i="2"/>
  <c r="B382" i="2"/>
  <c r="B383" i="2"/>
  <c r="B384" i="2"/>
  <c r="B385" i="2"/>
  <c r="B386" i="2"/>
  <c r="B387" i="2"/>
  <c r="B388" i="2"/>
  <c r="B389" i="2"/>
  <c r="B390" i="2"/>
  <c r="B391" i="2"/>
  <c r="B392" i="2"/>
  <c r="B393" i="2"/>
  <c r="B394" i="2"/>
  <c r="B395" i="2"/>
  <c r="B396" i="2"/>
  <c r="B397" i="2"/>
  <c r="B398" i="2"/>
  <c r="B399" i="2"/>
  <c r="B400" i="2"/>
  <c r="B401" i="2"/>
  <c r="B402" i="2"/>
  <c r="B403" i="2"/>
  <c r="B404" i="2"/>
  <c r="B405" i="2"/>
  <c r="B406" i="2"/>
  <c r="B407" i="2"/>
  <c r="B408" i="2"/>
  <c r="B409" i="2"/>
  <c r="B410" i="2"/>
  <c r="B411" i="2"/>
  <c r="B412" i="2"/>
  <c r="B413" i="2"/>
  <c r="B414" i="2"/>
  <c r="B415" i="2"/>
  <c r="B416" i="2"/>
  <c r="B417" i="2"/>
  <c r="B418" i="2"/>
  <c r="B419" i="2"/>
  <c r="B420" i="2"/>
  <c r="B421" i="2"/>
  <c r="B422" i="2"/>
  <c r="B423" i="2"/>
  <c r="B424" i="2"/>
  <c r="B425" i="2"/>
  <c r="B426" i="2"/>
  <c r="B427" i="2"/>
  <c r="B428" i="2"/>
  <c r="B429" i="2"/>
  <c r="B430" i="2"/>
  <c r="B431" i="2"/>
  <c r="B432" i="2"/>
  <c r="B433" i="2"/>
  <c r="B434" i="2"/>
  <c r="B435" i="2"/>
  <c r="B436" i="2"/>
  <c r="B437" i="2"/>
  <c r="B438" i="2"/>
  <c r="B439" i="2"/>
  <c r="B440" i="2"/>
  <c r="B441" i="2"/>
  <c r="B442" i="2"/>
  <c r="B443" i="2"/>
  <c r="B444" i="2"/>
  <c r="B445" i="2"/>
  <c r="B446" i="2"/>
  <c r="B447" i="2"/>
  <c r="B448" i="2"/>
  <c r="B449" i="2"/>
  <c r="B450" i="2"/>
  <c r="B451" i="2"/>
  <c r="B452" i="2"/>
  <c r="B453" i="2"/>
  <c r="B454" i="2"/>
  <c r="B455" i="2"/>
  <c r="B456" i="2"/>
  <c r="B457" i="2"/>
  <c r="B458" i="2"/>
  <c r="B459" i="2"/>
  <c r="B460" i="2"/>
  <c r="B461" i="2"/>
  <c r="B462" i="2"/>
  <c r="B463" i="2"/>
  <c r="B464" i="2"/>
  <c r="B465" i="2"/>
  <c r="B466" i="2"/>
  <c r="B467" i="2"/>
  <c r="B468" i="2"/>
  <c r="B469" i="2"/>
  <c r="B470" i="2"/>
  <c r="B471" i="2"/>
  <c r="B472" i="2"/>
  <c r="B473" i="2"/>
  <c r="B474" i="2"/>
  <c r="B475" i="2"/>
  <c r="B476" i="2"/>
  <c r="B477" i="2"/>
  <c r="B478" i="2"/>
  <c r="B479" i="2"/>
  <c r="B480" i="2"/>
  <c r="B481" i="2"/>
  <c r="B482" i="2"/>
  <c r="B483" i="2"/>
  <c r="B484" i="2"/>
  <c r="B485" i="2"/>
  <c r="B486" i="2"/>
  <c r="B487" i="2"/>
  <c r="B488" i="2"/>
  <c r="B489" i="2"/>
  <c r="B490" i="2"/>
  <c r="B491" i="2"/>
  <c r="B492" i="2"/>
  <c r="B493" i="2"/>
  <c r="B494" i="2"/>
  <c r="B495" i="2"/>
  <c r="B496" i="2"/>
  <c r="B497" i="2"/>
  <c r="B498" i="2"/>
  <c r="B499" i="2"/>
  <c r="B500" i="2"/>
  <c r="B501" i="2"/>
  <c r="B502" i="2"/>
  <c r="B503" i="2"/>
  <c r="B504" i="2"/>
  <c r="B505" i="2"/>
  <c r="B506" i="2"/>
  <c r="B507" i="2"/>
  <c r="B508" i="2"/>
  <c r="B509" i="2"/>
  <c r="B510" i="2"/>
  <c r="B511" i="2"/>
  <c r="B512" i="2"/>
  <c r="B513" i="2"/>
  <c r="B514" i="2"/>
  <c r="B515" i="2"/>
  <c r="B516" i="2"/>
  <c r="B517" i="2"/>
  <c r="B518" i="2"/>
  <c r="B519" i="2"/>
  <c r="B520" i="2"/>
  <c r="B521" i="2"/>
  <c r="B522" i="2"/>
  <c r="B523" i="2"/>
  <c r="B524" i="2"/>
  <c r="B525" i="2"/>
  <c r="B526" i="2"/>
  <c r="B527" i="2"/>
  <c r="B528" i="2"/>
  <c r="B529" i="2"/>
  <c r="B530" i="2"/>
  <c r="B531" i="2"/>
  <c r="B532" i="2"/>
  <c r="B533" i="2"/>
  <c r="B534" i="2"/>
  <c r="B535" i="2"/>
  <c r="B536" i="2"/>
  <c r="B537" i="2"/>
  <c r="B538" i="2"/>
  <c r="B539" i="2"/>
  <c r="B540" i="2"/>
  <c r="B541" i="2"/>
  <c r="B542" i="2"/>
  <c r="B543" i="2"/>
  <c r="B544" i="2"/>
  <c r="B545" i="2"/>
  <c r="B546" i="2"/>
  <c r="B547" i="2"/>
  <c r="B548" i="2"/>
  <c r="B549" i="2"/>
  <c r="B550" i="2"/>
  <c r="B551" i="2"/>
  <c r="B552" i="2"/>
  <c r="B553" i="2"/>
  <c r="B554" i="2"/>
  <c r="B555" i="2"/>
  <c r="B556" i="2"/>
  <c r="B557" i="2"/>
  <c r="B558" i="2"/>
  <c r="B559" i="2"/>
  <c r="B560" i="2"/>
  <c r="B561" i="2"/>
  <c r="B562" i="2"/>
  <c r="B563" i="2"/>
  <c r="B564" i="2"/>
  <c r="B565" i="2"/>
  <c r="B566" i="2"/>
  <c r="B567" i="2"/>
  <c r="B568" i="2"/>
  <c r="B569" i="2"/>
  <c r="B570" i="2"/>
  <c r="B571" i="2"/>
  <c r="B572" i="2"/>
  <c r="B573" i="2"/>
  <c r="B574" i="2"/>
  <c r="B575" i="2"/>
  <c r="B576" i="2"/>
  <c r="B577" i="2"/>
  <c r="B578" i="2"/>
  <c r="B579" i="2"/>
  <c r="B580" i="2"/>
  <c r="B581" i="2"/>
  <c r="B582" i="2"/>
  <c r="B583" i="2"/>
  <c r="B584" i="2"/>
  <c r="B585" i="2"/>
  <c r="B586" i="2"/>
  <c r="B587" i="2"/>
  <c r="B588" i="2"/>
  <c r="B589" i="2"/>
  <c r="B590" i="2"/>
  <c r="B591" i="2"/>
  <c r="B592" i="2"/>
  <c r="B593" i="2"/>
  <c r="B594" i="2"/>
  <c r="B595" i="2"/>
  <c r="B596" i="2"/>
  <c r="B597" i="2"/>
  <c r="B598" i="2"/>
  <c r="B599" i="2"/>
  <c r="B600" i="2"/>
  <c r="B601" i="2"/>
  <c r="B602" i="2"/>
  <c r="B603" i="2"/>
  <c r="B604" i="2"/>
  <c r="B605" i="2"/>
  <c r="B606" i="2"/>
  <c r="B607" i="2"/>
  <c r="B608" i="2"/>
  <c r="B609" i="2"/>
  <c r="B610" i="2"/>
  <c r="B611" i="2"/>
  <c r="B612" i="2"/>
  <c r="B613" i="2"/>
  <c r="B614" i="2"/>
  <c r="B615" i="2"/>
  <c r="B616" i="2"/>
  <c r="B617" i="2"/>
  <c r="B618" i="2"/>
  <c r="B619" i="2"/>
  <c r="B620" i="2"/>
  <c r="B621" i="2"/>
  <c r="B622" i="2"/>
  <c r="B623" i="2"/>
  <c r="B624" i="2"/>
  <c r="B625" i="2"/>
  <c r="B626" i="2"/>
  <c r="B627" i="2"/>
  <c r="B628" i="2"/>
  <c r="B629" i="2"/>
  <c r="B630" i="2"/>
  <c r="B631" i="2"/>
  <c r="B632" i="2"/>
  <c r="B633" i="2"/>
  <c r="B634" i="2"/>
  <c r="B635" i="2"/>
  <c r="B636" i="2"/>
  <c r="B637" i="2"/>
  <c r="B638" i="2"/>
  <c r="B639" i="2"/>
  <c r="B640" i="2"/>
  <c r="B641" i="2"/>
  <c r="B642" i="2"/>
  <c r="B643" i="2"/>
  <c r="B644" i="2"/>
  <c r="B645" i="2"/>
  <c r="B646" i="2"/>
  <c r="B647" i="2"/>
  <c r="B648" i="2"/>
  <c r="B649" i="2"/>
  <c r="B650" i="2"/>
  <c r="B651" i="2"/>
  <c r="B652" i="2"/>
  <c r="B653" i="2"/>
  <c r="B654" i="2"/>
  <c r="B655" i="2"/>
  <c r="B656" i="2"/>
  <c r="B657" i="2"/>
  <c r="B658" i="2"/>
  <c r="B659" i="2"/>
  <c r="B660" i="2"/>
  <c r="B661" i="2"/>
  <c r="B662" i="2"/>
  <c r="B663" i="2"/>
  <c r="B664" i="2"/>
  <c r="B665" i="2"/>
  <c r="B666" i="2"/>
  <c r="B667" i="2"/>
  <c r="B668" i="2"/>
  <c r="B669" i="2"/>
  <c r="B670" i="2"/>
  <c r="B671" i="2"/>
  <c r="B672" i="2"/>
  <c r="B673" i="2"/>
  <c r="B674" i="2"/>
  <c r="B675" i="2"/>
  <c r="B676" i="2"/>
  <c r="B677" i="2"/>
  <c r="B678" i="2"/>
  <c r="B679" i="2"/>
  <c r="B680" i="2"/>
  <c r="B681" i="2"/>
  <c r="B682" i="2"/>
  <c r="B683" i="2"/>
  <c r="B684" i="2"/>
  <c r="B685" i="2"/>
  <c r="B686" i="2"/>
  <c r="B687" i="2"/>
  <c r="B688" i="2"/>
  <c r="B689" i="2"/>
  <c r="B690" i="2"/>
  <c r="B691" i="2"/>
  <c r="B692" i="2"/>
  <c r="B693" i="2"/>
  <c r="B694" i="2"/>
  <c r="B695" i="2"/>
  <c r="B696" i="2"/>
  <c r="B697" i="2"/>
  <c r="B698" i="2"/>
  <c r="B699" i="2"/>
  <c r="B700" i="2"/>
  <c r="B701" i="2"/>
  <c r="B702" i="2"/>
  <c r="B703" i="2"/>
  <c r="B704" i="2"/>
  <c r="B705" i="2"/>
  <c r="B706" i="2"/>
  <c r="B707" i="2"/>
  <c r="B708" i="2"/>
  <c r="B709" i="2"/>
  <c r="B710" i="2"/>
  <c r="B711" i="2"/>
  <c r="B712" i="2"/>
  <c r="B713" i="2"/>
  <c r="B714" i="2"/>
  <c r="B715" i="2"/>
  <c r="B716" i="2"/>
  <c r="B717" i="2"/>
  <c r="B718" i="2"/>
  <c r="B719" i="2"/>
  <c r="B720" i="2"/>
  <c r="B721" i="2"/>
  <c r="B722" i="2"/>
  <c r="B723" i="2"/>
  <c r="B724" i="2"/>
  <c r="B725" i="2"/>
  <c r="B726" i="2"/>
  <c r="B727" i="2"/>
  <c r="B728" i="2"/>
  <c r="B729" i="2"/>
  <c r="B730" i="2"/>
  <c r="B731" i="2"/>
  <c r="B732" i="2"/>
  <c r="B733" i="2"/>
  <c r="B734" i="2"/>
  <c r="B735" i="2"/>
  <c r="B736" i="2"/>
  <c r="B737" i="2"/>
  <c r="B738" i="2"/>
  <c r="B739" i="2"/>
  <c r="B740" i="2"/>
  <c r="B741" i="2"/>
  <c r="B742" i="2"/>
  <c r="B743" i="2"/>
  <c r="B744" i="2"/>
  <c r="B745" i="2"/>
  <c r="B746" i="2"/>
  <c r="B747" i="2"/>
  <c r="B748" i="2"/>
  <c r="B749" i="2"/>
  <c r="B750" i="2"/>
  <c r="B751" i="2"/>
  <c r="B752" i="2"/>
  <c r="B753" i="2"/>
  <c r="B754" i="2"/>
  <c r="B755" i="2"/>
  <c r="B756" i="2"/>
  <c r="B757" i="2"/>
  <c r="B758" i="2"/>
  <c r="B759" i="2"/>
  <c r="B760" i="2"/>
  <c r="B761" i="2"/>
  <c r="B762" i="2"/>
  <c r="B763" i="2"/>
  <c r="B764" i="2"/>
  <c r="B765" i="2"/>
  <c r="B766" i="2"/>
  <c r="B767" i="2"/>
  <c r="B768" i="2"/>
  <c r="B769" i="2"/>
  <c r="B770" i="2"/>
  <c r="B771" i="2"/>
  <c r="B772" i="2"/>
  <c r="B773" i="2"/>
  <c r="B774" i="2"/>
  <c r="B775" i="2"/>
  <c r="B776" i="2"/>
  <c r="B777" i="2"/>
  <c r="B778" i="2"/>
  <c r="B779" i="2"/>
  <c r="B780" i="2"/>
  <c r="B781" i="2"/>
  <c r="B782" i="2"/>
  <c r="B783" i="2"/>
  <c r="B784" i="2"/>
  <c r="B785" i="2"/>
  <c r="B786" i="2"/>
  <c r="B787" i="2"/>
  <c r="B788" i="2"/>
  <c r="B789" i="2"/>
  <c r="B790" i="2"/>
  <c r="B791" i="2"/>
  <c r="B792" i="2"/>
  <c r="B793" i="2"/>
  <c r="B794" i="2"/>
  <c r="B795" i="2"/>
  <c r="B796" i="2"/>
  <c r="B797" i="2"/>
  <c r="B798" i="2"/>
  <c r="B799" i="2"/>
  <c r="B800" i="2"/>
  <c r="B801" i="2"/>
  <c r="B802" i="2"/>
  <c r="B803" i="2"/>
  <c r="B804" i="2"/>
  <c r="B805" i="2"/>
  <c r="B806" i="2"/>
  <c r="B807" i="2"/>
  <c r="B808" i="2"/>
  <c r="B809" i="2"/>
  <c r="B810" i="2"/>
  <c r="B811" i="2"/>
  <c r="B812" i="2"/>
  <c r="B813" i="2"/>
  <c r="B814" i="2"/>
  <c r="B815" i="2"/>
  <c r="B816" i="2"/>
  <c r="B817" i="2"/>
  <c r="B818" i="2"/>
  <c r="B819" i="2"/>
  <c r="B820" i="2"/>
  <c r="B821" i="2"/>
  <c r="B822" i="2"/>
  <c r="B823" i="2"/>
  <c r="B824" i="2"/>
  <c r="B825" i="2"/>
  <c r="B826" i="2"/>
  <c r="B827" i="2"/>
  <c r="B828" i="2"/>
  <c r="B829" i="2"/>
  <c r="B830" i="2"/>
  <c r="B831" i="2"/>
  <c r="B832" i="2"/>
  <c r="B833" i="2"/>
  <c r="B834" i="2"/>
  <c r="B835" i="2"/>
  <c r="B836" i="2"/>
  <c r="B837" i="2"/>
  <c r="B838" i="2"/>
  <c r="B839" i="2"/>
  <c r="B840" i="2"/>
  <c r="B841" i="2"/>
  <c r="B842" i="2"/>
  <c r="B843" i="2"/>
  <c r="B844" i="2"/>
  <c r="B845" i="2"/>
  <c r="B846" i="2"/>
  <c r="B847" i="2"/>
  <c r="B848" i="2"/>
  <c r="B849" i="2"/>
  <c r="B850" i="2"/>
  <c r="B851" i="2"/>
  <c r="B852" i="2"/>
  <c r="B853" i="2"/>
  <c r="B854" i="2"/>
  <c r="B855" i="2"/>
  <c r="B856" i="2"/>
  <c r="B857" i="2"/>
  <c r="B858" i="2"/>
  <c r="B859" i="2"/>
  <c r="B860" i="2"/>
  <c r="B861" i="2"/>
  <c r="B862" i="2"/>
  <c r="B863" i="2"/>
  <c r="B864" i="2"/>
  <c r="B865" i="2"/>
  <c r="B866" i="2"/>
  <c r="B867" i="2"/>
  <c r="B868" i="2"/>
  <c r="B869" i="2"/>
  <c r="B870" i="2"/>
  <c r="B871" i="2"/>
  <c r="B872" i="2"/>
  <c r="B873" i="2"/>
  <c r="B874" i="2"/>
  <c r="B875" i="2"/>
  <c r="B876" i="2"/>
  <c r="B877" i="2"/>
  <c r="B878" i="2"/>
  <c r="B879" i="2"/>
  <c r="B880" i="2"/>
  <c r="B881" i="2"/>
  <c r="B882" i="2"/>
  <c r="B883" i="2"/>
  <c r="B884" i="2"/>
  <c r="B885" i="2"/>
  <c r="B886" i="2"/>
  <c r="B887" i="2"/>
  <c r="B888" i="2"/>
  <c r="B889" i="2"/>
  <c r="B890" i="2"/>
  <c r="B891" i="2"/>
  <c r="B892" i="2"/>
  <c r="B893" i="2"/>
  <c r="B894" i="2"/>
  <c r="B895" i="2"/>
  <c r="B896" i="2"/>
  <c r="B897" i="2"/>
  <c r="B898" i="2"/>
  <c r="B899" i="2"/>
  <c r="B900" i="2"/>
  <c r="B901" i="2"/>
  <c r="B902" i="2"/>
  <c r="B903" i="2"/>
  <c r="B904" i="2"/>
  <c r="B905" i="2"/>
  <c r="B906" i="2"/>
  <c r="B907" i="2"/>
  <c r="B908" i="2"/>
  <c r="B909" i="2"/>
  <c r="B910" i="2"/>
  <c r="B911" i="2"/>
  <c r="B912" i="2"/>
  <c r="B913" i="2"/>
  <c r="B914" i="2"/>
  <c r="B915" i="2"/>
  <c r="B916" i="2"/>
  <c r="B917" i="2"/>
  <c r="B918" i="2"/>
  <c r="B919" i="2"/>
  <c r="B920" i="2"/>
  <c r="B921" i="2"/>
  <c r="B922" i="2"/>
  <c r="B923" i="2"/>
  <c r="B924" i="2"/>
  <c r="B925" i="2"/>
  <c r="B926" i="2"/>
  <c r="B927" i="2"/>
  <c r="B928" i="2"/>
  <c r="B929" i="2"/>
  <c r="B930" i="2"/>
  <c r="B931" i="2"/>
  <c r="B932" i="2"/>
  <c r="B933" i="2"/>
  <c r="B934" i="2"/>
  <c r="B935" i="2"/>
  <c r="B936" i="2"/>
  <c r="B937" i="2"/>
  <c r="B938" i="2"/>
  <c r="B939" i="2"/>
  <c r="B940" i="2"/>
  <c r="B941" i="2"/>
  <c r="B942" i="2"/>
  <c r="B943" i="2"/>
  <c r="B944" i="2"/>
  <c r="B945" i="2"/>
  <c r="B946" i="2"/>
  <c r="B947" i="2"/>
  <c r="B948" i="2"/>
  <c r="B949" i="2"/>
  <c r="B950" i="2"/>
  <c r="B951" i="2"/>
  <c r="B952" i="2"/>
  <c r="B953" i="2"/>
  <c r="B954" i="2"/>
  <c r="B955" i="2"/>
  <c r="B956" i="2"/>
  <c r="B957" i="2"/>
  <c r="B958" i="2"/>
  <c r="B959" i="2"/>
  <c r="B960" i="2"/>
  <c r="B961" i="2"/>
  <c r="B962" i="2"/>
  <c r="B963" i="2"/>
  <c r="B964" i="2"/>
  <c r="B965" i="2"/>
  <c r="B966" i="2"/>
  <c r="B967" i="2"/>
  <c r="B968" i="2"/>
  <c r="B969" i="2"/>
  <c r="B970" i="2"/>
  <c r="B971" i="2"/>
  <c r="B972" i="2"/>
  <c r="B973" i="2"/>
  <c r="B974" i="2"/>
  <c r="B975" i="2"/>
  <c r="B976" i="2"/>
  <c r="B977" i="2"/>
  <c r="B978" i="2"/>
  <c r="B979" i="2"/>
  <c r="B980" i="2"/>
  <c r="B981" i="2"/>
  <c r="B982" i="2"/>
  <c r="B983" i="2"/>
  <c r="B984" i="2"/>
  <c r="B985" i="2"/>
  <c r="B986" i="2"/>
  <c r="B987" i="2"/>
  <c r="B988" i="2"/>
  <c r="B989" i="2"/>
  <c r="B990" i="2"/>
  <c r="B991" i="2"/>
  <c r="B992" i="2"/>
  <c r="B993" i="2"/>
  <c r="B994" i="2"/>
  <c r="B995" i="2"/>
  <c r="B996" i="2"/>
  <c r="B997" i="2"/>
  <c r="B998" i="2"/>
  <c r="B999" i="2"/>
  <c r="B1000" i="2"/>
  <c r="B1001" i="2"/>
  <c r="B1002" i="2"/>
  <c r="B1003" i="2"/>
  <c r="B1004" i="2"/>
  <c r="B1005" i="2"/>
  <c r="B1006" i="2"/>
  <c r="B1007" i="2"/>
  <c r="B1008" i="2"/>
  <c r="B1009" i="2"/>
  <c r="B1010" i="2"/>
  <c r="B1011" i="2"/>
  <c r="B1012" i="2"/>
  <c r="B1013" i="2"/>
  <c r="B1014" i="2"/>
  <c r="B1015" i="2"/>
  <c r="B1016" i="2"/>
  <c r="B1017" i="2"/>
  <c r="B1018" i="2"/>
  <c r="B1019" i="2"/>
  <c r="B1020" i="2"/>
  <c r="B1021" i="2"/>
  <c r="B1022" i="2"/>
  <c r="B1023" i="2"/>
  <c r="B1024" i="2"/>
  <c r="B1025" i="2"/>
  <c r="B1026" i="2"/>
  <c r="B1027" i="2"/>
  <c r="B1028" i="2"/>
  <c r="B1029" i="2"/>
  <c r="B1030" i="2"/>
  <c r="B1031" i="2"/>
  <c r="B1032" i="2"/>
  <c r="B1033" i="2"/>
  <c r="B1034" i="2"/>
  <c r="B1035" i="2"/>
  <c r="B1036" i="2"/>
  <c r="B1037" i="2"/>
  <c r="B1038" i="2"/>
  <c r="B1039" i="2"/>
  <c r="B1040" i="2"/>
  <c r="B1041" i="2"/>
  <c r="B1042" i="2"/>
  <c r="B1043" i="2"/>
  <c r="B1044" i="2"/>
  <c r="B1045" i="2"/>
  <c r="B1046" i="2"/>
  <c r="B1047" i="2"/>
  <c r="B1048" i="2"/>
  <c r="B1049" i="2"/>
  <c r="B1050" i="2"/>
  <c r="B1051" i="2"/>
  <c r="B1052" i="2"/>
  <c r="B1053" i="2"/>
  <c r="B1054" i="2"/>
  <c r="B1055" i="2"/>
  <c r="B1056" i="2"/>
  <c r="B1057" i="2"/>
  <c r="B1058" i="2"/>
  <c r="B1059" i="2"/>
  <c r="B1060" i="2"/>
  <c r="B1061" i="2"/>
  <c r="B1062" i="2"/>
  <c r="B1063" i="2"/>
  <c r="B1064" i="2"/>
  <c r="B1065" i="2"/>
  <c r="B1066" i="2"/>
  <c r="B1067" i="2"/>
  <c r="B1068" i="2"/>
  <c r="B1069" i="2"/>
  <c r="B1070" i="2"/>
  <c r="B1071" i="2"/>
  <c r="B1072" i="2"/>
  <c r="B1073" i="2"/>
  <c r="B1074" i="2"/>
  <c r="B1075" i="2"/>
  <c r="B1076" i="2"/>
  <c r="B1077" i="2"/>
  <c r="B1078" i="2"/>
  <c r="B1079" i="2"/>
  <c r="B1080" i="2"/>
  <c r="B1081" i="2"/>
  <c r="B1082" i="2"/>
  <c r="B1083" i="2"/>
  <c r="B1084" i="2"/>
  <c r="B1085" i="2"/>
  <c r="B1086" i="2"/>
  <c r="B1087" i="2"/>
  <c r="B1088" i="2"/>
  <c r="B1089" i="2"/>
  <c r="B1090" i="2"/>
  <c r="B1091" i="2"/>
  <c r="B1092" i="2"/>
  <c r="B1093" i="2"/>
  <c r="B1094" i="2"/>
  <c r="B1095" i="2"/>
  <c r="B1096" i="2"/>
  <c r="B1097" i="2"/>
  <c r="B1098" i="2"/>
  <c r="B1099" i="2"/>
  <c r="B1100" i="2"/>
  <c r="B1101" i="2"/>
  <c r="B1102" i="2"/>
  <c r="B1103" i="2"/>
  <c r="B1104" i="2"/>
  <c r="B1105" i="2"/>
  <c r="B1106" i="2"/>
  <c r="B1107" i="2"/>
  <c r="B1108" i="2"/>
  <c r="B1109" i="2"/>
  <c r="B1110" i="2"/>
  <c r="B1111" i="2"/>
  <c r="B1112" i="2"/>
  <c r="B1113" i="2"/>
  <c r="B1114" i="2"/>
  <c r="B1115" i="2"/>
  <c r="B1116" i="2"/>
  <c r="B1117" i="2"/>
  <c r="B1118" i="2"/>
  <c r="B1119" i="2"/>
  <c r="B1120" i="2"/>
  <c r="B1121" i="2"/>
  <c r="B1122" i="2"/>
  <c r="B1123" i="2"/>
  <c r="B1124" i="2"/>
  <c r="B1125" i="2"/>
  <c r="B1126" i="2"/>
  <c r="B1127" i="2"/>
  <c r="B1128" i="2"/>
  <c r="B1129" i="2"/>
  <c r="B1130" i="2"/>
  <c r="B1131" i="2"/>
  <c r="B1132" i="2"/>
  <c r="B1133" i="2"/>
  <c r="B1134" i="2"/>
  <c r="B1135" i="2"/>
  <c r="B1136" i="2"/>
  <c r="B1137" i="2"/>
  <c r="B1138" i="2"/>
  <c r="B1139" i="2"/>
  <c r="B1140" i="2"/>
  <c r="B1141" i="2"/>
  <c r="B1142" i="2"/>
  <c r="B1143" i="2"/>
  <c r="B1144" i="2"/>
  <c r="B1145" i="2"/>
  <c r="B1146" i="2"/>
  <c r="B1147" i="2"/>
  <c r="B1148" i="2"/>
  <c r="B1149" i="2"/>
  <c r="B1150" i="2"/>
  <c r="B1151" i="2"/>
  <c r="B1152" i="2"/>
  <c r="B1153" i="2"/>
  <c r="B1154" i="2"/>
  <c r="B1155" i="2"/>
  <c r="B1156" i="2"/>
  <c r="B1157" i="2"/>
  <c r="B1158" i="2"/>
  <c r="B1159" i="2"/>
  <c r="B1160" i="2"/>
  <c r="B1161" i="2"/>
  <c r="B1162" i="2"/>
  <c r="B1163" i="2"/>
  <c r="B1164" i="2"/>
  <c r="B1165" i="2"/>
  <c r="B1166" i="2"/>
  <c r="B1167" i="2"/>
  <c r="B1168" i="2"/>
  <c r="B1169" i="2"/>
  <c r="B1170" i="2"/>
  <c r="B1171" i="2"/>
  <c r="B1172" i="2"/>
  <c r="B1173" i="2"/>
  <c r="B1174" i="2"/>
  <c r="B1175" i="2"/>
  <c r="B1176" i="2"/>
  <c r="B1177" i="2"/>
  <c r="B1178" i="2"/>
  <c r="B1179" i="2"/>
  <c r="B1180" i="2"/>
  <c r="B1181" i="2"/>
  <c r="B1182" i="2"/>
  <c r="B1183" i="2"/>
  <c r="B1184" i="2"/>
  <c r="B1185" i="2"/>
  <c r="B1186" i="2"/>
  <c r="B1187" i="2"/>
  <c r="B1188" i="2"/>
  <c r="B1189" i="2"/>
  <c r="B1190" i="2"/>
  <c r="B1191" i="2"/>
  <c r="B1192" i="2"/>
  <c r="B1193" i="2"/>
  <c r="B1194" i="2"/>
  <c r="B1195" i="2"/>
  <c r="B1196" i="2"/>
  <c r="B1197" i="2"/>
  <c r="B1198" i="2"/>
  <c r="B1199" i="2"/>
  <c r="B1200" i="2"/>
  <c r="B1201" i="2"/>
  <c r="B1202" i="2"/>
  <c r="B1203" i="2"/>
  <c r="B1204" i="2"/>
  <c r="B1205" i="2"/>
  <c r="B1206" i="2"/>
  <c r="B1207" i="2"/>
  <c r="B1208" i="2"/>
  <c r="B1209" i="2"/>
  <c r="B1210" i="2"/>
  <c r="B1211" i="2"/>
  <c r="B1212" i="2"/>
  <c r="B1213" i="2"/>
  <c r="B1214" i="2"/>
  <c r="B1215" i="2"/>
  <c r="B1216" i="2"/>
  <c r="B1217" i="2"/>
  <c r="B1218" i="2"/>
  <c r="B1219" i="2"/>
  <c r="B1220" i="2"/>
  <c r="B1221" i="2"/>
  <c r="B1222" i="2"/>
  <c r="B1223" i="2"/>
  <c r="B1224" i="2"/>
  <c r="B1225" i="2"/>
  <c r="B1226" i="2"/>
  <c r="B1227" i="2"/>
  <c r="B1228" i="2"/>
  <c r="B1229" i="2"/>
  <c r="B1230" i="2"/>
  <c r="B1231" i="2"/>
  <c r="B1232" i="2"/>
  <c r="B1233" i="2"/>
  <c r="B1234" i="2"/>
  <c r="B1235" i="2"/>
  <c r="B1236" i="2"/>
  <c r="B1237" i="2"/>
  <c r="B1238" i="2"/>
  <c r="B1239" i="2"/>
  <c r="B1240" i="2"/>
  <c r="B1241" i="2"/>
  <c r="B1242" i="2"/>
  <c r="B1243" i="2"/>
  <c r="B1244" i="2"/>
  <c r="B1245" i="2"/>
  <c r="B1246" i="2"/>
  <c r="B1247" i="2"/>
  <c r="B1248" i="2"/>
  <c r="B1249" i="2"/>
  <c r="B1250" i="2"/>
  <c r="B1251" i="2"/>
  <c r="B1252" i="2"/>
  <c r="B1253" i="2"/>
  <c r="B1254" i="2"/>
  <c r="B1255" i="2"/>
  <c r="B1256" i="2"/>
  <c r="B1257" i="2"/>
  <c r="B1258" i="2"/>
  <c r="B1259" i="2"/>
  <c r="B1260" i="2"/>
  <c r="B1261" i="2"/>
  <c r="B1262" i="2"/>
  <c r="B1263" i="2"/>
  <c r="B1264" i="2"/>
  <c r="B1265" i="2"/>
  <c r="B1266" i="2"/>
  <c r="B1267" i="2"/>
  <c r="B1268" i="2"/>
  <c r="B1269" i="2"/>
  <c r="B1270" i="2"/>
  <c r="B1271" i="2"/>
  <c r="B1272" i="2"/>
  <c r="B1273" i="2"/>
  <c r="B1274" i="2"/>
  <c r="B1275" i="2"/>
  <c r="B1276" i="2"/>
  <c r="B1277" i="2"/>
  <c r="B1278" i="2"/>
  <c r="B1279" i="2"/>
  <c r="B1280" i="2"/>
  <c r="B1281" i="2"/>
  <c r="B1282" i="2"/>
  <c r="B1283" i="2"/>
  <c r="B1284" i="2"/>
  <c r="B1285" i="2"/>
  <c r="B1286" i="2"/>
  <c r="B1287" i="2"/>
  <c r="B1288" i="2"/>
  <c r="B1289" i="2"/>
  <c r="B1290" i="2"/>
  <c r="B1291" i="2"/>
  <c r="B1292" i="2"/>
  <c r="B1293" i="2"/>
  <c r="B1294" i="2"/>
  <c r="B1295" i="2"/>
  <c r="B1296" i="2"/>
  <c r="B1297" i="2"/>
  <c r="B1298" i="2"/>
  <c r="B1299" i="2"/>
  <c r="B1300" i="2"/>
  <c r="B1301" i="2"/>
  <c r="B1302" i="2"/>
  <c r="B1303" i="2"/>
  <c r="B1304" i="2"/>
  <c r="B1305" i="2"/>
  <c r="B1306" i="2"/>
  <c r="B1307" i="2"/>
  <c r="B1308" i="2"/>
  <c r="B1309" i="2"/>
  <c r="B1310" i="2"/>
  <c r="B1311" i="2"/>
  <c r="B1312" i="2"/>
  <c r="B1313" i="2"/>
  <c r="B1314" i="2"/>
  <c r="B1315" i="2"/>
  <c r="B1316" i="2"/>
  <c r="B1317" i="2"/>
  <c r="B1318" i="2"/>
  <c r="B1319" i="2"/>
  <c r="B1320" i="2"/>
  <c r="B1321" i="2"/>
  <c r="B1322" i="2"/>
  <c r="B1323" i="2"/>
  <c r="B1324" i="2"/>
  <c r="B1325" i="2"/>
  <c r="B1326" i="2"/>
  <c r="B1327" i="2"/>
  <c r="B1328" i="2"/>
  <c r="B1329" i="2"/>
  <c r="B1330" i="2"/>
  <c r="B1331" i="2"/>
  <c r="B1332" i="2"/>
  <c r="B1333" i="2"/>
  <c r="B1334" i="2"/>
  <c r="B1335" i="2"/>
  <c r="B1336" i="2"/>
  <c r="B1337" i="2"/>
  <c r="B1338" i="2"/>
  <c r="B1339" i="2"/>
  <c r="B1340" i="2"/>
  <c r="B1341" i="2"/>
  <c r="B1342" i="2"/>
  <c r="B1343" i="2"/>
  <c r="B1344" i="2"/>
  <c r="B1345" i="2"/>
  <c r="B1346" i="2"/>
  <c r="B1347" i="2"/>
  <c r="B1348" i="2"/>
  <c r="B1349" i="2"/>
  <c r="B1350" i="2"/>
  <c r="B1351" i="2"/>
  <c r="B1352" i="2"/>
  <c r="B1353" i="2"/>
  <c r="B1354" i="2"/>
  <c r="B1355" i="2"/>
  <c r="B1356" i="2"/>
  <c r="B1357" i="2"/>
  <c r="B1358" i="2"/>
  <c r="B1359" i="2"/>
  <c r="B1360" i="2"/>
  <c r="B1361" i="2"/>
  <c r="B1362" i="2"/>
  <c r="B1363" i="2"/>
  <c r="B1364" i="2"/>
  <c r="B1365" i="2"/>
  <c r="B1366" i="2"/>
  <c r="B1367" i="2"/>
  <c r="B1368" i="2"/>
  <c r="B1369" i="2"/>
  <c r="B1370" i="2"/>
  <c r="B1371" i="2"/>
  <c r="B1372" i="2"/>
  <c r="B1373" i="2"/>
  <c r="B1374" i="2"/>
  <c r="B1375" i="2"/>
  <c r="B1376" i="2"/>
  <c r="B1377" i="2"/>
  <c r="B1378" i="2"/>
  <c r="B1379" i="2"/>
  <c r="B1380" i="2"/>
  <c r="B1381" i="2"/>
  <c r="B1382" i="2"/>
  <c r="B1383" i="2"/>
  <c r="B1384" i="2"/>
  <c r="B1385" i="2"/>
  <c r="B1386" i="2"/>
  <c r="B1387" i="2"/>
  <c r="B1388" i="2"/>
  <c r="B1389" i="2"/>
  <c r="B1390" i="2"/>
  <c r="B1391" i="2"/>
  <c r="B1392" i="2"/>
  <c r="B1393" i="2"/>
  <c r="B1394" i="2"/>
  <c r="B1395" i="2"/>
  <c r="B1396" i="2"/>
  <c r="B1397" i="2"/>
  <c r="B1398" i="2"/>
  <c r="B1399" i="2"/>
  <c r="B1400" i="2"/>
  <c r="B1401" i="2"/>
  <c r="B1402" i="2"/>
  <c r="B1403" i="2"/>
  <c r="B1404" i="2"/>
  <c r="B1405" i="2"/>
  <c r="B1406" i="2"/>
  <c r="B1407" i="2"/>
  <c r="B1408" i="2"/>
  <c r="B1409" i="2"/>
  <c r="B1410" i="2"/>
  <c r="B1411" i="2"/>
  <c r="B1412" i="2"/>
  <c r="B1413" i="2"/>
  <c r="B1414" i="2"/>
  <c r="B1415" i="2"/>
  <c r="B1416" i="2"/>
  <c r="B1417" i="2"/>
  <c r="B1418" i="2"/>
  <c r="B1419" i="2"/>
  <c r="B1420" i="2"/>
  <c r="B1421" i="2"/>
  <c r="B1422" i="2"/>
  <c r="B1423" i="2"/>
  <c r="B1424" i="2"/>
  <c r="B1425" i="2"/>
  <c r="B1426" i="2"/>
  <c r="B1427" i="2"/>
  <c r="B1428" i="2"/>
  <c r="B1429" i="2"/>
  <c r="B1430" i="2"/>
  <c r="B1431" i="2"/>
  <c r="B1432" i="2"/>
  <c r="B1433" i="2"/>
  <c r="B1434" i="2"/>
  <c r="B1435" i="2"/>
  <c r="B1436" i="2"/>
  <c r="B1437" i="2"/>
  <c r="B1438" i="2"/>
  <c r="B1439" i="2"/>
  <c r="B1440" i="2"/>
  <c r="B1441" i="2"/>
  <c r="B1442" i="2"/>
  <c r="B1443" i="2"/>
  <c r="B1444" i="2"/>
  <c r="B1445" i="2"/>
  <c r="B1446" i="2"/>
  <c r="B1447" i="2"/>
  <c r="B1448" i="2"/>
  <c r="B1449" i="2"/>
  <c r="B1450" i="2"/>
  <c r="B1451" i="2"/>
  <c r="B1452" i="2"/>
  <c r="B1453" i="2"/>
  <c r="B1454" i="2"/>
  <c r="B1455" i="2"/>
  <c r="B1456" i="2"/>
  <c r="B1457" i="2"/>
  <c r="B1458" i="2"/>
  <c r="B1459" i="2"/>
  <c r="B1460" i="2"/>
  <c r="B1461" i="2"/>
  <c r="B1462" i="2"/>
  <c r="B1463" i="2"/>
  <c r="B1464" i="2"/>
  <c r="B1465" i="2"/>
  <c r="B1466" i="2"/>
  <c r="B1467" i="2"/>
  <c r="B1468" i="2"/>
  <c r="B1469" i="2"/>
  <c r="B1470" i="2"/>
  <c r="B1471" i="2"/>
  <c r="B1472" i="2"/>
  <c r="B1473" i="2"/>
  <c r="B1474" i="2"/>
  <c r="B1475" i="2"/>
  <c r="B1476" i="2"/>
  <c r="B1477" i="2"/>
  <c r="B1478" i="2"/>
  <c r="B1479" i="2"/>
  <c r="B1480" i="2"/>
  <c r="B1481" i="2"/>
  <c r="B1482" i="2"/>
  <c r="B1483" i="2"/>
  <c r="B1484" i="2"/>
  <c r="B1485" i="2"/>
  <c r="B1486" i="2"/>
  <c r="B1487" i="2"/>
  <c r="B1488" i="2"/>
  <c r="B1489" i="2"/>
  <c r="B1490" i="2"/>
  <c r="B1491" i="2"/>
  <c r="B1492" i="2"/>
  <c r="B1493" i="2"/>
  <c r="B1494" i="2"/>
  <c r="B1495" i="2"/>
  <c r="B1496" i="2"/>
  <c r="B1497" i="2"/>
  <c r="B1498" i="2"/>
  <c r="B1499" i="2"/>
  <c r="B1500" i="2"/>
  <c r="C13" i="2"/>
  <c r="C14" i="2"/>
  <c r="C22" i="2"/>
  <c r="C25" i="2"/>
  <c r="C26" i="2"/>
  <c r="C27" i="2"/>
  <c r="C37" i="2"/>
  <c r="C39" i="2"/>
  <c r="C45" i="2"/>
  <c r="C46" i="2"/>
  <c r="C47" i="2"/>
  <c r="C48" i="2"/>
  <c r="C49" i="2"/>
  <c r="C50" i="2"/>
  <c r="C51" i="2"/>
  <c r="C57" i="2"/>
  <c r="C58" i="2"/>
  <c r="C59" i="2"/>
  <c r="C63" i="2"/>
  <c r="C64" i="2"/>
  <c r="C69" i="2"/>
  <c r="C70" i="2"/>
  <c r="C71" i="2"/>
  <c r="C72" i="2"/>
  <c r="C73" i="2"/>
  <c r="C74" i="2"/>
  <c r="C75" i="2"/>
  <c r="C81" i="2"/>
  <c r="C82" i="2"/>
  <c r="C83" i="2"/>
  <c r="C84" i="2"/>
  <c r="C85" i="2"/>
  <c r="C86" i="2"/>
  <c r="C93" i="2"/>
  <c r="C94" i="2"/>
  <c r="C95" i="2"/>
  <c r="C96" i="2"/>
  <c r="C97" i="2"/>
  <c r="C98" i="2"/>
  <c r="C99" i="2"/>
  <c r="C100" i="2"/>
  <c r="C105" i="2"/>
  <c r="C106" i="2"/>
  <c r="C107" i="2"/>
  <c r="C108" i="2"/>
  <c r="C109" i="2"/>
  <c r="C110" i="2"/>
  <c r="C114" i="2"/>
  <c r="C117" i="2"/>
  <c r="C118" i="2"/>
  <c r="C119" i="2"/>
  <c r="C120" i="2"/>
  <c r="C121" i="2"/>
  <c r="C122" i="2"/>
  <c r="C123" i="2"/>
  <c r="C124" i="2"/>
  <c r="C126" i="2"/>
  <c r="C129" i="2"/>
  <c r="C130" i="2"/>
  <c r="C131" i="2"/>
  <c r="C132" i="2"/>
  <c r="C133" i="2"/>
  <c r="C134" i="2"/>
  <c r="C135" i="2"/>
  <c r="C136" i="2"/>
  <c r="C137" i="2"/>
  <c r="C138" i="2"/>
  <c r="C141" i="2"/>
  <c r="C142" i="2"/>
  <c r="V142" i="2" s="1"/>
  <c r="C143" i="2"/>
  <c r="V143" i="2" s="1"/>
  <c r="C144" i="2"/>
  <c r="V144" i="2" s="1"/>
  <c r="C145" i="2"/>
  <c r="V145" i="2" s="1"/>
  <c r="C146" i="2"/>
  <c r="V146" i="2" s="1"/>
  <c r="C147" i="2"/>
  <c r="V147" i="2" s="1"/>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V138" i="2" l="1"/>
  <c r="U138" i="2"/>
  <c r="T138" i="2"/>
  <c r="U137" i="2"/>
  <c r="T137" i="2"/>
  <c r="V137" i="2"/>
  <c r="U136" i="2"/>
  <c r="T136" i="2"/>
  <c r="V136" i="2"/>
  <c r="U139" i="2"/>
  <c r="T139" i="2"/>
  <c r="V139" i="2"/>
  <c r="U135" i="2"/>
  <c r="T135" i="2"/>
  <c r="V135" i="2"/>
  <c r="T134" i="2"/>
  <c r="V134" i="2"/>
  <c r="U134" i="2"/>
  <c r="V140" i="2"/>
  <c r="T140" i="2"/>
  <c r="U140" i="2"/>
  <c r="T133" i="2"/>
  <c r="U133" i="2"/>
  <c r="V133" i="2"/>
  <c r="V128" i="2"/>
  <c r="T128" i="2"/>
  <c r="U128" i="2"/>
  <c r="T132" i="2"/>
  <c r="V132" i="2"/>
  <c r="U132" i="2"/>
  <c r="T131" i="2"/>
  <c r="V131" i="2"/>
  <c r="U131" i="2"/>
  <c r="T130" i="2"/>
  <c r="V130" i="2"/>
  <c r="U130" i="2"/>
  <c r="V129" i="2"/>
  <c r="U129" i="2"/>
  <c r="T129" i="2"/>
  <c r="V141" i="2"/>
  <c r="U141" i="2"/>
  <c r="T141" i="2"/>
  <c r="T116" i="2"/>
  <c r="U116" i="2"/>
  <c r="V116" i="2"/>
  <c r="T115" i="2"/>
  <c r="V115" i="2"/>
  <c r="U115" i="2"/>
  <c r="T127" i="2"/>
  <c r="V127" i="2"/>
  <c r="U127" i="2"/>
  <c r="U125" i="2"/>
  <c r="V125" i="2"/>
  <c r="T125" i="2"/>
  <c r="V121" i="2"/>
  <c r="T121" i="2"/>
  <c r="U121" i="2"/>
  <c r="V120" i="2"/>
  <c r="T120" i="2"/>
  <c r="U120" i="2"/>
  <c r="V119" i="2"/>
  <c r="T119" i="2"/>
  <c r="U119" i="2"/>
  <c r="V118" i="2"/>
  <c r="T118" i="2"/>
  <c r="U118" i="2"/>
  <c r="V117" i="2"/>
  <c r="T117" i="2"/>
  <c r="U117" i="2"/>
  <c r="T126" i="2"/>
  <c r="U126" i="2"/>
  <c r="V126" i="2"/>
  <c r="T114" i="2"/>
  <c r="U114" i="2"/>
  <c r="V114" i="2"/>
  <c r="U122" i="2"/>
  <c r="V122" i="2"/>
  <c r="T122" i="2"/>
  <c r="U124" i="2"/>
  <c r="V124" i="2"/>
  <c r="T124" i="2"/>
  <c r="U123" i="2"/>
  <c r="V123" i="2"/>
  <c r="T123" i="2"/>
  <c r="V113" i="2"/>
  <c r="T113" i="2"/>
  <c r="U113" i="2"/>
  <c r="V112" i="2"/>
  <c r="U112" i="2"/>
  <c r="T112" i="2"/>
  <c r="V111" i="2"/>
  <c r="U111" i="2"/>
  <c r="T111" i="2"/>
  <c r="Q88" i="4"/>
  <c r="Q100" i="4"/>
  <c r="P99" i="4"/>
  <c r="O98" i="4"/>
  <c r="N97" i="4"/>
  <c r="Q89" i="4"/>
  <c r="Q101" i="4"/>
  <c r="P88" i="4"/>
  <c r="P100" i="4"/>
  <c r="O99" i="4"/>
  <c r="N98" i="4"/>
  <c r="Q90" i="4"/>
  <c r="Q102" i="4"/>
  <c r="P89" i="4"/>
  <c r="P101" i="4"/>
  <c r="O88" i="4"/>
  <c r="O100" i="4"/>
  <c r="N99" i="4"/>
  <c r="Q91" i="4"/>
  <c r="Q103" i="4"/>
  <c r="P90" i="4"/>
  <c r="P102" i="4"/>
  <c r="O89" i="4"/>
  <c r="O101" i="4"/>
  <c r="N88" i="4"/>
  <c r="N100" i="4"/>
  <c r="Q92" i="4"/>
  <c r="Q104" i="4"/>
  <c r="P91" i="4"/>
  <c r="P103" i="4"/>
  <c r="O90" i="4"/>
  <c r="O102" i="4"/>
  <c r="N89" i="4"/>
  <c r="N101" i="4"/>
  <c r="N95" i="4"/>
  <c r="Q93" i="4"/>
  <c r="Q105" i="4"/>
  <c r="P92" i="4"/>
  <c r="P104" i="4"/>
  <c r="O91" i="4"/>
  <c r="O103" i="4"/>
  <c r="N90" i="4"/>
  <c r="N102" i="4"/>
  <c r="O96" i="4"/>
  <c r="Q94" i="4"/>
  <c r="P93" i="4"/>
  <c r="P105" i="4"/>
  <c r="O92" i="4"/>
  <c r="O104" i="4"/>
  <c r="N91" i="4"/>
  <c r="N103" i="4"/>
  <c r="Q95" i="4"/>
  <c r="P94" i="4"/>
  <c r="O93" i="4"/>
  <c r="O105" i="4"/>
  <c r="N92" i="4"/>
  <c r="N104" i="4"/>
  <c r="N105" i="4"/>
  <c r="Q96" i="4"/>
  <c r="P95" i="4"/>
  <c r="O94" i="4"/>
  <c r="N93" i="4"/>
  <c r="P97" i="4"/>
  <c r="Q97" i="4"/>
  <c r="P96" i="4"/>
  <c r="O95" i="4"/>
  <c r="N94" i="4"/>
  <c r="Q98" i="4"/>
  <c r="Q99" i="4"/>
  <c r="P98" i="4"/>
  <c r="O97" i="4"/>
  <c r="N96" i="4"/>
  <c r="V80" i="2"/>
  <c r="U80" i="2"/>
  <c r="T80" i="2"/>
  <c r="V92" i="2"/>
  <c r="U92" i="2"/>
  <c r="T92" i="2"/>
  <c r="U98" i="2"/>
  <c r="T98" i="2"/>
  <c r="V98" i="2"/>
  <c r="V91" i="2"/>
  <c r="U91" i="2"/>
  <c r="T91" i="2"/>
  <c r="V67" i="2"/>
  <c r="U67" i="2"/>
  <c r="T67" i="2"/>
  <c r="V104" i="2"/>
  <c r="U104" i="2"/>
  <c r="T104" i="2"/>
  <c r="T97" i="2"/>
  <c r="U97" i="2"/>
  <c r="V97" i="2"/>
  <c r="V79" i="2"/>
  <c r="U79" i="2"/>
  <c r="T79" i="2"/>
  <c r="V102" i="2"/>
  <c r="U102" i="2"/>
  <c r="T102" i="2"/>
  <c r="V90" i="2"/>
  <c r="U90" i="2"/>
  <c r="T90" i="2"/>
  <c r="V78" i="2"/>
  <c r="U78" i="2"/>
  <c r="T78" i="2"/>
  <c r="V66" i="2"/>
  <c r="U66" i="2"/>
  <c r="T66" i="2"/>
  <c r="V81" i="2"/>
  <c r="U81" i="2"/>
  <c r="T81" i="2"/>
  <c r="V68" i="2"/>
  <c r="U68" i="2"/>
  <c r="T68" i="2"/>
  <c r="T96" i="2"/>
  <c r="V96" i="2"/>
  <c r="U96" i="2"/>
  <c r="V75" i="2"/>
  <c r="U75" i="2"/>
  <c r="T75" i="2"/>
  <c r="V101" i="2"/>
  <c r="U101" i="2"/>
  <c r="T101" i="2"/>
  <c r="V89" i="2"/>
  <c r="U89" i="2"/>
  <c r="T89" i="2"/>
  <c r="V77" i="2"/>
  <c r="U77" i="2"/>
  <c r="T77" i="2"/>
  <c r="V65" i="2"/>
  <c r="U65" i="2"/>
  <c r="T65" i="2"/>
  <c r="U110" i="2"/>
  <c r="T110" i="2"/>
  <c r="V110" i="2"/>
  <c r="V95" i="2"/>
  <c r="U95" i="2"/>
  <c r="T95" i="2"/>
  <c r="V74" i="2"/>
  <c r="U74" i="2"/>
  <c r="T74" i="2"/>
  <c r="V88" i="2"/>
  <c r="U88" i="2"/>
  <c r="T88" i="2"/>
  <c r="V76" i="2"/>
  <c r="U76" i="2"/>
  <c r="T76" i="2"/>
  <c r="T109" i="2"/>
  <c r="V109" i="2"/>
  <c r="U109" i="2"/>
  <c r="V94" i="2"/>
  <c r="U94" i="2"/>
  <c r="T94" i="2"/>
  <c r="V73" i="2"/>
  <c r="T73" i="2"/>
  <c r="U73" i="2"/>
  <c r="V87" i="2"/>
  <c r="U87" i="2"/>
  <c r="T87" i="2"/>
  <c r="T108" i="2"/>
  <c r="V108" i="2"/>
  <c r="U108" i="2"/>
  <c r="V93" i="2"/>
  <c r="U93" i="2"/>
  <c r="T93" i="2"/>
  <c r="V72" i="2"/>
  <c r="T72" i="2"/>
  <c r="U72" i="2"/>
  <c r="V62" i="2"/>
  <c r="U62" i="2"/>
  <c r="T62" i="2"/>
  <c r="T107" i="2"/>
  <c r="V107" i="2"/>
  <c r="U107" i="2"/>
  <c r="U86" i="2"/>
  <c r="T86" i="2"/>
  <c r="V86" i="2"/>
  <c r="V71" i="2"/>
  <c r="T71" i="2"/>
  <c r="U71" i="2"/>
  <c r="V61" i="2"/>
  <c r="T61" i="2"/>
  <c r="U61" i="2"/>
  <c r="U99" i="2"/>
  <c r="V99" i="2"/>
  <c r="T99" i="2"/>
  <c r="V106" i="2"/>
  <c r="U106" i="2"/>
  <c r="T106" i="2"/>
  <c r="T85" i="2"/>
  <c r="V85" i="2"/>
  <c r="U85" i="2"/>
  <c r="V70" i="2"/>
  <c r="U70" i="2"/>
  <c r="T70" i="2"/>
  <c r="V60" i="2"/>
  <c r="T60" i="2"/>
  <c r="U60" i="2"/>
  <c r="V105" i="2"/>
  <c r="U105" i="2"/>
  <c r="T105" i="2"/>
  <c r="T84" i="2"/>
  <c r="V84" i="2"/>
  <c r="U84" i="2"/>
  <c r="V69" i="2"/>
  <c r="U69" i="2"/>
  <c r="T69" i="2"/>
  <c r="V59" i="2"/>
  <c r="T59" i="2"/>
  <c r="U59" i="2"/>
  <c r="V103" i="2"/>
  <c r="U103" i="2"/>
  <c r="T103" i="2"/>
  <c r="T83" i="2"/>
  <c r="V83" i="2"/>
  <c r="U83" i="2"/>
  <c r="V64" i="2"/>
  <c r="U64" i="2"/>
  <c r="T64" i="2"/>
  <c r="V100" i="2"/>
  <c r="U100" i="2"/>
  <c r="T100" i="2"/>
  <c r="V82" i="2"/>
  <c r="U82" i="2"/>
  <c r="T82" i="2"/>
  <c r="V63" i="2"/>
  <c r="U63" i="2"/>
  <c r="T63" i="2"/>
  <c r="Q59" i="4"/>
  <c r="Q71" i="4"/>
  <c r="Q83" i="4"/>
  <c r="P54" i="4"/>
  <c r="P66" i="4"/>
  <c r="P78" i="4"/>
  <c r="O49" i="4"/>
  <c r="O61" i="4"/>
  <c r="O73" i="4"/>
  <c r="O85" i="4"/>
  <c r="N56" i="4"/>
  <c r="N68" i="4"/>
  <c r="N80" i="4"/>
  <c r="O84" i="4"/>
  <c r="N55" i="4"/>
  <c r="Q48" i="4"/>
  <c r="Q60" i="4"/>
  <c r="Q72" i="4"/>
  <c r="Q84" i="4"/>
  <c r="P55" i="4"/>
  <c r="P67" i="4"/>
  <c r="P79" i="4"/>
  <c r="O50" i="4"/>
  <c r="O62" i="4"/>
  <c r="O74" i="4"/>
  <c r="O86" i="4"/>
  <c r="N57" i="4"/>
  <c r="N69" i="4"/>
  <c r="N81" i="4"/>
  <c r="O48" i="4"/>
  <c r="Q49" i="4"/>
  <c r="Q61" i="4"/>
  <c r="Q73" i="4"/>
  <c r="Q85" i="4"/>
  <c r="P56" i="4"/>
  <c r="P68" i="4"/>
  <c r="P80" i="4"/>
  <c r="O51" i="4"/>
  <c r="O63" i="4"/>
  <c r="O75" i="4"/>
  <c r="O87" i="4"/>
  <c r="N58" i="4"/>
  <c r="N70" i="4"/>
  <c r="N82" i="4"/>
  <c r="P65" i="4"/>
  <c r="Q50" i="4"/>
  <c r="Q62" i="4"/>
  <c r="Q74" i="4"/>
  <c r="Q86" i="4"/>
  <c r="P57" i="4"/>
  <c r="P69" i="4"/>
  <c r="P81" i="4"/>
  <c r="O52" i="4"/>
  <c r="O64" i="4"/>
  <c r="O76" i="4"/>
  <c r="N59" i="4"/>
  <c r="N71" i="4"/>
  <c r="N83" i="4"/>
  <c r="Q51" i="4"/>
  <c r="Q63" i="4"/>
  <c r="Q75" i="4"/>
  <c r="Q87" i="4"/>
  <c r="P58" i="4"/>
  <c r="P70" i="4"/>
  <c r="P82" i="4"/>
  <c r="O53" i="4"/>
  <c r="O65" i="4"/>
  <c r="O77" i="4"/>
  <c r="N48" i="4"/>
  <c r="N60" i="4"/>
  <c r="N72" i="4"/>
  <c r="N84" i="4"/>
  <c r="P77" i="4"/>
  <c r="N67" i="4"/>
  <c r="Q52" i="4"/>
  <c r="Q64" i="4"/>
  <c r="Q76" i="4"/>
  <c r="P59" i="4"/>
  <c r="P71" i="4"/>
  <c r="P83" i="4"/>
  <c r="O54" i="4"/>
  <c r="O66" i="4"/>
  <c r="O78" i="4"/>
  <c r="N49" i="4"/>
  <c r="N61" i="4"/>
  <c r="N73" i="4"/>
  <c r="N85" i="4"/>
  <c r="N79" i="4"/>
  <c r="Q53" i="4"/>
  <c r="Q65" i="4"/>
  <c r="Q77" i="4"/>
  <c r="P48" i="4"/>
  <c r="P60" i="4"/>
  <c r="P72" i="4"/>
  <c r="P84" i="4"/>
  <c r="O55" i="4"/>
  <c r="O67" i="4"/>
  <c r="O79" i="4"/>
  <c r="N50" i="4"/>
  <c r="N62" i="4"/>
  <c r="N74" i="4"/>
  <c r="N86" i="4"/>
  <c r="N64" i="4"/>
  <c r="Q54" i="4"/>
  <c r="Q66" i="4"/>
  <c r="Q78" i="4"/>
  <c r="P49" i="4"/>
  <c r="P61" i="4"/>
  <c r="P73" i="4"/>
  <c r="P85" i="4"/>
  <c r="O56" i="4"/>
  <c r="O68" i="4"/>
  <c r="O80" i="4"/>
  <c r="N51" i="4"/>
  <c r="N63" i="4"/>
  <c r="N75" i="4"/>
  <c r="N87" i="4"/>
  <c r="N76" i="4"/>
  <c r="P53" i="4"/>
  <c r="O72" i="4"/>
  <c r="Q55" i="4"/>
  <c r="Q67" i="4"/>
  <c r="Q79" i="4"/>
  <c r="P50" i="4"/>
  <c r="P62" i="4"/>
  <c r="P74" i="4"/>
  <c r="P86" i="4"/>
  <c r="O57" i="4"/>
  <c r="O69" i="4"/>
  <c r="O81" i="4"/>
  <c r="N52" i="4"/>
  <c r="O60" i="4"/>
  <c r="Q56" i="4"/>
  <c r="Q68" i="4"/>
  <c r="Q80" i="4"/>
  <c r="P51" i="4"/>
  <c r="P63" i="4"/>
  <c r="P75" i="4"/>
  <c r="P87" i="4"/>
  <c r="O58" i="4"/>
  <c r="O70" i="4"/>
  <c r="O82" i="4"/>
  <c r="N53" i="4"/>
  <c r="N65" i="4"/>
  <c r="N77" i="4"/>
  <c r="Q57" i="4"/>
  <c r="Q69" i="4"/>
  <c r="Q81" i="4"/>
  <c r="P52" i="4"/>
  <c r="P64" i="4"/>
  <c r="P76" i="4"/>
  <c r="O59" i="4"/>
  <c r="O71" i="4"/>
  <c r="O83" i="4"/>
  <c r="N54" i="4"/>
  <c r="N66" i="4"/>
  <c r="N78" i="4"/>
  <c r="Q58" i="4"/>
  <c r="Q70" i="4"/>
  <c r="Q82" i="4"/>
  <c r="T33" i="2"/>
  <c r="V33" i="2"/>
  <c r="U33" i="2"/>
  <c r="U36" i="2"/>
  <c r="T36" i="2"/>
  <c r="V36" i="2"/>
  <c r="U34" i="2"/>
  <c r="V34" i="2"/>
  <c r="T34" i="2"/>
  <c r="V42" i="2"/>
  <c r="T42" i="2"/>
  <c r="U42" i="2"/>
  <c r="V41" i="2"/>
  <c r="T41" i="2"/>
  <c r="U41" i="2"/>
  <c r="V45" i="2"/>
  <c r="T45" i="2"/>
  <c r="U45" i="2"/>
  <c r="Q18" i="4"/>
  <c r="Q30" i="4"/>
  <c r="Q42" i="4"/>
  <c r="P19" i="4"/>
  <c r="P31" i="4"/>
  <c r="P43" i="4"/>
  <c r="O20" i="4"/>
  <c r="O32" i="4"/>
  <c r="O44" i="4"/>
  <c r="N21" i="4"/>
  <c r="N33" i="4"/>
  <c r="N45" i="4"/>
  <c r="Q19" i="4"/>
  <c r="Q31" i="4"/>
  <c r="Q43" i="4"/>
  <c r="P20" i="4"/>
  <c r="P32" i="4"/>
  <c r="P44" i="4"/>
  <c r="O21" i="4"/>
  <c r="O33" i="4"/>
  <c r="O45" i="4"/>
  <c r="N22" i="4"/>
  <c r="N34" i="4"/>
  <c r="N46" i="4"/>
  <c r="N19" i="4"/>
  <c r="Q20" i="4"/>
  <c r="Q32" i="4"/>
  <c r="Q44" i="4"/>
  <c r="P21" i="4"/>
  <c r="P33" i="4"/>
  <c r="P45" i="4"/>
  <c r="O22" i="4"/>
  <c r="O34" i="4"/>
  <c r="O46" i="4"/>
  <c r="N23" i="4"/>
  <c r="N35" i="4"/>
  <c r="N47" i="4"/>
  <c r="Q21" i="4"/>
  <c r="Q33" i="4"/>
  <c r="Q45" i="4"/>
  <c r="P22" i="4"/>
  <c r="P34" i="4"/>
  <c r="P46" i="4"/>
  <c r="O23" i="4"/>
  <c r="O35" i="4"/>
  <c r="O47" i="4"/>
  <c r="N24" i="4"/>
  <c r="N36" i="4"/>
  <c r="N37" i="4"/>
  <c r="N18" i="4"/>
  <c r="O30" i="4"/>
  <c r="N43" i="4"/>
  <c r="Q22" i="4"/>
  <c r="Q34" i="4"/>
  <c r="Q46" i="4"/>
  <c r="P23" i="4"/>
  <c r="P35" i="4"/>
  <c r="P47" i="4"/>
  <c r="O24" i="4"/>
  <c r="O36" i="4"/>
  <c r="N25" i="4"/>
  <c r="N30" i="4"/>
  <c r="Q23" i="4"/>
  <c r="Q35" i="4"/>
  <c r="Q47" i="4"/>
  <c r="P24" i="4"/>
  <c r="P36" i="4"/>
  <c r="O25" i="4"/>
  <c r="O37" i="4"/>
  <c r="N26" i="4"/>
  <c r="N38" i="4"/>
  <c r="N42" i="4"/>
  <c r="Q28" i="4"/>
  <c r="P41" i="4"/>
  <c r="O42" i="4"/>
  <c r="Q24" i="4"/>
  <c r="Q36" i="4"/>
  <c r="P25" i="4"/>
  <c r="P37" i="4"/>
  <c r="O26" i="4"/>
  <c r="O38" i="4"/>
  <c r="N27" i="4"/>
  <c r="N39" i="4"/>
  <c r="Q40" i="4"/>
  <c r="O18" i="4"/>
  <c r="Q25" i="4"/>
  <c r="Q37" i="4"/>
  <c r="P26" i="4"/>
  <c r="P38" i="4"/>
  <c r="O27" i="4"/>
  <c r="O39" i="4"/>
  <c r="N28" i="4"/>
  <c r="N40" i="4"/>
  <c r="O29" i="4"/>
  <c r="Q26" i="4"/>
  <c r="Q38" i="4"/>
  <c r="P27" i="4"/>
  <c r="P39" i="4"/>
  <c r="O28" i="4"/>
  <c r="O40" i="4"/>
  <c r="N29" i="4"/>
  <c r="N41" i="4"/>
  <c r="O41" i="4"/>
  <c r="Q27" i="4"/>
  <c r="Q39" i="4"/>
  <c r="P28" i="4"/>
  <c r="P40" i="4"/>
  <c r="P29" i="4"/>
  <c r="Q29" i="4"/>
  <c r="Q41" i="4"/>
  <c r="P18" i="4"/>
  <c r="P30" i="4"/>
  <c r="P42" i="4"/>
  <c r="O19" i="4"/>
  <c r="O31" i="4"/>
  <c r="O43" i="4"/>
  <c r="N20" i="4"/>
  <c r="N32" i="4"/>
  <c r="N44" i="4"/>
  <c r="N31" i="4"/>
  <c r="V56" i="2"/>
  <c r="T56" i="2"/>
  <c r="U56" i="2"/>
  <c r="V44" i="2"/>
  <c r="T44" i="2"/>
  <c r="U44" i="2"/>
  <c r="V46" i="2"/>
  <c r="U46" i="2"/>
  <c r="T46" i="2"/>
  <c r="V55" i="2"/>
  <c r="T55" i="2"/>
  <c r="U55" i="2"/>
  <c r="V43" i="2"/>
  <c r="T43" i="2"/>
  <c r="U43" i="2"/>
  <c r="V31" i="2"/>
  <c r="T31" i="2"/>
  <c r="U31" i="2"/>
  <c r="V54" i="2"/>
  <c r="T54" i="2"/>
  <c r="U54" i="2"/>
  <c r="T39" i="2"/>
  <c r="V39" i="2"/>
  <c r="U39" i="2"/>
  <c r="V30" i="2"/>
  <c r="T30" i="2"/>
  <c r="U30" i="2"/>
  <c r="V53" i="2"/>
  <c r="T53" i="2"/>
  <c r="U53" i="2"/>
  <c r="U38" i="2"/>
  <c r="T38" i="2"/>
  <c r="V38" i="2"/>
  <c r="U37" i="2"/>
  <c r="T37" i="2"/>
  <c r="V37" i="2"/>
  <c r="V40" i="2"/>
  <c r="T40" i="2"/>
  <c r="U40" i="2"/>
  <c r="V51" i="2"/>
  <c r="T51" i="2"/>
  <c r="U51" i="2"/>
  <c r="V50" i="2"/>
  <c r="U50" i="2"/>
  <c r="T50" i="2"/>
  <c r="V52" i="2"/>
  <c r="U52" i="2"/>
  <c r="T52" i="2"/>
  <c r="V49" i="2"/>
  <c r="U49" i="2"/>
  <c r="T49" i="2"/>
  <c r="V48" i="2"/>
  <c r="U48" i="2"/>
  <c r="T48" i="2"/>
  <c r="V32" i="2"/>
  <c r="T32" i="2"/>
  <c r="U32" i="2"/>
  <c r="V47" i="2"/>
  <c r="U47" i="2"/>
  <c r="T47" i="2"/>
  <c r="U35" i="2"/>
  <c r="V35" i="2"/>
  <c r="T35" i="2"/>
  <c r="V58" i="2"/>
  <c r="U58" i="2"/>
  <c r="T58" i="2"/>
  <c r="V57" i="2"/>
  <c r="T57" i="2"/>
  <c r="U57" i="2"/>
  <c r="V10" i="2"/>
  <c r="T10" i="2"/>
  <c r="U10" i="2"/>
  <c r="V20" i="2"/>
  <c r="T20" i="2"/>
  <c r="U20" i="2"/>
  <c r="V16" i="2"/>
  <c r="T16" i="2"/>
  <c r="U16" i="2"/>
  <c r="V14" i="2"/>
  <c r="U14" i="2"/>
  <c r="T14" i="2"/>
  <c r="V18" i="2"/>
  <c r="T18" i="2"/>
  <c r="U18" i="2"/>
  <c r="V13" i="2"/>
  <c r="U13" i="2"/>
  <c r="T13" i="2"/>
  <c r="V17" i="2"/>
  <c r="U17" i="2"/>
  <c r="T17" i="2"/>
  <c r="V12" i="2"/>
  <c r="U12" i="2"/>
  <c r="T12" i="2"/>
  <c r="V28" i="2"/>
  <c r="U28" i="2"/>
  <c r="T28" i="2"/>
  <c r="V19" i="2"/>
  <c r="U19" i="2"/>
  <c r="T19" i="2"/>
  <c r="V29" i="2"/>
  <c r="T29" i="2"/>
  <c r="U29" i="2"/>
  <c r="V11" i="2"/>
  <c r="U11" i="2"/>
  <c r="T11" i="2"/>
  <c r="V15" i="2"/>
  <c r="T15" i="2"/>
  <c r="U15" i="2"/>
  <c r="T27" i="2"/>
  <c r="V27" i="2"/>
  <c r="U27" i="2"/>
  <c r="V26" i="2"/>
  <c r="U26" i="2"/>
  <c r="T26" i="2"/>
  <c r="V9" i="2"/>
  <c r="T9" i="2"/>
  <c r="U9" i="2"/>
  <c r="Q4" i="4"/>
  <c r="Q16" i="4"/>
  <c r="P15" i="4"/>
  <c r="O14" i="4"/>
  <c r="N13" i="4"/>
  <c r="Q5" i="4"/>
  <c r="Q17" i="4"/>
  <c r="P4" i="4"/>
  <c r="P16" i="4"/>
  <c r="O15" i="4"/>
  <c r="N14" i="4"/>
  <c r="Q6" i="4"/>
  <c r="P5" i="4"/>
  <c r="P17" i="4"/>
  <c r="O4" i="4"/>
  <c r="O16" i="4"/>
  <c r="N15" i="4"/>
  <c r="Q7" i="4"/>
  <c r="P6" i="4"/>
  <c r="O5" i="4"/>
  <c r="O17" i="4"/>
  <c r="N4" i="4"/>
  <c r="N16" i="4"/>
  <c r="Q8" i="4"/>
  <c r="P7" i="4"/>
  <c r="O6" i="4"/>
  <c r="N5" i="4"/>
  <c r="N17" i="4"/>
  <c r="Q9" i="4"/>
  <c r="P8" i="4"/>
  <c r="O7" i="4"/>
  <c r="N6" i="4"/>
  <c r="Q10" i="4"/>
  <c r="P9" i="4"/>
  <c r="O8" i="4"/>
  <c r="N7" i="4"/>
  <c r="Q11" i="4"/>
  <c r="P10" i="4"/>
  <c r="O9" i="4"/>
  <c r="N8" i="4"/>
  <c r="Q12" i="4"/>
  <c r="P11" i="4"/>
  <c r="O10" i="4"/>
  <c r="N9" i="4"/>
  <c r="Q13" i="4"/>
  <c r="P12" i="4"/>
  <c r="O11" i="4"/>
  <c r="N10" i="4"/>
  <c r="Q14" i="4"/>
  <c r="P13" i="4"/>
  <c r="O12" i="4"/>
  <c r="N11" i="4"/>
  <c r="Q15" i="4"/>
  <c r="P14" i="4"/>
  <c r="O13" i="4"/>
  <c r="N12" i="4"/>
  <c r="V25" i="2"/>
  <c r="U25" i="2"/>
  <c r="T25" i="2"/>
  <c r="V24" i="2"/>
  <c r="U24" i="2"/>
  <c r="T24" i="2"/>
  <c r="V22" i="2"/>
  <c r="T22" i="2"/>
  <c r="U22" i="2"/>
  <c r="V23" i="2"/>
  <c r="U23" i="2"/>
  <c r="T23" i="2"/>
  <c r="V21" i="2"/>
  <c r="U21" i="2"/>
  <c r="T21" i="2"/>
  <c r="A1" i="6"/>
  <c r="E4" i="2"/>
  <c r="A21" i="1"/>
  <c r="M59" i="7"/>
  <c r="K59" i="7"/>
  <c r="I59" i="7"/>
  <c r="H59" i="7"/>
  <c r="N59" i="7" s="1"/>
  <c r="F59" i="7"/>
  <c r="E59" i="7"/>
  <c r="D59" i="7"/>
  <c r="D58" i="7"/>
  <c r="E58" i="7"/>
  <c r="F58" i="7"/>
  <c r="H58" i="7"/>
  <c r="J58" i="7" s="1"/>
  <c r="I58" i="7"/>
  <c r="K58" i="7"/>
  <c r="M58" i="7"/>
  <c r="D57" i="7"/>
  <c r="E57" i="7"/>
  <c r="F57" i="7"/>
  <c r="H57" i="7"/>
  <c r="J57" i="7" s="1"/>
  <c r="I57" i="7"/>
  <c r="K57" i="7"/>
  <c r="M57" i="7"/>
  <c r="H56" i="7"/>
  <c r="J56" i="7" s="1"/>
  <c r="I56" i="7"/>
  <c r="K56" i="7"/>
  <c r="M56" i="7"/>
  <c r="D55" i="7"/>
  <c r="E55" i="7"/>
  <c r="F55" i="7"/>
  <c r="H55" i="7"/>
  <c r="L55" i="7" s="1"/>
  <c r="I55" i="7"/>
  <c r="K55" i="7"/>
  <c r="M55" i="7"/>
  <c r="D54" i="7"/>
  <c r="E54" i="7"/>
  <c r="F54" i="7"/>
  <c r="H54" i="7"/>
  <c r="J54" i="7" s="1"/>
  <c r="I54" i="7"/>
  <c r="K54" i="7"/>
  <c r="M54" i="7"/>
  <c r="D53" i="7"/>
  <c r="E53" i="7"/>
  <c r="F53" i="7"/>
  <c r="H53" i="7"/>
  <c r="J53" i="7" s="1"/>
  <c r="I53" i="7"/>
  <c r="K53" i="7"/>
  <c r="M53" i="7"/>
  <c r="D52" i="7"/>
  <c r="E52" i="7"/>
  <c r="F52" i="7"/>
  <c r="H52" i="7"/>
  <c r="J52" i="7" s="1"/>
  <c r="I52" i="7"/>
  <c r="K52" i="7"/>
  <c r="M52" i="7"/>
  <c r="H51" i="7"/>
  <c r="J51" i="7" s="1"/>
  <c r="I51" i="7"/>
  <c r="K51" i="7"/>
  <c r="M51" i="7"/>
  <c r="D50" i="7"/>
  <c r="E50" i="7"/>
  <c r="F50" i="7"/>
  <c r="H50" i="7"/>
  <c r="J50" i="7" s="1"/>
  <c r="I50" i="7"/>
  <c r="K50" i="7"/>
  <c r="M50" i="7"/>
  <c r="D49" i="7"/>
  <c r="E49" i="7"/>
  <c r="F49" i="7"/>
  <c r="H49" i="7"/>
  <c r="J49" i="7" s="1"/>
  <c r="I49" i="7"/>
  <c r="K49" i="7"/>
  <c r="M49" i="7"/>
  <c r="D48" i="7"/>
  <c r="E48" i="7"/>
  <c r="F48" i="7"/>
  <c r="H48" i="7"/>
  <c r="J48" i="7" s="1"/>
  <c r="I48" i="7"/>
  <c r="K48" i="7"/>
  <c r="M48" i="7"/>
  <c r="D47" i="7"/>
  <c r="E47" i="7"/>
  <c r="F47" i="7"/>
  <c r="H47" i="7"/>
  <c r="J47" i="7" s="1"/>
  <c r="I47" i="7"/>
  <c r="K47" i="7"/>
  <c r="M47" i="7"/>
  <c r="D46" i="7"/>
  <c r="E46" i="7"/>
  <c r="F46" i="7"/>
  <c r="H46" i="7"/>
  <c r="J46" i="7" s="1"/>
  <c r="I46" i="7"/>
  <c r="K46" i="7"/>
  <c r="M46" i="7"/>
  <c r="D45" i="7"/>
  <c r="E45" i="7"/>
  <c r="F45" i="7"/>
  <c r="H45" i="7"/>
  <c r="J45" i="7" s="1"/>
  <c r="I45" i="7"/>
  <c r="K45" i="7"/>
  <c r="M45" i="7"/>
  <c r="D44" i="7"/>
  <c r="E44" i="7"/>
  <c r="F44" i="7"/>
  <c r="H44" i="7"/>
  <c r="J44" i="7" s="1"/>
  <c r="I44" i="7"/>
  <c r="K44" i="7"/>
  <c r="M44" i="7"/>
  <c r="D43" i="7"/>
  <c r="E43" i="7"/>
  <c r="F43" i="7"/>
  <c r="H43" i="7"/>
  <c r="L43" i="7" s="1"/>
  <c r="I43" i="7"/>
  <c r="K43" i="7"/>
  <c r="M43" i="7"/>
  <c r="D42" i="7"/>
  <c r="E42" i="7"/>
  <c r="F42" i="7"/>
  <c r="H42" i="7"/>
  <c r="N42" i="7" s="1"/>
  <c r="I42" i="7"/>
  <c r="K42" i="7"/>
  <c r="M42" i="7"/>
  <c r="D41" i="7"/>
  <c r="E41" i="7"/>
  <c r="F41" i="7"/>
  <c r="H41" i="7"/>
  <c r="N41" i="7" s="1"/>
  <c r="I41" i="7"/>
  <c r="K41" i="7"/>
  <c r="M41" i="7"/>
  <c r="D40" i="7"/>
  <c r="E40" i="7"/>
  <c r="F40" i="7"/>
  <c r="H40" i="7"/>
  <c r="N40" i="7" s="1"/>
  <c r="I40" i="7"/>
  <c r="K40" i="7"/>
  <c r="M40" i="7"/>
  <c r="D39" i="7"/>
  <c r="E39" i="7"/>
  <c r="F39" i="7"/>
  <c r="H39" i="7"/>
  <c r="N39" i="7" s="1"/>
  <c r="I39" i="7"/>
  <c r="K39" i="7"/>
  <c r="M39" i="7"/>
  <c r="D38" i="7"/>
  <c r="E38" i="7"/>
  <c r="F38" i="7"/>
  <c r="H38" i="7"/>
  <c r="J38" i="7" s="1"/>
  <c r="I38" i="7"/>
  <c r="K38" i="7"/>
  <c r="M38" i="7"/>
  <c r="D37" i="7"/>
  <c r="E37" i="7"/>
  <c r="F37" i="7"/>
  <c r="H37" i="7"/>
  <c r="L37" i="7" s="1"/>
  <c r="I37" i="7"/>
  <c r="K37" i="7"/>
  <c r="M37" i="7"/>
  <c r="D36" i="7"/>
  <c r="E36" i="7"/>
  <c r="F36" i="7"/>
  <c r="H36" i="7"/>
  <c r="L36" i="7" s="1"/>
  <c r="I36" i="7"/>
  <c r="K36" i="7"/>
  <c r="M36" i="7"/>
  <c r="D35" i="7"/>
  <c r="E35" i="7"/>
  <c r="F35" i="7"/>
  <c r="H35" i="7"/>
  <c r="L35" i="7" s="1"/>
  <c r="I35" i="7"/>
  <c r="K35" i="7"/>
  <c r="M35" i="7"/>
  <c r="D34" i="7"/>
  <c r="E34" i="7"/>
  <c r="F34" i="7"/>
  <c r="H34" i="7"/>
  <c r="J34" i="7" s="1"/>
  <c r="I34" i="7"/>
  <c r="K34" i="7"/>
  <c r="M34" i="7"/>
  <c r="D33" i="7"/>
  <c r="E33" i="7"/>
  <c r="F33" i="7"/>
  <c r="H33" i="7"/>
  <c r="L33" i="7" s="1"/>
  <c r="I33" i="7"/>
  <c r="K33" i="7"/>
  <c r="M33" i="7"/>
  <c r="D32" i="7"/>
  <c r="E32" i="7"/>
  <c r="F32" i="7"/>
  <c r="H32" i="7"/>
  <c r="J32" i="7" s="1"/>
  <c r="I32" i="7"/>
  <c r="K32" i="7"/>
  <c r="M32" i="7"/>
  <c r="D31" i="7"/>
  <c r="E31" i="7"/>
  <c r="F31" i="7"/>
  <c r="H31" i="7"/>
  <c r="J31" i="7" s="1"/>
  <c r="I31" i="7"/>
  <c r="K31" i="7"/>
  <c r="M31" i="7"/>
  <c r="D30" i="7"/>
  <c r="E30" i="7"/>
  <c r="F30" i="7"/>
  <c r="H30" i="7"/>
  <c r="L30" i="7" s="1"/>
  <c r="I30" i="7"/>
  <c r="K30" i="7"/>
  <c r="M30" i="7"/>
  <c r="D29" i="7"/>
  <c r="E29" i="7"/>
  <c r="F29" i="7"/>
  <c r="H29" i="7"/>
  <c r="J29" i="7" s="1"/>
  <c r="I29" i="7"/>
  <c r="K29" i="7"/>
  <c r="M29" i="7"/>
  <c r="D28" i="7"/>
  <c r="E28" i="7"/>
  <c r="F28" i="7"/>
  <c r="H28" i="7"/>
  <c r="N28" i="7" s="1"/>
  <c r="I28" i="7"/>
  <c r="K28" i="7"/>
  <c r="M28" i="7"/>
  <c r="D27" i="7"/>
  <c r="E27" i="7"/>
  <c r="F27" i="7"/>
  <c r="H27" i="7"/>
  <c r="J27" i="7" s="1"/>
  <c r="I27" i="7"/>
  <c r="K27" i="7"/>
  <c r="M27" i="7"/>
  <c r="D26" i="7"/>
  <c r="E26" i="7"/>
  <c r="F26" i="7"/>
  <c r="H26" i="7"/>
  <c r="J26" i="7" s="1"/>
  <c r="I26" i="7"/>
  <c r="K26" i="7"/>
  <c r="M26" i="7"/>
  <c r="D25" i="7"/>
  <c r="E25" i="7"/>
  <c r="F25" i="7"/>
  <c r="H25" i="7"/>
  <c r="J25" i="7" s="1"/>
  <c r="I25" i="7"/>
  <c r="K25" i="7"/>
  <c r="M25" i="7"/>
  <c r="D24" i="7"/>
  <c r="E24" i="7"/>
  <c r="F24" i="7"/>
  <c r="H24" i="7"/>
  <c r="L24" i="7" s="1"/>
  <c r="I24" i="7"/>
  <c r="K24" i="7"/>
  <c r="M24" i="7"/>
  <c r="D23" i="7"/>
  <c r="E23" i="7"/>
  <c r="F23" i="7"/>
  <c r="H23" i="7"/>
  <c r="J23" i="7" s="1"/>
  <c r="I23" i="7"/>
  <c r="K23" i="7"/>
  <c r="M23" i="7"/>
  <c r="K7" i="2"/>
  <c r="A1486" i="2"/>
  <c r="P1486" i="2" s="1"/>
  <c r="A1487" i="2"/>
  <c r="P1487" i="2" s="1"/>
  <c r="A1488" i="2"/>
  <c r="P1488" i="2" s="1"/>
  <c r="A1489" i="2"/>
  <c r="P1489" i="2" s="1"/>
  <c r="A1490" i="2"/>
  <c r="P1490" i="2" s="1"/>
  <c r="Q1490" i="2" s="1"/>
  <c r="A1491" i="2"/>
  <c r="P1491" i="2" s="1"/>
  <c r="A1492" i="2"/>
  <c r="P1492" i="2" s="1"/>
  <c r="A1493" i="2"/>
  <c r="P1493" i="2" s="1"/>
  <c r="A1494" i="2"/>
  <c r="P1494" i="2" s="1"/>
  <c r="A1495" i="2"/>
  <c r="P1495" i="2" s="1"/>
  <c r="A1496" i="2"/>
  <c r="P1496" i="2" s="1"/>
  <c r="Q1496" i="2" s="1"/>
  <c r="A1497" i="2"/>
  <c r="P1497" i="2" s="1"/>
  <c r="A1498" i="2"/>
  <c r="P1498" i="2" s="1"/>
  <c r="A1499" i="2"/>
  <c r="P1499" i="2" s="1"/>
  <c r="A1500" i="2"/>
  <c r="P1500" i="2" s="1"/>
  <c r="A2" i="8"/>
  <c r="B9" i="5" l="1" a="1"/>
  <c r="Q42" i="7"/>
  <c r="P33" i="7"/>
  <c r="O57" i="7"/>
  <c r="P30" i="7"/>
  <c r="P24" i="7"/>
  <c r="Q1491" i="2"/>
  <c r="Q1499" i="2"/>
  <c r="Q1487" i="2"/>
  <c r="O34" i="7"/>
  <c r="Q1495" i="2"/>
  <c r="O29" i="7"/>
  <c r="O26" i="7"/>
  <c r="O38" i="7"/>
  <c r="Q1500" i="2"/>
  <c r="Q1494" i="2"/>
  <c r="Q1488" i="2"/>
  <c r="Q1498" i="2"/>
  <c r="Q1492" i="2"/>
  <c r="Q1486" i="2"/>
  <c r="Q1497" i="2"/>
  <c r="Q1493" i="2"/>
  <c r="Q1489" i="2"/>
  <c r="J30" i="7"/>
  <c r="O30" i="7" s="1"/>
  <c r="O47" i="7"/>
  <c r="J24" i="7"/>
  <c r="O24" i="7" s="1"/>
  <c r="N29" i="7"/>
  <c r="Q29" i="7" s="1"/>
  <c r="L29" i="7"/>
  <c r="P29" i="7" s="1"/>
  <c r="N27" i="7"/>
  <c r="Q27" i="7" s="1"/>
  <c r="P36" i="7"/>
  <c r="Q41" i="7"/>
  <c r="N23" i="7"/>
  <c r="Q23" i="7" s="1"/>
  <c r="J40" i="7"/>
  <c r="O40" i="7" s="1"/>
  <c r="L26" i="7"/>
  <c r="P26" i="7" s="1"/>
  <c r="L32" i="7"/>
  <c r="P32" i="7" s="1"/>
  <c r="L23" i="7"/>
  <c r="P23" i="7" s="1"/>
  <c r="J37" i="7"/>
  <c r="O37" i="7" s="1"/>
  <c r="Q59" i="7"/>
  <c r="L28" i="7"/>
  <c r="P28" i="7" s="1"/>
  <c r="Q39" i="7"/>
  <c r="J59" i="7"/>
  <c r="O59" i="7" s="1"/>
  <c r="L39" i="7"/>
  <c r="P39" i="7" s="1"/>
  <c r="O46" i="7"/>
  <c r="O23" i="7"/>
  <c r="J28" i="7"/>
  <c r="O28" i="7" s="1"/>
  <c r="J43" i="7"/>
  <c r="O43" i="7" s="1"/>
  <c r="O48" i="7"/>
  <c r="P55" i="7"/>
  <c r="O58" i="7"/>
  <c r="L59" i="7"/>
  <c r="P59" i="7" s="1"/>
  <c r="N26" i="7"/>
  <c r="Q26" i="7" s="1"/>
  <c r="L27" i="7"/>
  <c r="P27" i="7" s="1"/>
  <c r="N32" i="7"/>
  <c r="Q32" i="7" s="1"/>
  <c r="J33" i="7"/>
  <c r="O33" i="7" s="1"/>
  <c r="J36" i="7"/>
  <c r="O36" i="7" s="1"/>
  <c r="J39" i="7"/>
  <c r="O39" i="7" s="1"/>
  <c r="J55" i="7"/>
  <c r="O55" i="7" s="1"/>
  <c r="L42" i="7"/>
  <c r="P42" i="7" s="1"/>
  <c r="P43" i="7"/>
  <c r="O50" i="7"/>
  <c r="N25" i="7"/>
  <c r="Q25" i="7" s="1"/>
  <c r="O27" i="7"/>
  <c r="P35" i="7"/>
  <c r="J42" i="7"/>
  <c r="O42" i="7" s="1"/>
  <c r="O45" i="7"/>
  <c r="N31" i="7"/>
  <c r="Q31" i="7" s="1"/>
  <c r="N24" i="7"/>
  <c r="Q24" i="7" s="1"/>
  <c r="L25" i="7"/>
  <c r="P25" i="7" s="1"/>
  <c r="N30" i="7"/>
  <c r="Q30" i="7" s="1"/>
  <c r="L31" i="7"/>
  <c r="P31" i="7" s="1"/>
  <c r="J35" i="7"/>
  <c r="O35" i="7" s="1"/>
  <c r="L41" i="7"/>
  <c r="P41" i="7" s="1"/>
  <c r="O32" i="7"/>
  <c r="J41" i="7"/>
  <c r="O41" i="7" s="1"/>
  <c r="Q28" i="7"/>
  <c r="L34" i="7"/>
  <c r="P34" i="7" s="1"/>
  <c r="P37" i="7"/>
  <c r="L40" i="7"/>
  <c r="P40" i="7" s="1"/>
  <c r="O44" i="7"/>
  <c r="O49" i="7"/>
  <c r="O52" i="7"/>
  <c r="O54" i="7"/>
  <c r="Q40" i="7"/>
  <c r="O51" i="7"/>
  <c r="O56" i="7"/>
  <c r="O53" i="7"/>
  <c r="O31" i="7"/>
  <c r="N46" i="7"/>
  <c r="Q46" i="7" s="1"/>
  <c r="N58" i="7"/>
  <c r="Q58" i="7" s="1"/>
  <c r="N45" i="7"/>
  <c r="Q45" i="7" s="1"/>
  <c r="N47" i="7"/>
  <c r="Q47" i="7" s="1"/>
  <c r="N48" i="7"/>
  <c r="Q48" i="7" s="1"/>
  <c r="N49" i="7"/>
  <c r="Q49" i="7" s="1"/>
  <c r="N57" i="7"/>
  <c r="Q57" i="7" s="1"/>
  <c r="O25" i="7"/>
  <c r="N44" i="7"/>
  <c r="Q44" i="7" s="1"/>
  <c r="L46" i="7"/>
  <c r="P46" i="7" s="1"/>
  <c r="N50" i="7"/>
  <c r="Q50" i="7" s="1"/>
  <c r="N56" i="7"/>
  <c r="Q56" i="7" s="1"/>
  <c r="L58" i="7"/>
  <c r="P58" i="7" s="1"/>
  <c r="N43" i="7"/>
  <c r="Q43" i="7" s="1"/>
  <c r="L45" i="7"/>
  <c r="P45" i="7" s="1"/>
  <c r="L47" i="7"/>
  <c r="P47" i="7" s="1"/>
  <c r="L48" i="7"/>
  <c r="P48" i="7" s="1"/>
  <c r="L49" i="7"/>
  <c r="P49" i="7" s="1"/>
  <c r="N51" i="7"/>
  <c r="Q51" i="7" s="1"/>
  <c r="N55" i="7"/>
  <c r="Q55" i="7" s="1"/>
  <c r="L57" i="7"/>
  <c r="P57" i="7" s="1"/>
  <c r="N38" i="7"/>
  <c r="Q38" i="7" s="1"/>
  <c r="L44" i="7"/>
  <c r="P44" i="7" s="1"/>
  <c r="L50" i="7"/>
  <c r="P50" i="7" s="1"/>
  <c r="N52" i="7"/>
  <c r="Q52" i="7" s="1"/>
  <c r="N53" i="7"/>
  <c r="Q53" i="7" s="1"/>
  <c r="N54" i="7"/>
  <c r="Q54" i="7" s="1"/>
  <c r="L56" i="7"/>
  <c r="P56" i="7" s="1"/>
  <c r="N34" i="7"/>
  <c r="Q34" i="7" s="1"/>
  <c r="L51" i="7"/>
  <c r="P51" i="7" s="1"/>
  <c r="N33" i="7"/>
  <c r="Q33" i="7" s="1"/>
  <c r="N35" i="7"/>
  <c r="Q35" i="7" s="1"/>
  <c r="N36" i="7"/>
  <c r="Q36" i="7" s="1"/>
  <c r="N37" i="7"/>
  <c r="Q37" i="7" s="1"/>
  <c r="L38" i="7"/>
  <c r="P38" i="7" s="1"/>
  <c r="L52" i="7"/>
  <c r="P52" i="7" s="1"/>
  <c r="L53" i="7"/>
  <c r="P53" i="7" s="1"/>
  <c r="L54" i="7"/>
  <c r="P54" i="7" s="1"/>
  <c r="J108" i="8"/>
  <c r="I108" i="8"/>
  <c r="C108" i="8"/>
  <c r="B108" i="8"/>
  <c r="L7" i="8"/>
  <c r="N7" i="8" s="1"/>
  <c r="L8" i="8"/>
  <c r="N8" i="8" s="1"/>
  <c r="L9" i="8"/>
  <c r="N9" i="8" s="1"/>
  <c r="L10" i="8"/>
  <c r="N10" i="8" s="1"/>
  <c r="L11" i="8"/>
  <c r="N11" i="8" s="1"/>
  <c r="L12" i="8"/>
  <c r="N12" i="8" s="1"/>
  <c r="L13" i="8"/>
  <c r="N13" i="8" s="1"/>
  <c r="L14" i="8"/>
  <c r="N14" i="8" s="1"/>
  <c r="L15" i="8"/>
  <c r="N15" i="8" s="1"/>
  <c r="L16" i="8"/>
  <c r="N16" i="8" s="1"/>
  <c r="L17" i="8"/>
  <c r="N17" i="8" s="1"/>
  <c r="L18" i="8"/>
  <c r="N18" i="8" s="1"/>
  <c r="L19" i="8"/>
  <c r="N19" i="8" s="1"/>
  <c r="L20" i="8"/>
  <c r="N20" i="8" s="1"/>
  <c r="L21" i="8"/>
  <c r="N21" i="8" s="1"/>
  <c r="L22" i="8"/>
  <c r="N22" i="8" s="1"/>
  <c r="L23" i="8"/>
  <c r="N23" i="8" s="1"/>
  <c r="L24" i="8"/>
  <c r="N24" i="8" s="1"/>
  <c r="L25" i="8"/>
  <c r="N25" i="8" s="1"/>
  <c r="L26" i="8"/>
  <c r="N26" i="8" s="1"/>
  <c r="L27" i="8"/>
  <c r="N27" i="8" s="1"/>
  <c r="L28" i="8"/>
  <c r="N28" i="8" s="1"/>
  <c r="L29" i="8"/>
  <c r="N29" i="8" s="1"/>
  <c r="L30" i="8"/>
  <c r="N30" i="8" s="1"/>
  <c r="L31" i="8"/>
  <c r="N31" i="8" s="1"/>
  <c r="L32" i="8"/>
  <c r="N32" i="8" s="1"/>
  <c r="L33" i="8"/>
  <c r="N33" i="8" s="1"/>
  <c r="L34" i="8"/>
  <c r="N34" i="8" s="1"/>
  <c r="L35" i="8"/>
  <c r="N35" i="8" s="1"/>
  <c r="L36" i="8"/>
  <c r="N36" i="8" s="1"/>
  <c r="L37" i="8"/>
  <c r="N37" i="8" s="1"/>
  <c r="L38" i="8"/>
  <c r="N38" i="8" s="1"/>
  <c r="L39" i="8"/>
  <c r="N39" i="8" s="1"/>
  <c r="L40" i="8"/>
  <c r="N40" i="8" s="1"/>
  <c r="L41" i="8"/>
  <c r="N41" i="8" s="1"/>
  <c r="L42" i="8"/>
  <c r="N42" i="8" s="1"/>
  <c r="L43" i="8"/>
  <c r="N43" i="8" s="1"/>
  <c r="L44" i="8"/>
  <c r="N44" i="8" s="1"/>
  <c r="L45" i="8"/>
  <c r="N45" i="8" s="1"/>
  <c r="L46" i="8"/>
  <c r="N46" i="8" s="1"/>
  <c r="L47" i="8"/>
  <c r="N47" i="8" s="1"/>
  <c r="L48" i="8"/>
  <c r="N48" i="8" s="1"/>
  <c r="L49" i="8"/>
  <c r="N49" i="8" s="1"/>
  <c r="L50" i="8"/>
  <c r="N50" i="8" s="1"/>
  <c r="L51" i="8"/>
  <c r="N51" i="8" s="1"/>
  <c r="L52" i="8"/>
  <c r="N52" i="8" s="1"/>
  <c r="L53" i="8"/>
  <c r="N53" i="8" s="1"/>
  <c r="L54" i="8"/>
  <c r="N54" i="8" s="1"/>
  <c r="L55" i="8"/>
  <c r="N55" i="8" s="1"/>
  <c r="L56" i="8"/>
  <c r="N56" i="8" s="1"/>
  <c r="L57" i="8"/>
  <c r="N57" i="8" s="1"/>
  <c r="L58" i="8"/>
  <c r="N58" i="8" s="1"/>
  <c r="L59" i="8"/>
  <c r="N59" i="8" s="1"/>
  <c r="L60" i="8"/>
  <c r="N60" i="8" s="1"/>
  <c r="L61" i="8"/>
  <c r="N61" i="8" s="1"/>
  <c r="L62" i="8"/>
  <c r="N62" i="8" s="1"/>
  <c r="L63" i="8"/>
  <c r="N63" i="8" s="1"/>
  <c r="L64" i="8"/>
  <c r="N64" i="8" s="1"/>
  <c r="L65" i="8"/>
  <c r="N65" i="8" s="1"/>
  <c r="L66" i="8"/>
  <c r="N66" i="8" s="1"/>
  <c r="L67" i="8"/>
  <c r="N67" i="8" s="1"/>
  <c r="L68" i="8"/>
  <c r="N68" i="8" s="1"/>
  <c r="L69" i="8"/>
  <c r="N69" i="8" s="1"/>
  <c r="L70" i="8"/>
  <c r="N70" i="8" s="1"/>
  <c r="L71" i="8"/>
  <c r="N71" i="8" s="1"/>
  <c r="L72" i="8"/>
  <c r="N72" i="8" s="1"/>
  <c r="L73" i="8"/>
  <c r="N73" i="8" s="1"/>
  <c r="L74" i="8"/>
  <c r="N74" i="8" s="1"/>
  <c r="L75" i="8"/>
  <c r="N75" i="8" s="1"/>
  <c r="L76" i="8"/>
  <c r="N76" i="8" s="1"/>
  <c r="L77" i="8"/>
  <c r="N77" i="8" s="1"/>
  <c r="L78" i="8"/>
  <c r="N78" i="8" s="1"/>
  <c r="L79" i="8"/>
  <c r="N79" i="8" s="1"/>
  <c r="L80" i="8"/>
  <c r="N80" i="8" s="1"/>
  <c r="L81" i="8"/>
  <c r="N81" i="8" s="1"/>
  <c r="L82" i="8"/>
  <c r="N82" i="8" s="1"/>
  <c r="L83" i="8"/>
  <c r="N83" i="8" s="1"/>
  <c r="L84" i="8"/>
  <c r="N84" i="8" s="1"/>
  <c r="L85" i="8"/>
  <c r="N85" i="8" s="1"/>
  <c r="L86" i="8"/>
  <c r="N86" i="8" s="1"/>
  <c r="L87" i="8"/>
  <c r="N87" i="8" s="1"/>
  <c r="L88" i="8"/>
  <c r="N88" i="8" s="1"/>
  <c r="L89" i="8"/>
  <c r="N89" i="8" s="1"/>
  <c r="L90" i="8"/>
  <c r="N90" i="8" s="1"/>
  <c r="L91" i="8"/>
  <c r="N91" i="8" s="1"/>
  <c r="L92" i="8"/>
  <c r="N92" i="8" s="1"/>
  <c r="L93" i="8"/>
  <c r="N93" i="8" s="1"/>
  <c r="L94" i="8"/>
  <c r="N94" i="8" s="1"/>
  <c r="L95" i="8"/>
  <c r="N95" i="8" s="1"/>
  <c r="L96" i="8"/>
  <c r="N96" i="8" s="1"/>
  <c r="L97" i="8"/>
  <c r="N97" i="8" s="1"/>
  <c r="L98" i="8"/>
  <c r="N98" i="8" s="1"/>
  <c r="L99" i="8"/>
  <c r="N99" i="8" s="1"/>
  <c r="L100" i="8"/>
  <c r="N100" i="8" s="1"/>
  <c r="L101" i="8"/>
  <c r="N101" i="8" s="1"/>
  <c r="L102" i="8"/>
  <c r="N102" i="8" s="1"/>
  <c r="L103" i="8"/>
  <c r="N103" i="8" s="1"/>
  <c r="L104" i="8"/>
  <c r="N104" i="8" s="1"/>
  <c r="L105" i="8"/>
  <c r="N105" i="8" s="1"/>
  <c r="L106" i="8"/>
  <c r="N106" i="8" s="1"/>
  <c r="L107" i="8"/>
  <c r="N107" i="8" s="1"/>
  <c r="L6" i="8"/>
  <c r="N6" i="8" s="1"/>
  <c r="K7" i="8"/>
  <c r="M7" i="8" s="1"/>
  <c r="K8" i="8"/>
  <c r="M8" i="8" s="1"/>
  <c r="K9" i="8"/>
  <c r="M9" i="8" s="1"/>
  <c r="K10" i="8"/>
  <c r="M10" i="8" s="1"/>
  <c r="K11" i="8"/>
  <c r="M11" i="8" s="1"/>
  <c r="K12" i="8"/>
  <c r="M12" i="8" s="1"/>
  <c r="K13" i="8"/>
  <c r="M13" i="8" s="1"/>
  <c r="K14" i="8"/>
  <c r="M14" i="8" s="1"/>
  <c r="K15" i="8"/>
  <c r="M15" i="8" s="1"/>
  <c r="K16" i="8"/>
  <c r="M16" i="8" s="1"/>
  <c r="K17" i="8"/>
  <c r="M17" i="8" s="1"/>
  <c r="K18" i="8"/>
  <c r="M18" i="8" s="1"/>
  <c r="K19" i="8"/>
  <c r="M19" i="8" s="1"/>
  <c r="K20" i="8"/>
  <c r="M20" i="8" s="1"/>
  <c r="K21" i="8"/>
  <c r="M21" i="8" s="1"/>
  <c r="K22" i="8"/>
  <c r="M22" i="8" s="1"/>
  <c r="K23" i="8"/>
  <c r="M23" i="8" s="1"/>
  <c r="K24" i="8"/>
  <c r="M24" i="8" s="1"/>
  <c r="K25" i="8"/>
  <c r="M25" i="8" s="1"/>
  <c r="K26" i="8"/>
  <c r="M26" i="8" s="1"/>
  <c r="K27" i="8"/>
  <c r="M27" i="8" s="1"/>
  <c r="K28" i="8"/>
  <c r="M28" i="8" s="1"/>
  <c r="K29" i="8"/>
  <c r="M29" i="8" s="1"/>
  <c r="K30" i="8"/>
  <c r="M30" i="8" s="1"/>
  <c r="K31" i="8"/>
  <c r="M31" i="8" s="1"/>
  <c r="K32" i="8"/>
  <c r="M32" i="8" s="1"/>
  <c r="K33" i="8"/>
  <c r="M33" i="8" s="1"/>
  <c r="K34" i="8"/>
  <c r="M34" i="8" s="1"/>
  <c r="K35" i="8"/>
  <c r="M35" i="8" s="1"/>
  <c r="K36" i="8"/>
  <c r="M36" i="8" s="1"/>
  <c r="K37" i="8"/>
  <c r="M37" i="8" s="1"/>
  <c r="K38" i="8"/>
  <c r="M38" i="8" s="1"/>
  <c r="K39" i="8"/>
  <c r="M39" i="8" s="1"/>
  <c r="K40" i="8"/>
  <c r="M40" i="8" s="1"/>
  <c r="K41" i="8"/>
  <c r="M41" i="8" s="1"/>
  <c r="K42" i="8"/>
  <c r="M42" i="8" s="1"/>
  <c r="K43" i="8"/>
  <c r="M43" i="8" s="1"/>
  <c r="K44" i="8"/>
  <c r="M44" i="8" s="1"/>
  <c r="K45" i="8"/>
  <c r="M45" i="8" s="1"/>
  <c r="K46" i="8"/>
  <c r="M46" i="8" s="1"/>
  <c r="K47" i="8"/>
  <c r="M47" i="8" s="1"/>
  <c r="K48" i="8"/>
  <c r="M48" i="8" s="1"/>
  <c r="K49" i="8"/>
  <c r="M49" i="8" s="1"/>
  <c r="K50" i="8"/>
  <c r="M50" i="8" s="1"/>
  <c r="K51" i="8"/>
  <c r="M51" i="8" s="1"/>
  <c r="K52" i="8"/>
  <c r="M52" i="8" s="1"/>
  <c r="K53" i="8"/>
  <c r="M53" i="8" s="1"/>
  <c r="K54" i="8"/>
  <c r="M54" i="8" s="1"/>
  <c r="K55" i="8"/>
  <c r="M55" i="8" s="1"/>
  <c r="K56" i="8"/>
  <c r="M56" i="8" s="1"/>
  <c r="K57" i="8"/>
  <c r="M57" i="8" s="1"/>
  <c r="K58" i="8"/>
  <c r="M58" i="8" s="1"/>
  <c r="K59" i="8"/>
  <c r="M59" i="8" s="1"/>
  <c r="K60" i="8"/>
  <c r="M60" i="8" s="1"/>
  <c r="K61" i="8"/>
  <c r="M61" i="8" s="1"/>
  <c r="K62" i="8"/>
  <c r="M62" i="8" s="1"/>
  <c r="K63" i="8"/>
  <c r="M63" i="8" s="1"/>
  <c r="K64" i="8"/>
  <c r="M64" i="8" s="1"/>
  <c r="K65" i="8"/>
  <c r="M65" i="8" s="1"/>
  <c r="K66" i="8"/>
  <c r="M66" i="8" s="1"/>
  <c r="K67" i="8"/>
  <c r="M67" i="8" s="1"/>
  <c r="K68" i="8"/>
  <c r="M68" i="8" s="1"/>
  <c r="K69" i="8"/>
  <c r="M69" i="8" s="1"/>
  <c r="K70" i="8"/>
  <c r="M70" i="8" s="1"/>
  <c r="K71" i="8"/>
  <c r="M71" i="8" s="1"/>
  <c r="K72" i="8"/>
  <c r="M72" i="8" s="1"/>
  <c r="K73" i="8"/>
  <c r="M73" i="8" s="1"/>
  <c r="K74" i="8"/>
  <c r="M74" i="8" s="1"/>
  <c r="K75" i="8"/>
  <c r="M75" i="8" s="1"/>
  <c r="K76" i="8"/>
  <c r="M76" i="8" s="1"/>
  <c r="K77" i="8"/>
  <c r="M77" i="8" s="1"/>
  <c r="K78" i="8"/>
  <c r="M78" i="8" s="1"/>
  <c r="K79" i="8"/>
  <c r="M79" i="8" s="1"/>
  <c r="K80" i="8"/>
  <c r="M80" i="8" s="1"/>
  <c r="K81" i="8"/>
  <c r="M81" i="8" s="1"/>
  <c r="K82" i="8"/>
  <c r="M82" i="8" s="1"/>
  <c r="K83" i="8"/>
  <c r="M83" i="8" s="1"/>
  <c r="K84" i="8"/>
  <c r="M84" i="8" s="1"/>
  <c r="K85" i="8"/>
  <c r="M85" i="8" s="1"/>
  <c r="K86" i="8"/>
  <c r="M86" i="8" s="1"/>
  <c r="K87" i="8"/>
  <c r="M87" i="8" s="1"/>
  <c r="K88" i="8"/>
  <c r="M88" i="8" s="1"/>
  <c r="K89" i="8"/>
  <c r="M89" i="8" s="1"/>
  <c r="K90" i="8"/>
  <c r="M90" i="8" s="1"/>
  <c r="K91" i="8"/>
  <c r="M91" i="8" s="1"/>
  <c r="K92" i="8"/>
  <c r="M92" i="8" s="1"/>
  <c r="K93" i="8"/>
  <c r="M93" i="8" s="1"/>
  <c r="K94" i="8"/>
  <c r="M94" i="8" s="1"/>
  <c r="K95" i="8"/>
  <c r="M95" i="8" s="1"/>
  <c r="K96" i="8"/>
  <c r="M96" i="8" s="1"/>
  <c r="K97" i="8"/>
  <c r="M97" i="8" s="1"/>
  <c r="K98" i="8"/>
  <c r="M98" i="8" s="1"/>
  <c r="K99" i="8"/>
  <c r="M99" i="8" s="1"/>
  <c r="K100" i="8"/>
  <c r="M100" i="8" s="1"/>
  <c r="K101" i="8"/>
  <c r="M101" i="8" s="1"/>
  <c r="K102" i="8"/>
  <c r="M102" i="8" s="1"/>
  <c r="K103" i="8"/>
  <c r="M103" i="8" s="1"/>
  <c r="K104" i="8"/>
  <c r="M104" i="8" s="1"/>
  <c r="K105" i="8"/>
  <c r="M105" i="8" s="1"/>
  <c r="K106" i="8"/>
  <c r="M106" i="8" s="1"/>
  <c r="K107" i="8"/>
  <c r="M107" i="8" s="1"/>
  <c r="K6" i="8"/>
  <c r="M6" i="8" s="1"/>
  <c r="E7" i="8"/>
  <c r="G7" i="8" s="1"/>
  <c r="E8" i="8"/>
  <c r="G8" i="8" s="1"/>
  <c r="E9" i="8"/>
  <c r="G9" i="8" s="1"/>
  <c r="E10" i="8"/>
  <c r="G10" i="8" s="1"/>
  <c r="E11" i="8"/>
  <c r="G11" i="8" s="1"/>
  <c r="E12" i="8"/>
  <c r="G12" i="8" s="1"/>
  <c r="E13" i="8"/>
  <c r="G13" i="8" s="1"/>
  <c r="E14" i="8"/>
  <c r="G14" i="8" s="1"/>
  <c r="E15" i="8"/>
  <c r="G15" i="8" s="1"/>
  <c r="E16" i="8"/>
  <c r="G16" i="8" s="1"/>
  <c r="E17" i="8"/>
  <c r="G17" i="8" s="1"/>
  <c r="E18" i="8"/>
  <c r="G18" i="8" s="1"/>
  <c r="E19" i="8"/>
  <c r="G19" i="8" s="1"/>
  <c r="E20" i="8"/>
  <c r="G20" i="8" s="1"/>
  <c r="E21" i="8"/>
  <c r="G21" i="8" s="1"/>
  <c r="E22" i="8"/>
  <c r="G22" i="8" s="1"/>
  <c r="E23" i="8"/>
  <c r="G23" i="8" s="1"/>
  <c r="E24" i="8"/>
  <c r="G24" i="8" s="1"/>
  <c r="E25" i="8"/>
  <c r="G25" i="8" s="1"/>
  <c r="E26" i="8"/>
  <c r="G26" i="8" s="1"/>
  <c r="E27" i="8"/>
  <c r="G27" i="8" s="1"/>
  <c r="E28" i="8"/>
  <c r="G28" i="8" s="1"/>
  <c r="E29" i="8"/>
  <c r="G29" i="8" s="1"/>
  <c r="E30" i="8"/>
  <c r="G30" i="8" s="1"/>
  <c r="E31" i="8"/>
  <c r="G31" i="8" s="1"/>
  <c r="E32" i="8"/>
  <c r="G32" i="8" s="1"/>
  <c r="E33" i="8"/>
  <c r="G33" i="8" s="1"/>
  <c r="E34" i="8"/>
  <c r="G34" i="8" s="1"/>
  <c r="E35" i="8"/>
  <c r="G35" i="8" s="1"/>
  <c r="E36" i="8"/>
  <c r="G36" i="8" s="1"/>
  <c r="E37" i="8"/>
  <c r="G37" i="8" s="1"/>
  <c r="E38" i="8"/>
  <c r="G38" i="8" s="1"/>
  <c r="E39" i="8"/>
  <c r="G39" i="8" s="1"/>
  <c r="E40" i="8"/>
  <c r="G40" i="8" s="1"/>
  <c r="E41" i="8"/>
  <c r="G41" i="8" s="1"/>
  <c r="E42" i="8"/>
  <c r="G42" i="8" s="1"/>
  <c r="E43" i="8"/>
  <c r="G43" i="8" s="1"/>
  <c r="E44" i="8"/>
  <c r="G44" i="8" s="1"/>
  <c r="E45" i="8"/>
  <c r="G45" i="8" s="1"/>
  <c r="E46" i="8"/>
  <c r="G46" i="8" s="1"/>
  <c r="E47" i="8"/>
  <c r="G47" i="8" s="1"/>
  <c r="E48" i="8"/>
  <c r="G48" i="8" s="1"/>
  <c r="E49" i="8"/>
  <c r="G49" i="8" s="1"/>
  <c r="E50" i="8"/>
  <c r="G50" i="8" s="1"/>
  <c r="E51" i="8"/>
  <c r="G51" i="8" s="1"/>
  <c r="E52" i="8"/>
  <c r="G52" i="8" s="1"/>
  <c r="E53" i="8"/>
  <c r="G53" i="8" s="1"/>
  <c r="E54" i="8"/>
  <c r="G54" i="8" s="1"/>
  <c r="E55" i="8"/>
  <c r="G55" i="8" s="1"/>
  <c r="E56" i="8"/>
  <c r="G56" i="8" s="1"/>
  <c r="E57" i="8"/>
  <c r="G57" i="8" s="1"/>
  <c r="E58" i="8"/>
  <c r="G58" i="8" s="1"/>
  <c r="E59" i="8"/>
  <c r="G59" i="8" s="1"/>
  <c r="E60" i="8"/>
  <c r="G60" i="8" s="1"/>
  <c r="E61" i="8"/>
  <c r="G61" i="8" s="1"/>
  <c r="E62" i="8"/>
  <c r="G62" i="8" s="1"/>
  <c r="E63" i="8"/>
  <c r="G63" i="8" s="1"/>
  <c r="E64" i="8"/>
  <c r="G64" i="8" s="1"/>
  <c r="E65" i="8"/>
  <c r="G65" i="8" s="1"/>
  <c r="E66" i="8"/>
  <c r="G66" i="8" s="1"/>
  <c r="E67" i="8"/>
  <c r="G67" i="8" s="1"/>
  <c r="E68" i="8"/>
  <c r="G68" i="8" s="1"/>
  <c r="E69" i="8"/>
  <c r="G69" i="8" s="1"/>
  <c r="E70" i="8"/>
  <c r="G70" i="8" s="1"/>
  <c r="E71" i="8"/>
  <c r="G71" i="8" s="1"/>
  <c r="E72" i="8"/>
  <c r="G72" i="8" s="1"/>
  <c r="E73" i="8"/>
  <c r="G73" i="8" s="1"/>
  <c r="E74" i="8"/>
  <c r="G74" i="8" s="1"/>
  <c r="E75" i="8"/>
  <c r="G75" i="8" s="1"/>
  <c r="E76" i="8"/>
  <c r="G76" i="8" s="1"/>
  <c r="E77" i="8"/>
  <c r="G77" i="8" s="1"/>
  <c r="E78" i="8"/>
  <c r="G78" i="8" s="1"/>
  <c r="E79" i="8"/>
  <c r="G79" i="8" s="1"/>
  <c r="E80" i="8"/>
  <c r="G80" i="8" s="1"/>
  <c r="E81" i="8"/>
  <c r="G81" i="8" s="1"/>
  <c r="E82" i="8"/>
  <c r="G82" i="8" s="1"/>
  <c r="E83" i="8"/>
  <c r="G83" i="8" s="1"/>
  <c r="E84" i="8"/>
  <c r="G84" i="8" s="1"/>
  <c r="E85" i="8"/>
  <c r="G85" i="8" s="1"/>
  <c r="E86" i="8"/>
  <c r="G86" i="8" s="1"/>
  <c r="E87" i="8"/>
  <c r="G87" i="8" s="1"/>
  <c r="E88" i="8"/>
  <c r="G88" i="8" s="1"/>
  <c r="E89" i="8"/>
  <c r="G89" i="8" s="1"/>
  <c r="E90" i="8"/>
  <c r="G90" i="8" s="1"/>
  <c r="E91" i="8"/>
  <c r="G91" i="8" s="1"/>
  <c r="E92" i="8"/>
  <c r="G92" i="8" s="1"/>
  <c r="E93" i="8"/>
  <c r="G93" i="8" s="1"/>
  <c r="E94" i="8"/>
  <c r="G94" i="8" s="1"/>
  <c r="E95" i="8"/>
  <c r="G95" i="8" s="1"/>
  <c r="E96" i="8"/>
  <c r="G96" i="8" s="1"/>
  <c r="E97" i="8"/>
  <c r="G97" i="8" s="1"/>
  <c r="E98" i="8"/>
  <c r="G98" i="8" s="1"/>
  <c r="E99" i="8"/>
  <c r="G99" i="8" s="1"/>
  <c r="E100" i="8"/>
  <c r="G100" i="8" s="1"/>
  <c r="E101" i="8"/>
  <c r="G101" i="8" s="1"/>
  <c r="E102" i="8"/>
  <c r="G102" i="8" s="1"/>
  <c r="E103" i="8"/>
  <c r="G103" i="8" s="1"/>
  <c r="E104" i="8"/>
  <c r="G104" i="8" s="1"/>
  <c r="E105" i="8"/>
  <c r="G105" i="8" s="1"/>
  <c r="E106" i="8"/>
  <c r="G106" i="8" s="1"/>
  <c r="E107" i="8"/>
  <c r="G107" i="8" s="1"/>
  <c r="E6" i="8"/>
  <c r="G6" i="8" s="1"/>
  <c r="D16" i="8"/>
  <c r="D17" i="8"/>
  <c r="F17" i="8" s="1"/>
  <c r="D18" i="8"/>
  <c r="F18" i="8" s="1"/>
  <c r="D19" i="8"/>
  <c r="F19" i="8" s="1"/>
  <c r="D20" i="8"/>
  <c r="F20" i="8" s="1"/>
  <c r="D21" i="8"/>
  <c r="F21" i="8" s="1"/>
  <c r="D22" i="8"/>
  <c r="F22" i="8" s="1"/>
  <c r="D23" i="8"/>
  <c r="F23" i="8" s="1"/>
  <c r="D24" i="8"/>
  <c r="F24" i="8" s="1"/>
  <c r="D25" i="8"/>
  <c r="F25" i="8" s="1"/>
  <c r="D26" i="8"/>
  <c r="F26" i="8" s="1"/>
  <c r="D27" i="8"/>
  <c r="F27" i="8" s="1"/>
  <c r="D28" i="8"/>
  <c r="F28" i="8" s="1"/>
  <c r="D29" i="8"/>
  <c r="F29" i="8" s="1"/>
  <c r="D30" i="8"/>
  <c r="F30" i="8" s="1"/>
  <c r="D31" i="8"/>
  <c r="F31" i="8" s="1"/>
  <c r="D32" i="8"/>
  <c r="F32" i="8" s="1"/>
  <c r="D33" i="8"/>
  <c r="F33" i="8" s="1"/>
  <c r="D34" i="8"/>
  <c r="F34" i="8" s="1"/>
  <c r="D35" i="8"/>
  <c r="F35" i="8" s="1"/>
  <c r="D36" i="8"/>
  <c r="F36" i="8" s="1"/>
  <c r="D37" i="8"/>
  <c r="F37" i="8" s="1"/>
  <c r="D38" i="8"/>
  <c r="F38" i="8" s="1"/>
  <c r="D39" i="8"/>
  <c r="F39" i="8" s="1"/>
  <c r="D40" i="8"/>
  <c r="F40" i="8" s="1"/>
  <c r="D41" i="8"/>
  <c r="F41" i="8" s="1"/>
  <c r="D42" i="8"/>
  <c r="F42" i="8" s="1"/>
  <c r="D43" i="8"/>
  <c r="F43" i="8" s="1"/>
  <c r="D44" i="8"/>
  <c r="F44" i="8" s="1"/>
  <c r="D45" i="8"/>
  <c r="F45" i="8" s="1"/>
  <c r="D46" i="8"/>
  <c r="F46" i="8" s="1"/>
  <c r="D47" i="8"/>
  <c r="F47" i="8" s="1"/>
  <c r="D48" i="8"/>
  <c r="F48" i="8" s="1"/>
  <c r="D49" i="8"/>
  <c r="F49" i="8" s="1"/>
  <c r="D50" i="8"/>
  <c r="F50" i="8" s="1"/>
  <c r="D51" i="8"/>
  <c r="F51" i="8" s="1"/>
  <c r="D52" i="8"/>
  <c r="F52" i="8" s="1"/>
  <c r="D53" i="8"/>
  <c r="F53" i="8" s="1"/>
  <c r="D54" i="8"/>
  <c r="F54" i="8" s="1"/>
  <c r="D55" i="8"/>
  <c r="F55" i="8" s="1"/>
  <c r="D56" i="8"/>
  <c r="F56" i="8" s="1"/>
  <c r="D57" i="8"/>
  <c r="F57" i="8" s="1"/>
  <c r="D58" i="8"/>
  <c r="F58" i="8" s="1"/>
  <c r="D59" i="8"/>
  <c r="F59" i="8" s="1"/>
  <c r="D60" i="8"/>
  <c r="F60" i="8" s="1"/>
  <c r="D61" i="8"/>
  <c r="F61" i="8" s="1"/>
  <c r="D62" i="8"/>
  <c r="F62" i="8" s="1"/>
  <c r="D63" i="8"/>
  <c r="F63" i="8" s="1"/>
  <c r="D64" i="8"/>
  <c r="F64" i="8" s="1"/>
  <c r="D65" i="8"/>
  <c r="F65" i="8" s="1"/>
  <c r="D66" i="8"/>
  <c r="F66" i="8" s="1"/>
  <c r="D67" i="8"/>
  <c r="F67" i="8" s="1"/>
  <c r="D68" i="8"/>
  <c r="F68" i="8" s="1"/>
  <c r="D69" i="8"/>
  <c r="F69" i="8" s="1"/>
  <c r="D70" i="8"/>
  <c r="F70" i="8" s="1"/>
  <c r="D71" i="8"/>
  <c r="F71" i="8" s="1"/>
  <c r="D72" i="8"/>
  <c r="F72" i="8" s="1"/>
  <c r="D73" i="8"/>
  <c r="F73" i="8" s="1"/>
  <c r="D74" i="8"/>
  <c r="F74" i="8" s="1"/>
  <c r="D75" i="8"/>
  <c r="F75" i="8" s="1"/>
  <c r="D76" i="8"/>
  <c r="F76" i="8" s="1"/>
  <c r="D77" i="8"/>
  <c r="F77" i="8" s="1"/>
  <c r="D78" i="8"/>
  <c r="F78" i="8" s="1"/>
  <c r="D79" i="8"/>
  <c r="F79" i="8" s="1"/>
  <c r="D80" i="8"/>
  <c r="F80" i="8" s="1"/>
  <c r="D81" i="8"/>
  <c r="F81" i="8" s="1"/>
  <c r="D82" i="8"/>
  <c r="F82" i="8" s="1"/>
  <c r="D83" i="8"/>
  <c r="F83" i="8" s="1"/>
  <c r="D84" i="8"/>
  <c r="F84" i="8" s="1"/>
  <c r="D85" i="8"/>
  <c r="F85" i="8" s="1"/>
  <c r="D86" i="8"/>
  <c r="F86" i="8" s="1"/>
  <c r="D87" i="8"/>
  <c r="F87" i="8" s="1"/>
  <c r="D88" i="8"/>
  <c r="F88" i="8" s="1"/>
  <c r="D89" i="8"/>
  <c r="F89" i="8" s="1"/>
  <c r="D90" i="8"/>
  <c r="F90" i="8" s="1"/>
  <c r="D91" i="8"/>
  <c r="F91" i="8" s="1"/>
  <c r="D92" i="8"/>
  <c r="F92" i="8" s="1"/>
  <c r="D93" i="8"/>
  <c r="F93" i="8" s="1"/>
  <c r="D94" i="8"/>
  <c r="F94" i="8" s="1"/>
  <c r="D95" i="8"/>
  <c r="F95" i="8" s="1"/>
  <c r="D96" i="8"/>
  <c r="F96" i="8" s="1"/>
  <c r="D97" i="8"/>
  <c r="F97" i="8" s="1"/>
  <c r="D98" i="8"/>
  <c r="F98" i="8" s="1"/>
  <c r="D99" i="8"/>
  <c r="F99" i="8" s="1"/>
  <c r="D100" i="8"/>
  <c r="F100" i="8" s="1"/>
  <c r="D101" i="8"/>
  <c r="F101" i="8" s="1"/>
  <c r="D102" i="8"/>
  <c r="F102" i="8" s="1"/>
  <c r="D103" i="8"/>
  <c r="F103" i="8" s="1"/>
  <c r="D104" i="8"/>
  <c r="F104" i="8" s="1"/>
  <c r="D105" i="8"/>
  <c r="F105" i="8" s="1"/>
  <c r="D106" i="8"/>
  <c r="F106" i="8" s="1"/>
  <c r="D107" i="8"/>
  <c r="F107" i="8" s="1"/>
  <c r="D7" i="8"/>
  <c r="F7" i="8" s="1"/>
  <c r="D8" i="8"/>
  <c r="F8" i="8" s="1"/>
  <c r="D9" i="8"/>
  <c r="F9" i="8" s="1"/>
  <c r="D10" i="8"/>
  <c r="F10" i="8" s="1"/>
  <c r="D11" i="8"/>
  <c r="F11" i="8" s="1"/>
  <c r="D12" i="8"/>
  <c r="F12" i="8" s="1"/>
  <c r="D13" i="8"/>
  <c r="F13" i="8" s="1"/>
  <c r="D14" i="8"/>
  <c r="F14" i="8" s="1"/>
  <c r="D15" i="8"/>
  <c r="F15" i="8" s="1"/>
  <c r="D6" i="8"/>
  <c r="F6" i="8" s="1"/>
  <c r="J7" i="5" l="1"/>
  <c r="I7" i="5"/>
  <c r="B9" i="5"/>
  <c r="H7" i="5"/>
  <c r="N108" i="8"/>
  <c r="G108" i="8"/>
  <c r="M108" i="8"/>
  <c r="D108" i="8"/>
  <c r="F16" i="8"/>
  <c r="F108" i="8" s="1"/>
  <c r="K108" i="8"/>
  <c r="L108" i="8"/>
  <c r="E108" i="8"/>
  <c r="R7" i="2"/>
  <c r="D22" i="7"/>
  <c r="E22" i="7"/>
  <c r="F22" i="7"/>
  <c r="H22" i="7"/>
  <c r="J22" i="7" s="1"/>
  <c r="I22" i="7"/>
  <c r="K22" i="7"/>
  <c r="M22" i="7"/>
  <c r="D21" i="7"/>
  <c r="E21" i="7"/>
  <c r="F21" i="7"/>
  <c r="H21" i="7"/>
  <c r="J21" i="7" s="1"/>
  <c r="I21" i="7"/>
  <c r="K21" i="7"/>
  <c r="M21" i="7"/>
  <c r="D20" i="7"/>
  <c r="E20" i="7"/>
  <c r="F20" i="7"/>
  <c r="H20" i="7"/>
  <c r="J20" i="7" s="1"/>
  <c r="I20" i="7"/>
  <c r="K20" i="7"/>
  <c r="M20" i="7"/>
  <c r="D19" i="7"/>
  <c r="E19" i="7"/>
  <c r="F19" i="7"/>
  <c r="H19" i="7"/>
  <c r="J19" i="7" s="1"/>
  <c r="I19" i="7"/>
  <c r="K19" i="7"/>
  <c r="M19" i="7"/>
  <c r="D18" i="7"/>
  <c r="E18" i="7"/>
  <c r="F18" i="7"/>
  <c r="H18" i="7"/>
  <c r="J18" i="7" s="1"/>
  <c r="I18" i="7"/>
  <c r="K18" i="7"/>
  <c r="M18" i="7"/>
  <c r="I17" i="7"/>
  <c r="H17" i="7"/>
  <c r="L17" i="7" s="1"/>
  <c r="H16" i="7"/>
  <c r="N16" i="7" s="1"/>
  <c r="H15" i="7"/>
  <c r="N15" i="7" s="1"/>
  <c r="H14" i="7"/>
  <c r="L14" i="7" s="1"/>
  <c r="H13" i="7"/>
  <c r="J13" i="7" s="1"/>
  <c r="H12" i="7"/>
  <c r="L12" i="7" s="1"/>
  <c r="H11" i="7"/>
  <c r="J11" i="7" s="1"/>
  <c r="H10" i="7"/>
  <c r="J10" i="7" s="1"/>
  <c r="H9" i="7"/>
  <c r="N9" i="7" s="1"/>
  <c r="H8" i="7"/>
  <c r="L8" i="7" s="1"/>
  <c r="H7" i="7"/>
  <c r="L7" i="7" s="1"/>
  <c r="H6" i="7"/>
  <c r="L6" i="7" s="1"/>
  <c r="H5" i="7"/>
  <c r="J5" i="7" s="1"/>
  <c r="A2" i="7"/>
  <c r="H2" i="4"/>
  <c r="G2" i="4"/>
  <c r="F2" i="4"/>
  <c r="AG1487" i="2" l="1"/>
  <c r="AG1498" i="2"/>
  <c r="AG1500" i="2"/>
  <c r="AG1490" i="2"/>
  <c r="AG1497" i="2"/>
  <c r="AG1489" i="2"/>
  <c r="AG1496" i="2"/>
  <c r="AG1493" i="2"/>
  <c r="AG1488" i="2"/>
  <c r="AG1499" i="2"/>
  <c r="AG1491" i="2"/>
  <c r="AG1495" i="2"/>
  <c r="AG1492" i="2"/>
  <c r="AG1494" i="2"/>
  <c r="AG1486" i="2"/>
  <c r="O19" i="7"/>
  <c r="O18" i="7"/>
  <c r="N22" i="7"/>
  <c r="Q22" i="7" s="1"/>
  <c r="O22" i="7"/>
  <c r="L22" i="7"/>
  <c r="P22" i="7" s="1"/>
  <c r="N21" i="7"/>
  <c r="Q21" i="7" s="1"/>
  <c r="O21" i="7"/>
  <c r="L21" i="7"/>
  <c r="P21" i="7" s="1"/>
  <c r="N19" i="7"/>
  <c r="Q19" i="7" s="1"/>
  <c r="O20" i="7"/>
  <c r="N13" i="7"/>
  <c r="L19" i="7"/>
  <c r="P19" i="7" s="1"/>
  <c r="N12" i="7"/>
  <c r="N20" i="7"/>
  <c r="Q20" i="7" s="1"/>
  <c r="L20" i="7"/>
  <c r="P20" i="7" s="1"/>
  <c r="J17" i="7"/>
  <c r="O17" i="7" s="1"/>
  <c r="N17" i="7"/>
  <c r="J9" i="7"/>
  <c r="L13" i="7"/>
  <c r="L11" i="7"/>
  <c r="L10" i="7"/>
  <c r="L9" i="7"/>
  <c r="N18" i="7"/>
  <c r="Q18" i="7" s="1"/>
  <c r="J15" i="7"/>
  <c r="J14" i="7"/>
  <c r="N11" i="7"/>
  <c r="L18" i="7"/>
  <c r="P18" i="7" s="1"/>
  <c r="N14" i="7"/>
  <c r="N10" i="7"/>
  <c r="J12" i="7"/>
  <c r="J16" i="7"/>
  <c r="L16" i="7"/>
  <c r="L15" i="7"/>
  <c r="L5" i="7"/>
  <c r="N5" i="7"/>
  <c r="N7" i="7"/>
  <c r="N6" i="7"/>
  <c r="J6" i="7"/>
  <c r="N8" i="7"/>
  <c r="J8" i="7"/>
  <c r="J7" i="7"/>
  <c r="AG1476" i="2" l="1"/>
  <c r="A1476" i="2"/>
  <c r="AG1392" i="2"/>
  <c r="A1392" i="2"/>
  <c r="AG1380" i="2"/>
  <c r="A1380" i="2"/>
  <c r="AG1323" i="2"/>
  <c r="A1323" i="2"/>
  <c r="AG1435" i="2"/>
  <c r="A1435" i="2"/>
  <c r="AG1430" i="2"/>
  <c r="A1430" i="2"/>
  <c r="AG1363" i="2"/>
  <c r="A1363" i="2"/>
  <c r="A1347" i="2"/>
  <c r="AG1347" i="2"/>
  <c r="AG1474" i="2"/>
  <c r="A1474" i="2"/>
  <c r="AG1399" i="2"/>
  <c r="A1399" i="2"/>
  <c r="AG1321" i="2"/>
  <c r="A1321" i="2"/>
  <c r="AG1445" i="2"/>
  <c r="A1445" i="2"/>
  <c r="AG1401" i="2"/>
  <c r="A1401" i="2"/>
  <c r="AG1482" i="2"/>
  <c r="A1482" i="2"/>
  <c r="AG1394" i="2"/>
  <c r="A1394" i="2"/>
  <c r="AG1423" i="2"/>
  <c r="A1423" i="2"/>
  <c r="AG1301" i="2"/>
  <c r="A1301" i="2"/>
  <c r="AG1441" i="2"/>
  <c r="A1441" i="2"/>
  <c r="AG1349" i="2"/>
  <c r="A1349" i="2"/>
  <c r="AG1403" i="2"/>
  <c r="A1403" i="2"/>
  <c r="AG1338" i="2"/>
  <c r="A1338" i="2"/>
  <c r="AG1458" i="2"/>
  <c r="A1458" i="2"/>
  <c r="AG1390" i="2"/>
  <c r="A1390" i="2"/>
  <c r="AG1388" i="2"/>
  <c r="A1388" i="2"/>
  <c r="AG1434" i="2"/>
  <c r="A1434" i="2"/>
  <c r="AG1329" i="2"/>
  <c r="A1329" i="2"/>
  <c r="AG1381" i="2"/>
  <c r="A1381" i="2"/>
  <c r="AG1408" i="2"/>
  <c r="A1408" i="2"/>
  <c r="AG1319" i="2"/>
  <c r="A1319" i="2"/>
  <c r="AG1370" i="2"/>
  <c r="A1370" i="2"/>
  <c r="AG1326" i="2"/>
  <c r="A1326" i="2"/>
  <c r="AG1336" i="2"/>
  <c r="A1336" i="2"/>
  <c r="AG1333" i="2"/>
  <c r="A1333" i="2"/>
  <c r="AG1339" i="2"/>
  <c r="A1339" i="2"/>
  <c r="AG1448" i="2"/>
  <c r="A1448" i="2"/>
  <c r="AG1358" i="2"/>
  <c r="A1358" i="2"/>
  <c r="AG1395" i="2"/>
  <c r="A1395" i="2"/>
  <c r="AG1382" i="2"/>
  <c r="A1382" i="2"/>
  <c r="AG1413" i="2"/>
  <c r="A1413" i="2"/>
  <c r="A1317" i="2"/>
  <c r="AG1317" i="2"/>
  <c r="AG1455" i="2"/>
  <c r="A1455" i="2"/>
  <c r="AG1327" i="2"/>
  <c r="A1327" i="2"/>
  <c r="AG1357" i="2"/>
  <c r="A1357" i="2"/>
  <c r="AG1346" i="2"/>
  <c r="A1346" i="2"/>
  <c r="AG1425" i="2"/>
  <c r="A1425" i="2"/>
  <c r="AG1320" i="2"/>
  <c r="A1320" i="2"/>
  <c r="A1307" i="2"/>
  <c r="AG1307" i="2"/>
  <c r="AG1421" i="2"/>
  <c r="A1421" i="2"/>
  <c r="AG1298" i="2"/>
  <c r="A1298" i="2"/>
  <c r="AG1340" i="2"/>
  <c r="A1340" i="2"/>
  <c r="AG1460" i="2"/>
  <c r="A1460" i="2"/>
  <c r="AG1354" i="2"/>
  <c r="A1354" i="2"/>
  <c r="AG1419" i="2"/>
  <c r="A1419" i="2"/>
  <c r="AG1447" i="2"/>
  <c r="A1447" i="2"/>
  <c r="AG1402" i="2"/>
  <c r="A1402" i="2"/>
  <c r="AG1454" i="2"/>
  <c r="A1454" i="2"/>
  <c r="AG1466" i="2"/>
  <c r="A1466" i="2"/>
  <c r="AG1356" i="2"/>
  <c r="A1356" i="2"/>
  <c r="A1330" i="2"/>
  <c r="AG1330" i="2"/>
  <c r="AG1300" i="2"/>
  <c r="A1300" i="2"/>
  <c r="A1379" i="2"/>
  <c r="AG1379" i="2"/>
  <c r="AG1480" i="2"/>
  <c r="A1480" i="2"/>
  <c r="A1310" i="2"/>
  <c r="AG1310" i="2"/>
  <c r="AG1414" i="2"/>
  <c r="A1414" i="2"/>
  <c r="AG1367" i="2"/>
  <c r="A1367" i="2"/>
  <c r="AG1342" i="2"/>
  <c r="A1342" i="2"/>
  <c r="AG1417" i="2"/>
  <c r="A1417" i="2"/>
  <c r="AG1475" i="2"/>
  <c r="A1475" i="2"/>
  <c r="AG1472" i="2"/>
  <c r="A1472" i="2"/>
  <c r="AG1450" i="2"/>
  <c r="A1450" i="2"/>
  <c r="AG1449" i="2"/>
  <c r="A1449" i="2"/>
  <c r="AG1465" i="2"/>
  <c r="A1465" i="2"/>
  <c r="AG1444" i="2"/>
  <c r="A1444" i="2"/>
  <c r="A1359" i="2"/>
  <c r="AG1359" i="2"/>
  <c r="AG1318" i="2"/>
  <c r="A1318" i="2"/>
  <c r="AG1362" i="2"/>
  <c r="A1362" i="2"/>
  <c r="AG1373" i="2"/>
  <c r="A1373" i="2"/>
  <c r="AG1332" i="2"/>
  <c r="A1332" i="2"/>
  <c r="AG1303" i="2"/>
  <c r="A1303" i="2"/>
  <c r="AG1384" i="2"/>
  <c r="A1384" i="2"/>
  <c r="AG1377" i="2"/>
  <c r="A1377" i="2"/>
  <c r="AG1314" i="2"/>
  <c r="A1314" i="2"/>
  <c r="AG1473" i="2"/>
  <c r="A1473" i="2"/>
  <c r="AG1426" i="2"/>
  <c r="A1426" i="2"/>
  <c r="AG1467" i="2"/>
  <c r="A1467" i="2"/>
  <c r="AG1375" i="2"/>
  <c r="A1375" i="2"/>
  <c r="AG1418" i="2"/>
  <c r="A1418" i="2"/>
  <c r="AG1334" i="2"/>
  <c r="A1334" i="2"/>
  <c r="AG1431" i="2"/>
  <c r="A1431" i="2"/>
  <c r="AG1406" i="2"/>
  <c r="A1406" i="2"/>
  <c r="AG1463" i="2"/>
  <c r="A1463" i="2"/>
  <c r="AG1437" i="2"/>
  <c r="A1437" i="2"/>
  <c r="AG1328" i="2"/>
  <c r="A1328" i="2"/>
  <c r="AG1428" i="2"/>
  <c r="A1428" i="2"/>
  <c r="AG1306" i="2"/>
  <c r="A1306" i="2"/>
  <c r="AG1451" i="2"/>
  <c r="A1451" i="2"/>
  <c r="AG1355" i="2"/>
  <c r="A1355" i="2"/>
  <c r="AG1469" i="2"/>
  <c r="A1469" i="2"/>
  <c r="AG1369" i="2"/>
  <c r="A1369" i="2"/>
  <c r="AG1398" i="2"/>
  <c r="A1398" i="2"/>
  <c r="AG1316" i="2"/>
  <c r="A1316" i="2"/>
  <c r="AG1404" i="2"/>
  <c r="A1404" i="2"/>
  <c r="AG1371" i="2"/>
  <c r="A1371" i="2"/>
  <c r="AG1411" i="2"/>
  <c r="A1411" i="2"/>
  <c r="AG1484" i="2"/>
  <c r="A1484" i="2"/>
  <c r="A1322" i="2"/>
  <c r="AG1322" i="2"/>
  <c r="AG1443" i="2"/>
  <c r="A1443" i="2"/>
  <c r="AG1348" i="2"/>
  <c r="A1348" i="2"/>
  <c r="AG1477" i="2"/>
  <c r="A1477" i="2"/>
  <c r="AG1461" i="2"/>
  <c r="A1461" i="2"/>
  <c r="AG1429" i="2"/>
  <c r="A1429" i="2"/>
  <c r="AG1299" i="2"/>
  <c r="A1299" i="2"/>
  <c r="AG1433" i="2"/>
  <c r="A1433" i="2"/>
  <c r="AG1446" i="2"/>
  <c r="A1446" i="2"/>
  <c r="AG1420" i="2"/>
  <c r="A1420" i="2"/>
  <c r="AG1361" i="2"/>
  <c r="A1361" i="2"/>
  <c r="AG1312" i="2"/>
  <c r="A1312" i="2"/>
  <c r="A1391" i="2"/>
  <c r="AG1391" i="2"/>
  <c r="AG1440" i="2"/>
  <c r="A1440" i="2"/>
  <c r="AG1464" i="2"/>
  <c r="A1464" i="2"/>
  <c r="AG1470" i="2"/>
  <c r="A1470" i="2"/>
  <c r="AG1462" i="2"/>
  <c r="A1462" i="2"/>
  <c r="AG1302" i="2"/>
  <c r="A1302" i="2"/>
  <c r="AG1405" i="2"/>
  <c r="A1405" i="2"/>
  <c r="AG1331" i="2"/>
  <c r="A1331" i="2"/>
  <c r="AG1471" i="2"/>
  <c r="A1471" i="2"/>
  <c r="AG1407" i="2"/>
  <c r="A1407" i="2"/>
  <c r="AG1456" i="2"/>
  <c r="A1456" i="2"/>
  <c r="AG1311" i="2"/>
  <c r="A1311" i="2"/>
  <c r="AG1360" i="2"/>
  <c r="A1360" i="2"/>
  <c r="AG1427" i="2"/>
  <c r="A1427" i="2"/>
  <c r="AG1335" i="2"/>
  <c r="A1335" i="2"/>
  <c r="AG1387" i="2"/>
  <c r="A1387" i="2"/>
  <c r="AG1415" i="2"/>
  <c r="A1415" i="2"/>
  <c r="AG1368" i="2"/>
  <c r="A1368" i="2"/>
  <c r="AG1439" i="2"/>
  <c r="A1439" i="2"/>
  <c r="AG1412" i="2"/>
  <c r="A1412" i="2"/>
  <c r="AG1397" i="2"/>
  <c r="A1397" i="2"/>
  <c r="AG1337" i="2"/>
  <c r="A1337" i="2"/>
  <c r="AG1352" i="2"/>
  <c r="A1352" i="2"/>
  <c r="AG1409" i="2"/>
  <c r="A1409" i="2"/>
  <c r="AG1438" i="2"/>
  <c r="A1438" i="2"/>
  <c r="AG1304" i="2"/>
  <c r="A1304" i="2"/>
  <c r="AG1344" i="2"/>
  <c r="A1344" i="2"/>
  <c r="A1386" i="2"/>
  <c r="AG1386" i="2"/>
  <c r="AG1372" i="2"/>
  <c r="A1372" i="2"/>
  <c r="AG1365" i="2"/>
  <c r="A1365" i="2"/>
  <c r="AG1424" i="2"/>
  <c r="A1424" i="2"/>
  <c r="AG1416" i="2"/>
  <c r="A1416" i="2"/>
  <c r="AG1353" i="2"/>
  <c r="A1353" i="2"/>
  <c r="AG1308" i="2"/>
  <c r="A1308" i="2"/>
  <c r="AG1485" i="2"/>
  <c r="A1485" i="2"/>
  <c r="AG1345" i="2"/>
  <c r="A1345" i="2"/>
  <c r="AG1453" i="2"/>
  <c r="A1453" i="2"/>
  <c r="AG1350" i="2"/>
  <c r="A1350" i="2"/>
  <c r="AG1315" i="2"/>
  <c r="A1315" i="2"/>
  <c r="AG1324" i="2"/>
  <c r="A1324" i="2"/>
  <c r="AG1436" i="2"/>
  <c r="A1436" i="2"/>
  <c r="AG1343" i="2"/>
  <c r="A1343" i="2"/>
  <c r="AG1385" i="2"/>
  <c r="A1385" i="2"/>
  <c r="AG1383" i="2"/>
  <c r="A1383" i="2"/>
  <c r="AG1364" i="2"/>
  <c r="A1364" i="2"/>
  <c r="AG1396" i="2"/>
  <c r="A1396" i="2"/>
  <c r="A1325" i="2"/>
  <c r="AG1325" i="2"/>
  <c r="AG1378" i="2"/>
  <c r="A1378" i="2"/>
  <c r="AG1341" i="2"/>
  <c r="A1341" i="2"/>
  <c r="AG1366" i="2"/>
  <c r="A1366" i="2"/>
  <c r="AG1422" i="2"/>
  <c r="A1422" i="2"/>
  <c r="AG1478" i="2"/>
  <c r="A1478" i="2"/>
  <c r="AG1479" i="2"/>
  <c r="A1479" i="2"/>
  <c r="AG1374" i="2"/>
  <c r="A1374" i="2"/>
  <c r="AG1351" i="2"/>
  <c r="A1351" i="2"/>
  <c r="AG1483" i="2"/>
  <c r="A1483" i="2"/>
  <c r="AG1305" i="2"/>
  <c r="A1305" i="2"/>
  <c r="AG1313" i="2"/>
  <c r="A1313" i="2"/>
  <c r="AG1457" i="2"/>
  <c r="A1457" i="2"/>
  <c r="AG1400" i="2"/>
  <c r="A1400" i="2"/>
  <c r="AG1459" i="2"/>
  <c r="A1459" i="2"/>
  <c r="AG1432" i="2"/>
  <c r="A1432" i="2"/>
  <c r="AG1410" i="2"/>
  <c r="A1410" i="2"/>
  <c r="AG1389" i="2"/>
  <c r="A1389" i="2"/>
  <c r="AG1376" i="2"/>
  <c r="A1376" i="2"/>
  <c r="AG1452" i="2"/>
  <c r="A1452" i="2"/>
  <c r="AG1468" i="2"/>
  <c r="A1468" i="2"/>
  <c r="AG1442" i="2"/>
  <c r="A1442" i="2"/>
  <c r="AG1393" i="2"/>
  <c r="A1393" i="2"/>
  <c r="AG1309" i="2"/>
  <c r="A1309" i="2"/>
  <c r="AG1481" i="2"/>
  <c r="A1481" i="2"/>
  <c r="J3" i="7"/>
  <c r="L3" i="7"/>
  <c r="N3" i="7"/>
  <c r="S7" i="2"/>
  <c r="F5" i="2"/>
  <c r="P1313" i="2" l="1"/>
  <c r="Q1313" i="2" s="1"/>
  <c r="P1308" i="2"/>
  <c r="Q1308" i="2" s="1"/>
  <c r="P1470" i="2"/>
  <c r="Q1470" i="2" s="1"/>
  <c r="P1355" i="2"/>
  <c r="Q1355" i="2" s="1"/>
  <c r="P1303" i="2"/>
  <c r="Q1303" i="2" s="1"/>
  <c r="P1402" i="2"/>
  <c r="Q1402" i="2" s="1"/>
  <c r="P1395" i="2"/>
  <c r="Q1395" i="2" s="1"/>
  <c r="P1363" i="2"/>
  <c r="Q1363" i="2" s="1"/>
  <c r="P1379" i="2"/>
  <c r="Q1379" i="2" s="1"/>
  <c r="P1305" i="2"/>
  <c r="Q1305" i="2" s="1"/>
  <c r="P1364" i="2"/>
  <c r="Q1364" i="2" s="1"/>
  <c r="P1315" i="2"/>
  <c r="Q1315" i="2" s="1"/>
  <c r="P1344" i="2"/>
  <c r="Q1344" i="2" s="1"/>
  <c r="P1335" i="2"/>
  <c r="Q1335" i="2" s="1"/>
  <c r="P1471" i="2"/>
  <c r="Q1471" i="2" s="1"/>
  <c r="P1446" i="2"/>
  <c r="Q1446" i="2" s="1"/>
  <c r="P1348" i="2"/>
  <c r="Q1348" i="2" s="1"/>
  <c r="P1404" i="2"/>
  <c r="Q1404" i="2" s="1"/>
  <c r="P1451" i="2"/>
  <c r="Q1451" i="2" s="1"/>
  <c r="P1406" i="2"/>
  <c r="Q1406" i="2" s="1"/>
  <c r="P1426" i="2"/>
  <c r="Q1426" i="2" s="1"/>
  <c r="P1332" i="2"/>
  <c r="Q1332" i="2" s="1"/>
  <c r="P1465" i="2"/>
  <c r="Q1465" i="2" s="1"/>
  <c r="P1342" i="2"/>
  <c r="Q1342" i="2" s="1"/>
  <c r="P1300" i="2"/>
  <c r="Q1300" i="2" s="1"/>
  <c r="P1447" i="2"/>
  <c r="Q1447" i="2" s="1"/>
  <c r="P1421" i="2"/>
  <c r="Q1421" i="2" s="1"/>
  <c r="P1327" i="2"/>
  <c r="Q1327" i="2" s="1"/>
  <c r="P1358" i="2"/>
  <c r="Q1358" i="2" s="1"/>
  <c r="P1370" i="2"/>
  <c r="Q1370" i="2" s="1"/>
  <c r="P1388" i="2"/>
  <c r="Q1388" i="2" s="1"/>
  <c r="P1441" i="2"/>
  <c r="Q1441" i="2" s="1"/>
  <c r="P1445" i="2"/>
  <c r="Q1445" i="2" s="1"/>
  <c r="P1430" i="2"/>
  <c r="Q1430" i="2" s="1"/>
  <c r="P1359" i="2"/>
  <c r="Q1359" i="2" s="1"/>
  <c r="P1309" i="2"/>
  <c r="Q1309" i="2" s="1"/>
  <c r="P1396" i="2"/>
  <c r="Q1396" i="2" s="1"/>
  <c r="P1337" i="2"/>
  <c r="Q1337" i="2" s="1"/>
  <c r="P1420" i="2"/>
  <c r="Q1420" i="2" s="1"/>
  <c r="P1463" i="2"/>
  <c r="Q1463" i="2" s="1"/>
  <c r="P1417" i="2"/>
  <c r="Q1417" i="2" s="1"/>
  <c r="P1298" i="2"/>
  <c r="Q1298" i="2" s="1"/>
  <c r="P1326" i="2"/>
  <c r="Q1326" i="2" s="1"/>
  <c r="P1476" i="2"/>
  <c r="Q1476" i="2" s="1"/>
  <c r="P1386" i="2"/>
  <c r="Q1386" i="2" s="1"/>
  <c r="P1393" i="2"/>
  <c r="Q1393" i="2" s="1"/>
  <c r="P1422" i="2"/>
  <c r="Q1422" i="2" s="1"/>
  <c r="P1353" i="2"/>
  <c r="Q1353" i="2" s="1"/>
  <c r="P1397" i="2"/>
  <c r="Q1397" i="2" s="1"/>
  <c r="P1464" i="2"/>
  <c r="Q1464" i="2" s="1"/>
  <c r="P1389" i="2"/>
  <c r="Q1389" i="2" s="1"/>
  <c r="P1324" i="2"/>
  <c r="Q1324" i="2" s="1"/>
  <c r="P1387" i="2"/>
  <c r="Q1387" i="2" s="1"/>
  <c r="P1477" i="2"/>
  <c r="Q1477" i="2" s="1"/>
  <c r="P1467" i="2"/>
  <c r="Q1467" i="2" s="1"/>
  <c r="P1357" i="2"/>
  <c r="Q1357" i="2" s="1"/>
  <c r="P1434" i="2"/>
  <c r="Q1434" i="2" s="1"/>
  <c r="P1401" i="2"/>
  <c r="Q1401" i="2" s="1"/>
  <c r="P1410" i="2"/>
  <c r="Q1410" i="2" s="1"/>
  <c r="P1442" i="2"/>
  <c r="Q1442" i="2" s="1"/>
  <c r="P1432" i="2"/>
  <c r="Q1432" i="2" s="1"/>
  <c r="P1483" i="2"/>
  <c r="Q1483" i="2" s="1"/>
  <c r="P1366" i="2"/>
  <c r="Q1366" i="2" s="1"/>
  <c r="P1383" i="2"/>
  <c r="Q1383" i="2" s="1"/>
  <c r="P1350" i="2"/>
  <c r="Q1350" i="2" s="1"/>
  <c r="P1416" i="2"/>
  <c r="Q1416" i="2" s="1"/>
  <c r="P1304" i="2"/>
  <c r="Q1304" i="2" s="1"/>
  <c r="P1412" i="2"/>
  <c r="Q1412" i="2" s="1"/>
  <c r="P1427" i="2"/>
  <c r="Q1427" i="2" s="1"/>
  <c r="P1331" i="2"/>
  <c r="Q1331" i="2" s="1"/>
  <c r="P1440" i="2"/>
  <c r="Q1440" i="2" s="1"/>
  <c r="P1433" i="2"/>
  <c r="Q1433" i="2" s="1"/>
  <c r="P1443" i="2"/>
  <c r="Q1443" i="2" s="1"/>
  <c r="P1316" i="2"/>
  <c r="Q1316" i="2" s="1"/>
  <c r="P1306" i="2"/>
  <c r="Q1306" i="2" s="1"/>
  <c r="P1431" i="2"/>
  <c r="Q1431" i="2" s="1"/>
  <c r="P1473" i="2"/>
  <c r="Q1473" i="2" s="1"/>
  <c r="P1373" i="2"/>
  <c r="Q1373" i="2" s="1"/>
  <c r="P1449" i="2"/>
  <c r="Q1449" i="2" s="1"/>
  <c r="P1367" i="2"/>
  <c r="Q1367" i="2" s="1"/>
  <c r="P1419" i="2"/>
  <c r="Q1419" i="2" s="1"/>
  <c r="P1455" i="2"/>
  <c r="Q1455" i="2" s="1"/>
  <c r="P1448" i="2"/>
  <c r="Q1448" i="2" s="1"/>
  <c r="P1319" i="2"/>
  <c r="Q1319" i="2" s="1"/>
  <c r="P1390" i="2"/>
  <c r="Q1390" i="2" s="1"/>
  <c r="P1301" i="2"/>
  <c r="Q1301" i="2" s="1"/>
  <c r="P1321" i="2"/>
  <c r="Q1321" i="2" s="1"/>
  <c r="P1435" i="2"/>
  <c r="Q1435" i="2" s="1"/>
  <c r="P1450" i="2"/>
  <c r="Q1450" i="2" s="1"/>
  <c r="P1307" i="2"/>
  <c r="Q1307" i="2" s="1"/>
  <c r="P1341" i="2"/>
  <c r="Q1341" i="2" s="1"/>
  <c r="P1438" i="2"/>
  <c r="Q1438" i="2" s="1"/>
  <c r="P1398" i="2"/>
  <c r="Q1398" i="2" s="1"/>
  <c r="P1362" i="2"/>
  <c r="Q1362" i="2" s="1"/>
  <c r="P1354" i="2"/>
  <c r="Q1354" i="2" s="1"/>
  <c r="P1408" i="2"/>
  <c r="Q1408" i="2" s="1"/>
  <c r="P1423" i="2"/>
  <c r="Q1423" i="2" s="1"/>
  <c r="P1317" i="2"/>
  <c r="Q1317" i="2" s="1"/>
  <c r="P1330" i="2"/>
  <c r="Q1330" i="2" s="1"/>
  <c r="P1468" i="2"/>
  <c r="Q1468" i="2" s="1"/>
  <c r="P1385" i="2"/>
  <c r="Q1385" i="2" s="1"/>
  <c r="P1439" i="2"/>
  <c r="Q1439" i="2" s="1"/>
  <c r="P1299" i="2"/>
  <c r="Q1299" i="2" s="1"/>
  <c r="P1334" i="2"/>
  <c r="Q1334" i="2" s="1"/>
  <c r="P1414" i="2"/>
  <c r="Q1414" i="2" s="1"/>
  <c r="P1399" i="2"/>
  <c r="Q1399" i="2" s="1"/>
  <c r="P1322" i="2"/>
  <c r="Q1322" i="2" s="1"/>
  <c r="P1452" i="2"/>
  <c r="Q1452" i="2" s="1"/>
  <c r="P1400" i="2"/>
  <c r="Q1400" i="2" s="1"/>
  <c r="P1374" i="2"/>
  <c r="Q1374" i="2" s="1"/>
  <c r="P1378" i="2"/>
  <c r="Q1378" i="2" s="1"/>
  <c r="P1343" i="2"/>
  <c r="Q1343" i="2" s="1"/>
  <c r="P1345" i="2"/>
  <c r="Q1345" i="2" s="1"/>
  <c r="P1365" i="2"/>
  <c r="Q1365" i="2" s="1"/>
  <c r="P1409" i="2"/>
  <c r="Q1409" i="2" s="1"/>
  <c r="P1368" i="2"/>
  <c r="Q1368" i="2" s="1"/>
  <c r="P1311" i="2"/>
  <c r="Q1311" i="2" s="1"/>
  <c r="P1302" i="2"/>
  <c r="Q1302" i="2" s="1"/>
  <c r="P1312" i="2"/>
  <c r="Q1312" i="2" s="1"/>
  <c r="P1429" i="2"/>
  <c r="Q1429" i="2" s="1"/>
  <c r="P1484" i="2"/>
  <c r="Q1484" i="2" s="1"/>
  <c r="P1369" i="2"/>
  <c r="Q1369" i="2" s="1"/>
  <c r="P1328" i="2"/>
  <c r="Q1328" i="2" s="1"/>
  <c r="P1418" i="2"/>
  <c r="Q1418" i="2" s="1"/>
  <c r="P1377" i="2"/>
  <c r="Q1377" i="2" s="1"/>
  <c r="P1318" i="2"/>
  <c r="Q1318" i="2" s="1"/>
  <c r="P1472" i="2"/>
  <c r="Q1472" i="2" s="1"/>
  <c r="P1466" i="2"/>
  <c r="Q1466" i="2" s="1"/>
  <c r="P1460" i="2"/>
  <c r="Q1460" i="2" s="1"/>
  <c r="P1425" i="2"/>
  <c r="Q1425" i="2" s="1"/>
  <c r="P1413" i="2"/>
  <c r="Q1413" i="2" s="1"/>
  <c r="P1333" i="2"/>
  <c r="Q1333" i="2" s="1"/>
  <c r="P1381" i="2"/>
  <c r="Q1381" i="2" s="1"/>
  <c r="P1338" i="2"/>
  <c r="Q1338" i="2" s="1"/>
  <c r="P1394" i="2"/>
  <c r="Q1394" i="2" s="1"/>
  <c r="P1474" i="2"/>
  <c r="Q1474" i="2" s="1"/>
  <c r="P1380" i="2"/>
  <c r="Q1380" i="2" s="1"/>
  <c r="P1459" i="2"/>
  <c r="Q1459" i="2" s="1"/>
  <c r="P1453" i="2"/>
  <c r="Q1453" i="2" s="1"/>
  <c r="P1360" i="2"/>
  <c r="Q1360" i="2" s="1"/>
  <c r="P1314" i="2"/>
  <c r="Q1314" i="2" s="1"/>
  <c r="P1356" i="2"/>
  <c r="Q1356" i="2" s="1"/>
  <c r="P1320" i="2"/>
  <c r="Q1320" i="2" s="1"/>
  <c r="P1458" i="2"/>
  <c r="Q1458" i="2" s="1"/>
  <c r="P1323" i="2"/>
  <c r="Q1323" i="2" s="1"/>
  <c r="P1310" i="2"/>
  <c r="Q1310" i="2" s="1"/>
  <c r="P1351" i="2"/>
  <c r="Q1351" i="2" s="1"/>
  <c r="P1424" i="2"/>
  <c r="Q1424" i="2" s="1"/>
  <c r="P1405" i="2"/>
  <c r="Q1405" i="2" s="1"/>
  <c r="P1428" i="2"/>
  <c r="Q1428" i="2" s="1"/>
  <c r="P1339" i="2"/>
  <c r="Q1339" i="2" s="1"/>
  <c r="P1391" i="2"/>
  <c r="Q1391" i="2" s="1"/>
  <c r="P1481" i="2"/>
  <c r="Q1481" i="2" s="1"/>
  <c r="P1376" i="2"/>
  <c r="Q1376" i="2" s="1"/>
  <c r="P1457" i="2"/>
  <c r="Q1457" i="2" s="1"/>
  <c r="P1479" i="2"/>
  <c r="Q1479" i="2" s="1"/>
  <c r="P1436" i="2"/>
  <c r="Q1436" i="2" s="1"/>
  <c r="P1485" i="2"/>
  <c r="Q1485" i="2" s="1"/>
  <c r="P1372" i="2"/>
  <c r="Q1372" i="2" s="1"/>
  <c r="P1352" i="2"/>
  <c r="Q1352" i="2" s="1"/>
  <c r="P1415" i="2"/>
  <c r="Q1415" i="2" s="1"/>
  <c r="P1456" i="2"/>
  <c r="Q1456" i="2" s="1"/>
  <c r="P1462" i="2"/>
  <c r="Q1462" i="2" s="1"/>
  <c r="P1361" i="2"/>
  <c r="Q1361" i="2" s="1"/>
  <c r="P1461" i="2"/>
  <c r="Q1461" i="2" s="1"/>
  <c r="P1411" i="2"/>
  <c r="Q1411" i="2" s="1"/>
  <c r="P1469" i="2"/>
  <c r="Q1469" i="2" s="1"/>
  <c r="P1437" i="2"/>
  <c r="Q1437" i="2" s="1"/>
  <c r="P1375" i="2"/>
  <c r="Q1375" i="2" s="1"/>
  <c r="P1384" i="2"/>
  <c r="Q1384" i="2" s="1"/>
  <c r="P1475" i="2"/>
  <c r="Q1475" i="2" s="1"/>
  <c r="P1480" i="2"/>
  <c r="Q1480" i="2" s="1"/>
  <c r="P1454" i="2"/>
  <c r="Q1454" i="2" s="1"/>
  <c r="P1340" i="2"/>
  <c r="Q1340" i="2" s="1"/>
  <c r="P1346" i="2"/>
  <c r="Q1346" i="2" s="1"/>
  <c r="P1382" i="2"/>
  <c r="Q1382" i="2" s="1"/>
  <c r="P1336" i="2"/>
  <c r="Q1336" i="2" s="1"/>
  <c r="P1329" i="2"/>
  <c r="Q1329" i="2" s="1"/>
  <c r="P1403" i="2"/>
  <c r="Q1403" i="2" s="1"/>
  <c r="P1482" i="2"/>
  <c r="Q1482" i="2" s="1"/>
  <c r="P1392" i="2"/>
  <c r="Q1392" i="2" s="1"/>
  <c r="P1325" i="2"/>
  <c r="Q1325" i="2" s="1"/>
  <c r="P1407" i="2"/>
  <c r="Q1407" i="2" s="1"/>
  <c r="P1347" i="2"/>
  <c r="Q1347" i="2" s="1"/>
  <c r="P1478" i="2"/>
  <c r="Q1478" i="2" s="1"/>
  <c r="P1371" i="2"/>
  <c r="Q1371" i="2" s="1"/>
  <c r="P1444" i="2"/>
  <c r="Q1444" i="2" s="1"/>
  <c r="P1349" i="2"/>
  <c r="Q1349" i="2" s="1"/>
  <c r="A3" i="6"/>
  <c r="F7" i="2" l="1"/>
  <c r="J7" i="2" a="1"/>
  <c r="J7" i="2" s="1"/>
  <c r="AG1297" i="2" l="1"/>
  <c r="A1297" i="2"/>
  <c r="L7" i="2"/>
  <c r="M6" i="7"/>
  <c r="Q6" i="7" s="1"/>
  <c r="M7" i="7"/>
  <c r="Q7" i="7" s="1"/>
  <c r="M8" i="7"/>
  <c r="Q8" i="7" s="1"/>
  <c r="M9" i="7"/>
  <c r="Q9" i="7" s="1"/>
  <c r="M10" i="7"/>
  <c r="Q10" i="7" s="1"/>
  <c r="M11" i="7"/>
  <c r="Q11" i="7" s="1"/>
  <c r="M12" i="7"/>
  <c r="Q12" i="7" s="1"/>
  <c r="M13" i="7"/>
  <c r="Q13" i="7" s="1"/>
  <c r="M14" i="7"/>
  <c r="Q14" i="7" s="1"/>
  <c r="M15" i="7"/>
  <c r="Q15" i="7" s="1"/>
  <c r="M16" i="7"/>
  <c r="Q16" i="7" s="1"/>
  <c r="M17" i="7"/>
  <c r="Q17" i="7" s="1"/>
  <c r="M5" i="7"/>
  <c r="K17" i="7"/>
  <c r="P17" i="7" s="1"/>
  <c r="K16" i="7"/>
  <c r="P16" i="7" s="1"/>
  <c r="I16" i="7"/>
  <c r="O16" i="7" s="1"/>
  <c r="K15" i="7"/>
  <c r="P15" i="7" s="1"/>
  <c r="I15" i="7"/>
  <c r="O15" i="7" s="1"/>
  <c r="K14" i="7"/>
  <c r="P14" i="7" s="1"/>
  <c r="I14" i="7"/>
  <c r="O14" i="7" s="1"/>
  <c r="K13" i="7"/>
  <c r="P13" i="7" s="1"/>
  <c r="I13" i="7"/>
  <c r="O13" i="7" s="1"/>
  <c r="K12" i="7"/>
  <c r="P12" i="7" s="1"/>
  <c r="I12" i="7"/>
  <c r="O12" i="7" s="1"/>
  <c r="K11" i="7"/>
  <c r="P11" i="7" s="1"/>
  <c r="I11" i="7"/>
  <c r="O11" i="7" s="1"/>
  <c r="K10" i="7"/>
  <c r="P10" i="7" s="1"/>
  <c r="I10" i="7"/>
  <c r="O10" i="7" s="1"/>
  <c r="K9" i="7"/>
  <c r="P9" i="7" s="1"/>
  <c r="I9" i="7"/>
  <c r="O9" i="7" s="1"/>
  <c r="K8" i="7"/>
  <c r="P8" i="7" s="1"/>
  <c r="I8" i="7"/>
  <c r="O8" i="7" s="1"/>
  <c r="K7" i="7"/>
  <c r="P7" i="7" s="1"/>
  <c r="I7" i="7"/>
  <c r="O7" i="7" s="1"/>
  <c r="K6" i="7"/>
  <c r="P6" i="7" s="1"/>
  <c r="I6" i="7"/>
  <c r="O6" i="7" s="1"/>
  <c r="K5" i="7"/>
  <c r="F17" i="7"/>
  <c r="F16" i="7"/>
  <c r="F15" i="7"/>
  <c r="F14" i="7"/>
  <c r="F13" i="7"/>
  <c r="F12" i="7"/>
  <c r="F11" i="7"/>
  <c r="F10" i="7"/>
  <c r="F9" i="7"/>
  <c r="F8" i="7"/>
  <c r="F7" i="7"/>
  <c r="F6" i="7"/>
  <c r="F5" i="7"/>
  <c r="E17" i="7"/>
  <c r="E16" i="7"/>
  <c r="E15" i="7"/>
  <c r="E12" i="7"/>
  <c r="E11" i="7"/>
  <c r="E8" i="7"/>
  <c r="E7" i="7"/>
  <c r="E6" i="7"/>
  <c r="E5" i="7"/>
  <c r="D17" i="7"/>
  <c r="D16" i="7"/>
  <c r="D15" i="7"/>
  <c r="D14" i="7"/>
  <c r="D13" i="7"/>
  <c r="D12" i="7"/>
  <c r="D11" i="7"/>
  <c r="D10" i="7"/>
  <c r="D9" i="7"/>
  <c r="D8" i="7"/>
  <c r="D7" i="7"/>
  <c r="D6" i="7"/>
  <c r="D5" i="7"/>
  <c r="I5" i="7"/>
  <c r="P1297" i="2" l="1"/>
  <c r="Q1297" i="2" s="1"/>
  <c r="K3" i="7"/>
  <c r="P2" i="7" s="1"/>
  <c r="M3" i="7"/>
  <c r="Q2" i="7" s="1"/>
  <c r="I3" i="7"/>
  <c r="O2" i="7" s="1"/>
  <c r="F3" i="7"/>
  <c r="F2" i="7" s="1"/>
  <c r="D3" i="7"/>
  <c r="D2" i="7" s="1"/>
  <c r="P5" i="7"/>
  <c r="P3" i="7" s="1"/>
  <c r="Q5" i="7"/>
  <c r="R5" i="7" s="1"/>
  <c r="B6" i="7" s="1"/>
  <c r="R6" i="7" s="1"/>
  <c r="B7" i="7" s="1"/>
  <c r="R7" i="7" s="1"/>
  <c r="B8" i="7" s="1"/>
  <c r="R8" i="7" s="1"/>
  <c r="B9" i="7" s="1"/>
  <c r="R9" i="7" s="1"/>
  <c r="B10" i="7" s="1"/>
  <c r="R10" i="7" s="1"/>
  <c r="B11" i="7" s="1"/>
  <c r="R11" i="7" s="1"/>
  <c r="B12" i="7" s="1"/>
  <c r="R12" i="7" s="1"/>
  <c r="B13" i="7" s="1"/>
  <c r="R13" i="7" s="1"/>
  <c r="B14" i="7" s="1"/>
  <c r="R14" i="7" s="1"/>
  <c r="B15" i="7" s="1"/>
  <c r="R15" i="7" s="1"/>
  <c r="B16" i="7" s="1"/>
  <c r="R16" i="7" s="1"/>
  <c r="B17" i="7" s="1"/>
  <c r="R17" i="7" s="1"/>
  <c r="B18" i="7" s="1"/>
  <c r="R18" i="7" s="1"/>
  <c r="B19" i="7" s="1"/>
  <c r="R19" i="7" s="1"/>
  <c r="B20" i="7" s="1"/>
  <c r="R20" i="7" s="1"/>
  <c r="B21" i="7" s="1"/>
  <c r="R21" i="7" s="1"/>
  <c r="B22" i="7" s="1"/>
  <c r="R22" i="7" s="1"/>
  <c r="B23" i="7" s="1"/>
  <c r="R23" i="7" s="1"/>
  <c r="B24" i="7" s="1"/>
  <c r="R24" i="7" s="1"/>
  <c r="B25" i="7" s="1"/>
  <c r="R25" i="7" s="1"/>
  <c r="B26" i="7" s="1"/>
  <c r="R26" i="7" s="1"/>
  <c r="B27" i="7" s="1"/>
  <c r="R27" i="7" s="1"/>
  <c r="B28" i="7" s="1"/>
  <c r="R28" i="7" s="1"/>
  <c r="B29" i="7" s="1"/>
  <c r="R29" i="7" s="1"/>
  <c r="B30" i="7" s="1"/>
  <c r="R30" i="7" s="1"/>
  <c r="B31" i="7" s="1"/>
  <c r="R31" i="7" s="1"/>
  <c r="B32" i="7" s="1"/>
  <c r="R32" i="7" s="1"/>
  <c r="B33" i="7" s="1"/>
  <c r="R33" i="7" s="1"/>
  <c r="B34" i="7" s="1"/>
  <c r="R34" i="7" s="1"/>
  <c r="B35" i="7" s="1"/>
  <c r="R35" i="7" s="1"/>
  <c r="B36" i="7" s="1"/>
  <c r="R36" i="7" s="1"/>
  <c r="B37" i="7" s="1"/>
  <c r="R37" i="7" s="1"/>
  <c r="B38" i="7" s="1"/>
  <c r="R38" i="7" s="1"/>
  <c r="B39" i="7" s="1"/>
  <c r="R39" i="7" s="1"/>
  <c r="B40" i="7" s="1"/>
  <c r="R40" i="7" s="1"/>
  <c r="B41" i="7" s="1"/>
  <c r="R41" i="7" s="1"/>
  <c r="B42" i="7" s="1"/>
  <c r="R42" i="7" s="1"/>
  <c r="B43" i="7" s="1"/>
  <c r="R43" i="7" s="1"/>
  <c r="B44" i="7" s="1"/>
  <c r="R44" i="7" s="1"/>
  <c r="B45" i="7" s="1"/>
  <c r="R45" i="7" s="1"/>
  <c r="B46" i="7" s="1"/>
  <c r="R46" i="7" s="1"/>
  <c r="B47" i="7" s="1"/>
  <c r="R47" i="7" s="1"/>
  <c r="B48" i="7" s="1"/>
  <c r="R48" i="7" s="1"/>
  <c r="B49" i="7" s="1"/>
  <c r="R49" i="7" s="1"/>
  <c r="B50" i="7" s="1"/>
  <c r="R50" i="7" s="1"/>
  <c r="B51" i="7" s="1"/>
  <c r="R51" i="7" s="1"/>
  <c r="B52" i="7" s="1"/>
  <c r="R52" i="7" s="1"/>
  <c r="B53" i="7" s="1"/>
  <c r="R53" i="7" s="1"/>
  <c r="B54" i="7" s="1"/>
  <c r="R54" i="7" s="1"/>
  <c r="B55" i="7" s="1"/>
  <c r="R55" i="7" s="1"/>
  <c r="B56" i="7" s="1"/>
  <c r="R56" i="7" s="1"/>
  <c r="B57" i="7" s="1"/>
  <c r="R57" i="7" s="1"/>
  <c r="B58" i="7" s="1"/>
  <c r="R58" i="7" s="1"/>
  <c r="B59" i="7" s="1"/>
  <c r="R59" i="7" s="1"/>
  <c r="B60" i="7" s="1"/>
  <c r="R60" i="7" s="1"/>
  <c r="B61" i="7" s="1"/>
  <c r="R61" i="7" s="1"/>
  <c r="B62" i="7" s="1"/>
  <c r="R62" i="7" s="1"/>
  <c r="B63" i="7" s="1"/>
  <c r="R63" i="7" s="1"/>
  <c r="B64" i="7" s="1"/>
  <c r="R64" i="7" s="1"/>
  <c r="B65" i="7" s="1"/>
  <c r="R65" i="7" s="1"/>
  <c r="B66" i="7" s="1"/>
  <c r="R66" i="7" s="1"/>
  <c r="B67" i="7" s="1"/>
  <c r="R67" i="7" s="1"/>
  <c r="B68" i="7" s="1"/>
  <c r="R68" i="7" s="1"/>
  <c r="B69" i="7" s="1"/>
  <c r="R69" i="7" s="1"/>
  <c r="B70" i="7" s="1"/>
  <c r="R70" i="7" s="1"/>
  <c r="B71" i="7" s="1"/>
  <c r="R71" i="7" s="1"/>
  <c r="B72" i="7" s="1"/>
  <c r="R72" i="7" s="1"/>
  <c r="B73" i="7" s="1"/>
  <c r="R73" i="7" s="1"/>
  <c r="B74" i="7" s="1"/>
  <c r="R74" i="7" s="1"/>
  <c r="B75" i="7" s="1"/>
  <c r="R75" i="7" s="1"/>
  <c r="B76" i="7" s="1"/>
  <c r="R76" i="7" s="1"/>
  <c r="B77" i="7" s="1"/>
  <c r="R77" i="7" s="1"/>
  <c r="B78" i="7" s="1"/>
  <c r="R78" i="7" s="1"/>
  <c r="B79" i="7" s="1"/>
  <c r="R79" i="7" s="1"/>
  <c r="B80" i="7" s="1"/>
  <c r="R80" i="7" s="1"/>
  <c r="B81" i="7" s="1"/>
  <c r="R81" i="7" s="1"/>
  <c r="B82" i="7" s="1"/>
  <c r="R82" i="7" s="1"/>
  <c r="B83" i="7" s="1"/>
  <c r="R83" i="7" s="1"/>
  <c r="B84" i="7" s="1"/>
  <c r="R84" i="7" s="1"/>
  <c r="B85" i="7" s="1"/>
  <c r="R85" i="7" s="1"/>
  <c r="B86" i="7" s="1"/>
  <c r="R86" i="7" s="1"/>
  <c r="B87" i="7" s="1"/>
  <c r="R87" i="7" s="1"/>
  <c r="B88" i="7" s="1"/>
  <c r="R88" i="7" s="1"/>
  <c r="B89" i="7" s="1"/>
  <c r="R89" i="7" s="1"/>
  <c r="B90" i="7" s="1"/>
  <c r="R90" i="7" s="1"/>
  <c r="B91" i="7" s="1"/>
  <c r="R91" i="7" s="1"/>
  <c r="B92" i="7" s="1"/>
  <c r="R92" i="7" s="1"/>
  <c r="B93" i="7" s="1"/>
  <c r="R93" i="7" s="1"/>
  <c r="B94" i="7" s="1"/>
  <c r="R94" i="7" s="1"/>
  <c r="B95" i="7" s="1"/>
  <c r="R95" i="7" s="1"/>
  <c r="B96" i="7" s="1"/>
  <c r="R96" i="7" s="1"/>
  <c r="B97" i="7" s="1"/>
  <c r="R97" i="7" s="1"/>
  <c r="B98" i="7" s="1"/>
  <c r="R98" i="7" s="1"/>
  <c r="B99" i="7" s="1"/>
  <c r="R99" i="7" s="1"/>
  <c r="B100" i="7" s="1"/>
  <c r="R100" i="7" s="1"/>
  <c r="B101" i="7" s="1"/>
  <c r="R101" i="7" s="1"/>
  <c r="B102" i="7" s="1"/>
  <c r="R102" i="7" s="1"/>
  <c r="B103" i="7" s="1"/>
  <c r="R103" i="7" s="1"/>
  <c r="B104" i="7" s="1"/>
  <c r="R104" i="7" s="1"/>
  <c r="B105" i="7" s="1"/>
  <c r="R105" i="7" s="1"/>
  <c r="B106" i="7" s="1"/>
  <c r="R106" i="7" s="1"/>
  <c r="B107" i="7" s="1"/>
  <c r="R107" i="7" s="1"/>
  <c r="B108" i="7" s="1"/>
  <c r="R108" i="7" s="1"/>
  <c r="B109" i="7" s="1"/>
  <c r="R109" i="7" s="1"/>
  <c r="B110" i="7" s="1"/>
  <c r="R110" i="7" s="1"/>
  <c r="B111" i="7" s="1"/>
  <c r="R111" i="7" s="1"/>
  <c r="B112" i="7" s="1"/>
  <c r="R112" i="7" s="1"/>
  <c r="B113" i="7" s="1"/>
  <c r="R113" i="7" s="1"/>
  <c r="B114" i="7" s="1"/>
  <c r="R114" i="7" s="1"/>
  <c r="B115" i="7" s="1"/>
  <c r="R115" i="7" s="1"/>
  <c r="B116" i="7" s="1"/>
  <c r="R116" i="7" s="1"/>
  <c r="B117" i="7" s="1"/>
  <c r="R117" i="7" s="1"/>
  <c r="B118" i="7" s="1"/>
  <c r="R118" i="7" s="1"/>
  <c r="B119" i="7" s="1"/>
  <c r="R119" i="7" s="1"/>
  <c r="B120" i="7" s="1"/>
  <c r="R120" i="7" s="1"/>
  <c r="B121" i="7" s="1"/>
  <c r="R121" i="7" s="1"/>
  <c r="B122" i="7" s="1"/>
  <c r="R122" i="7" s="1"/>
  <c r="B123" i="7" s="1"/>
  <c r="R123" i="7" s="1"/>
  <c r="B124" i="7" s="1"/>
  <c r="R124" i="7" s="1"/>
  <c r="B125" i="7" s="1"/>
  <c r="R125" i="7" s="1"/>
  <c r="B126" i="7" s="1"/>
  <c r="R126" i="7" s="1"/>
  <c r="B127" i="7" s="1"/>
  <c r="R127" i="7" s="1"/>
  <c r="B128" i="7" s="1"/>
  <c r="R128" i="7" s="1"/>
  <c r="B129" i="7" s="1"/>
  <c r="R129" i="7" s="1"/>
  <c r="B130" i="7" s="1"/>
  <c r="R130" i="7" s="1"/>
  <c r="B131" i="7" s="1"/>
  <c r="R131" i="7" s="1"/>
  <c r="B132" i="7" s="1"/>
  <c r="R132" i="7" s="1"/>
  <c r="B133" i="7" s="1"/>
  <c r="R133" i="7" s="1"/>
  <c r="B134" i="7" s="1"/>
  <c r="R134" i="7" s="1"/>
  <c r="B135" i="7" s="1"/>
  <c r="R135" i="7" s="1"/>
  <c r="B136" i="7" s="1"/>
  <c r="R136" i="7" s="1"/>
  <c r="B137" i="7" s="1"/>
  <c r="R137" i="7" s="1"/>
  <c r="B138" i="7" s="1"/>
  <c r="R138" i="7" s="1"/>
  <c r="B139" i="7" s="1"/>
  <c r="R139" i="7" s="1"/>
  <c r="B140" i="7" s="1"/>
  <c r="R140" i="7" s="1"/>
  <c r="B141" i="7" s="1"/>
  <c r="R141" i="7" s="1"/>
  <c r="B142" i="7" s="1"/>
  <c r="R142" i="7" s="1"/>
  <c r="B143" i="7" s="1"/>
  <c r="R143" i="7" s="1"/>
  <c r="B144" i="7" s="1"/>
  <c r="R144" i="7" s="1"/>
  <c r="B145" i="7" s="1"/>
  <c r="R145" i="7" s="1"/>
  <c r="B146" i="7" s="1"/>
  <c r="R146" i="7" s="1"/>
  <c r="B147" i="7" s="1"/>
  <c r="R147" i="7" s="1"/>
  <c r="B148" i="7" s="1"/>
  <c r="R148" i="7" s="1"/>
  <c r="B149" i="7" s="1"/>
  <c r="R149" i="7" s="1"/>
  <c r="B150" i="7" s="1"/>
  <c r="R150" i="7" s="1"/>
  <c r="B151" i="7" s="1"/>
  <c r="R151" i="7" s="1"/>
  <c r="B152" i="7" s="1"/>
  <c r="R152" i="7" s="1"/>
  <c r="B153" i="7" s="1"/>
  <c r="R153" i="7" s="1"/>
  <c r="B154" i="7" s="1"/>
  <c r="R154" i="7" s="1"/>
  <c r="B155" i="7" s="1"/>
  <c r="R155" i="7" s="1"/>
  <c r="B156" i="7" s="1"/>
  <c r="R156" i="7" s="1"/>
  <c r="B157" i="7" s="1"/>
  <c r="R157" i="7" s="1"/>
  <c r="B158" i="7" s="1"/>
  <c r="R158" i="7" s="1"/>
  <c r="B159" i="7" s="1"/>
  <c r="R159" i="7" s="1"/>
  <c r="B160" i="7" s="1"/>
  <c r="R160" i="7" s="1"/>
  <c r="B161" i="7" s="1"/>
  <c r="R161" i="7" s="1"/>
  <c r="B162" i="7" s="1"/>
  <c r="R162" i="7" s="1"/>
  <c r="B163" i="7" s="1"/>
  <c r="R163" i="7" s="1"/>
  <c r="B164" i="7" s="1"/>
  <c r="R164" i="7" s="1"/>
  <c r="B165" i="7" s="1"/>
  <c r="R165" i="7" s="1"/>
  <c r="B166" i="7" s="1"/>
  <c r="R166" i="7" s="1"/>
  <c r="B167" i="7" s="1"/>
  <c r="R167" i="7" s="1"/>
  <c r="B168" i="7" s="1"/>
  <c r="R168" i="7" s="1"/>
  <c r="B169" i="7" s="1"/>
  <c r="R169" i="7" s="1"/>
  <c r="B170" i="7" s="1"/>
  <c r="R170" i="7" s="1"/>
  <c r="B171" i="7" s="1"/>
  <c r="R171" i="7" s="1"/>
  <c r="B172" i="7" s="1"/>
  <c r="R172" i="7" s="1"/>
  <c r="B173" i="7" s="1"/>
  <c r="R173" i="7" s="1"/>
  <c r="B174" i="7" s="1"/>
  <c r="R174" i="7" s="1"/>
  <c r="B175" i="7" s="1"/>
  <c r="R175" i="7" s="1"/>
  <c r="B176" i="7" s="1"/>
  <c r="R176" i="7" s="1"/>
  <c r="B177" i="7" s="1"/>
  <c r="R177" i="7" s="1"/>
  <c r="B178" i="7" s="1"/>
  <c r="R178" i="7" s="1"/>
  <c r="B179" i="7" s="1"/>
  <c r="R179" i="7" s="1"/>
  <c r="B180" i="7" s="1"/>
  <c r="R180" i="7" s="1"/>
  <c r="B181" i="7" s="1"/>
  <c r="R181" i="7" s="1"/>
  <c r="O5" i="7"/>
  <c r="S5" i="7" s="1"/>
  <c r="S6" i="7" s="1"/>
  <c r="S7" i="7" s="1"/>
  <c r="S8" i="7" s="1"/>
  <c r="S9" i="7" s="1"/>
  <c r="S10" i="7" s="1"/>
  <c r="S11" i="7" s="1"/>
  <c r="S12" i="7" s="1"/>
  <c r="S13" i="7" s="1"/>
  <c r="S14" i="7" s="1"/>
  <c r="S15" i="7" s="1"/>
  <c r="S16" i="7" s="1"/>
  <c r="S17" i="7" s="1"/>
  <c r="S18" i="7" s="1"/>
  <c r="S19" i="7" s="1"/>
  <c r="S20" i="7" s="1"/>
  <c r="S21" i="7" s="1"/>
  <c r="S22" i="7" s="1"/>
  <c r="S23" i="7" s="1"/>
  <c r="S24" i="7" s="1"/>
  <c r="S25" i="7" s="1"/>
  <c r="S26" i="7" s="1"/>
  <c r="S27" i="7" s="1"/>
  <c r="S28" i="7" s="1"/>
  <c r="S29" i="7" s="1"/>
  <c r="S30" i="7" s="1"/>
  <c r="S31" i="7" s="1"/>
  <c r="S32" i="7" s="1"/>
  <c r="S33" i="7" s="1"/>
  <c r="S34" i="7" s="1"/>
  <c r="S35" i="7" s="1"/>
  <c r="S36" i="7" s="1"/>
  <c r="S37" i="7" s="1"/>
  <c r="S38" i="7" s="1"/>
  <c r="S39" i="7" s="1"/>
  <c r="S40" i="7" s="1"/>
  <c r="S41" i="7" s="1"/>
  <c r="S42" i="7" s="1"/>
  <c r="S43" i="7" s="1"/>
  <c r="S44" i="7" s="1"/>
  <c r="S45" i="7" s="1"/>
  <c r="S46" i="7" s="1"/>
  <c r="S47" i="7" s="1"/>
  <c r="S48" i="7" s="1"/>
  <c r="S49" i="7" s="1"/>
  <c r="S50" i="7" s="1"/>
  <c r="S51" i="7" s="1"/>
  <c r="S52" i="7" s="1"/>
  <c r="S53" i="7" s="1"/>
  <c r="S54" i="7" s="1"/>
  <c r="S55" i="7" s="1"/>
  <c r="S56" i="7" s="1"/>
  <c r="S57" i="7" s="1"/>
  <c r="S58" i="7" s="1"/>
  <c r="S59" i="7" s="1"/>
  <c r="S60" i="7" s="1"/>
  <c r="S61" i="7" s="1"/>
  <c r="S62" i="7" s="1"/>
  <c r="S63" i="7" s="1"/>
  <c r="S64" i="7" s="1"/>
  <c r="S65" i="7" s="1"/>
  <c r="S66" i="7" s="1"/>
  <c r="S67" i="7" s="1"/>
  <c r="S68" i="7" s="1"/>
  <c r="S69" i="7" s="1"/>
  <c r="S70" i="7" s="1"/>
  <c r="S71" i="7" s="1"/>
  <c r="S72" i="7" s="1"/>
  <c r="S73" i="7" s="1"/>
  <c r="S74" i="7" s="1"/>
  <c r="S75" i="7" s="1"/>
  <c r="S76" i="7" s="1"/>
  <c r="S77" i="7" s="1"/>
  <c r="S78" i="7" s="1"/>
  <c r="S79" i="7" s="1"/>
  <c r="S80" i="7" s="1"/>
  <c r="S81" i="7" s="1"/>
  <c r="S82" i="7" s="1"/>
  <c r="S83" i="7" s="1"/>
  <c r="S84" i="7" s="1"/>
  <c r="S85" i="7" s="1"/>
  <c r="S86" i="7" s="1"/>
  <c r="S87" i="7" s="1"/>
  <c r="S88" i="7" s="1"/>
  <c r="S89" i="7" s="1"/>
  <c r="S90" i="7" s="1"/>
  <c r="S91" i="7" s="1"/>
  <c r="S92" i="7" s="1"/>
  <c r="S93" i="7" s="1"/>
  <c r="S94" i="7" s="1"/>
  <c r="S95" i="7" s="1"/>
  <c r="S96" i="7" s="1"/>
  <c r="S97" i="7" s="1"/>
  <c r="S98" i="7" s="1"/>
  <c r="S99" i="7" s="1"/>
  <c r="S100" i="7" s="1"/>
  <c r="S101" i="7" s="1"/>
  <c r="S102" i="7" s="1"/>
  <c r="S103" i="7" s="1"/>
  <c r="S104" i="7" s="1"/>
  <c r="S105" i="7" s="1"/>
  <c r="S106" i="7" s="1"/>
  <c r="S107" i="7" s="1"/>
  <c r="S108" i="7" s="1"/>
  <c r="S109" i="7" s="1"/>
  <c r="S110" i="7" s="1"/>
  <c r="S111" i="7" s="1"/>
  <c r="S112" i="7" s="1"/>
  <c r="S113" i="7" s="1"/>
  <c r="S114" i="7" s="1"/>
  <c r="S115" i="7" s="1"/>
  <c r="S116" i="7" s="1"/>
  <c r="S117" i="7" s="1"/>
  <c r="S118" i="7" s="1"/>
  <c r="S119" i="7" s="1"/>
  <c r="S120" i="7" s="1"/>
  <c r="S121" i="7" s="1"/>
  <c r="S122" i="7" s="1"/>
  <c r="S123" i="7" s="1"/>
  <c r="S124" i="7" s="1"/>
  <c r="S125" i="7" s="1"/>
  <c r="S126" i="7" s="1"/>
  <c r="S127" i="7" s="1"/>
  <c r="S128" i="7" s="1"/>
  <c r="S129" i="7" s="1"/>
  <c r="S130" i="7" s="1"/>
  <c r="S131" i="7" s="1"/>
  <c r="S132" i="7" s="1"/>
  <c r="S133" i="7" s="1"/>
  <c r="S134" i="7" s="1"/>
  <c r="S135" i="7" s="1"/>
  <c r="S136" i="7" s="1"/>
  <c r="S137" i="7" s="1"/>
  <c r="S138" i="7" s="1"/>
  <c r="S139" i="7" s="1"/>
  <c r="S140" i="7" s="1"/>
  <c r="S141" i="7" s="1"/>
  <c r="S142" i="7" s="1"/>
  <c r="S143" i="7" s="1"/>
  <c r="S144" i="7" s="1"/>
  <c r="S145" i="7" s="1"/>
  <c r="S146" i="7" s="1"/>
  <c r="S147" i="7" s="1"/>
  <c r="S148" i="7" s="1"/>
  <c r="S149" i="7" s="1"/>
  <c r="S150" i="7" s="1"/>
  <c r="S151" i="7" s="1"/>
  <c r="S152" i="7" s="1"/>
  <c r="S153" i="7" s="1"/>
  <c r="S154" i="7" s="1"/>
  <c r="S155" i="7" s="1"/>
  <c r="S156" i="7" s="1"/>
  <c r="S157" i="7" s="1"/>
  <c r="S158" i="7" s="1"/>
  <c r="S159" i="7" s="1"/>
  <c r="S160" i="7" s="1"/>
  <c r="S161" i="7" s="1"/>
  <c r="S162" i="7" s="1"/>
  <c r="S163" i="7" s="1"/>
  <c r="S164" i="7" s="1"/>
  <c r="S165" i="7" s="1"/>
  <c r="S166" i="7" s="1"/>
  <c r="S167" i="7" s="1"/>
  <c r="S168" i="7" s="1"/>
  <c r="S169" i="7" s="1"/>
  <c r="S170" i="7" s="1"/>
  <c r="S171" i="7" s="1"/>
  <c r="S172" i="7" s="1"/>
  <c r="S173" i="7" s="1"/>
  <c r="S174" i="7" s="1"/>
  <c r="S175" i="7" s="1"/>
  <c r="S176" i="7" s="1"/>
  <c r="S177" i="7" s="1"/>
  <c r="S178" i="7" s="1"/>
  <c r="S179" i="7" s="1"/>
  <c r="S180" i="7" s="1"/>
  <c r="S181" i="7" s="1"/>
  <c r="Q3" i="7" l="1"/>
  <c r="O3" i="7"/>
  <c r="T5" i="7"/>
  <c r="T6" i="7" s="1"/>
  <c r="T7" i="7" s="1"/>
  <c r="T8" i="7" s="1"/>
  <c r="A21" i="5"/>
  <c r="AG1296" i="2" l="1"/>
  <c r="A1296" i="2"/>
  <c r="T7" i="2"/>
  <c r="G5" i="2" s="1"/>
  <c r="V7" i="2"/>
  <c r="G7" i="2" s="1"/>
  <c r="F6" i="2"/>
  <c r="A9" i="2"/>
  <c r="P9" i="2" s="1"/>
  <c r="A1295" i="2"/>
  <c r="A1259" i="2"/>
  <c r="A1260" i="2"/>
  <c r="A1261" i="2"/>
  <c r="A1262" i="2"/>
  <c r="A1263" i="2"/>
  <c r="A1264" i="2"/>
  <c r="A1265" i="2"/>
  <c r="A1266" i="2"/>
  <c r="A1267" i="2"/>
  <c r="A1268" i="2"/>
  <c r="A1269" i="2"/>
  <c r="A1270" i="2"/>
  <c r="A1271" i="2"/>
  <c r="A1272" i="2"/>
  <c r="A1273" i="2"/>
  <c r="A1274" i="2"/>
  <c r="A1275" i="2"/>
  <c r="A1276" i="2"/>
  <c r="A1277" i="2"/>
  <c r="A1278" i="2"/>
  <c r="A1279" i="2"/>
  <c r="A1280" i="2"/>
  <c r="A1281" i="2"/>
  <c r="A1282" i="2"/>
  <c r="A1283" i="2"/>
  <c r="A1284" i="2"/>
  <c r="A1285" i="2"/>
  <c r="A1286" i="2"/>
  <c r="A1287" i="2"/>
  <c r="A1288" i="2"/>
  <c r="A1289" i="2"/>
  <c r="A1290" i="2"/>
  <c r="A1291" i="2"/>
  <c r="A1292" i="2"/>
  <c r="A1293" i="2"/>
  <c r="A1294"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7" i="2"/>
  <c r="A548" i="2"/>
  <c r="A549" i="2"/>
  <c r="A550" i="2"/>
  <c r="A551" i="2"/>
  <c r="A552" i="2"/>
  <c r="A553" i="2"/>
  <c r="A554" i="2"/>
  <c r="A555" i="2"/>
  <c r="A556" i="2"/>
  <c r="A557" i="2"/>
  <c r="A558" i="2"/>
  <c r="A559" i="2"/>
  <c r="A560" i="2"/>
  <c r="A561" i="2"/>
  <c r="A562" i="2"/>
  <c r="A563" i="2"/>
  <c r="A564" i="2"/>
  <c r="A565" i="2"/>
  <c r="A566" i="2"/>
  <c r="A567" i="2"/>
  <c r="A568" i="2"/>
  <c r="A569" i="2"/>
  <c r="A570" i="2"/>
  <c r="A571" i="2"/>
  <c r="A572" i="2"/>
  <c r="A573" i="2"/>
  <c r="A574" i="2"/>
  <c r="A575" i="2"/>
  <c r="A576" i="2"/>
  <c r="A577" i="2"/>
  <c r="A578" i="2"/>
  <c r="A579" i="2"/>
  <c r="A580" i="2"/>
  <c r="A581" i="2"/>
  <c r="A582" i="2"/>
  <c r="A583" i="2"/>
  <c r="A584" i="2"/>
  <c r="A585" i="2"/>
  <c r="A586" i="2"/>
  <c r="A587" i="2"/>
  <c r="A588" i="2"/>
  <c r="A589" i="2"/>
  <c r="A590" i="2"/>
  <c r="A591" i="2"/>
  <c r="A592" i="2"/>
  <c r="A593" i="2"/>
  <c r="A594" i="2"/>
  <c r="A595" i="2"/>
  <c r="A596" i="2"/>
  <c r="A597" i="2"/>
  <c r="A598" i="2"/>
  <c r="A599" i="2"/>
  <c r="A600" i="2"/>
  <c r="A601" i="2"/>
  <c r="A602" i="2"/>
  <c r="A603" i="2"/>
  <c r="A604" i="2"/>
  <c r="A605" i="2"/>
  <c r="A606" i="2"/>
  <c r="A607" i="2"/>
  <c r="A608" i="2"/>
  <c r="A609" i="2"/>
  <c r="A610" i="2"/>
  <c r="A611" i="2"/>
  <c r="A612" i="2"/>
  <c r="A613" i="2"/>
  <c r="A614" i="2"/>
  <c r="A615" i="2"/>
  <c r="A616" i="2"/>
  <c r="A617" i="2"/>
  <c r="A618" i="2"/>
  <c r="A619" i="2"/>
  <c r="A620" i="2"/>
  <c r="A621" i="2"/>
  <c r="A622" i="2"/>
  <c r="A623" i="2"/>
  <c r="A624" i="2"/>
  <c r="A625" i="2"/>
  <c r="A626" i="2"/>
  <c r="A627" i="2"/>
  <c r="A628" i="2"/>
  <c r="A629" i="2"/>
  <c r="A630" i="2"/>
  <c r="A631" i="2"/>
  <c r="A632" i="2"/>
  <c r="A633" i="2"/>
  <c r="A634" i="2"/>
  <c r="A635" i="2"/>
  <c r="A636" i="2"/>
  <c r="A637" i="2"/>
  <c r="A638" i="2"/>
  <c r="A639" i="2"/>
  <c r="A640" i="2"/>
  <c r="A641" i="2"/>
  <c r="A642" i="2"/>
  <c r="A643" i="2"/>
  <c r="A644" i="2"/>
  <c r="A645" i="2"/>
  <c r="A646" i="2"/>
  <c r="A647" i="2"/>
  <c r="A648" i="2"/>
  <c r="A649" i="2"/>
  <c r="A650" i="2"/>
  <c r="A651" i="2"/>
  <c r="A652" i="2"/>
  <c r="A653" i="2"/>
  <c r="A654" i="2"/>
  <c r="A655" i="2"/>
  <c r="A656" i="2"/>
  <c r="A657" i="2"/>
  <c r="A658" i="2"/>
  <c r="A659" i="2"/>
  <c r="A660" i="2"/>
  <c r="A661" i="2"/>
  <c r="A662" i="2"/>
  <c r="A663" i="2"/>
  <c r="A664" i="2"/>
  <c r="A665" i="2"/>
  <c r="A666" i="2"/>
  <c r="A667" i="2"/>
  <c r="A668" i="2"/>
  <c r="A669" i="2"/>
  <c r="A670" i="2"/>
  <c r="A671" i="2"/>
  <c r="A672" i="2"/>
  <c r="A673" i="2"/>
  <c r="A674" i="2"/>
  <c r="A675" i="2"/>
  <c r="A676" i="2"/>
  <c r="A677" i="2"/>
  <c r="A678" i="2"/>
  <c r="A679" i="2"/>
  <c r="A680" i="2"/>
  <c r="A681" i="2"/>
  <c r="A682" i="2"/>
  <c r="A683" i="2"/>
  <c r="A684" i="2"/>
  <c r="A685" i="2"/>
  <c r="A686" i="2"/>
  <c r="A687" i="2"/>
  <c r="A688" i="2"/>
  <c r="A689" i="2"/>
  <c r="A690" i="2"/>
  <c r="A691" i="2"/>
  <c r="A692" i="2"/>
  <c r="A693" i="2"/>
  <c r="A694" i="2"/>
  <c r="A695" i="2"/>
  <c r="A696" i="2"/>
  <c r="A697" i="2"/>
  <c r="A698" i="2"/>
  <c r="A699" i="2"/>
  <c r="A700" i="2"/>
  <c r="A701" i="2"/>
  <c r="A702" i="2"/>
  <c r="A703" i="2"/>
  <c r="A704" i="2"/>
  <c r="A705" i="2"/>
  <c r="A706" i="2"/>
  <c r="A707" i="2"/>
  <c r="A708" i="2"/>
  <c r="A709" i="2"/>
  <c r="A710" i="2"/>
  <c r="A711" i="2"/>
  <c r="A712" i="2"/>
  <c r="A713" i="2"/>
  <c r="A714" i="2"/>
  <c r="A715" i="2"/>
  <c r="A716" i="2"/>
  <c r="A717" i="2"/>
  <c r="A718" i="2"/>
  <c r="A719" i="2"/>
  <c r="A720" i="2"/>
  <c r="A721" i="2"/>
  <c r="A722" i="2"/>
  <c r="A723" i="2"/>
  <c r="A724" i="2"/>
  <c r="A725" i="2"/>
  <c r="A726" i="2"/>
  <c r="A727" i="2"/>
  <c r="A728" i="2"/>
  <c r="A729" i="2"/>
  <c r="A730" i="2"/>
  <c r="A731" i="2"/>
  <c r="A732" i="2"/>
  <c r="A733" i="2"/>
  <c r="A734" i="2"/>
  <c r="A735" i="2"/>
  <c r="A736" i="2"/>
  <c r="A737" i="2"/>
  <c r="A738" i="2"/>
  <c r="A739" i="2"/>
  <c r="A740" i="2"/>
  <c r="A741" i="2"/>
  <c r="A742" i="2"/>
  <c r="A743" i="2"/>
  <c r="A744" i="2"/>
  <c r="A745" i="2"/>
  <c r="A746" i="2"/>
  <c r="A747" i="2"/>
  <c r="A748" i="2"/>
  <c r="A749" i="2"/>
  <c r="A750" i="2"/>
  <c r="A751" i="2"/>
  <c r="A752" i="2"/>
  <c r="A753" i="2"/>
  <c r="A754" i="2"/>
  <c r="A755" i="2"/>
  <c r="A756" i="2"/>
  <c r="A757" i="2"/>
  <c r="A758" i="2"/>
  <c r="A759" i="2"/>
  <c r="A760" i="2"/>
  <c r="A761" i="2"/>
  <c r="A762" i="2"/>
  <c r="A763" i="2"/>
  <c r="A764" i="2"/>
  <c r="A765" i="2"/>
  <c r="A766" i="2"/>
  <c r="A767" i="2"/>
  <c r="A768" i="2"/>
  <c r="A769" i="2"/>
  <c r="A770" i="2"/>
  <c r="A771" i="2"/>
  <c r="A772" i="2"/>
  <c r="A773" i="2"/>
  <c r="A774" i="2"/>
  <c r="A775" i="2"/>
  <c r="A776" i="2"/>
  <c r="A777" i="2"/>
  <c r="A778" i="2"/>
  <c r="A779" i="2"/>
  <c r="A780" i="2"/>
  <c r="A781" i="2"/>
  <c r="A782" i="2"/>
  <c r="A783" i="2"/>
  <c r="A784" i="2"/>
  <c r="A785" i="2"/>
  <c r="A786" i="2"/>
  <c r="A787" i="2"/>
  <c r="A788" i="2"/>
  <c r="A789" i="2"/>
  <c r="A790" i="2"/>
  <c r="A791" i="2"/>
  <c r="A792" i="2"/>
  <c r="A793" i="2"/>
  <c r="A794" i="2"/>
  <c r="A795" i="2"/>
  <c r="A796" i="2"/>
  <c r="A797" i="2"/>
  <c r="A798" i="2"/>
  <c r="A799" i="2"/>
  <c r="A800" i="2"/>
  <c r="A801" i="2"/>
  <c r="A802" i="2"/>
  <c r="A803" i="2"/>
  <c r="A804" i="2"/>
  <c r="A805" i="2"/>
  <c r="A806" i="2"/>
  <c r="A807" i="2"/>
  <c r="A808" i="2"/>
  <c r="A809" i="2"/>
  <c r="A810" i="2"/>
  <c r="A811" i="2"/>
  <c r="A812" i="2"/>
  <c r="A813" i="2"/>
  <c r="A814" i="2"/>
  <c r="A815" i="2"/>
  <c r="A816" i="2"/>
  <c r="A817" i="2"/>
  <c r="A818" i="2"/>
  <c r="A819" i="2"/>
  <c r="A820" i="2"/>
  <c r="A821" i="2"/>
  <c r="A822" i="2"/>
  <c r="A823" i="2"/>
  <c r="A824" i="2"/>
  <c r="A825" i="2"/>
  <c r="A826" i="2"/>
  <c r="A827" i="2"/>
  <c r="A828" i="2"/>
  <c r="A829" i="2"/>
  <c r="A830" i="2"/>
  <c r="A831" i="2"/>
  <c r="A832" i="2"/>
  <c r="A833" i="2"/>
  <c r="A834" i="2"/>
  <c r="A835" i="2"/>
  <c r="A836" i="2"/>
  <c r="A837" i="2"/>
  <c r="A838" i="2"/>
  <c r="A839" i="2"/>
  <c r="A840" i="2"/>
  <c r="A841" i="2"/>
  <c r="A842" i="2"/>
  <c r="A843" i="2"/>
  <c r="A844" i="2"/>
  <c r="A845" i="2"/>
  <c r="A846" i="2"/>
  <c r="A847" i="2"/>
  <c r="A848" i="2"/>
  <c r="A849" i="2"/>
  <c r="A850" i="2"/>
  <c r="A851" i="2"/>
  <c r="A852" i="2"/>
  <c r="A853" i="2"/>
  <c r="A854" i="2"/>
  <c r="A855" i="2"/>
  <c r="A856" i="2"/>
  <c r="A857" i="2"/>
  <c r="A858" i="2"/>
  <c r="A859" i="2"/>
  <c r="A860" i="2"/>
  <c r="A861" i="2"/>
  <c r="A862" i="2"/>
  <c r="A863" i="2"/>
  <c r="A864" i="2"/>
  <c r="A865" i="2"/>
  <c r="A866" i="2"/>
  <c r="A867" i="2"/>
  <c r="A868" i="2"/>
  <c r="A869" i="2"/>
  <c r="A870" i="2"/>
  <c r="A871" i="2"/>
  <c r="A872" i="2"/>
  <c r="A873" i="2"/>
  <c r="A874" i="2"/>
  <c r="A875" i="2"/>
  <c r="A876" i="2"/>
  <c r="A877" i="2"/>
  <c r="A878" i="2"/>
  <c r="A879" i="2"/>
  <c r="A880" i="2"/>
  <c r="A881" i="2"/>
  <c r="A882" i="2"/>
  <c r="A883" i="2"/>
  <c r="A884" i="2"/>
  <c r="A885" i="2"/>
  <c r="A886" i="2"/>
  <c r="A887" i="2"/>
  <c r="A888" i="2"/>
  <c r="A889" i="2"/>
  <c r="A890" i="2"/>
  <c r="A891" i="2"/>
  <c r="A892" i="2"/>
  <c r="A893" i="2"/>
  <c r="A894" i="2"/>
  <c r="A895" i="2"/>
  <c r="A896" i="2"/>
  <c r="A897" i="2"/>
  <c r="A898" i="2"/>
  <c r="A899" i="2"/>
  <c r="A900" i="2"/>
  <c r="A901" i="2"/>
  <c r="A902" i="2"/>
  <c r="A903" i="2"/>
  <c r="A904" i="2"/>
  <c r="A905" i="2"/>
  <c r="A906" i="2"/>
  <c r="A907" i="2"/>
  <c r="A908" i="2"/>
  <c r="A909" i="2"/>
  <c r="A910" i="2"/>
  <c r="A911" i="2"/>
  <c r="A912" i="2"/>
  <c r="A913" i="2"/>
  <c r="A914" i="2"/>
  <c r="A915" i="2"/>
  <c r="A916" i="2"/>
  <c r="A917" i="2"/>
  <c r="A918" i="2"/>
  <c r="A919" i="2"/>
  <c r="A920" i="2"/>
  <c r="A921" i="2"/>
  <c r="A922" i="2"/>
  <c r="A923" i="2"/>
  <c r="A924" i="2"/>
  <c r="A925" i="2"/>
  <c r="A926" i="2"/>
  <c r="A927" i="2"/>
  <c r="A928" i="2"/>
  <c r="A929" i="2"/>
  <c r="A930" i="2"/>
  <c r="A931" i="2"/>
  <c r="A932" i="2"/>
  <c r="A933" i="2"/>
  <c r="A934" i="2"/>
  <c r="A935" i="2"/>
  <c r="A936" i="2"/>
  <c r="A937" i="2"/>
  <c r="A938" i="2"/>
  <c r="A939" i="2"/>
  <c r="A940" i="2"/>
  <c r="A941" i="2"/>
  <c r="A942" i="2"/>
  <c r="A943" i="2"/>
  <c r="A944" i="2"/>
  <c r="A945" i="2"/>
  <c r="A946" i="2"/>
  <c r="A947" i="2"/>
  <c r="A948" i="2"/>
  <c r="A949" i="2"/>
  <c r="A950" i="2"/>
  <c r="A951" i="2"/>
  <c r="A952" i="2"/>
  <c r="A953" i="2"/>
  <c r="A954" i="2"/>
  <c r="A955" i="2"/>
  <c r="A956" i="2"/>
  <c r="A957" i="2"/>
  <c r="A958" i="2"/>
  <c r="A959" i="2"/>
  <c r="A960" i="2"/>
  <c r="A961" i="2"/>
  <c r="A962" i="2"/>
  <c r="A963" i="2"/>
  <c r="A964" i="2"/>
  <c r="A965" i="2"/>
  <c r="A966" i="2"/>
  <c r="A967" i="2"/>
  <c r="A968" i="2"/>
  <c r="A969" i="2"/>
  <c r="A970" i="2"/>
  <c r="A971" i="2"/>
  <c r="A972" i="2"/>
  <c r="A973" i="2"/>
  <c r="A974" i="2"/>
  <c r="A975" i="2"/>
  <c r="A976" i="2"/>
  <c r="A977" i="2"/>
  <c r="A978" i="2"/>
  <c r="A979" i="2"/>
  <c r="A980" i="2"/>
  <c r="A981" i="2"/>
  <c r="A982" i="2"/>
  <c r="A983" i="2"/>
  <c r="A984" i="2"/>
  <c r="A985" i="2"/>
  <c r="A986" i="2"/>
  <c r="A987" i="2"/>
  <c r="A988" i="2"/>
  <c r="A989" i="2"/>
  <c r="A990" i="2"/>
  <c r="A991" i="2"/>
  <c r="A992" i="2"/>
  <c r="A993" i="2"/>
  <c r="A994" i="2"/>
  <c r="A995" i="2"/>
  <c r="A996" i="2"/>
  <c r="A997" i="2"/>
  <c r="A998" i="2"/>
  <c r="A999" i="2"/>
  <c r="A1000" i="2"/>
  <c r="A1001" i="2"/>
  <c r="A1002" i="2"/>
  <c r="A1003" i="2"/>
  <c r="A1004" i="2"/>
  <c r="A1005" i="2"/>
  <c r="A1006" i="2"/>
  <c r="A1007" i="2"/>
  <c r="A1008" i="2"/>
  <c r="A1009" i="2"/>
  <c r="A1010" i="2"/>
  <c r="A1011" i="2"/>
  <c r="A1012" i="2"/>
  <c r="A1013" i="2"/>
  <c r="A1014" i="2"/>
  <c r="A1015" i="2"/>
  <c r="A1016" i="2"/>
  <c r="A1017" i="2"/>
  <c r="A1018" i="2"/>
  <c r="A1019" i="2"/>
  <c r="A1020" i="2"/>
  <c r="A1021" i="2"/>
  <c r="A1022" i="2"/>
  <c r="A1023" i="2"/>
  <c r="A1024" i="2"/>
  <c r="A1025" i="2"/>
  <c r="A1026" i="2"/>
  <c r="A1027" i="2"/>
  <c r="A1028" i="2"/>
  <c r="A1029" i="2"/>
  <c r="A1030" i="2"/>
  <c r="A1031" i="2"/>
  <c r="A1032" i="2"/>
  <c r="A1033" i="2"/>
  <c r="A1034" i="2"/>
  <c r="A1035" i="2"/>
  <c r="A1036" i="2"/>
  <c r="A1037" i="2"/>
  <c r="A1038" i="2"/>
  <c r="A1039" i="2"/>
  <c r="A1040" i="2"/>
  <c r="A1041" i="2"/>
  <c r="A1042" i="2"/>
  <c r="A1043" i="2"/>
  <c r="A1044" i="2"/>
  <c r="A1045" i="2"/>
  <c r="A1046" i="2"/>
  <c r="A1047" i="2"/>
  <c r="A1048" i="2"/>
  <c r="A1049" i="2"/>
  <c r="A1050" i="2"/>
  <c r="A1051" i="2"/>
  <c r="A1052" i="2"/>
  <c r="A1053" i="2"/>
  <c r="A1054" i="2"/>
  <c r="A1055" i="2"/>
  <c r="A1056" i="2"/>
  <c r="A1057" i="2"/>
  <c r="A1058" i="2"/>
  <c r="A1059" i="2"/>
  <c r="A1060" i="2"/>
  <c r="A1061" i="2"/>
  <c r="A1062" i="2"/>
  <c r="A1063" i="2"/>
  <c r="A1064" i="2"/>
  <c r="A1065" i="2"/>
  <c r="A1066" i="2"/>
  <c r="A1067" i="2"/>
  <c r="A1068" i="2"/>
  <c r="A1069" i="2"/>
  <c r="A1070" i="2"/>
  <c r="A1071" i="2"/>
  <c r="A1072" i="2"/>
  <c r="A1073" i="2"/>
  <c r="A1074" i="2"/>
  <c r="A1075" i="2"/>
  <c r="A1076" i="2"/>
  <c r="A1077" i="2"/>
  <c r="A1078" i="2"/>
  <c r="A1079" i="2"/>
  <c r="A1080" i="2"/>
  <c r="A1081" i="2"/>
  <c r="A1082" i="2"/>
  <c r="A1083" i="2"/>
  <c r="A1084" i="2"/>
  <c r="A1085" i="2"/>
  <c r="A1086" i="2"/>
  <c r="A1087" i="2"/>
  <c r="A1088" i="2"/>
  <c r="A1089" i="2"/>
  <c r="A1090" i="2"/>
  <c r="A1091" i="2"/>
  <c r="A1092" i="2"/>
  <c r="A1093" i="2"/>
  <c r="A1094" i="2"/>
  <c r="A1095" i="2"/>
  <c r="A1096" i="2"/>
  <c r="A1097" i="2"/>
  <c r="A1098" i="2"/>
  <c r="A1099" i="2"/>
  <c r="A1100" i="2"/>
  <c r="A1101" i="2"/>
  <c r="A1102" i="2"/>
  <c r="A1103" i="2"/>
  <c r="A1104" i="2"/>
  <c r="A1105" i="2"/>
  <c r="A1106" i="2"/>
  <c r="A1107" i="2"/>
  <c r="A1108" i="2"/>
  <c r="A1109" i="2"/>
  <c r="A1110" i="2"/>
  <c r="A1111" i="2"/>
  <c r="A1112" i="2"/>
  <c r="A1113" i="2"/>
  <c r="A1114" i="2"/>
  <c r="A1115" i="2"/>
  <c r="A1116" i="2"/>
  <c r="A1117" i="2"/>
  <c r="A1118" i="2"/>
  <c r="A1119" i="2"/>
  <c r="A1120" i="2"/>
  <c r="A1121" i="2"/>
  <c r="A1122" i="2"/>
  <c r="A1123" i="2"/>
  <c r="A1124" i="2"/>
  <c r="A1125" i="2"/>
  <c r="A1126" i="2"/>
  <c r="A1127" i="2"/>
  <c r="A1128" i="2"/>
  <c r="A1129" i="2"/>
  <c r="A1130" i="2"/>
  <c r="A1131" i="2"/>
  <c r="A1132" i="2"/>
  <c r="A1133" i="2"/>
  <c r="A1134" i="2"/>
  <c r="A1135" i="2"/>
  <c r="A1136" i="2"/>
  <c r="A1137" i="2"/>
  <c r="A1138" i="2"/>
  <c r="A1139" i="2"/>
  <c r="A1140" i="2"/>
  <c r="A1141" i="2"/>
  <c r="A1142" i="2"/>
  <c r="A1143" i="2"/>
  <c r="A1144" i="2"/>
  <c r="A1145" i="2"/>
  <c r="A1146" i="2"/>
  <c r="A1147" i="2"/>
  <c r="A1148" i="2"/>
  <c r="A1149" i="2"/>
  <c r="A1150" i="2"/>
  <c r="A1151" i="2"/>
  <c r="A1152" i="2"/>
  <c r="A1153" i="2"/>
  <c r="A1154" i="2"/>
  <c r="A1155" i="2"/>
  <c r="A1156" i="2"/>
  <c r="A1157" i="2"/>
  <c r="A1158" i="2"/>
  <c r="A1159" i="2"/>
  <c r="A1160" i="2"/>
  <c r="A1161" i="2"/>
  <c r="A1162" i="2"/>
  <c r="A1163" i="2"/>
  <c r="A1164" i="2"/>
  <c r="A1165" i="2"/>
  <c r="A1166" i="2"/>
  <c r="A1167" i="2"/>
  <c r="A1168" i="2"/>
  <c r="A1169" i="2"/>
  <c r="A1170" i="2"/>
  <c r="A1171" i="2"/>
  <c r="A1172" i="2"/>
  <c r="A1173" i="2"/>
  <c r="A1174" i="2"/>
  <c r="A1175" i="2"/>
  <c r="A1176" i="2"/>
  <c r="A1177" i="2"/>
  <c r="A1178" i="2"/>
  <c r="A1179" i="2"/>
  <c r="A1180" i="2"/>
  <c r="A1181" i="2"/>
  <c r="A1182" i="2"/>
  <c r="A1183" i="2"/>
  <c r="A1184" i="2"/>
  <c r="A1185" i="2"/>
  <c r="A1186" i="2"/>
  <c r="A1187" i="2"/>
  <c r="A1188" i="2"/>
  <c r="A1189" i="2"/>
  <c r="A1190" i="2"/>
  <c r="A1191" i="2"/>
  <c r="A1192" i="2"/>
  <c r="A1193" i="2"/>
  <c r="A1194" i="2"/>
  <c r="A1195" i="2"/>
  <c r="A1196" i="2"/>
  <c r="A1197" i="2"/>
  <c r="A1198" i="2"/>
  <c r="A1199" i="2"/>
  <c r="A1200" i="2"/>
  <c r="A1201" i="2"/>
  <c r="A1202" i="2"/>
  <c r="A1203" i="2"/>
  <c r="A1204" i="2"/>
  <c r="A1205" i="2"/>
  <c r="A1206" i="2"/>
  <c r="A1207" i="2"/>
  <c r="A1208" i="2"/>
  <c r="A1209" i="2"/>
  <c r="A1210" i="2"/>
  <c r="A1211" i="2"/>
  <c r="A1212" i="2"/>
  <c r="A1213" i="2"/>
  <c r="A1214" i="2"/>
  <c r="A1215" i="2"/>
  <c r="A1216" i="2"/>
  <c r="A1217" i="2"/>
  <c r="A1218" i="2"/>
  <c r="A1219" i="2"/>
  <c r="A1220" i="2"/>
  <c r="A1221" i="2"/>
  <c r="A1222" i="2"/>
  <c r="A1223" i="2"/>
  <c r="A1224" i="2"/>
  <c r="A1225" i="2"/>
  <c r="A1226" i="2"/>
  <c r="A1227" i="2"/>
  <c r="A1228" i="2"/>
  <c r="A1229" i="2"/>
  <c r="A1230" i="2"/>
  <c r="A1231" i="2"/>
  <c r="A1232" i="2"/>
  <c r="A1233" i="2"/>
  <c r="A1234" i="2"/>
  <c r="A1235" i="2"/>
  <c r="A1236" i="2"/>
  <c r="A1237" i="2"/>
  <c r="A1238" i="2"/>
  <c r="A1239" i="2"/>
  <c r="A1240" i="2"/>
  <c r="A1241" i="2"/>
  <c r="A1242" i="2"/>
  <c r="A1243" i="2"/>
  <c r="A1244" i="2"/>
  <c r="A1245" i="2"/>
  <c r="A1246" i="2"/>
  <c r="A1247" i="2"/>
  <c r="A1248" i="2"/>
  <c r="A1249" i="2"/>
  <c r="A1250" i="2"/>
  <c r="A1251" i="2"/>
  <c r="A1252" i="2"/>
  <c r="A1253" i="2"/>
  <c r="A1254" i="2"/>
  <c r="A1255" i="2"/>
  <c r="A1256" i="2"/>
  <c r="A1257" i="2"/>
  <c r="A1258" i="2"/>
  <c r="P1253" i="2" l="1"/>
  <c r="Q1253" i="2" s="1"/>
  <c r="P1145" i="2"/>
  <c r="Q1145" i="2" s="1"/>
  <c r="P1168" i="2"/>
  <c r="Q1168" i="2" s="1"/>
  <c r="P892" i="2"/>
  <c r="Q892" i="2" s="1"/>
  <c r="P796" i="2"/>
  <c r="Q796" i="2" s="1"/>
  <c r="P676" i="2"/>
  <c r="Q676" i="2" s="1"/>
  <c r="P544" i="2"/>
  <c r="Q544" i="2" s="1"/>
  <c r="P292" i="2"/>
  <c r="Q292" i="2" s="1"/>
  <c r="P1201" i="2"/>
  <c r="Q1201" i="2" s="1"/>
  <c r="P1129" i="2"/>
  <c r="Q1129" i="2" s="1"/>
  <c r="P1057" i="2"/>
  <c r="Q1057" i="2" s="1"/>
  <c r="P985" i="2"/>
  <c r="Q985" i="2" s="1"/>
  <c r="P901" i="2"/>
  <c r="Q901" i="2" s="1"/>
  <c r="P817" i="2"/>
  <c r="Q817" i="2" s="1"/>
  <c r="P745" i="2"/>
  <c r="Q745" i="2" s="1"/>
  <c r="P685" i="2"/>
  <c r="Q685" i="2" s="1"/>
  <c r="P613" i="2"/>
  <c r="Q613" i="2" s="1"/>
  <c r="P553" i="2"/>
  <c r="Q553" i="2" s="1"/>
  <c r="P493" i="2"/>
  <c r="Q493" i="2" s="1"/>
  <c r="P469" i="2"/>
  <c r="Q469" i="2" s="1"/>
  <c r="P457" i="2"/>
  <c r="Q457" i="2" s="1"/>
  <c r="P445" i="2"/>
  <c r="Q445" i="2" s="1"/>
  <c r="P433" i="2"/>
  <c r="Q433" i="2" s="1"/>
  <c r="P421" i="2"/>
  <c r="Q421" i="2" s="1"/>
  <c r="P409" i="2"/>
  <c r="Q409" i="2" s="1"/>
  <c r="P397" i="2"/>
  <c r="Q397" i="2" s="1"/>
  <c r="P349" i="2"/>
  <c r="Q349" i="2" s="1"/>
  <c r="P301" i="2"/>
  <c r="Q301" i="2" s="1"/>
  <c r="P289" i="2"/>
  <c r="Q289" i="2" s="1"/>
  <c r="P277" i="2"/>
  <c r="Q277" i="2" s="1"/>
  <c r="P265" i="2"/>
  <c r="Q265" i="2" s="1"/>
  <c r="P253" i="2"/>
  <c r="Q253" i="2" s="1"/>
  <c r="P241" i="2"/>
  <c r="Q241" i="2" s="1"/>
  <c r="P229" i="2"/>
  <c r="Q229" i="2" s="1"/>
  <c r="P217" i="2"/>
  <c r="Q217" i="2" s="1"/>
  <c r="P205" i="2"/>
  <c r="Q205" i="2" s="1"/>
  <c r="P193" i="2"/>
  <c r="Q193" i="2" s="1"/>
  <c r="P181" i="2"/>
  <c r="Q181" i="2" s="1"/>
  <c r="P169" i="2"/>
  <c r="Q169" i="2" s="1"/>
  <c r="P157" i="2"/>
  <c r="Q157" i="2" s="1"/>
  <c r="P145" i="2"/>
  <c r="Q145" i="2" s="1"/>
  <c r="P133" i="2"/>
  <c r="Q133" i="2" s="1"/>
  <c r="P121" i="2"/>
  <c r="Q121" i="2" s="1"/>
  <c r="P109" i="2"/>
  <c r="Q109" i="2" s="1"/>
  <c r="P97" i="2"/>
  <c r="Q97" i="2" s="1"/>
  <c r="P85" i="2"/>
  <c r="Q85" i="2" s="1"/>
  <c r="P73" i="2"/>
  <c r="Q73" i="2" s="1"/>
  <c r="P61" i="2"/>
  <c r="Q61" i="2" s="1"/>
  <c r="P49" i="2"/>
  <c r="Q49" i="2" s="1"/>
  <c r="P37" i="2"/>
  <c r="Q37" i="2" s="1"/>
  <c r="P25" i="2"/>
  <c r="Q25" i="2" s="1"/>
  <c r="P13" i="2"/>
  <c r="Q13" i="2" s="1"/>
  <c r="P1286" i="2"/>
  <c r="Q1286" i="2" s="1"/>
  <c r="P1274" i="2"/>
  <c r="Q1274" i="2" s="1"/>
  <c r="P1262" i="2"/>
  <c r="Q1262" i="2" s="1"/>
  <c r="P1248" i="2"/>
  <c r="Q1248" i="2" s="1"/>
  <c r="P1236" i="2"/>
  <c r="Q1236" i="2" s="1"/>
  <c r="P1224" i="2"/>
  <c r="Q1224" i="2" s="1"/>
  <c r="P1212" i="2"/>
  <c r="Q1212" i="2" s="1"/>
  <c r="P1200" i="2"/>
  <c r="Q1200" i="2" s="1"/>
  <c r="P1188" i="2"/>
  <c r="Q1188" i="2" s="1"/>
  <c r="P1176" i="2"/>
  <c r="Q1176" i="2" s="1"/>
  <c r="P1164" i="2"/>
  <c r="Q1164" i="2" s="1"/>
  <c r="P1152" i="2"/>
  <c r="Q1152" i="2" s="1"/>
  <c r="P1140" i="2"/>
  <c r="Q1140" i="2" s="1"/>
  <c r="P1128" i="2"/>
  <c r="Q1128" i="2" s="1"/>
  <c r="P1116" i="2"/>
  <c r="Q1116" i="2" s="1"/>
  <c r="P1104" i="2"/>
  <c r="Q1104" i="2" s="1"/>
  <c r="P1092" i="2"/>
  <c r="Q1092" i="2" s="1"/>
  <c r="P1080" i="2"/>
  <c r="Q1080" i="2" s="1"/>
  <c r="P1068" i="2"/>
  <c r="Q1068" i="2" s="1"/>
  <c r="P1056" i="2"/>
  <c r="Q1056" i="2" s="1"/>
  <c r="P1044" i="2"/>
  <c r="Q1044" i="2" s="1"/>
  <c r="P1032" i="2"/>
  <c r="Q1032" i="2" s="1"/>
  <c r="P1020" i="2"/>
  <c r="Q1020" i="2" s="1"/>
  <c r="P1008" i="2"/>
  <c r="Q1008" i="2" s="1"/>
  <c r="P996" i="2"/>
  <c r="Q996" i="2" s="1"/>
  <c r="P984" i="2"/>
  <c r="Q984" i="2" s="1"/>
  <c r="P972" i="2"/>
  <c r="Q972" i="2" s="1"/>
  <c r="P960" i="2"/>
  <c r="Q960" i="2" s="1"/>
  <c r="P948" i="2"/>
  <c r="Q948" i="2" s="1"/>
  <c r="P936" i="2"/>
  <c r="Q936" i="2" s="1"/>
  <c r="P924" i="2"/>
  <c r="Q924" i="2" s="1"/>
  <c r="P912" i="2"/>
  <c r="Q912" i="2" s="1"/>
  <c r="P900" i="2"/>
  <c r="Q900" i="2" s="1"/>
  <c r="P888" i="2"/>
  <c r="Q888" i="2" s="1"/>
  <c r="P876" i="2"/>
  <c r="Q876" i="2" s="1"/>
  <c r="P864" i="2"/>
  <c r="Q864" i="2" s="1"/>
  <c r="P852" i="2"/>
  <c r="Q852" i="2" s="1"/>
  <c r="P840" i="2"/>
  <c r="Q840" i="2" s="1"/>
  <c r="P828" i="2"/>
  <c r="Q828" i="2" s="1"/>
  <c r="P816" i="2"/>
  <c r="Q816" i="2" s="1"/>
  <c r="P804" i="2"/>
  <c r="Q804" i="2" s="1"/>
  <c r="P792" i="2"/>
  <c r="Q792" i="2" s="1"/>
  <c r="P780" i="2"/>
  <c r="Q780" i="2" s="1"/>
  <c r="P768" i="2"/>
  <c r="Q768" i="2" s="1"/>
  <c r="P756" i="2"/>
  <c r="Q756" i="2" s="1"/>
  <c r="P744" i="2"/>
  <c r="Q744" i="2" s="1"/>
  <c r="P732" i="2"/>
  <c r="Q732" i="2" s="1"/>
  <c r="P720" i="2"/>
  <c r="Q720" i="2" s="1"/>
  <c r="P708" i="2"/>
  <c r="Q708" i="2" s="1"/>
  <c r="P696" i="2"/>
  <c r="Q696" i="2" s="1"/>
  <c r="P684" i="2"/>
  <c r="Q684" i="2" s="1"/>
  <c r="P672" i="2"/>
  <c r="Q672" i="2" s="1"/>
  <c r="P660" i="2"/>
  <c r="Q660" i="2" s="1"/>
  <c r="P648" i="2"/>
  <c r="Q648" i="2" s="1"/>
  <c r="P636" i="2"/>
  <c r="Q636" i="2" s="1"/>
  <c r="P624" i="2"/>
  <c r="Q624" i="2" s="1"/>
  <c r="P612" i="2"/>
  <c r="Q612" i="2" s="1"/>
  <c r="P600" i="2"/>
  <c r="Q600" i="2" s="1"/>
  <c r="P588" i="2"/>
  <c r="Q588" i="2" s="1"/>
  <c r="P576" i="2"/>
  <c r="Q576" i="2" s="1"/>
  <c r="P564" i="2"/>
  <c r="Q564" i="2" s="1"/>
  <c r="P552" i="2"/>
  <c r="Q552" i="2" s="1"/>
  <c r="P540" i="2"/>
  <c r="Q540" i="2" s="1"/>
  <c r="P528" i="2"/>
  <c r="Q528" i="2" s="1"/>
  <c r="P516" i="2"/>
  <c r="Q516" i="2" s="1"/>
  <c r="P504" i="2"/>
  <c r="Q504" i="2" s="1"/>
  <c r="P492" i="2"/>
  <c r="Q492" i="2" s="1"/>
  <c r="P480" i="2"/>
  <c r="Q480" i="2" s="1"/>
  <c r="P468" i="2"/>
  <c r="Q468" i="2" s="1"/>
  <c r="P456" i="2"/>
  <c r="Q456" i="2" s="1"/>
  <c r="P444" i="2"/>
  <c r="Q444" i="2" s="1"/>
  <c r="P432" i="2"/>
  <c r="Q432" i="2" s="1"/>
  <c r="P420" i="2"/>
  <c r="Q420" i="2" s="1"/>
  <c r="P408" i="2"/>
  <c r="Q408" i="2" s="1"/>
  <c r="P396" i="2"/>
  <c r="Q396" i="2" s="1"/>
  <c r="P384" i="2"/>
  <c r="Q384" i="2" s="1"/>
  <c r="P372" i="2"/>
  <c r="Q372" i="2" s="1"/>
  <c r="P360" i="2"/>
  <c r="Q360" i="2" s="1"/>
  <c r="P348" i="2"/>
  <c r="Q348" i="2" s="1"/>
  <c r="P336" i="2"/>
  <c r="Q336" i="2" s="1"/>
  <c r="P324" i="2"/>
  <c r="Q324" i="2" s="1"/>
  <c r="P312" i="2"/>
  <c r="Q312" i="2" s="1"/>
  <c r="P300" i="2"/>
  <c r="Q300" i="2" s="1"/>
  <c r="P288" i="2"/>
  <c r="Q288" i="2" s="1"/>
  <c r="P276" i="2"/>
  <c r="Q276" i="2" s="1"/>
  <c r="P264" i="2"/>
  <c r="Q264" i="2" s="1"/>
  <c r="P252" i="2"/>
  <c r="Q252" i="2" s="1"/>
  <c r="P240" i="2"/>
  <c r="Q240" i="2" s="1"/>
  <c r="P228" i="2"/>
  <c r="Q228" i="2" s="1"/>
  <c r="P216" i="2"/>
  <c r="Q216" i="2" s="1"/>
  <c r="P204" i="2"/>
  <c r="Q204" i="2" s="1"/>
  <c r="P192" i="2"/>
  <c r="Q192" i="2" s="1"/>
  <c r="P180" i="2"/>
  <c r="Q180" i="2" s="1"/>
  <c r="P168" i="2"/>
  <c r="Q168" i="2" s="1"/>
  <c r="P156" i="2"/>
  <c r="Q156" i="2" s="1"/>
  <c r="P144" i="2"/>
  <c r="Q144" i="2" s="1"/>
  <c r="P132" i="2"/>
  <c r="Q132" i="2" s="1"/>
  <c r="P120" i="2"/>
  <c r="Q120" i="2" s="1"/>
  <c r="P108" i="2"/>
  <c r="Q108" i="2" s="1"/>
  <c r="P96" i="2"/>
  <c r="Q96" i="2" s="1"/>
  <c r="P84" i="2"/>
  <c r="Q84" i="2" s="1"/>
  <c r="P72" i="2"/>
  <c r="Q72" i="2" s="1"/>
  <c r="P60" i="2"/>
  <c r="Q60" i="2" s="1"/>
  <c r="P48" i="2"/>
  <c r="Q48" i="2" s="1"/>
  <c r="P36" i="2"/>
  <c r="Q36" i="2" s="1"/>
  <c r="P24" i="2"/>
  <c r="Q24" i="2" s="1"/>
  <c r="P12" i="2"/>
  <c r="Q12" i="2" s="1"/>
  <c r="P1285" i="2"/>
  <c r="Q1285" i="2" s="1"/>
  <c r="P1273" i="2"/>
  <c r="Q1273" i="2" s="1"/>
  <c r="P1261" i="2"/>
  <c r="Q1261" i="2" s="1"/>
  <c r="P1109" i="2"/>
  <c r="Q1109" i="2" s="1"/>
  <c r="P1180" i="2"/>
  <c r="Q1180" i="2" s="1"/>
  <c r="P1060" i="2"/>
  <c r="Q1060" i="2" s="1"/>
  <c r="P940" i="2"/>
  <c r="Q940" i="2" s="1"/>
  <c r="P832" i="2"/>
  <c r="Q832" i="2" s="1"/>
  <c r="P724" i="2"/>
  <c r="Q724" i="2" s="1"/>
  <c r="P616" i="2"/>
  <c r="Q616" i="2" s="1"/>
  <c r="P508" i="2"/>
  <c r="Q508" i="2" s="1"/>
  <c r="P340" i="2"/>
  <c r="Q340" i="2" s="1"/>
  <c r="P1225" i="2"/>
  <c r="Q1225" i="2" s="1"/>
  <c r="P1117" i="2"/>
  <c r="Q1117" i="2" s="1"/>
  <c r="P1045" i="2"/>
  <c r="Q1045" i="2" s="1"/>
  <c r="P961" i="2"/>
  <c r="Q961" i="2" s="1"/>
  <c r="P889" i="2"/>
  <c r="Q889" i="2" s="1"/>
  <c r="P805" i="2"/>
  <c r="Q805" i="2" s="1"/>
  <c r="P721" i="2"/>
  <c r="Q721" i="2" s="1"/>
  <c r="P637" i="2"/>
  <c r="Q637" i="2" s="1"/>
  <c r="P565" i="2"/>
  <c r="Q565" i="2" s="1"/>
  <c r="P481" i="2"/>
  <c r="Q481" i="2" s="1"/>
  <c r="P385" i="2"/>
  <c r="Q385" i="2" s="1"/>
  <c r="P1223" i="2"/>
  <c r="Q1223" i="2" s="1"/>
  <c r="P1187" i="2"/>
  <c r="Q1187" i="2" s="1"/>
  <c r="P1139" i="2"/>
  <c r="Q1139" i="2" s="1"/>
  <c r="P1091" i="2"/>
  <c r="Q1091" i="2" s="1"/>
  <c r="P1055" i="2"/>
  <c r="Q1055" i="2" s="1"/>
  <c r="P1019" i="2"/>
  <c r="Q1019" i="2" s="1"/>
  <c r="P995" i="2"/>
  <c r="Q995" i="2" s="1"/>
  <c r="P971" i="2"/>
  <c r="Q971" i="2" s="1"/>
  <c r="P947" i="2"/>
  <c r="Q947" i="2" s="1"/>
  <c r="P935" i="2"/>
  <c r="Q935" i="2" s="1"/>
  <c r="P923" i="2"/>
  <c r="Q923" i="2" s="1"/>
  <c r="P911" i="2"/>
  <c r="Q911" i="2" s="1"/>
  <c r="P899" i="2"/>
  <c r="Q899" i="2" s="1"/>
  <c r="P887" i="2"/>
  <c r="Q887" i="2" s="1"/>
  <c r="P875" i="2"/>
  <c r="Q875" i="2" s="1"/>
  <c r="P863" i="2"/>
  <c r="Q863" i="2" s="1"/>
  <c r="P851" i="2"/>
  <c r="Q851" i="2" s="1"/>
  <c r="P839" i="2"/>
  <c r="Q839" i="2" s="1"/>
  <c r="P827" i="2"/>
  <c r="Q827" i="2" s="1"/>
  <c r="P815" i="2"/>
  <c r="Q815" i="2" s="1"/>
  <c r="P803" i="2"/>
  <c r="Q803" i="2" s="1"/>
  <c r="P791" i="2"/>
  <c r="Q791" i="2" s="1"/>
  <c r="P779" i="2"/>
  <c r="Q779" i="2" s="1"/>
  <c r="P767" i="2"/>
  <c r="Q767" i="2" s="1"/>
  <c r="P755" i="2"/>
  <c r="Q755" i="2" s="1"/>
  <c r="P743" i="2"/>
  <c r="Q743" i="2" s="1"/>
  <c r="P731" i="2"/>
  <c r="Q731" i="2" s="1"/>
  <c r="P719" i="2"/>
  <c r="Q719" i="2" s="1"/>
  <c r="P707" i="2"/>
  <c r="Q707" i="2" s="1"/>
  <c r="P695" i="2"/>
  <c r="Q695" i="2" s="1"/>
  <c r="P683" i="2"/>
  <c r="Q683" i="2" s="1"/>
  <c r="P671" i="2"/>
  <c r="Q671" i="2" s="1"/>
  <c r="P659" i="2"/>
  <c r="Q659" i="2" s="1"/>
  <c r="P647" i="2"/>
  <c r="Q647" i="2" s="1"/>
  <c r="P635" i="2"/>
  <c r="Q635" i="2" s="1"/>
  <c r="P623" i="2"/>
  <c r="Q623" i="2" s="1"/>
  <c r="P611" i="2"/>
  <c r="Q611" i="2" s="1"/>
  <c r="P599" i="2"/>
  <c r="Q599" i="2" s="1"/>
  <c r="P587" i="2"/>
  <c r="Q587" i="2" s="1"/>
  <c r="P575" i="2"/>
  <c r="Q575" i="2" s="1"/>
  <c r="P563" i="2"/>
  <c r="Q563" i="2" s="1"/>
  <c r="P551" i="2"/>
  <c r="Q551" i="2" s="1"/>
  <c r="P539" i="2"/>
  <c r="Q539" i="2" s="1"/>
  <c r="P527" i="2"/>
  <c r="Q527" i="2" s="1"/>
  <c r="P515" i="2"/>
  <c r="Q515" i="2" s="1"/>
  <c r="P503" i="2"/>
  <c r="Q503" i="2" s="1"/>
  <c r="P491" i="2"/>
  <c r="Q491" i="2" s="1"/>
  <c r="P479" i="2"/>
  <c r="Q479" i="2" s="1"/>
  <c r="P467" i="2"/>
  <c r="Q467" i="2" s="1"/>
  <c r="P455" i="2"/>
  <c r="Q455" i="2" s="1"/>
  <c r="P443" i="2"/>
  <c r="Q443" i="2" s="1"/>
  <c r="P431" i="2"/>
  <c r="Q431" i="2" s="1"/>
  <c r="P419" i="2"/>
  <c r="Q419" i="2" s="1"/>
  <c r="P407" i="2"/>
  <c r="Q407" i="2" s="1"/>
  <c r="P395" i="2"/>
  <c r="Q395" i="2" s="1"/>
  <c r="P383" i="2"/>
  <c r="Q383" i="2" s="1"/>
  <c r="P371" i="2"/>
  <c r="Q371" i="2" s="1"/>
  <c r="P359" i="2"/>
  <c r="Q359" i="2" s="1"/>
  <c r="P347" i="2"/>
  <c r="Q347" i="2" s="1"/>
  <c r="P335" i="2"/>
  <c r="Q335" i="2" s="1"/>
  <c r="P323" i="2"/>
  <c r="Q323" i="2" s="1"/>
  <c r="P311" i="2"/>
  <c r="Q311" i="2" s="1"/>
  <c r="P299" i="2"/>
  <c r="Q299" i="2" s="1"/>
  <c r="P287" i="2"/>
  <c r="Q287" i="2" s="1"/>
  <c r="P275" i="2"/>
  <c r="Q275" i="2" s="1"/>
  <c r="P263" i="2"/>
  <c r="Q263" i="2" s="1"/>
  <c r="P251" i="2"/>
  <c r="Q251" i="2" s="1"/>
  <c r="P239" i="2"/>
  <c r="Q239" i="2" s="1"/>
  <c r="P227" i="2"/>
  <c r="Q227" i="2" s="1"/>
  <c r="P215" i="2"/>
  <c r="Q215" i="2" s="1"/>
  <c r="P203" i="2"/>
  <c r="Q203" i="2" s="1"/>
  <c r="P191" i="2"/>
  <c r="Q191" i="2" s="1"/>
  <c r="P179" i="2"/>
  <c r="Q179" i="2" s="1"/>
  <c r="P167" i="2"/>
  <c r="Q167" i="2" s="1"/>
  <c r="P155" i="2"/>
  <c r="Q155" i="2" s="1"/>
  <c r="P143" i="2"/>
  <c r="Q143" i="2" s="1"/>
  <c r="P131" i="2"/>
  <c r="Q131" i="2" s="1"/>
  <c r="P119" i="2"/>
  <c r="Q119" i="2" s="1"/>
  <c r="P107" i="2"/>
  <c r="Q107" i="2" s="1"/>
  <c r="P95" i="2"/>
  <c r="Q95" i="2" s="1"/>
  <c r="P83" i="2"/>
  <c r="Q83" i="2" s="1"/>
  <c r="P71" i="2"/>
  <c r="Q71" i="2" s="1"/>
  <c r="P59" i="2"/>
  <c r="Q59" i="2" s="1"/>
  <c r="P47" i="2"/>
  <c r="Q47" i="2" s="1"/>
  <c r="P35" i="2"/>
  <c r="Q35" i="2" s="1"/>
  <c r="P23" i="2"/>
  <c r="Q23" i="2" s="1"/>
  <c r="P11" i="2"/>
  <c r="Q11" i="2" s="1"/>
  <c r="P1284" i="2"/>
  <c r="Q1284" i="2" s="1"/>
  <c r="P1272" i="2"/>
  <c r="Q1272" i="2" s="1"/>
  <c r="P1260" i="2"/>
  <c r="Q1260" i="2" s="1"/>
  <c r="P1241" i="2"/>
  <c r="Q1241" i="2" s="1"/>
  <c r="P1181" i="2"/>
  <c r="Q1181" i="2" s="1"/>
  <c r="P1228" i="2"/>
  <c r="Q1228" i="2" s="1"/>
  <c r="P1120" i="2"/>
  <c r="Q1120" i="2" s="1"/>
  <c r="P1036" i="2"/>
  <c r="Q1036" i="2" s="1"/>
  <c r="P952" i="2"/>
  <c r="Q952" i="2" s="1"/>
  <c r="P844" i="2"/>
  <c r="Q844" i="2" s="1"/>
  <c r="P748" i="2"/>
  <c r="Q748" i="2" s="1"/>
  <c r="P652" i="2"/>
  <c r="Q652" i="2" s="1"/>
  <c r="P556" i="2"/>
  <c r="Q556" i="2" s="1"/>
  <c r="P352" i="2"/>
  <c r="Q352" i="2" s="1"/>
  <c r="P1237" i="2"/>
  <c r="Q1237" i="2" s="1"/>
  <c r="P1153" i="2"/>
  <c r="Q1153" i="2" s="1"/>
  <c r="P1033" i="2"/>
  <c r="Q1033" i="2" s="1"/>
  <c r="P925" i="2"/>
  <c r="Q925" i="2" s="1"/>
  <c r="P829" i="2"/>
  <c r="Q829" i="2" s="1"/>
  <c r="P709" i="2"/>
  <c r="Q709" i="2" s="1"/>
  <c r="P625" i="2"/>
  <c r="Q625" i="2" s="1"/>
  <c r="P529" i="2"/>
  <c r="Q529" i="2" s="1"/>
  <c r="P325" i="2"/>
  <c r="Q325" i="2" s="1"/>
  <c r="P1211" i="2"/>
  <c r="Q1211" i="2" s="1"/>
  <c r="P1175" i="2"/>
  <c r="Q1175" i="2" s="1"/>
  <c r="P1151" i="2"/>
  <c r="Q1151" i="2" s="1"/>
  <c r="P1115" i="2"/>
  <c r="Q1115" i="2" s="1"/>
  <c r="P1079" i="2"/>
  <c r="Q1079" i="2" s="1"/>
  <c r="P1043" i="2"/>
  <c r="Q1043" i="2" s="1"/>
  <c r="P1007" i="2"/>
  <c r="Q1007" i="2" s="1"/>
  <c r="P983" i="2"/>
  <c r="Q983" i="2" s="1"/>
  <c r="P1258" i="2"/>
  <c r="Q1258" i="2" s="1"/>
  <c r="P1234" i="2"/>
  <c r="Q1234" i="2" s="1"/>
  <c r="P1210" i="2"/>
  <c r="Q1210" i="2" s="1"/>
  <c r="P1174" i="2"/>
  <c r="Q1174" i="2" s="1"/>
  <c r="P1150" i="2"/>
  <c r="Q1150" i="2" s="1"/>
  <c r="P1126" i="2"/>
  <c r="Q1126" i="2" s="1"/>
  <c r="P1102" i="2"/>
  <c r="Q1102" i="2" s="1"/>
  <c r="P1078" i="2"/>
  <c r="Q1078" i="2" s="1"/>
  <c r="P1054" i="2"/>
  <c r="Q1054" i="2" s="1"/>
  <c r="P1030" i="2"/>
  <c r="Q1030" i="2" s="1"/>
  <c r="P1006" i="2"/>
  <c r="Q1006" i="2" s="1"/>
  <c r="P994" i="2"/>
  <c r="Q994" i="2" s="1"/>
  <c r="P970" i="2"/>
  <c r="Q970" i="2" s="1"/>
  <c r="P946" i="2"/>
  <c r="Q946" i="2" s="1"/>
  <c r="P934" i="2"/>
  <c r="Q934" i="2" s="1"/>
  <c r="P922" i="2"/>
  <c r="Q922" i="2" s="1"/>
  <c r="P898" i="2"/>
  <c r="Q898" i="2" s="1"/>
  <c r="P886" i="2"/>
  <c r="Q886" i="2" s="1"/>
  <c r="P874" i="2"/>
  <c r="Q874" i="2" s="1"/>
  <c r="P862" i="2"/>
  <c r="Q862" i="2" s="1"/>
  <c r="P850" i="2"/>
  <c r="Q850" i="2" s="1"/>
  <c r="P838" i="2"/>
  <c r="Q838" i="2" s="1"/>
  <c r="P826" i="2"/>
  <c r="Q826" i="2" s="1"/>
  <c r="P814" i="2"/>
  <c r="Q814" i="2" s="1"/>
  <c r="P802" i="2"/>
  <c r="Q802" i="2" s="1"/>
  <c r="P790" i="2"/>
  <c r="Q790" i="2" s="1"/>
  <c r="P778" i="2"/>
  <c r="Q778" i="2" s="1"/>
  <c r="P766" i="2"/>
  <c r="Q766" i="2" s="1"/>
  <c r="P754" i="2"/>
  <c r="Q754" i="2" s="1"/>
  <c r="P742" i="2"/>
  <c r="Q742" i="2" s="1"/>
  <c r="P730" i="2"/>
  <c r="Q730" i="2" s="1"/>
  <c r="P718" i="2"/>
  <c r="Q718" i="2" s="1"/>
  <c r="P706" i="2"/>
  <c r="Q706" i="2" s="1"/>
  <c r="P694" i="2"/>
  <c r="Q694" i="2" s="1"/>
  <c r="P682" i="2"/>
  <c r="Q682" i="2" s="1"/>
  <c r="P670" i="2"/>
  <c r="Q670" i="2" s="1"/>
  <c r="P658" i="2"/>
  <c r="Q658" i="2" s="1"/>
  <c r="P646" i="2"/>
  <c r="Q646" i="2" s="1"/>
  <c r="P634" i="2"/>
  <c r="Q634" i="2" s="1"/>
  <c r="P622" i="2"/>
  <c r="Q622" i="2" s="1"/>
  <c r="P610" i="2"/>
  <c r="Q610" i="2" s="1"/>
  <c r="P598" i="2"/>
  <c r="Q598" i="2" s="1"/>
  <c r="P586" i="2"/>
  <c r="Q586" i="2" s="1"/>
  <c r="P574" i="2"/>
  <c r="Q574" i="2" s="1"/>
  <c r="P562" i="2"/>
  <c r="Q562" i="2" s="1"/>
  <c r="P550" i="2"/>
  <c r="Q550" i="2" s="1"/>
  <c r="P538" i="2"/>
  <c r="Q538" i="2" s="1"/>
  <c r="P526" i="2"/>
  <c r="Q526" i="2" s="1"/>
  <c r="P514" i="2"/>
  <c r="Q514" i="2" s="1"/>
  <c r="P502" i="2"/>
  <c r="Q502" i="2" s="1"/>
  <c r="P490" i="2"/>
  <c r="Q490" i="2" s="1"/>
  <c r="P478" i="2"/>
  <c r="Q478" i="2" s="1"/>
  <c r="P466" i="2"/>
  <c r="Q466" i="2" s="1"/>
  <c r="P454" i="2"/>
  <c r="Q454" i="2" s="1"/>
  <c r="P442" i="2"/>
  <c r="Q442" i="2" s="1"/>
  <c r="P430" i="2"/>
  <c r="Q430" i="2" s="1"/>
  <c r="P418" i="2"/>
  <c r="Q418" i="2" s="1"/>
  <c r="P406" i="2"/>
  <c r="Q406" i="2" s="1"/>
  <c r="P394" i="2"/>
  <c r="Q394" i="2" s="1"/>
  <c r="P382" i="2"/>
  <c r="Q382" i="2" s="1"/>
  <c r="P370" i="2"/>
  <c r="Q370" i="2" s="1"/>
  <c r="P358" i="2"/>
  <c r="Q358" i="2" s="1"/>
  <c r="P346" i="2"/>
  <c r="Q346" i="2" s="1"/>
  <c r="P334" i="2"/>
  <c r="Q334" i="2" s="1"/>
  <c r="P322" i="2"/>
  <c r="Q322" i="2" s="1"/>
  <c r="P310" i="2"/>
  <c r="Q310" i="2" s="1"/>
  <c r="P298" i="2"/>
  <c r="Q298" i="2" s="1"/>
  <c r="P286" i="2"/>
  <c r="Q286" i="2" s="1"/>
  <c r="P274" i="2"/>
  <c r="Q274" i="2" s="1"/>
  <c r="P262" i="2"/>
  <c r="Q262" i="2" s="1"/>
  <c r="P250" i="2"/>
  <c r="Q250" i="2" s="1"/>
  <c r="P238" i="2"/>
  <c r="Q238" i="2" s="1"/>
  <c r="P226" i="2"/>
  <c r="Q226" i="2" s="1"/>
  <c r="P214" i="2"/>
  <c r="Q214" i="2" s="1"/>
  <c r="P202" i="2"/>
  <c r="Q202" i="2" s="1"/>
  <c r="P190" i="2"/>
  <c r="Q190" i="2" s="1"/>
  <c r="P178" i="2"/>
  <c r="Q178" i="2" s="1"/>
  <c r="P166" i="2"/>
  <c r="Q166" i="2" s="1"/>
  <c r="P154" i="2"/>
  <c r="Q154" i="2" s="1"/>
  <c r="P142" i="2"/>
  <c r="Q142" i="2" s="1"/>
  <c r="P130" i="2"/>
  <c r="Q130" i="2" s="1"/>
  <c r="P118" i="2"/>
  <c r="Q118" i="2" s="1"/>
  <c r="P106" i="2"/>
  <c r="Q106" i="2" s="1"/>
  <c r="P94" i="2"/>
  <c r="Q94" i="2" s="1"/>
  <c r="P82" i="2"/>
  <c r="Q82" i="2" s="1"/>
  <c r="P70" i="2"/>
  <c r="Q70" i="2" s="1"/>
  <c r="P58" i="2"/>
  <c r="Q58" i="2" s="1"/>
  <c r="P46" i="2"/>
  <c r="Q46" i="2" s="1"/>
  <c r="P34" i="2"/>
  <c r="Q34" i="2" s="1"/>
  <c r="P22" i="2"/>
  <c r="Q22" i="2" s="1"/>
  <c r="P10" i="2"/>
  <c r="Q10" i="2" s="1"/>
  <c r="P1283" i="2"/>
  <c r="Q1283" i="2" s="1"/>
  <c r="P1271" i="2"/>
  <c r="Q1271" i="2" s="1"/>
  <c r="P1259" i="2"/>
  <c r="Q1259" i="2" s="1"/>
  <c r="P1217" i="2"/>
  <c r="Q1217" i="2" s="1"/>
  <c r="P1216" i="2"/>
  <c r="Q1216" i="2" s="1"/>
  <c r="P1096" i="2"/>
  <c r="Q1096" i="2" s="1"/>
  <c r="P988" i="2"/>
  <c r="Q988" i="2" s="1"/>
  <c r="P868" i="2"/>
  <c r="Q868" i="2" s="1"/>
  <c r="P736" i="2"/>
  <c r="Q736" i="2" s="1"/>
  <c r="P592" i="2"/>
  <c r="Q592" i="2" s="1"/>
  <c r="P376" i="2"/>
  <c r="Q376" i="2" s="1"/>
  <c r="P1249" i="2"/>
  <c r="Q1249" i="2" s="1"/>
  <c r="P1165" i="2"/>
  <c r="Q1165" i="2" s="1"/>
  <c r="P1081" i="2"/>
  <c r="Q1081" i="2" s="1"/>
  <c r="P997" i="2"/>
  <c r="Q997" i="2" s="1"/>
  <c r="P877" i="2"/>
  <c r="Q877" i="2" s="1"/>
  <c r="P781" i="2"/>
  <c r="Q781" i="2" s="1"/>
  <c r="P697" i="2"/>
  <c r="Q697" i="2" s="1"/>
  <c r="P589" i="2"/>
  <c r="Q589" i="2" s="1"/>
  <c r="P373" i="2"/>
  <c r="Q373" i="2" s="1"/>
  <c r="P1235" i="2"/>
  <c r="Q1235" i="2" s="1"/>
  <c r="P1199" i="2"/>
  <c r="Q1199" i="2" s="1"/>
  <c r="P1163" i="2"/>
  <c r="Q1163" i="2" s="1"/>
  <c r="P1127" i="2"/>
  <c r="Q1127" i="2" s="1"/>
  <c r="P1103" i="2"/>
  <c r="Q1103" i="2" s="1"/>
  <c r="P1067" i="2"/>
  <c r="Q1067" i="2" s="1"/>
  <c r="P1031" i="2"/>
  <c r="Q1031" i="2" s="1"/>
  <c r="P959" i="2"/>
  <c r="Q959" i="2" s="1"/>
  <c r="P1246" i="2"/>
  <c r="Q1246" i="2" s="1"/>
  <c r="P1222" i="2"/>
  <c r="Q1222" i="2" s="1"/>
  <c r="P1198" i="2"/>
  <c r="Q1198" i="2" s="1"/>
  <c r="P1186" i="2"/>
  <c r="Q1186" i="2" s="1"/>
  <c r="P1162" i="2"/>
  <c r="Q1162" i="2" s="1"/>
  <c r="P1138" i="2"/>
  <c r="Q1138" i="2" s="1"/>
  <c r="P1114" i="2"/>
  <c r="Q1114" i="2" s="1"/>
  <c r="P1090" i="2"/>
  <c r="Q1090" i="2" s="1"/>
  <c r="P1066" i="2"/>
  <c r="Q1066" i="2" s="1"/>
  <c r="P1042" i="2"/>
  <c r="Q1042" i="2" s="1"/>
  <c r="P1018" i="2"/>
  <c r="Q1018" i="2" s="1"/>
  <c r="P982" i="2"/>
  <c r="Q982" i="2" s="1"/>
  <c r="P958" i="2"/>
  <c r="Q958" i="2" s="1"/>
  <c r="P910" i="2"/>
  <c r="Q910" i="2" s="1"/>
  <c r="P1257" i="2"/>
  <c r="Q1257" i="2" s="1"/>
  <c r="P1245" i="2"/>
  <c r="Q1245" i="2" s="1"/>
  <c r="P1233" i="2"/>
  <c r="Q1233" i="2" s="1"/>
  <c r="P1221" i="2"/>
  <c r="Q1221" i="2" s="1"/>
  <c r="P1209" i="2"/>
  <c r="Q1209" i="2" s="1"/>
  <c r="P1197" i="2"/>
  <c r="Q1197" i="2" s="1"/>
  <c r="P1185" i="2"/>
  <c r="Q1185" i="2" s="1"/>
  <c r="P1173" i="2"/>
  <c r="Q1173" i="2" s="1"/>
  <c r="P1161" i="2"/>
  <c r="Q1161" i="2" s="1"/>
  <c r="P1149" i="2"/>
  <c r="Q1149" i="2" s="1"/>
  <c r="P1137" i="2"/>
  <c r="Q1137" i="2" s="1"/>
  <c r="P1125" i="2"/>
  <c r="Q1125" i="2" s="1"/>
  <c r="P1113" i="2"/>
  <c r="Q1113" i="2" s="1"/>
  <c r="P1101" i="2"/>
  <c r="Q1101" i="2" s="1"/>
  <c r="P1089" i="2"/>
  <c r="Q1089" i="2" s="1"/>
  <c r="P1077" i="2"/>
  <c r="Q1077" i="2" s="1"/>
  <c r="P1065" i="2"/>
  <c r="Q1065" i="2" s="1"/>
  <c r="P1053" i="2"/>
  <c r="Q1053" i="2" s="1"/>
  <c r="P1041" i="2"/>
  <c r="Q1041" i="2" s="1"/>
  <c r="P1029" i="2"/>
  <c r="Q1029" i="2" s="1"/>
  <c r="P1017" i="2"/>
  <c r="Q1017" i="2" s="1"/>
  <c r="P1005" i="2"/>
  <c r="Q1005" i="2" s="1"/>
  <c r="P993" i="2"/>
  <c r="Q993" i="2" s="1"/>
  <c r="P981" i="2"/>
  <c r="Q981" i="2" s="1"/>
  <c r="P969" i="2"/>
  <c r="Q969" i="2" s="1"/>
  <c r="P957" i="2"/>
  <c r="Q957" i="2" s="1"/>
  <c r="P945" i="2"/>
  <c r="Q945" i="2" s="1"/>
  <c r="P933" i="2"/>
  <c r="Q933" i="2" s="1"/>
  <c r="P921" i="2"/>
  <c r="Q921" i="2" s="1"/>
  <c r="P909" i="2"/>
  <c r="Q909" i="2" s="1"/>
  <c r="P897" i="2"/>
  <c r="Q897" i="2" s="1"/>
  <c r="P885" i="2"/>
  <c r="Q885" i="2" s="1"/>
  <c r="P873" i="2"/>
  <c r="Q873" i="2" s="1"/>
  <c r="P861" i="2"/>
  <c r="Q861" i="2" s="1"/>
  <c r="P849" i="2"/>
  <c r="Q849" i="2" s="1"/>
  <c r="P837" i="2"/>
  <c r="Q837" i="2" s="1"/>
  <c r="P825" i="2"/>
  <c r="Q825" i="2" s="1"/>
  <c r="P813" i="2"/>
  <c r="Q813" i="2" s="1"/>
  <c r="P801" i="2"/>
  <c r="Q801" i="2" s="1"/>
  <c r="P789" i="2"/>
  <c r="Q789" i="2" s="1"/>
  <c r="P777" i="2"/>
  <c r="Q777" i="2" s="1"/>
  <c r="P765" i="2"/>
  <c r="Q765" i="2" s="1"/>
  <c r="P753" i="2"/>
  <c r="Q753" i="2" s="1"/>
  <c r="P741" i="2"/>
  <c r="Q741" i="2" s="1"/>
  <c r="P729" i="2"/>
  <c r="Q729" i="2" s="1"/>
  <c r="P717" i="2"/>
  <c r="Q717" i="2" s="1"/>
  <c r="P705" i="2"/>
  <c r="Q705" i="2" s="1"/>
  <c r="P693" i="2"/>
  <c r="Q693" i="2" s="1"/>
  <c r="P681" i="2"/>
  <c r="Q681" i="2" s="1"/>
  <c r="P669" i="2"/>
  <c r="Q669" i="2" s="1"/>
  <c r="P657" i="2"/>
  <c r="Q657" i="2" s="1"/>
  <c r="P645" i="2"/>
  <c r="Q645" i="2" s="1"/>
  <c r="P633" i="2"/>
  <c r="Q633" i="2" s="1"/>
  <c r="P621" i="2"/>
  <c r="Q621" i="2" s="1"/>
  <c r="P609" i="2"/>
  <c r="Q609" i="2" s="1"/>
  <c r="P597" i="2"/>
  <c r="Q597" i="2" s="1"/>
  <c r="P585" i="2"/>
  <c r="Q585" i="2" s="1"/>
  <c r="P573" i="2"/>
  <c r="Q573" i="2" s="1"/>
  <c r="P561" i="2"/>
  <c r="Q561" i="2" s="1"/>
  <c r="P549" i="2"/>
  <c r="Q549" i="2" s="1"/>
  <c r="P537" i="2"/>
  <c r="Q537" i="2" s="1"/>
  <c r="P525" i="2"/>
  <c r="Q525" i="2" s="1"/>
  <c r="P513" i="2"/>
  <c r="Q513" i="2" s="1"/>
  <c r="P501" i="2"/>
  <c r="Q501" i="2" s="1"/>
  <c r="P489" i="2"/>
  <c r="Q489" i="2" s="1"/>
  <c r="P477" i="2"/>
  <c r="Q477" i="2" s="1"/>
  <c r="P465" i="2"/>
  <c r="Q465" i="2" s="1"/>
  <c r="P453" i="2"/>
  <c r="Q453" i="2" s="1"/>
  <c r="P441" i="2"/>
  <c r="Q441" i="2" s="1"/>
  <c r="P429" i="2"/>
  <c r="Q429" i="2" s="1"/>
  <c r="P417" i="2"/>
  <c r="Q417" i="2" s="1"/>
  <c r="P405" i="2"/>
  <c r="Q405" i="2" s="1"/>
  <c r="P393" i="2"/>
  <c r="Q393" i="2" s="1"/>
  <c r="P381" i="2"/>
  <c r="Q381" i="2" s="1"/>
  <c r="P369" i="2"/>
  <c r="Q369" i="2" s="1"/>
  <c r="P357" i="2"/>
  <c r="Q357" i="2" s="1"/>
  <c r="P345" i="2"/>
  <c r="Q345" i="2" s="1"/>
  <c r="P333" i="2"/>
  <c r="Q333" i="2" s="1"/>
  <c r="P321" i="2"/>
  <c r="Q321" i="2" s="1"/>
  <c r="P309" i="2"/>
  <c r="Q309" i="2" s="1"/>
  <c r="P297" i="2"/>
  <c r="Q297" i="2" s="1"/>
  <c r="P285" i="2"/>
  <c r="Q285" i="2" s="1"/>
  <c r="P273" i="2"/>
  <c r="Q273" i="2" s="1"/>
  <c r="P261" i="2"/>
  <c r="Q261" i="2" s="1"/>
  <c r="P249" i="2"/>
  <c r="Q249" i="2" s="1"/>
  <c r="P237" i="2"/>
  <c r="Q237" i="2" s="1"/>
  <c r="P225" i="2"/>
  <c r="Q225" i="2" s="1"/>
  <c r="P213" i="2"/>
  <c r="Q213" i="2" s="1"/>
  <c r="P201" i="2"/>
  <c r="Q201" i="2" s="1"/>
  <c r="P189" i="2"/>
  <c r="Q189" i="2" s="1"/>
  <c r="P177" i="2"/>
  <c r="Q177" i="2" s="1"/>
  <c r="P165" i="2"/>
  <c r="Q165" i="2" s="1"/>
  <c r="P153" i="2"/>
  <c r="Q153" i="2" s="1"/>
  <c r="P141" i="2"/>
  <c r="Q141" i="2" s="1"/>
  <c r="P129" i="2"/>
  <c r="Q129" i="2" s="1"/>
  <c r="P117" i="2"/>
  <c r="Q117" i="2" s="1"/>
  <c r="P105" i="2"/>
  <c r="Q105" i="2" s="1"/>
  <c r="P93" i="2"/>
  <c r="Q93" i="2" s="1"/>
  <c r="P81" i="2"/>
  <c r="Q81" i="2" s="1"/>
  <c r="P69" i="2"/>
  <c r="Q69" i="2" s="1"/>
  <c r="P57" i="2"/>
  <c r="Q57" i="2" s="1"/>
  <c r="P45" i="2"/>
  <c r="Q45" i="2" s="1"/>
  <c r="P33" i="2"/>
  <c r="Q33" i="2" s="1"/>
  <c r="P21" i="2"/>
  <c r="Q21" i="2" s="1"/>
  <c r="P1294" i="2"/>
  <c r="Q1294" i="2" s="1"/>
  <c r="P1282" i="2"/>
  <c r="Q1282" i="2" s="1"/>
  <c r="P1270" i="2"/>
  <c r="Q1270" i="2" s="1"/>
  <c r="P1295" i="2"/>
  <c r="Q1295" i="2" s="1"/>
  <c r="P1133" i="2"/>
  <c r="Q1133" i="2" s="1"/>
  <c r="P1192" i="2"/>
  <c r="Q1192" i="2" s="1"/>
  <c r="P1108" i="2"/>
  <c r="Q1108" i="2" s="1"/>
  <c r="P1024" i="2"/>
  <c r="Q1024" i="2" s="1"/>
  <c r="P928" i="2"/>
  <c r="Q928" i="2" s="1"/>
  <c r="P808" i="2"/>
  <c r="Q808" i="2" s="1"/>
  <c r="P700" i="2"/>
  <c r="Q700" i="2" s="1"/>
  <c r="P580" i="2"/>
  <c r="Q580" i="2" s="1"/>
  <c r="P328" i="2"/>
  <c r="Q328" i="2" s="1"/>
  <c r="P1189" i="2"/>
  <c r="Q1189" i="2" s="1"/>
  <c r="P1093" i="2"/>
  <c r="Q1093" i="2" s="1"/>
  <c r="P1009" i="2"/>
  <c r="Q1009" i="2" s="1"/>
  <c r="P937" i="2"/>
  <c r="Q937" i="2" s="1"/>
  <c r="P853" i="2"/>
  <c r="Q853" i="2" s="1"/>
  <c r="P769" i="2"/>
  <c r="Q769" i="2" s="1"/>
  <c r="P649" i="2"/>
  <c r="Q649" i="2" s="1"/>
  <c r="P541" i="2"/>
  <c r="Q541" i="2" s="1"/>
  <c r="P361" i="2"/>
  <c r="Q361" i="2" s="1"/>
  <c r="P1247" i="2"/>
  <c r="Q1247" i="2" s="1"/>
  <c r="P1232" i="2"/>
  <c r="Q1232" i="2" s="1"/>
  <c r="P1220" i="2"/>
  <c r="Q1220" i="2" s="1"/>
  <c r="P1208" i="2"/>
  <c r="Q1208" i="2" s="1"/>
  <c r="P1196" i="2"/>
  <c r="Q1196" i="2" s="1"/>
  <c r="P1184" i="2"/>
  <c r="Q1184" i="2" s="1"/>
  <c r="P1172" i="2"/>
  <c r="Q1172" i="2" s="1"/>
  <c r="P1160" i="2"/>
  <c r="Q1160" i="2" s="1"/>
  <c r="P1148" i="2"/>
  <c r="Q1148" i="2" s="1"/>
  <c r="P1136" i="2"/>
  <c r="Q1136" i="2" s="1"/>
  <c r="P1124" i="2"/>
  <c r="Q1124" i="2" s="1"/>
  <c r="P1112" i="2"/>
  <c r="Q1112" i="2" s="1"/>
  <c r="P1100" i="2"/>
  <c r="Q1100" i="2" s="1"/>
  <c r="P1088" i="2"/>
  <c r="Q1088" i="2" s="1"/>
  <c r="P1076" i="2"/>
  <c r="Q1076" i="2" s="1"/>
  <c r="P1064" i="2"/>
  <c r="Q1064" i="2" s="1"/>
  <c r="P1052" i="2"/>
  <c r="Q1052" i="2" s="1"/>
  <c r="P1040" i="2"/>
  <c r="Q1040" i="2" s="1"/>
  <c r="P1028" i="2"/>
  <c r="Q1028" i="2" s="1"/>
  <c r="P1016" i="2"/>
  <c r="Q1016" i="2" s="1"/>
  <c r="P1004" i="2"/>
  <c r="Q1004" i="2" s="1"/>
  <c r="P992" i="2"/>
  <c r="Q992" i="2" s="1"/>
  <c r="P980" i="2"/>
  <c r="Q980" i="2" s="1"/>
  <c r="P968" i="2"/>
  <c r="Q968" i="2" s="1"/>
  <c r="P956" i="2"/>
  <c r="Q956" i="2" s="1"/>
  <c r="P944" i="2"/>
  <c r="Q944" i="2" s="1"/>
  <c r="P932" i="2"/>
  <c r="Q932" i="2" s="1"/>
  <c r="P920" i="2"/>
  <c r="Q920" i="2" s="1"/>
  <c r="P908" i="2"/>
  <c r="Q908" i="2" s="1"/>
  <c r="P896" i="2"/>
  <c r="Q896" i="2" s="1"/>
  <c r="P884" i="2"/>
  <c r="Q884" i="2" s="1"/>
  <c r="P872" i="2"/>
  <c r="Q872" i="2" s="1"/>
  <c r="P860" i="2"/>
  <c r="Q860" i="2" s="1"/>
  <c r="P848" i="2"/>
  <c r="Q848" i="2" s="1"/>
  <c r="P836" i="2"/>
  <c r="Q836" i="2" s="1"/>
  <c r="P824" i="2"/>
  <c r="Q824" i="2" s="1"/>
  <c r="P812" i="2"/>
  <c r="Q812" i="2" s="1"/>
  <c r="P800" i="2"/>
  <c r="Q800" i="2" s="1"/>
  <c r="P788" i="2"/>
  <c r="Q788" i="2" s="1"/>
  <c r="P776" i="2"/>
  <c r="Q776" i="2" s="1"/>
  <c r="P764" i="2"/>
  <c r="Q764" i="2" s="1"/>
  <c r="P752" i="2"/>
  <c r="Q752" i="2" s="1"/>
  <c r="P740" i="2"/>
  <c r="Q740" i="2" s="1"/>
  <c r="P728" i="2"/>
  <c r="Q728" i="2" s="1"/>
  <c r="P716" i="2"/>
  <c r="Q716" i="2" s="1"/>
  <c r="P704" i="2"/>
  <c r="Q704" i="2" s="1"/>
  <c r="P692" i="2"/>
  <c r="Q692" i="2" s="1"/>
  <c r="P680" i="2"/>
  <c r="Q680" i="2" s="1"/>
  <c r="P668" i="2"/>
  <c r="Q668" i="2" s="1"/>
  <c r="P656" i="2"/>
  <c r="Q656" i="2" s="1"/>
  <c r="P644" i="2"/>
  <c r="Q644" i="2" s="1"/>
  <c r="P632" i="2"/>
  <c r="Q632" i="2" s="1"/>
  <c r="P620" i="2"/>
  <c r="Q620" i="2" s="1"/>
  <c r="P608" i="2"/>
  <c r="Q608" i="2" s="1"/>
  <c r="P596" i="2"/>
  <c r="Q596" i="2" s="1"/>
  <c r="P584" i="2"/>
  <c r="Q584" i="2" s="1"/>
  <c r="P572" i="2"/>
  <c r="Q572" i="2" s="1"/>
  <c r="P560" i="2"/>
  <c r="Q560" i="2" s="1"/>
  <c r="P548" i="2"/>
  <c r="Q548" i="2" s="1"/>
  <c r="P536" i="2"/>
  <c r="Q536" i="2" s="1"/>
  <c r="P524" i="2"/>
  <c r="Q524" i="2" s="1"/>
  <c r="P512" i="2"/>
  <c r="Q512" i="2" s="1"/>
  <c r="P500" i="2"/>
  <c r="Q500" i="2" s="1"/>
  <c r="P488" i="2"/>
  <c r="Q488" i="2" s="1"/>
  <c r="P476" i="2"/>
  <c r="Q476" i="2" s="1"/>
  <c r="P464" i="2"/>
  <c r="Q464" i="2" s="1"/>
  <c r="P452" i="2"/>
  <c r="Q452" i="2" s="1"/>
  <c r="P440" i="2"/>
  <c r="Q440" i="2" s="1"/>
  <c r="P428" i="2"/>
  <c r="Q428" i="2" s="1"/>
  <c r="P416" i="2"/>
  <c r="Q416" i="2" s="1"/>
  <c r="P404" i="2"/>
  <c r="Q404" i="2" s="1"/>
  <c r="P392" i="2"/>
  <c r="Q392" i="2" s="1"/>
  <c r="P380" i="2"/>
  <c r="Q380" i="2" s="1"/>
  <c r="P368" i="2"/>
  <c r="Q368" i="2" s="1"/>
  <c r="P356" i="2"/>
  <c r="Q356" i="2" s="1"/>
  <c r="P344" i="2"/>
  <c r="Q344" i="2" s="1"/>
  <c r="P332" i="2"/>
  <c r="Q332" i="2" s="1"/>
  <c r="P320" i="2"/>
  <c r="Q320" i="2" s="1"/>
  <c r="P308" i="2"/>
  <c r="Q308" i="2" s="1"/>
  <c r="P296" i="2"/>
  <c r="Q296" i="2" s="1"/>
  <c r="P284" i="2"/>
  <c r="Q284" i="2" s="1"/>
  <c r="P272" i="2"/>
  <c r="Q272" i="2" s="1"/>
  <c r="P260" i="2"/>
  <c r="Q260" i="2" s="1"/>
  <c r="P248" i="2"/>
  <c r="Q248" i="2" s="1"/>
  <c r="P236" i="2"/>
  <c r="Q236" i="2" s="1"/>
  <c r="P224" i="2"/>
  <c r="Q224" i="2" s="1"/>
  <c r="P212" i="2"/>
  <c r="Q212" i="2" s="1"/>
  <c r="P200" i="2"/>
  <c r="Q200" i="2" s="1"/>
  <c r="P188" i="2"/>
  <c r="Q188" i="2" s="1"/>
  <c r="P176" i="2"/>
  <c r="Q176" i="2" s="1"/>
  <c r="P164" i="2"/>
  <c r="Q164" i="2" s="1"/>
  <c r="P152" i="2"/>
  <c r="Q152" i="2" s="1"/>
  <c r="P140" i="2"/>
  <c r="Q140" i="2" s="1"/>
  <c r="P128" i="2"/>
  <c r="Q128" i="2" s="1"/>
  <c r="P116" i="2"/>
  <c r="Q116" i="2" s="1"/>
  <c r="P104" i="2"/>
  <c r="Q104" i="2" s="1"/>
  <c r="P92" i="2"/>
  <c r="Q92" i="2" s="1"/>
  <c r="P80" i="2"/>
  <c r="Q80" i="2" s="1"/>
  <c r="P68" i="2"/>
  <c r="Q68" i="2" s="1"/>
  <c r="P56" i="2"/>
  <c r="Q56" i="2" s="1"/>
  <c r="P44" i="2"/>
  <c r="Q44" i="2" s="1"/>
  <c r="P32" i="2"/>
  <c r="Q32" i="2" s="1"/>
  <c r="P20" i="2"/>
  <c r="Q20" i="2" s="1"/>
  <c r="P1293" i="2"/>
  <c r="Q1293" i="2" s="1"/>
  <c r="P1281" i="2"/>
  <c r="Q1281" i="2" s="1"/>
  <c r="P1269" i="2"/>
  <c r="Q1269" i="2" s="1"/>
  <c r="P1205" i="2"/>
  <c r="Q1205" i="2" s="1"/>
  <c r="P1252" i="2"/>
  <c r="Q1252" i="2" s="1"/>
  <c r="P1144" i="2"/>
  <c r="Q1144" i="2" s="1"/>
  <c r="P1072" i="2"/>
  <c r="Q1072" i="2" s="1"/>
  <c r="P976" i="2"/>
  <c r="Q976" i="2" s="1"/>
  <c r="P880" i="2"/>
  <c r="Q880" i="2" s="1"/>
  <c r="P760" i="2"/>
  <c r="Q760" i="2" s="1"/>
  <c r="P640" i="2"/>
  <c r="Q640" i="2" s="1"/>
  <c r="P520" i="2"/>
  <c r="Q520" i="2" s="1"/>
  <c r="P280" i="2"/>
  <c r="Q280" i="2" s="1"/>
  <c r="P1177" i="2"/>
  <c r="Q1177" i="2" s="1"/>
  <c r="P1105" i="2"/>
  <c r="Q1105" i="2" s="1"/>
  <c r="P1021" i="2"/>
  <c r="Q1021" i="2" s="1"/>
  <c r="P949" i="2"/>
  <c r="Q949" i="2" s="1"/>
  <c r="P865" i="2"/>
  <c r="Q865" i="2" s="1"/>
  <c r="P793" i="2"/>
  <c r="Q793" i="2" s="1"/>
  <c r="P733" i="2"/>
  <c r="Q733" i="2" s="1"/>
  <c r="P661" i="2"/>
  <c r="Q661" i="2" s="1"/>
  <c r="P577" i="2"/>
  <c r="Q577" i="2" s="1"/>
  <c r="P505" i="2"/>
  <c r="Q505" i="2" s="1"/>
  <c r="P337" i="2"/>
  <c r="Q337" i="2" s="1"/>
  <c r="P1256" i="2"/>
  <c r="Q1256" i="2" s="1"/>
  <c r="P1243" i="2"/>
  <c r="Q1243" i="2" s="1"/>
  <c r="P1207" i="2"/>
  <c r="Q1207" i="2" s="1"/>
  <c r="P1183" i="2"/>
  <c r="Q1183" i="2" s="1"/>
  <c r="P1159" i="2"/>
  <c r="Q1159" i="2" s="1"/>
  <c r="P1135" i="2"/>
  <c r="Q1135" i="2" s="1"/>
  <c r="P1111" i="2"/>
  <c r="Q1111" i="2" s="1"/>
  <c r="P1087" i="2"/>
  <c r="Q1087" i="2" s="1"/>
  <c r="P1063" i="2"/>
  <c r="Q1063" i="2" s="1"/>
  <c r="P1039" i="2"/>
  <c r="Q1039" i="2" s="1"/>
  <c r="P1015" i="2"/>
  <c r="Q1015" i="2" s="1"/>
  <c r="P991" i="2"/>
  <c r="Q991" i="2" s="1"/>
  <c r="P967" i="2"/>
  <c r="Q967" i="2" s="1"/>
  <c r="P943" i="2"/>
  <c r="Q943" i="2" s="1"/>
  <c r="P919" i="2"/>
  <c r="Q919" i="2" s="1"/>
  <c r="P883" i="2"/>
  <c r="Q883" i="2" s="1"/>
  <c r="P859" i="2"/>
  <c r="Q859" i="2" s="1"/>
  <c r="P835" i="2"/>
  <c r="Q835" i="2" s="1"/>
  <c r="P811" i="2"/>
  <c r="Q811" i="2" s="1"/>
  <c r="P787" i="2"/>
  <c r="Q787" i="2" s="1"/>
  <c r="P775" i="2"/>
  <c r="Q775" i="2" s="1"/>
  <c r="P751" i="2"/>
  <c r="Q751" i="2" s="1"/>
  <c r="P739" i="2"/>
  <c r="Q739" i="2" s="1"/>
  <c r="P727" i="2"/>
  <c r="Q727" i="2" s="1"/>
  <c r="P715" i="2"/>
  <c r="Q715" i="2" s="1"/>
  <c r="P703" i="2"/>
  <c r="Q703" i="2" s="1"/>
  <c r="P691" i="2"/>
  <c r="Q691" i="2" s="1"/>
  <c r="P667" i="2"/>
  <c r="Q667" i="2" s="1"/>
  <c r="P655" i="2"/>
  <c r="Q655" i="2" s="1"/>
  <c r="P643" i="2"/>
  <c r="Q643" i="2" s="1"/>
  <c r="P631" i="2"/>
  <c r="Q631" i="2" s="1"/>
  <c r="P619" i="2"/>
  <c r="Q619" i="2" s="1"/>
  <c r="P607" i="2"/>
  <c r="Q607" i="2" s="1"/>
  <c r="P595" i="2"/>
  <c r="Q595" i="2" s="1"/>
  <c r="P583" i="2"/>
  <c r="Q583" i="2" s="1"/>
  <c r="P571" i="2"/>
  <c r="Q571" i="2" s="1"/>
  <c r="P559" i="2"/>
  <c r="Q559" i="2" s="1"/>
  <c r="P547" i="2"/>
  <c r="Q547" i="2" s="1"/>
  <c r="P535" i="2"/>
  <c r="Q535" i="2" s="1"/>
  <c r="P523" i="2"/>
  <c r="Q523" i="2" s="1"/>
  <c r="P511" i="2"/>
  <c r="Q511" i="2" s="1"/>
  <c r="P499" i="2"/>
  <c r="Q499" i="2" s="1"/>
  <c r="P487" i="2"/>
  <c r="Q487" i="2" s="1"/>
  <c r="P475" i="2"/>
  <c r="Q475" i="2" s="1"/>
  <c r="P463" i="2"/>
  <c r="Q463" i="2" s="1"/>
  <c r="P451" i="2"/>
  <c r="Q451" i="2" s="1"/>
  <c r="P439" i="2"/>
  <c r="Q439" i="2" s="1"/>
  <c r="P427" i="2"/>
  <c r="Q427" i="2" s="1"/>
  <c r="P415" i="2"/>
  <c r="Q415" i="2" s="1"/>
  <c r="P403" i="2"/>
  <c r="Q403" i="2" s="1"/>
  <c r="P391" i="2"/>
  <c r="Q391" i="2" s="1"/>
  <c r="P379" i="2"/>
  <c r="Q379" i="2" s="1"/>
  <c r="P367" i="2"/>
  <c r="Q367" i="2" s="1"/>
  <c r="P355" i="2"/>
  <c r="Q355" i="2" s="1"/>
  <c r="P343" i="2"/>
  <c r="Q343" i="2" s="1"/>
  <c r="P331" i="2"/>
  <c r="Q331" i="2" s="1"/>
  <c r="P319" i="2"/>
  <c r="Q319" i="2" s="1"/>
  <c r="P307" i="2"/>
  <c r="Q307" i="2" s="1"/>
  <c r="P295" i="2"/>
  <c r="Q295" i="2" s="1"/>
  <c r="P283" i="2"/>
  <c r="Q283" i="2" s="1"/>
  <c r="P271" i="2"/>
  <c r="Q271" i="2" s="1"/>
  <c r="P259" i="2"/>
  <c r="Q259" i="2" s="1"/>
  <c r="P247" i="2"/>
  <c r="Q247" i="2" s="1"/>
  <c r="P235" i="2"/>
  <c r="Q235" i="2" s="1"/>
  <c r="P223" i="2"/>
  <c r="Q223" i="2" s="1"/>
  <c r="P211" i="2"/>
  <c r="Q211" i="2" s="1"/>
  <c r="P199" i="2"/>
  <c r="Q199" i="2" s="1"/>
  <c r="P187" i="2"/>
  <c r="Q187" i="2" s="1"/>
  <c r="P175" i="2"/>
  <c r="Q175" i="2" s="1"/>
  <c r="P163" i="2"/>
  <c r="Q163" i="2" s="1"/>
  <c r="P151" i="2"/>
  <c r="Q151" i="2" s="1"/>
  <c r="P139" i="2"/>
  <c r="Q139" i="2" s="1"/>
  <c r="P127" i="2"/>
  <c r="Q127" i="2" s="1"/>
  <c r="P115" i="2"/>
  <c r="Q115" i="2" s="1"/>
  <c r="P103" i="2"/>
  <c r="Q103" i="2" s="1"/>
  <c r="P91" i="2"/>
  <c r="Q91" i="2" s="1"/>
  <c r="P79" i="2"/>
  <c r="Q79" i="2" s="1"/>
  <c r="P67" i="2"/>
  <c r="Q67" i="2" s="1"/>
  <c r="P55" i="2"/>
  <c r="Q55" i="2" s="1"/>
  <c r="P43" i="2"/>
  <c r="Q43" i="2" s="1"/>
  <c r="P31" i="2"/>
  <c r="Q31" i="2" s="1"/>
  <c r="P19" i="2"/>
  <c r="Q19" i="2" s="1"/>
  <c r="P1292" i="2"/>
  <c r="Q1292" i="2" s="1"/>
  <c r="P1280" i="2"/>
  <c r="Q1280" i="2" s="1"/>
  <c r="P1268" i="2"/>
  <c r="Q1268" i="2" s="1"/>
  <c r="P1229" i="2"/>
  <c r="Q1229" i="2" s="1"/>
  <c r="P1157" i="2"/>
  <c r="Q1157" i="2" s="1"/>
  <c r="P1156" i="2"/>
  <c r="Q1156" i="2" s="1"/>
  <c r="P1012" i="2"/>
  <c r="Q1012" i="2" s="1"/>
  <c r="P904" i="2"/>
  <c r="Q904" i="2" s="1"/>
  <c r="P784" i="2"/>
  <c r="Q784" i="2" s="1"/>
  <c r="P664" i="2"/>
  <c r="Q664" i="2" s="1"/>
  <c r="P532" i="2"/>
  <c r="Q532" i="2" s="1"/>
  <c r="P304" i="2"/>
  <c r="Q304" i="2" s="1"/>
  <c r="P1213" i="2"/>
  <c r="Q1213" i="2" s="1"/>
  <c r="P1141" i="2"/>
  <c r="Q1141" i="2" s="1"/>
  <c r="P1069" i="2"/>
  <c r="Q1069" i="2" s="1"/>
  <c r="P973" i="2"/>
  <c r="Q973" i="2" s="1"/>
  <c r="P913" i="2"/>
  <c r="Q913" i="2" s="1"/>
  <c r="P841" i="2"/>
  <c r="Q841" i="2" s="1"/>
  <c r="P757" i="2"/>
  <c r="Q757" i="2" s="1"/>
  <c r="P673" i="2"/>
  <c r="Q673" i="2" s="1"/>
  <c r="P601" i="2"/>
  <c r="Q601" i="2" s="1"/>
  <c r="P517" i="2"/>
  <c r="Q517" i="2" s="1"/>
  <c r="P313" i="2"/>
  <c r="Q313" i="2" s="1"/>
  <c r="P1244" i="2"/>
  <c r="Q1244" i="2" s="1"/>
  <c r="P1255" i="2"/>
  <c r="Q1255" i="2" s="1"/>
  <c r="P1231" i="2"/>
  <c r="Q1231" i="2" s="1"/>
  <c r="P1219" i="2"/>
  <c r="Q1219" i="2" s="1"/>
  <c r="P1195" i="2"/>
  <c r="Q1195" i="2" s="1"/>
  <c r="P1171" i="2"/>
  <c r="Q1171" i="2" s="1"/>
  <c r="P1147" i="2"/>
  <c r="Q1147" i="2" s="1"/>
  <c r="P1123" i="2"/>
  <c r="Q1123" i="2" s="1"/>
  <c r="P1099" i="2"/>
  <c r="Q1099" i="2" s="1"/>
  <c r="P1075" i="2"/>
  <c r="Q1075" i="2" s="1"/>
  <c r="P1051" i="2"/>
  <c r="Q1051" i="2" s="1"/>
  <c r="P1027" i="2"/>
  <c r="Q1027" i="2" s="1"/>
  <c r="P1003" i="2"/>
  <c r="Q1003" i="2" s="1"/>
  <c r="P979" i="2"/>
  <c r="Q979" i="2" s="1"/>
  <c r="P955" i="2"/>
  <c r="Q955" i="2" s="1"/>
  <c r="P931" i="2"/>
  <c r="Q931" i="2" s="1"/>
  <c r="P907" i="2"/>
  <c r="Q907" i="2" s="1"/>
  <c r="P895" i="2"/>
  <c r="Q895" i="2" s="1"/>
  <c r="P871" i="2"/>
  <c r="Q871" i="2" s="1"/>
  <c r="P847" i="2"/>
  <c r="Q847" i="2" s="1"/>
  <c r="P823" i="2"/>
  <c r="Q823" i="2" s="1"/>
  <c r="P799" i="2"/>
  <c r="Q799" i="2" s="1"/>
  <c r="P763" i="2"/>
  <c r="Q763" i="2" s="1"/>
  <c r="P679" i="2"/>
  <c r="Q679" i="2" s="1"/>
  <c r="P1254" i="2"/>
  <c r="Q1254" i="2" s="1"/>
  <c r="P1242" i="2"/>
  <c r="Q1242" i="2" s="1"/>
  <c r="P1230" i="2"/>
  <c r="Q1230" i="2" s="1"/>
  <c r="P1218" i="2"/>
  <c r="Q1218" i="2" s="1"/>
  <c r="P1206" i="2"/>
  <c r="Q1206" i="2" s="1"/>
  <c r="P1194" i="2"/>
  <c r="Q1194" i="2" s="1"/>
  <c r="P1182" i="2"/>
  <c r="Q1182" i="2" s="1"/>
  <c r="P1170" i="2"/>
  <c r="Q1170" i="2" s="1"/>
  <c r="P1158" i="2"/>
  <c r="Q1158" i="2" s="1"/>
  <c r="P1146" i="2"/>
  <c r="Q1146" i="2" s="1"/>
  <c r="P1134" i="2"/>
  <c r="Q1134" i="2" s="1"/>
  <c r="P1122" i="2"/>
  <c r="Q1122" i="2" s="1"/>
  <c r="P1110" i="2"/>
  <c r="Q1110" i="2" s="1"/>
  <c r="P1098" i="2"/>
  <c r="Q1098" i="2" s="1"/>
  <c r="P1086" i="2"/>
  <c r="Q1086" i="2" s="1"/>
  <c r="P1074" i="2"/>
  <c r="Q1074" i="2" s="1"/>
  <c r="P1062" i="2"/>
  <c r="Q1062" i="2" s="1"/>
  <c r="P1050" i="2"/>
  <c r="Q1050" i="2" s="1"/>
  <c r="P1038" i="2"/>
  <c r="Q1038" i="2" s="1"/>
  <c r="P1026" i="2"/>
  <c r="Q1026" i="2" s="1"/>
  <c r="P1014" i="2"/>
  <c r="Q1014" i="2" s="1"/>
  <c r="P1002" i="2"/>
  <c r="Q1002" i="2" s="1"/>
  <c r="P990" i="2"/>
  <c r="Q990" i="2" s="1"/>
  <c r="P978" i="2"/>
  <c r="Q978" i="2" s="1"/>
  <c r="P966" i="2"/>
  <c r="Q966" i="2" s="1"/>
  <c r="P954" i="2"/>
  <c r="Q954" i="2" s="1"/>
  <c r="P942" i="2"/>
  <c r="Q942" i="2" s="1"/>
  <c r="P930" i="2"/>
  <c r="Q930" i="2" s="1"/>
  <c r="P918" i="2"/>
  <c r="Q918" i="2" s="1"/>
  <c r="P906" i="2"/>
  <c r="Q906" i="2" s="1"/>
  <c r="P894" i="2"/>
  <c r="Q894" i="2" s="1"/>
  <c r="P882" i="2"/>
  <c r="Q882" i="2" s="1"/>
  <c r="P870" i="2"/>
  <c r="Q870" i="2" s="1"/>
  <c r="P858" i="2"/>
  <c r="Q858" i="2" s="1"/>
  <c r="P846" i="2"/>
  <c r="Q846" i="2" s="1"/>
  <c r="P834" i="2"/>
  <c r="Q834" i="2" s="1"/>
  <c r="P822" i="2"/>
  <c r="Q822" i="2" s="1"/>
  <c r="P810" i="2"/>
  <c r="Q810" i="2" s="1"/>
  <c r="P798" i="2"/>
  <c r="Q798" i="2" s="1"/>
  <c r="P786" i="2"/>
  <c r="Q786" i="2" s="1"/>
  <c r="P774" i="2"/>
  <c r="Q774" i="2" s="1"/>
  <c r="P762" i="2"/>
  <c r="Q762" i="2" s="1"/>
  <c r="P750" i="2"/>
  <c r="Q750" i="2" s="1"/>
  <c r="P738" i="2"/>
  <c r="Q738" i="2" s="1"/>
  <c r="P726" i="2"/>
  <c r="Q726" i="2" s="1"/>
  <c r="P714" i="2"/>
  <c r="Q714" i="2" s="1"/>
  <c r="P702" i="2"/>
  <c r="Q702" i="2" s="1"/>
  <c r="P690" i="2"/>
  <c r="Q690" i="2" s="1"/>
  <c r="P678" i="2"/>
  <c r="Q678" i="2" s="1"/>
  <c r="P666" i="2"/>
  <c r="Q666" i="2" s="1"/>
  <c r="P654" i="2"/>
  <c r="Q654" i="2" s="1"/>
  <c r="P642" i="2"/>
  <c r="Q642" i="2" s="1"/>
  <c r="P630" i="2"/>
  <c r="Q630" i="2" s="1"/>
  <c r="P618" i="2"/>
  <c r="Q618" i="2" s="1"/>
  <c r="P606" i="2"/>
  <c r="Q606" i="2" s="1"/>
  <c r="P594" i="2"/>
  <c r="Q594" i="2" s="1"/>
  <c r="P582" i="2"/>
  <c r="Q582" i="2" s="1"/>
  <c r="P570" i="2"/>
  <c r="Q570" i="2" s="1"/>
  <c r="P558" i="2"/>
  <c r="Q558" i="2" s="1"/>
  <c r="P546" i="2"/>
  <c r="Q546" i="2" s="1"/>
  <c r="P534" i="2"/>
  <c r="Q534" i="2" s="1"/>
  <c r="P522" i="2"/>
  <c r="Q522" i="2" s="1"/>
  <c r="P510" i="2"/>
  <c r="Q510" i="2" s="1"/>
  <c r="P498" i="2"/>
  <c r="Q498" i="2" s="1"/>
  <c r="P486" i="2"/>
  <c r="Q486" i="2" s="1"/>
  <c r="P474" i="2"/>
  <c r="Q474" i="2" s="1"/>
  <c r="P462" i="2"/>
  <c r="Q462" i="2" s="1"/>
  <c r="P450" i="2"/>
  <c r="Q450" i="2" s="1"/>
  <c r="P438" i="2"/>
  <c r="Q438" i="2" s="1"/>
  <c r="P426" i="2"/>
  <c r="Q426" i="2" s="1"/>
  <c r="P414" i="2"/>
  <c r="Q414" i="2" s="1"/>
  <c r="P402" i="2"/>
  <c r="Q402" i="2" s="1"/>
  <c r="P390" i="2"/>
  <c r="Q390" i="2" s="1"/>
  <c r="P378" i="2"/>
  <c r="Q378" i="2" s="1"/>
  <c r="P366" i="2"/>
  <c r="Q366" i="2" s="1"/>
  <c r="P354" i="2"/>
  <c r="Q354" i="2" s="1"/>
  <c r="P342" i="2"/>
  <c r="Q342" i="2" s="1"/>
  <c r="P330" i="2"/>
  <c r="Q330" i="2" s="1"/>
  <c r="P318" i="2"/>
  <c r="Q318" i="2" s="1"/>
  <c r="P306" i="2"/>
  <c r="Q306" i="2" s="1"/>
  <c r="P294" i="2"/>
  <c r="Q294" i="2" s="1"/>
  <c r="P282" i="2"/>
  <c r="Q282" i="2" s="1"/>
  <c r="P270" i="2"/>
  <c r="Q270" i="2" s="1"/>
  <c r="P258" i="2"/>
  <c r="Q258" i="2" s="1"/>
  <c r="P246" i="2"/>
  <c r="Q246" i="2" s="1"/>
  <c r="P234" i="2"/>
  <c r="Q234" i="2" s="1"/>
  <c r="P222" i="2"/>
  <c r="Q222" i="2" s="1"/>
  <c r="P210" i="2"/>
  <c r="Q210" i="2" s="1"/>
  <c r="P198" i="2"/>
  <c r="Q198" i="2" s="1"/>
  <c r="P186" i="2"/>
  <c r="Q186" i="2" s="1"/>
  <c r="P174" i="2"/>
  <c r="Q174" i="2" s="1"/>
  <c r="P162" i="2"/>
  <c r="Q162" i="2" s="1"/>
  <c r="P150" i="2"/>
  <c r="Q150" i="2" s="1"/>
  <c r="P138" i="2"/>
  <c r="Q138" i="2" s="1"/>
  <c r="P126" i="2"/>
  <c r="Q126" i="2" s="1"/>
  <c r="P114" i="2"/>
  <c r="Q114" i="2" s="1"/>
  <c r="P102" i="2"/>
  <c r="Q102" i="2" s="1"/>
  <c r="P90" i="2"/>
  <c r="Q90" i="2" s="1"/>
  <c r="P78" i="2"/>
  <c r="Q78" i="2" s="1"/>
  <c r="P66" i="2"/>
  <c r="Q66" i="2" s="1"/>
  <c r="P54" i="2"/>
  <c r="Q54" i="2" s="1"/>
  <c r="P42" i="2"/>
  <c r="Q42" i="2" s="1"/>
  <c r="P30" i="2"/>
  <c r="Q30" i="2" s="1"/>
  <c r="P18" i="2"/>
  <c r="Q18" i="2" s="1"/>
  <c r="P1291" i="2"/>
  <c r="Q1291" i="2" s="1"/>
  <c r="P1279" i="2"/>
  <c r="Q1279" i="2" s="1"/>
  <c r="P1267" i="2"/>
  <c r="Q1267" i="2" s="1"/>
  <c r="P1193" i="2"/>
  <c r="Q1193" i="2" s="1"/>
  <c r="P1097" i="2"/>
  <c r="Q1097" i="2" s="1"/>
  <c r="P1085" i="2"/>
  <c r="Q1085" i="2" s="1"/>
  <c r="P1073" i="2"/>
  <c r="Q1073" i="2" s="1"/>
  <c r="P1061" i="2"/>
  <c r="Q1061" i="2" s="1"/>
  <c r="P1049" i="2"/>
  <c r="Q1049" i="2" s="1"/>
  <c r="P1037" i="2"/>
  <c r="Q1037" i="2" s="1"/>
  <c r="P1025" i="2"/>
  <c r="Q1025" i="2" s="1"/>
  <c r="P1013" i="2"/>
  <c r="Q1013" i="2" s="1"/>
  <c r="P1001" i="2"/>
  <c r="Q1001" i="2" s="1"/>
  <c r="P989" i="2"/>
  <c r="Q989" i="2" s="1"/>
  <c r="P977" i="2"/>
  <c r="Q977" i="2" s="1"/>
  <c r="P965" i="2"/>
  <c r="Q965" i="2" s="1"/>
  <c r="P953" i="2"/>
  <c r="Q953" i="2" s="1"/>
  <c r="P941" i="2"/>
  <c r="Q941" i="2" s="1"/>
  <c r="P929" i="2"/>
  <c r="Q929" i="2" s="1"/>
  <c r="P917" i="2"/>
  <c r="Q917" i="2" s="1"/>
  <c r="P905" i="2"/>
  <c r="Q905" i="2" s="1"/>
  <c r="P893" i="2"/>
  <c r="Q893" i="2" s="1"/>
  <c r="P881" i="2"/>
  <c r="Q881" i="2" s="1"/>
  <c r="P869" i="2"/>
  <c r="Q869" i="2" s="1"/>
  <c r="P857" i="2"/>
  <c r="Q857" i="2" s="1"/>
  <c r="P845" i="2"/>
  <c r="Q845" i="2" s="1"/>
  <c r="P833" i="2"/>
  <c r="Q833" i="2" s="1"/>
  <c r="P821" i="2"/>
  <c r="Q821" i="2" s="1"/>
  <c r="P809" i="2"/>
  <c r="Q809" i="2" s="1"/>
  <c r="P797" i="2"/>
  <c r="Q797" i="2" s="1"/>
  <c r="P785" i="2"/>
  <c r="Q785" i="2" s="1"/>
  <c r="P773" i="2"/>
  <c r="Q773" i="2" s="1"/>
  <c r="P761" i="2"/>
  <c r="Q761" i="2" s="1"/>
  <c r="P749" i="2"/>
  <c r="Q749" i="2" s="1"/>
  <c r="P737" i="2"/>
  <c r="Q737" i="2" s="1"/>
  <c r="P725" i="2"/>
  <c r="Q725" i="2" s="1"/>
  <c r="P713" i="2"/>
  <c r="Q713" i="2" s="1"/>
  <c r="P701" i="2"/>
  <c r="Q701" i="2" s="1"/>
  <c r="P689" i="2"/>
  <c r="Q689" i="2" s="1"/>
  <c r="P677" i="2"/>
  <c r="Q677" i="2" s="1"/>
  <c r="P665" i="2"/>
  <c r="Q665" i="2" s="1"/>
  <c r="P653" i="2"/>
  <c r="Q653" i="2" s="1"/>
  <c r="P641" i="2"/>
  <c r="Q641" i="2" s="1"/>
  <c r="P629" i="2"/>
  <c r="Q629" i="2" s="1"/>
  <c r="P617" i="2"/>
  <c r="Q617" i="2" s="1"/>
  <c r="P605" i="2"/>
  <c r="Q605" i="2" s="1"/>
  <c r="P593" i="2"/>
  <c r="Q593" i="2" s="1"/>
  <c r="P581" i="2"/>
  <c r="Q581" i="2" s="1"/>
  <c r="P569" i="2"/>
  <c r="Q569" i="2" s="1"/>
  <c r="P557" i="2"/>
  <c r="Q557" i="2" s="1"/>
  <c r="P545" i="2"/>
  <c r="Q545" i="2" s="1"/>
  <c r="P533" i="2"/>
  <c r="Q533" i="2" s="1"/>
  <c r="P521" i="2"/>
  <c r="Q521" i="2" s="1"/>
  <c r="P509" i="2"/>
  <c r="Q509" i="2" s="1"/>
  <c r="P497" i="2"/>
  <c r="Q497" i="2" s="1"/>
  <c r="P485" i="2"/>
  <c r="Q485" i="2" s="1"/>
  <c r="P473" i="2"/>
  <c r="Q473" i="2" s="1"/>
  <c r="P461" i="2"/>
  <c r="Q461" i="2" s="1"/>
  <c r="P449" i="2"/>
  <c r="Q449" i="2" s="1"/>
  <c r="P437" i="2"/>
  <c r="Q437" i="2" s="1"/>
  <c r="P425" i="2"/>
  <c r="Q425" i="2" s="1"/>
  <c r="P413" i="2"/>
  <c r="Q413" i="2" s="1"/>
  <c r="P401" i="2"/>
  <c r="Q401" i="2" s="1"/>
  <c r="P389" i="2"/>
  <c r="Q389" i="2" s="1"/>
  <c r="P377" i="2"/>
  <c r="Q377" i="2" s="1"/>
  <c r="P365" i="2"/>
  <c r="Q365" i="2" s="1"/>
  <c r="P353" i="2"/>
  <c r="Q353" i="2" s="1"/>
  <c r="P341" i="2"/>
  <c r="Q341" i="2" s="1"/>
  <c r="P329" i="2"/>
  <c r="Q329" i="2" s="1"/>
  <c r="P317" i="2"/>
  <c r="Q317" i="2" s="1"/>
  <c r="P305" i="2"/>
  <c r="Q305" i="2" s="1"/>
  <c r="P293" i="2"/>
  <c r="Q293" i="2" s="1"/>
  <c r="P281" i="2"/>
  <c r="Q281" i="2" s="1"/>
  <c r="P269" i="2"/>
  <c r="Q269" i="2" s="1"/>
  <c r="P257" i="2"/>
  <c r="Q257" i="2" s="1"/>
  <c r="P245" i="2"/>
  <c r="Q245" i="2" s="1"/>
  <c r="P233" i="2"/>
  <c r="Q233" i="2" s="1"/>
  <c r="P221" i="2"/>
  <c r="Q221" i="2" s="1"/>
  <c r="P209" i="2"/>
  <c r="Q209" i="2" s="1"/>
  <c r="P197" i="2"/>
  <c r="Q197" i="2" s="1"/>
  <c r="P185" i="2"/>
  <c r="Q185" i="2" s="1"/>
  <c r="P173" i="2"/>
  <c r="Q173" i="2" s="1"/>
  <c r="P161" i="2"/>
  <c r="Q161" i="2" s="1"/>
  <c r="P149" i="2"/>
  <c r="Q149" i="2" s="1"/>
  <c r="P137" i="2"/>
  <c r="Q137" i="2" s="1"/>
  <c r="P125" i="2"/>
  <c r="Q125" i="2" s="1"/>
  <c r="P113" i="2"/>
  <c r="Q113" i="2" s="1"/>
  <c r="P101" i="2"/>
  <c r="Q101" i="2" s="1"/>
  <c r="P89" i="2"/>
  <c r="Q89" i="2" s="1"/>
  <c r="P77" i="2"/>
  <c r="Q77" i="2" s="1"/>
  <c r="P65" i="2"/>
  <c r="Q65" i="2" s="1"/>
  <c r="P53" i="2"/>
  <c r="Q53" i="2" s="1"/>
  <c r="P41" i="2"/>
  <c r="Q41" i="2" s="1"/>
  <c r="P29" i="2"/>
  <c r="Q29" i="2" s="1"/>
  <c r="P17" i="2"/>
  <c r="Q17" i="2" s="1"/>
  <c r="P1290" i="2"/>
  <c r="Q1290" i="2" s="1"/>
  <c r="P1278" i="2"/>
  <c r="Q1278" i="2" s="1"/>
  <c r="P1266" i="2"/>
  <c r="Q1266" i="2" s="1"/>
  <c r="P1169" i="2"/>
  <c r="Q1169" i="2" s="1"/>
  <c r="P1240" i="2"/>
  <c r="Q1240" i="2" s="1"/>
  <c r="P1132" i="2"/>
  <c r="Q1132" i="2" s="1"/>
  <c r="P1048" i="2"/>
  <c r="Q1048" i="2" s="1"/>
  <c r="P964" i="2"/>
  <c r="Q964" i="2" s="1"/>
  <c r="P856" i="2"/>
  <c r="Q856" i="2" s="1"/>
  <c r="P772" i="2"/>
  <c r="Q772" i="2" s="1"/>
  <c r="P688" i="2"/>
  <c r="Q688" i="2" s="1"/>
  <c r="P604" i="2"/>
  <c r="Q604" i="2" s="1"/>
  <c r="P496" i="2"/>
  <c r="Q496" i="2" s="1"/>
  <c r="P472" i="2"/>
  <c r="Q472" i="2" s="1"/>
  <c r="P448" i="2"/>
  <c r="Q448" i="2" s="1"/>
  <c r="P424" i="2"/>
  <c r="Q424" i="2" s="1"/>
  <c r="P400" i="2"/>
  <c r="Q400" i="2" s="1"/>
  <c r="P364" i="2"/>
  <c r="Q364" i="2" s="1"/>
  <c r="P268" i="2"/>
  <c r="Q268" i="2" s="1"/>
  <c r="P244" i="2"/>
  <c r="Q244" i="2" s="1"/>
  <c r="P220" i="2"/>
  <c r="Q220" i="2" s="1"/>
  <c r="P196" i="2"/>
  <c r="Q196" i="2" s="1"/>
  <c r="P172" i="2"/>
  <c r="Q172" i="2" s="1"/>
  <c r="P148" i="2"/>
  <c r="Q148" i="2" s="1"/>
  <c r="P124" i="2"/>
  <c r="Q124" i="2" s="1"/>
  <c r="P100" i="2"/>
  <c r="Q100" i="2" s="1"/>
  <c r="P76" i="2"/>
  <c r="Q76" i="2" s="1"/>
  <c r="P40" i="2"/>
  <c r="Q40" i="2" s="1"/>
  <c r="P16" i="2"/>
  <c r="Q16" i="2" s="1"/>
  <c r="P1289" i="2"/>
  <c r="Q1289" i="2" s="1"/>
  <c r="P1277" i="2"/>
  <c r="Q1277" i="2" s="1"/>
  <c r="P1251" i="2"/>
  <c r="Q1251" i="2" s="1"/>
  <c r="P1239" i="2"/>
  <c r="Q1239" i="2" s="1"/>
  <c r="P1227" i="2"/>
  <c r="Q1227" i="2" s="1"/>
  <c r="P1215" i="2"/>
  <c r="Q1215" i="2" s="1"/>
  <c r="P1203" i="2"/>
  <c r="Q1203" i="2" s="1"/>
  <c r="P1191" i="2"/>
  <c r="Q1191" i="2" s="1"/>
  <c r="P1179" i="2"/>
  <c r="Q1179" i="2" s="1"/>
  <c r="P1167" i="2"/>
  <c r="Q1167" i="2" s="1"/>
  <c r="P1155" i="2"/>
  <c r="Q1155" i="2" s="1"/>
  <c r="P1143" i="2"/>
  <c r="Q1143" i="2" s="1"/>
  <c r="P1131" i="2"/>
  <c r="Q1131" i="2" s="1"/>
  <c r="P1119" i="2"/>
  <c r="Q1119" i="2" s="1"/>
  <c r="P1107" i="2"/>
  <c r="Q1107" i="2" s="1"/>
  <c r="P1095" i="2"/>
  <c r="Q1095" i="2" s="1"/>
  <c r="P1083" i="2"/>
  <c r="Q1083" i="2" s="1"/>
  <c r="P1071" i="2"/>
  <c r="Q1071" i="2" s="1"/>
  <c r="P1059" i="2"/>
  <c r="Q1059" i="2" s="1"/>
  <c r="P1047" i="2"/>
  <c r="Q1047" i="2" s="1"/>
  <c r="P1035" i="2"/>
  <c r="Q1035" i="2" s="1"/>
  <c r="P1023" i="2"/>
  <c r="Q1023" i="2" s="1"/>
  <c r="P1011" i="2"/>
  <c r="Q1011" i="2" s="1"/>
  <c r="P999" i="2"/>
  <c r="Q999" i="2" s="1"/>
  <c r="P987" i="2"/>
  <c r="Q987" i="2" s="1"/>
  <c r="P975" i="2"/>
  <c r="Q975" i="2" s="1"/>
  <c r="P963" i="2"/>
  <c r="Q963" i="2" s="1"/>
  <c r="P951" i="2"/>
  <c r="Q951" i="2" s="1"/>
  <c r="P939" i="2"/>
  <c r="Q939" i="2" s="1"/>
  <c r="P927" i="2"/>
  <c r="Q927" i="2" s="1"/>
  <c r="P915" i="2"/>
  <c r="Q915" i="2" s="1"/>
  <c r="P903" i="2"/>
  <c r="Q903" i="2" s="1"/>
  <c r="P891" i="2"/>
  <c r="Q891" i="2" s="1"/>
  <c r="P879" i="2"/>
  <c r="Q879" i="2" s="1"/>
  <c r="P867" i="2"/>
  <c r="Q867" i="2" s="1"/>
  <c r="P855" i="2"/>
  <c r="Q855" i="2" s="1"/>
  <c r="P843" i="2"/>
  <c r="Q843" i="2" s="1"/>
  <c r="P831" i="2"/>
  <c r="Q831" i="2" s="1"/>
  <c r="P819" i="2"/>
  <c r="Q819" i="2" s="1"/>
  <c r="P807" i="2"/>
  <c r="Q807" i="2" s="1"/>
  <c r="P795" i="2"/>
  <c r="Q795" i="2" s="1"/>
  <c r="P783" i="2"/>
  <c r="Q783" i="2" s="1"/>
  <c r="P771" i="2"/>
  <c r="Q771" i="2" s="1"/>
  <c r="P759" i="2"/>
  <c r="Q759" i="2" s="1"/>
  <c r="P747" i="2"/>
  <c r="Q747" i="2" s="1"/>
  <c r="P735" i="2"/>
  <c r="Q735" i="2" s="1"/>
  <c r="P723" i="2"/>
  <c r="Q723" i="2" s="1"/>
  <c r="P711" i="2"/>
  <c r="Q711" i="2" s="1"/>
  <c r="P699" i="2"/>
  <c r="Q699" i="2" s="1"/>
  <c r="P687" i="2"/>
  <c r="Q687" i="2" s="1"/>
  <c r="P675" i="2"/>
  <c r="Q675" i="2" s="1"/>
  <c r="P663" i="2"/>
  <c r="Q663" i="2" s="1"/>
  <c r="P651" i="2"/>
  <c r="Q651" i="2" s="1"/>
  <c r="P639" i="2"/>
  <c r="Q639" i="2" s="1"/>
  <c r="P627" i="2"/>
  <c r="Q627" i="2" s="1"/>
  <c r="P615" i="2"/>
  <c r="Q615" i="2" s="1"/>
  <c r="P603" i="2"/>
  <c r="Q603" i="2" s="1"/>
  <c r="P591" i="2"/>
  <c r="Q591" i="2" s="1"/>
  <c r="P579" i="2"/>
  <c r="Q579" i="2" s="1"/>
  <c r="P567" i="2"/>
  <c r="Q567" i="2" s="1"/>
  <c r="P555" i="2"/>
  <c r="Q555" i="2" s="1"/>
  <c r="P543" i="2"/>
  <c r="Q543" i="2" s="1"/>
  <c r="P531" i="2"/>
  <c r="Q531" i="2" s="1"/>
  <c r="P519" i="2"/>
  <c r="Q519" i="2" s="1"/>
  <c r="P507" i="2"/>
  <c r="Q507" i="2" s="1"/>
  <c r="P495" i="2"/>
  <c r="Q495" i="2" s="1"/>
  <c r="P483" i="2"/>
  <c r="Q483" i="2" s="1"/>
  <c r="P471" i="2"/>
  <c r="Q471" i="2" s="1"/>
  <c r="P459" i="2"/>
  <c r="Q459" i="2" s="1"/>
  <c r="P447" i="2"/>
  <c r="Q447" i="2" s="1"/>
  <c r="P435" i="2"/>
  <c r="Q435" i="2" s="1"/>
  <c r="P423" i="2"/>
  <c r="Q423" i="2" s="1"/>
  <c r="P411" i="2"/>
  <c r="Q411" i="2" s="1"/>
  <c r="P399" i="2"/>
  <c r="Q399" i="2" s="1"/>
  <c r="P387" i="2"/>
  <c r="Q387" i="2" s="1"/>
  <c r="P375" i="2"/>
  <c r="Q375" i="2" s="1"/>
  <c r="P363" i="2"/>
  <c r="Q363" i="2" s="1"/>
  <c r="P351" i="2"/>
  <c r="Q351" i="2" s="1"/>
  <c r="P339" i="2"/>
  <c r="Q339" i="2" s="1"/>
  <c r="P327" i="2"/>
  <c r="Q327" i="2" s="1"/>
  <c r="P315" i="2"/>
  <c r="Q315" i="2" s="1"/>
  <c r="P303" i="2"/>
  <c r="Q303" i="2" s="1"/>
  <c r="P291" i="2"/>
  <c r="Q291" i="2" s="1"/>
  <c r="P279" i="2"/>
  <c r="Q279" i="2" s="1"/>
  <c r="P267" i="2"/>
  <c r="Q267" i="2" s="1"/>
  <c r="P255" i="2"/>
  <c r="Q255" i="2" s="1"/>
  <c r="P243" i="2"/>
  <c r="Q243" i="2" s="1"/>
  <c r="P231" i="2"/>
  <c r="Q231" i="2" s="1"/>
  <c r="P219" i="2"/>
  <c r="Q219" i="2" s="1"/>
  <c r="P207" i="2"/>
  <c r="Q207" i="2" s="1"/>
  <c r="P195" i="2"/>
  <c r="Q195" i="2" s="1"/>
  <c r="P183" i="2"/>
  <c r="Q183" i="2" s="1"/>
  <c r="P171" i="2"/>
  <c r="Q171" i="2" s="1"/>
  <c r="P159" i="2"/>
  <c r="Q159" i="2" s="1"/>
  <c r="P147" i="2"/>
  <c r="Q147" i="2" s="1"/>
  <c r="P135" i="2"/>
  <c r="Q135" i="2" s="1"/>
  <c r="P123" i="2"/>
  <c r="Q123" i="2" s="1"/>
  <c r="P111" i="2"/>
  <c r="Q111" i="2" s="1"/>
  <c r="P99" i="2"/>
  <c r="Q99" i="2" s="1"/>
  <c r="P87" i="2"/>
  <c r="Q87" i="2" s="1"/>
  <c r="P75" i="2"/>
  <c r="Q75" i="2" s="1"/>
  <c r="P63" i="2"/>
  <c r="Q63" i="2" s="1"/>
  <c r="P51" i="2"/>
  <c r="Q51" i="2" s="1"/>
  <c r="P39" i="2"/>
  <c r="Q39" i="2" s="1"/>
  <c r="P27" i="2"/>
  <c r="Q27" i="2" s="1"/>
  <c r="P15" i="2"/>
  <c r="Q15" i="2" s="1"/>
  <c r="P1288" i="2"/>
  <c r="Q1288" i="2" s="1"/>
  <c r="P1276" i="2"/>
  <c r="Q1276" i="2" s="1"/>
  <c r="P1264" i="2"/>
  <c r="Q1264" i="2" s="1"/>
  <c r="P1296" i="2"/>
  <c r="Q1296" i="2" s="1"/>
  <c r="P1121" i="2"/>
  <c r="Q1121" i="2" s="1"/>
  <c r="P1204" i="2"/>
  <c r="Q1204" i="2" s="1"/>
  <c r="P1084" i="2"/>
  <c r="Q1084" i="2" s="1"/>
  <c r="P1000" i="2"/>
  <c r="Q1000" i="2" s="1"/>
  <c r="P916" i="2"/>
  <c r="Q916" i="2" s="1"/>
  <c r="P820" i="2"/>
  <c r="Q820" i="2" s="1"/>
  <c r="P712" i="2"/>
  <c r="Q712" i="2" s="1"/>
  <c r="P628" i="2"/>
  <c r="Q628" i="2" s="1"/>
  <c r="P568" i="2"/>
  <c r="Q568" i="2" s="1"/>
  <c r="P484" i="2"/>
  <c r="Q484" i="2" s="1"/>
  <c r="P460" i="2"/>
  <c r="Q460" i="2" s="1"/>
  <c r="P436" i="2"/>
  <c r="Q436" i="2" s="1"/>
  <c r="P412" i="2"/>
  <c r="Q412" i="2" s="1"/>
  <c r="P388" i="2"/>
  <c r="Q388" i="2" s="1"/>
  <c r="P316" i="2"/>
  <c r="Q316" i="2" s="1"/>
  <c r="P256" i="2"/>
  <c r="Q256" i="2" s="1"/>
  <c r="P232" i="2"/>
  <c r="Q232" i="2" s="1"/>
  <c r="P208" i="2"/>
  <c r="Q208" i="2" s="1"/>
  <c r="P184" i="2"/>
  <c r="Q184" i="2" s="1"/>
  <c r="P160" i="2"/>
  <c r="Q160" i="2" s="1"/>
  <c r="P136" i="2"/>
  <c r="Q136" i="2" s="1"/>
  <c r="P112" i="2"/>
  <c r="Q112" i="2" s="1"/>
  <c r="P88" i="2"/>
  <c r="Q88" i="2" s="1"/>
  <c r="P64" i="2"/>
  <c r="Q64" i="2" s="1"/>
  <c r="P52" i="2"/>
  <c r="Q52" i="2" s="1"/>
  <c r="P28" i="2"/>
  <c r="Q28" i="2" s="1"/>
  <c r="P1265" i="2"/>
  <c r="Q1265" i="2" s="1"/>
  <c r="P1250" i="2"/>
  <c r="Q1250" i="2" s="1"/>
  <c r="P1238" i="2"/>
  <c r="Q1238" i="2" s="1"/>
  <c r="P1226" i="2"/>
  <c r="Q1226" i="2" s="1"/>
  <c r="P1214" i="2"/>
  <c r="Q1214" i="2" s="1"/>
  <c r="P1202" i="2"/>
  <c r="Q1202" i="2" s="1"/>
  <c r="P1190" i="2"/>
  <c r="Q1190" i="2" s="1"/>
  <c r="P1178" i="2"/>
  <c r="Q1178" i="2" s="1"/>
  <c r="P1166" i="2"/>
  <c r="Q1166" i="2" s="1"/>
  <c r="P1154" i="2"/>
  <c r="Q1154" i="2" s="1"/>
  <c r="P1142" i="2"/>
  <c r="Q1142" i="2" s="1"/>
  <c r="P1130" i="2"/>
  <c r="Q1130" i="2" s="1"/>
  <c r="P1118" i="2"/>
  <c r="Q1118" i="2" s="1"/>
  <c r="P1106" i="2"/>
  <c r="Q1106" i="2" s="1"/>
  <c r="P1094" i="2"/>
  <c r="Q1094" i="2" s="1"/>
  <c r="P1082" i="2"/>
  <c r="Q1082" i="2" s="1"/>
  <c r="P1070" i="2"/>
  <c r="Q1070" i="2" s="1"/>
  <c r="P1058" i="2"/>
  <c r="Q1058" i="2" s="1"/>
  <c r="P1046" i="2"/>
  <c r="Q1046" i="2" s="1"/>
  <c r="P1034" i="2"/>
  <c r="Q1034" i="2" s="1"/>
  <c r="P1022" i="2"/>
  <c r="Q1022" i="2" s="1"/>
  <c r="P1010" i="2"/>
  <c r="Q1010" i="2" s="1"/>
  <c r="P998" i="2"/>
  <c r="Q998" i="2" s="1"/>
  <c r="P986" i="2"/>
  <c r="Q986" i="2" s="1"/>
  <c r="P974" i="2"/>
  <c r="Q974" i="2" s="1"/>
  <c r="P962" i="2"/>
  <c r="Q962" i="2" s="1"/>
  <c r="P950" i="2"/>
  <c r="Q950" i="2" s="1"/>
  <c r="P938" i="2"/>
  <c r="Q938" i="2" s="1"/>
  <c r="P926" i="2"/>
  <c r="Q926" i="2" s="1"/>
  <c r="P914" i="2"/>
  <c r="Q914" i="2" s="1"/>
  <c r="P902" i="2"/>
  <c r="Q902" i="2" s="1"/>
  <c r="P890" i="2"/>
  <c r="Q890" i="2" s="1"/>
  <c r="P878" i="2"/>
  <c r="Q878" i="2" s="1"/>
  <c r="P866" i="2"/>
  <c r="Q866" i="2" s="1"/>
  <c r="P854" i="2"/>
  <c r="Q854" i="2" s="1"/>
  <c r="P842" i="2"/>
  <c r="Q842" i="2" s="1"/>
  <c r="P830" i="2"/>
  <c r="Q830" i="2" s="1"/>
  <c r="P818" i="2"/>
  <c r="Q818" i="2" s="1"/>
  <c r="P806" i="2"/>
  <c r="Q806" i="2" s="1"/>
  <c r="P794" i="2"/>
  <c r="Q794" i="2" s="1"/>
  <c r="P782" i="2"/>
  <c r="Q782" i="2" s="1"/>
  <c r="P770" i="2"/>
  <c r="Q770" i="2" s="1"/>
  <c r="P758" i="2"/>
  <c r="Q758" i="2" s="1"/>
  <c r="P746" i="2"/>
  <c r="Q746" i="2" s="1"/>
  <c r="P734" i="2"/>
  <c r="Q734" i="2" s="1"/>
  <c r="P722" i="2"/>
  <c r="Q722" i="2" s="1"/>
  <c r="P710" i="2"/>
  <c r="Q710" i="2" s="1"/>
  <c r="P698" i="2"/>
  <c r="Q698" i="2" s="1"/>
  <c r="P686" i="2"/>
  <c r="Q686" i="2" s="1"/>
  <c r="P674" i="2"/>
  <c r="Q674" i="2" s="1"/>
  <c r="P662" i="2"/>
  <c r="Q662" i="2" s="1"/>
  <c r="P650" i="2"/>
  <c r="Q650" i="2" s="1"/>
  <c r="P638" i="2"/>
  <c r="Q638" i="2" s="1"/>
  <c r="P626" i="2"/>
  <c r="Q626" i="2" s="1"/>
  <c r="P614" i="2"/>
  <c r="Q614" i="2" s="1"/>
  <c r="P602" i="2"/>
  <c r="Q602" i="2" s="1"/>
  <c r="P590" i="2"/>
  <c r="Q590" i="2" s="1"/>
  <c r="P578" i="2"/>
  <c r="Q578" i="2" s="1"/>
  <c r="P566" i="2"/>
  <c r="Q566" i="2" s="1"/>
  <c r="P554" i="2"/>
  <c r="Q554" i="2" s="1"/>
  <c r="P542" i="2"/>
  <c r="Q542" i="2" s="1"/>
  <c r="P530" i="2"/>
  <c r="Q530" i="2" s="1"/>
  <c r="P518" i="2"/>
  <c r="Q518" i="2" s="1"/>
  <c r="P506" i="2"/>
  <c r="Q506" i="2" s="1"/>
  <c r="P494" i="2"/>
  <c r="Q494" i="2" s="1"/>
  <c r="P482" i="2"/>
  <c r="Q482" i="2" s="1"/>
  <c r="P470" i="2"/>
  <c r="Q470" i="2" s="1"/>
  <c r="P458" i="2"/>
  <c r="Q458" i="2" s="1"/>
  <c r="P446" i="2"/>
  <c r="Q446" i="2" s="1"/>
  <c r="P434" i="2"/>
  <c r="Q434" i="2" s="1"/>
  <c r="P422" i="2"/>
  <c r="Q422" i="2" s="1"/>
  <c r="P410" i="2"/>
  <c r="Q410" i="2" s="1"/>
  <c r="P398" i="2"/>
  <c r="Q398" i="2" s="1"/>
  <c r="P386" i="2"/>
  <c r="Q386" i="2" s="1"/>
  <c r="P374" i="2"/>
  <c r="Q374" i="2" s="1"/>
  <c r="P362" i="2"/>
  <c r="Q362" i="2" s="1"/>
  <c r="P350" i="2"/>
  <c r="Q350" i="2" s="1"/>
  <c r="P338" i="2"/>
  <c r="Q338" i="2" s="1"/>
  <c r="P326" i="2"/>
  <c r="Q326" i="2" s="1"/>
  <c r="P314" i="2"/>
  <c r="Q314" i="2" s="1"/>
  <c r="P302" i="2"/>
  <c r="Q302" i="2" s="1"/>
  <c r="P290" i="2"/>
  <c r="Q290" i="2" s="1"/>
  <c r="P278" i="2"/>
  <c r="Q278" i="2" s="1"/>
  <c r="P266" i="2"/>
  <c r="Q266" i="2" s="1"/>
  <c r="P254" i="2"/>
  <c r="Q254" i="2" s="1"/>
  <c r="P242" i="2"/>
  <c r="Q242" i="2" s="1"/>
  <c r="P230" i="2"/>
  <c r="Q230" i="2" s="1"/>
  <c r="P218" i="2"/>
  <c r="Q218" i="2" s="1"/>
  <c r="P206" i="2"/>
  <c r="Q206" i="2" s="1"/>
  <c r="P194" i="2"/>
  <c r="Q194" i="2" s="1"/>
  <c r="P182" i="2"/>
  <c r="Q182" i="2" s="1"/>
  <c r="P170" i="2"/>
  <c r="Q170" i="2" s="1"/>
  <c r="P158" i="2"/>
  <c r="Q158" i="2" s="1"/>
  <c r="P146" i="2"/>
  <c r="Q146" i="2" s="1"/>
  <c r="P134" i="2"/>
  <c r="Q134" i="2" s="1"/>
  <c r="P122" i="2"/>
  <c r="Q122" i="2" s="1"/>
  <c r="P110" i="2"/>
  <c r="Q110" i="2" s="1"/>
  <c r="P98" i="2"/>
  <c r="Q98" i="2" s="1"/>
  <c r="P86" i="2"/>
  <c r="Q86" i="2" s="1"/>
  <c r="P74" i="2"/>
  <c r="Q74" i="2" s="1"/>
  <c r="P62" i="2"/>
  <c r="Q62" i="2" s="1"/>
  <c r="P50" i="2"/>
  <c r="Q50" i="2" s="1"/>
  <c r="P38" i="2"/>
  <c r="Q38" i="2" s="1"/>
  <c r="P26" i="2"/>
  <c r="Q26" i="2" s="1"/>
  <c r="P14" i="2"/>
  <c r="Q14" i="2" s="1"/>
  <c r="P1287" i="2"/>
  <c r="Q1287" i="2" s="1"/>
  <c r="P1275" i="2"/>
  <c r="Q1275" i="2" s="1"/>
  <c r="P1263" i="2"/>
  <c r="Q1263" i="2" s="1"/>
  <c r="Q9" i="2"/>
  <c r="AG35" i="2"/>
  <c r="AG36" i="2"/>
  <c r="AG37" i="2"/>
  <c r="AG41" i="2"/>
  <c r="AG42" i="2"/>
  <c r="AG43" i="2"/>
  <c r="AG44" i="2"/>
  <c r="AG45" i="2"/>
  <c r="AG46" i="2"/>
  <c r="AG47" i="2"/>
  <c r="AG48" i="2"/>
  <c r="AG49" i="2"/>
  <c r="AG53" i="2"/>
  <c r="AG54" i="2"/>
  <c r="AG55" i="2"/>
  <c r="AG56" i="2"/>
  <c r="AG57" i="2"/>
  <c r="AG58" i="2"/>
  <c r="AG59" i="2"/>
  <c r="AG60" i="2"/>
  <c r="AG61" i="2"/>
  <c r="AG65" i="2"/>
  <c r="AG66" i="2"/>
  <c r="AG67" i="2"/>
  <c r="AG68" i="2"/>
  <c r="AG69" i="2"/>
  <c r="AG70" i="2"/>
  <c r="AG71" i="2"/>
  <c r="AG72" i="2"/>
  <c r="AG73" i="2"/>
  <c r="AG77" i="2"/>
  <c r="AG78" i="2"/>
  <c r="AG79" i="2"/>
  <c r="AG80" i="2"/>
  <c r="AG81" i="2"/>
  <c r="AG82" i="2"/>
  <c r="AG83" i="2"/>
  <c r="AG84" i="2"/>
  <c r="AG85" i="2"/>
  <c r="AG89" i="2"/>
  <c r="AG90" i="2"/>
  <c r="AG91" i="2"/>
  <c r="AG92" i="2"/>
  <c r="AG93" i="2"/>
  <c r="AG94" i="2"/>
  <c r="AG95" i="2"/>
  <c r="AG96" i="2"/>
  <c r="AG97" i="2"/>
  <c r="AG101" i="2"/>
  <c r="AG102" i="2"/>
  <c r="AG103" i="2"/>
  <c r="AG104" i="2"/>
  <c r="AG105" i="2"/>
  <c r="AG106" i="2"/>
  <c r="AG107" i="2"/>
  <c r="AG108" i="2"/>
  <c r="AG109" i="2"/>
  <c r="AG113" i="2"/>
  <c r="AG114" i="2"/>
  <c r="AG115" i="2"/>
  <c r="AG116" i="2"/>
  <c r="AG117" i="2"/>
  <c r="AG118" i="2"/>
  <c r="AG119" i="2"/>
  <c r="AG120" i="2"/>
  <c r="AG121" i="2"/>
  <c r="AG123" i="2"/>
  <c r="AG125" i="2"/>
  <c r="AG126" i="2"/>
  <c r="AG127" i="2"/>
  <c r="AG128" i="2"/>
  <c r="AG129" i="2"/>
  <c r="AG130" i="2"/>
  <c r="AG131" i="2"/>
  <c r="AG132" i="2"/>
  <c r="AG133" i="2"/>
  <c r="AG135" i="2"/>
  <c r="AG137" i="2"/>
  <c r="AG138" i="2"/>
  <c r="AG139" i="2"/>
  <c r="AG140" i="2"/>
  <c r="AG141" i="2"/>
  <c r="AG142" i="2"/>
  <c r="AG143" i="2"/>
  <c r="AG144" i="2"/>
  <c r="AG145" i="2"/>
  <c r="AG147" i="2"/>
  <c r="AG149" i="2"/>
  <c r="AG150" i="2"/>
  <c r="AG151" i="2"/>
  <c r="AG152" i="2"/>
  <c r="AG153" i="2"/>
  <c r="AG154" i="2"/>
  <c r="AG155" i="2"/>
  <c r="AG156" i="2"/>
  <c r="AG157" i="2"/>
  <c r="AG159" i="2"/>
  <c r="AG161" i="2"/>
  <c r="AG162" i="2"/>
  <c r="AG163" i="2"/>
  <c r="AG164" i="2"/>
  <c r="AG165" i="2"/>
  <c r="AG166" i="2"/>
  <c r="AG167" i="2"/>
  <c r="AG168" i="2"/>
  <c r="AG169" i="2"/>
  <c r="AG171" i="2"/>
  <c r="AG173" i="2"/>
  <c r="AG174" i="2"/>
  <c r="AG175" i="2"/>
  <c r="AG176" i="2"/>
  <c r="AG177" i="2"/>
  <c r="AG178" i="2"/>
  <c r="AG179" i="2"/>
  <c r="AG180" i="2"/>
  <c r="AG181" i="2"/>
  <c r="AG183" i="2"/>
  <c r="AG184" i="2"/>
  <c r="AG185" i="2"/>
  <c r="AG186" i="2"/>
  <c r="AG187" i="2"/>
  <c r="AG188" i="2"/>
  <c r="AG189" i="2"/>
  <c r="AG190" i="2"/>
  <c r="AG191" i="2"/>
  <c r="AG192" i="2"/>
  <c r="AG193" i="2"/>
  <c r="AG195" i="2"/>
  <c r="AG196" i="2"/>
  <c r="AG197" i="2"/>
  <c r="AG198" i="2"/>
  <c r="AG199" i="2"/>
  <c r="AG200" i="2"/>
  <c r="AG201" i="2"/>
  <c r="AG202" i="2"/>
  <c r="AG203" i="2"/>
  <c r="AG204" i="2"/>
  <c r="AG205" i="2"/>
  <c r="AG207" i="2"/>
  <c r="AG208" i="2"/>
  <c r="AG209" i="2"/>
  <c r="AG210" i="2"/>
  <c r="AG211" i="2"/>
  <c r="AG212" i="2"/>
  <c r="AG213" i="2"/>
  <c r="AG214" i="2"/>
  <c r="AG215" i="2"/>
  <c r="AG216" i="2"/>
  <c r="AG217" i="2"/>
  <c r="AG219" i="2"/>
  <c r="AG220" i="2"/>
  <c r="AG221" i="2"/>
  <c r="AG222" i="2"/>
  <c r="AG223" i="2"/>
  <c r="AG224" i="2"/>
  <c r="AG225" i="2"/>
  <c r="AG226" i="2"/>
  <c r="AG227" i="2"/>
  <c r="AG228" i="2"/>
  <c r="AG229" i="2"/>
  <c r="AG231" i="2"/>
  <c r="AG232" i="2"/>
  <c r="AG233" i="2"/>
  <c r="AG234" i="2"/>
  <c r="AG235" i="2"/>
  <c r="AG236" i="2"/>
  <c r="AG237" i="2"/>
  <c r="AG238" i="2"/>
  <c r="AG239" i="2"/>
  <c r="AG240" i="2"/>
  <c r="AG241" i="2"/>
  <c r="AG243" i="2"/>
  <c r="AG244" i="2"/>
  <c r="AG245" i="2"/>
  <c r="AG246" i="2"/>
  <c r="AG247" i="2"/>
  <c r="AG248" i="2"/>
  <c r="AG249" i="2"/>
  <c r="AG250" i="2"/>
  <c r="AG251" i="2"/>
  <c r="AG252" i="2"/>
  <c r="AG253" i="2"/>
  <c r="AG255" i="2"/>
  <c r="AG256" i="2"/>
  <c r="AG257" i="2"/>
  <c r="AG258" i="2"/>
  <c r="AG259" i="2"/>
  <c r="AG260" i="2"/>
  <c r="AG261" i="2"/>
  <c r="AG262" i="2"/>
  <c r="AG263" i="2"/>
  <c r="AG264" i="2"/>
  <c r="AG265" i="2"/>
  <c r="AG266" i="2"/>
  <c r="AG267" i="2"/>
  <c r="AG268" i="2"/>
  <c r="AG269" i="2"/>
  <c r="AG270" i="2"/>
  <c r="AG271" i="2"/>
  <c r="AG272" i="2"/>
  <c r="AG273" i="2"/>
  <c r="AG274" i="2"/>
  <c r="AG275" i="2"/>
  <c r="AG276" i="2"/>
  <c r="AG277" i="2"/>
  <c r="AG278" i="2"/>
  <c r="AG279" i="2"/>
  <c r="AG280" i="2"/>
  <c r="AG281" i="2"/>
  <c r="AG282" i="2"/>
  <c r="AG283" i="2"/>
  <c r="AG284" i="2"/>
  <c r="AG285" i="2"/>
  <c r="AG286" i="2"/>
  <c r="AG287" i="2"/>
  <c r="AG288" i="2"/>
  <c r="AG289" i="2"/>
  <c r="AG290" i="2"/>
  <c r="AG291" i="2"/>
  <c r="AG292" i="2"/>
  <c r="AG293" i="2"/>
  <c r="AG294" i="2"/>
  <c r="AG295" i="2"/>
  <c r="AG296" i="2"/>
  <c r="AG297" i="2"/>
  <c r="AG298" i="2"/>
  <c r="AG299" i="2"/>
  <c r="AG300" i="2"/>
  <c r="AG301" i="2"/>
  <c r="AG302" i="2"/>
  <c r="AG303" i="2"/>
  <c r="AG304" i="2"/>
  <c r="AG305" i="2"/>
  <c r="AG306" i="2"/>
  <c r="AG307" i="2"/>
  <c r="AG308" i="2"/>
  <c r="AG309" i="2"/>
  <c r="AG310" i="2"/>
  <c r="AG311" i="2"/>
  <c r="AG312" i="2"/>
  <c r="AG313" i="2"/>
  <c r="AG314" i="2"/>
  <c r="AG315" i="2"/>
  <c r="AG316" i="2"/>
  <c r="AG317" i="2"/>
  <c r="AG318" i="2"/>
  <c r="AG319" i="2"/>
  <c r="AG320"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AG351" i="2"/>
  <c r="AG352" i="2"/>
  <c r="AG353" i="2"/>
  <c r="AG354" i="2"/>
  <c r="AG355" i="2"/>
  <c r="AG356" i="2"/>
  <c r="AG357" i="2"/>
  <c r="AG358" i="2"/>
  <c r="AG359" i="2"/>
  <c r="AG360" i="2"/>
  <c r="AG361" i="2"/>
  <c r="AG362" i="2"/>
  <c r="AG363" i="2"/>
  <c r="AG364" i="2"/>
  <c r="AG365" i="2"/>
  <c r="AG366" i="2"/>
  <c r="AG367" i="2"/>
  <c r="AG368" i="2"/>
  <c r="AG369" i="2"/>
  <c r="AG370" i="2"/>
  <c r="AG371" i="2"/>
  <c r="AG372" i="2"/>
  <c r="AG373" i="2"/>
  <c r="AG374" i="2"/>
  <c r="AG375" i="2"/>
  <c r="AG376" i="2"/>
  <c r="AG377" i="2"/>
  <c r="AG378" i="2"/>
  <c r="AG379" i="2"/>
  <c r="AG380" i="2"/>
  <c r="AG381" i="2"/>
  <c r="AG382" i="2"/>
  <c r="AG383" i="2"/>
  <c r="AG384" i="2"/>
  <c r="AG385" i="2"/>
  <c r="AG386" i="2"/>
  <c r="AG387" i="2"/>
  <c r="AG388" i="2"/>
  <c r="AG389" i="2"/>
  <c r="AG390" i="2"/>
  <c r="AG391" i="2"/>
  <c r="AG392" i="2"/>
  <c r="AG393" i="2"/>
  <c r="AG394" i="2"/>
  <c r="AG395" i="2"/>
  <c r="AG396" i="2"/>
  <c r="AG397" i="2"/>
  <c r="AG398" i="2"/>
  <c r="AG399" i="2"/>
  <c r="AG400" i="2"/>
  <c r="AG401" i="2"/>
  <c r="AG402" i="2"/>
  <c r="AG403" i="2"/>
  <c r="AG404" i="2"/>
  <c r="AG405" i="2"/>
  <c r="AG406" i="2"/>
  <c r="AG407" i="2"/>
  <c r="AG408" i="2"/>
  <c r="AG409" i="2"/>
  <c r="AG410" i="2"/>
  <c r="AG411" i="2"/>
  <c r="AG412" i="2"/>
  <c r="AG413" i="2"/>
  <c r="AG414" i="2"/>
  <c r="AG415" i="2"/>
  <c r="AG416" i="2"/>
  <c r="AG417" i="2"/>
  <c r="AG418" i="2"/>
  <c r="AG419" i="2"/>
  <c r="AG420" i="2"/>
  <c r="AG421" i="2"/>
  <c r="AG422" i="2"/>
  <c r="AG423" i="2"/>
  <c r="AG424" i="2"/>
  <c r="AG425" i="2"/>
  <c r="AG426" i="2"/>
  <c r="AG427" i="2"/>
  <c r="AG428" i="2"/>
  <c r="AG429" i="2"/>
  <c r="AG430" i="2"/>
  <c r="AG431" i="2"/>
  <c r="AG432" i="2"/>
  <c r="AG433" i="2"/>
  <c r="AG434" i="2"/>
  <c r="AG435" i="2"/>
  <c r="AG436" i="2"/>
  <c r="AG437" i="2"/>
  <c r="AG438" i="2"/>
  <c r="AG439" i="2"/>
  <c r="AG440" i="2"/>
  <c r="AG441" i="2"/>
  <c r="AG442" i="2"/>
  <c r="AG443" i="2"/>
  <c r="AG444" i="2"/>
  <c r="AG445" i="2"/>
  <c r="AG446" i="2"/>
  <c r="AG447" i="2"/>
  <c r="AG448" i="2"/>
  <c r="AG449" i="2"/>
  <c r="AG450" i="2"/>
  <c r="AG451" i="2"/>
  <c r="AG452" i="2"/>
  <c r="AG453" i="2"/>
  <c r="AG454" i="2"/>
  <c r="AG455" i="2"/>
  <c r="AG456" i="2"/>
  <c r="AG457" i="2"/>
  <c r="AG458" i="2"/>
  <c r="AG459" i="2"/>
  <c r="AG460" i="2"/>
  <c r="AG461" i="2"/>
  <c r="AG462" i="2"/>
  <c r="AG463" i="2"/>
  <c r="AG464" i="2"/>
  <c r="AG465" i="2"/>
  <c r="AG466" i="2"/>
  <c r="AG467" i="2"/>
  <c r="AG468" i="2"/>
  <c r="AG469" i="2"/>
  <c r="AG470" i="2"/>
  <c r="AG471" i="2"/>
  <c r="AG472" i="2"/>
  <c r="AG473" i="2"/>
  <c r="AG474" i="2"/>
  <c r="AG475" i="2"/>
  <c r="AG476" i="2"/>
  <c r="AG477" i="2"/>
  <c r="AG478" i="2"/>
  <c r="AG479" i="2"/>
  <c r="AG480" i="2"/>
  <c r="AG481" i="2"/>
  <c r="AG482" i="2"/>
  <c r="AG483" i="2"/>
  <c r="AG484" i="2"/>
  <c r="AG485" i="2"/>
  <c r="AG486" i="2"/>
  <c r="AG487" i="2"/>
  <c r="AG488" i="2"/>
  <c r="AG489" i="2"/>
  <c r="AG490" i="2"/>
  <c r="AG491" i="2"/>
  <c r="AG492" i="2"/>
  <c r="AG493" i="2"/>
  <c r="AG494" i="2"/>
  <c r="AG495" i="2"/>
  <c r="AG496" i="2"/>
  <c r="AG497" i="2"/>
  <c r="AG498" i="2"/>
  <c r="AG499" i="2"/>
  <c r="AG500" i="2"/>
  <c r="AG501" i="2"/>
  <c r="AG502" i="2"/>
  <c r="AG503" i="2"/>
  <c r="AG504" i="2"/>
  <c r="AG505" i="2"/>
  <c r="AG506" i="2"/>
  <c r="AG507" i="2"/>
  <c r="AG508" i="2"/>
  <c r="AG509" i="2"/>
  <c r="AG510" i="2"/>
  <c r="AG511" i="2"/>
  <c r="AG512" i="2"/>
  <c r="AG513" i="2"/>
  <c r="AG514" i="2"/>
  <c r="AG515" i="2"/>
  <c r="AG516" i="2"/>
  <c r="AG517" i="2"/>
  <c r="AG518" i="2"/>
  <c r="AG519" i="2"/>
  <c r="AG520" i="2"/>
  <c r="AG521" i="2"/>
  <c r="AG522" i="2"/>
  <c r="AG523" i="2"/>
  <c r="AG524" i="2"/>
  <c r="AG525" i="2"/>
  <c r="AG526" i="2"/>
  <c r="AG527" i="2"/>
  <c r="AG528" i="2"/>
  <c r="AG529" i="2"/>
  <c r="AG530" i="2"/>
  <c r="AG531" i="2"/>
  <c r="AG532" i="2"/>
  <c r="AG533" i="2"/>
  <c r="AG534" i="2"/>
  <c r="AG535" i="2"/>
  <c r="AG536" i="2"/>
  <c r="AG537" i="2"/>
  <c r="AG538" i="2"/>
  <c r="AG539" i="2"/>
  <c r="AG540" i="2"/>
  <c r="AG541" i="2"/>
  <c r="AG542" i="2"/>
  <c r="AG543" i="2"/>
  <c r="AG544" i="2"/>
  <c r="AG545" i="2"/>
  <c r="AG546" i="2"/>
  <c r="AG547" i="2"/>
  <c r="AG548" i="2"/>
  <c r="AG549" i="2"/>
  <c r="AG550" i="2"/>
  <c r="AG551" i="2"/>
  <c r="AG552" i="2"/>
  <c r="AG553" i="2"/>
  <c r="AG554" i="2"/>
  <c r="AG555" i="2"/>
  <c r="AG556" i="2"/>
  <c r="AG557" i="2"/>
  <c r="AG558" i="2"/>
  <c r="AG559" i="2"/>
  <c r="AG560" i="2"/>
  <c r="AG561" i="2"/>
  <c r="AG562" i="2"/>
  <c r="AG563" i="2"/>
  <c r="AG564" i="2"/>
  <c r="AG565" i="2"/>
  <c r="AG566" i="2"/>
  <c r="AG567" i="2"/>
  <c r="AG568" i="2"/>
  <c r="AG569" i="2"/>
  <c r="AG570" i="2"/>
  <c r="AG571" i="2"/>
  <c r="AG572" i="2"/>
  <c r="AG573" i="2"/>
  <c r="AG574" i="2"/>
  <c r="AG575" i="2"/>
  <c r="AG576" i="2"/>
  <c r="AG577" i="2"/>
  <c r="AG578" i="2"/>
  <c r="AG579" i="2"/>
  <c r="AG580" i="2"/>
  <c r="AG581" i="2"/>
  <c r="AG582" i="2"/>
  <c r="AG583" i="2"/>
  <c r="AG584" i="2"/>
  <c r="AG585" i="2"/>
  <c r="AG586" i="2"/>
  <c r="AG587" i="2"/>
  <c r="AG588" i="2"/>
  <c r="AG589" i="2"/>
  <c r="AG590" i="2"/>
  <c r="AG591" i="2"/>
  <c r="AG592" i="2"/>
  <c r="AG593" i="2"/>
  <c r="AG594" i="2"/>
  <c r="AG595" i="2"/>
  <c r="AG596" i="2"/>
  <c r="AG597" i="2"/>
  <c r="AG598" i="2"/>
  <c r="AG599" i="2"/>
  <c r="AG600" i="2"/>
  <c r="AG601" i="2"/>
  <c r="AG602" i="2"/>
  <c r="AG603" i="2"/>
  <c r="AG604" i="2"/>
  <c r="AG605" i="2"/>
  <c r="AG606" i="2"/>
  <c r="AG607" i="2"/>
  <c r="AG608" i="2"/>
  <c r="AG609" i="2"/>
  <c r="AG610" i="2"/>
  <c r="AG611" i="2"/>
  <c r="AG612" i="2"/>
  <c r="AG613" i="2"/>
  <c r="AG614" i="2"/>
  <c r="AG615" i="2"/>
  <c r="AG616" i="2"/>
  <c r="AG617" i="2"/>
  <c r="AG618" i="2"/>
  <c r="AG619" i="2"/>
  <c r="AG620" i="2"/>
  <c r="AG621" i="2"/>
  <c r="AG622" i="2"/>
  <c r="AG623" i="2"/>
  <c r="AG624" i="2"/>
  <c r="AG625" i="2"/>
  <c r="AG626" i="2"/>
  <c r="AG627" i="2"/>
  <c r="AG628" i="2"/>
  <c r="AG629" i="2"/>
  <c r="AG630" i="2"/>
  <c r="AG631" i="2"/>
  <c r="AG632" i="2"/>
  <c r="AG633" i="2"/>
  <c r="AG634" i="2"/>
  <c r="AG635" i="2"/>
  <c r="AG636" i="2"/>
  <c r="AG637" i="2"/>
  <c r="AG638" i="2"/>
  <c r="AG639" i="2"/>
  <c r="AG640" i="2"/>
  <c r="AG641" i="2"/>
  <c r="AG642" i="2"/>
  <c r="AG643" i="2"/>
  <c r="AG644" i="2"/>
  <c r="AG645" i="2"/>
  <c r="AG646" i="2"/>
  <c r="AG647" i="2"/>
  <c r="AG648" i="2"/>
  <c r="AG649" i="2"/>
  <c r="AG650" i="2"/>
  <c r="AG651" i="2"/>
  <c r="AG652" i="2"/>
  <c r="AG653" i="2"/>
  <c r="AG654" i="2"/>
  <c r="AG655" i="2"/>
  <c r="AG656" i="2"/>
  <c r="AG657" i="2"/>
  <c r="AG658" i="2"/>
  <c r="AG659" i="2"/>
  <c r="AG660" i="2"/>
  <c r="AG661" i="2"/>
  <c r="AG662" i="2"/>
  <c r="AG663" i="2"/>
  <c r="AG664" i="2"/>
  <c r="AG665" i="2"/>
  <c r="AG666" i="2"/>
  <c r="AG667" i="2"/>
  <c r="AG668" i="2"/>
  <c r="AG669" i="2"/>
  <c r="AG670" i="2"/>
  <c r="AG671" i="2"/>
  <c r="AG672" i="2"/>
  <c r="AG673" i="2"/>
  <c r="AG674" i="2"/>
  <c r="AG675" i="2"/>
  <c r="AG676" i="2"/>
  <c r="AG677" i="2"/>
  <c r="AG678" i="2"/>
  <c r="AG679" i="2"/>
  <c r="AG680" i="2"/>
  <c r="AG681" i="2"/>
  <c r="AG682" i="2"/>
  <c r="AG683" i="2"/>
  <c r="AG684" i="2"/>
  <c r="AG685" i="2"/>
  <c r="AG686" i="2"/>
  <c r="AG687" i="2"/>
  <c r="AG688" i="2"/>
  <c r="AG689" i="2"/>
  <c r="AG690" i="2"/>
  <c r="AG691" i="2"/>
  <c r="AG692" i="2"/>
  <c r="AG693" i="2"/>
  <c r="AG694" i="2"/>
  <c r="AG695" i="2"/>
  <c r="AG696" i="2"/>
  <c r="AG697" i="2"/>
  <c r="AG698" i="2"/>
  <c r="AG699" i="2"/>
  <c r="AG700" i="2"/>
  <c r="AG701" i="2"/>
  <c r="AG702" i="2"/>
  <c r="AG703" i="2"/>
  <c r="AG704" i="2"/>
  <c r="AG705" i="2"/>
  <c r="AG706" i="2"/>
  <c r="AG707" i="2"/>
  <c r="AG708" i="2"/>
  <c r="AG709" i="2"/>
  <c r="AG710" i="2"/>
  <c r="AG711" i="2"/>
  <c r="AG712" i="2"/>
  <c r="AG713" i="2"/>
  <c r="AG714" i="2"/>
  <c r="AG715" i="2"/>
  <c r="AG716" i="2"/>
  <c r="AG717" i="2"/>
  <c r="AG718" i="2"/>
  <c r="AG719" i="2"/>
  <c r="AG720" i="2"/>
  <c r="AG721" i="2"/>
  <c r="AG722" i="2"/>
  <c r="AG723" i="2"/>
  <c r="AG724" i="2"/>
  <c r="AG725" i="2"/>
  <c r="AG726" i="2"/>
  <c r="AG727" i="2"/>
  <c r="AG728" i="2"/>
  <c r="AG729" i="2"/>
  <c r="AG730" i="2"/>
  <c r="AG731" i="2"/>
  <c r="AG732" i="2"/>
  <c r="AG733" i="2"/>
  <c r="AG734" i="2"/>
  <c r="AG735" i="2"/>
  <c r="AG736" i="2"/>
  <c r="AG737" i="2"/>
  <c r="AG738" i="2"/>
  <c r="AG739" i="2"/>
  <c r="AG740" i="2"/>
  <c r="AG741" i="2"/>
  <c r="AG742" i="2"/>
  <c r="AG743" i="2"/>
  <c r="AG744" i="2"/>
  <c r="AG745" i="2"/>
  <c r="AG746" i="2"/>
  <c r="AG747" i="2"/>
  <c r="AG748" i="2"/>
  <c r="AG749" i="2"/>
  <c r="AG750" i="2"/>
  <c r="AG751" i="2"/>
  <c r="AG752" i="2"/>
  <c r="AG753" i="2"/>
  <c r="AG754" i="2"/>
  <c r="AG755" i="2"/>
  <c r="AG756" i="2"/>
  <c r="AG757" i="2"/>
  <c r="AG758" i="2"/>
  <c r="AG759" i="2"/>
  <c r="AG760" i="2"/>
  <c r="AG761" i="2"/>
  <c r="AG762" i="2"/>
  <c r="AG763" i="2"/>
  <c r="AG764" i="2"/>
  <c r="AG765" i="2"/>
  <c r="AG766" i="2"/>
  <c r="AG767" i="2"/>
  <c r="AG768" i="2"/>
  <c r="AG769" i="2"/>
  <c r="AG770" i="2"/>
  <c r="AG771" i="2"/>
  <c r="AG772" i="2"/>
  <c r="AG773" i="2"/>
  <c r="AG774" i="2"/>
  <c r="AG775" i="2"/>
  <c r="AG776" i="2"/>
  <c r="AG777" i="2"/>
  <c r="AG778" i="2"/>
  <c r="AG779" i="2"/>
  <c r="AG780" i="2"/>
  <c r="AG781" i="2"/>
  <c r="AG782" i="2"/>
  <c r="AG783" i="2"/>
  <c r="AG784" i="2"/>
  <c r="AG785" i="2"/>
  <c r="AG786" i="2"/>
  <c r="AG787" i="2"/>
  <c r="AG788" i="2"/>
  <c r="AG789" i="2"/>
  <c r="AG790" i="2"/>
  <c r="AG791" i="2"/>
  <c r="AG792" i="2"/>
  <c r="AG793" i="2"/>
  <c r="AG794" i="2"/>
  <c r="AG795" i="2"/>
  <c r="AG796" i="2"/>
  <c r="AG797" i="2"/>
  <c r="AG798" i="2"/>
  <c r="AG799" i="2"/>
  <c r="AG800" i="2"/>
  <c r="AG801" i="2"/>
  <c r="AG802" i="2"/>
  <c r="AG803" i="2"/>
  <c r="AG804" i="2"/>
  <c r="AG805" i="2"/>
  <c r="AG806" i="2"/>
  <c r="AG807" i="2"/>
  <c r="AG808" i="2"/>
  <c r="AG809" i="2"/>
  <c r="AG810" i="2"/>
  <c r="AG811" i="2"/>
  <c r="AG812" i="2"/>
  <c r="AG813" i="2"/>
  <c r="AG814" i="2"/>
  <c r="AG815" i="2"/>
  <c r="AG816" i="2"/>
  <c r="AG817" i="2"/>
  <c r="AG818" i="2"/>
  <c r="AG819" i="2"/>
  <c r="AG820" i="2"/>
  <c r="AG821" i="2"/>
  <c r="AG822" i="2"/>
  <c r="AG823" i="2"/>
  <c r="AG824" i="2"/>
  <c r="AG825" i="2"/>
  <c r="AG826" i="2"/>
  <c r="AG827" i="2"/>
  <c r="AG828" i="2"/>
  <c r="AG829" i="2"/>
  <c r="AG830" i="2"/>
  <c r="AG831" i="2"/>
  <c r="AG832" i="2"/>
  <c r="AG833" i="2"/>
  <c r="AG834" i="2"/>
  <c r="AG835" i="2"/>
  <c r="AG836" i="2"/>
  <c r="AG837" i="2"/>
  <c r="AG838" i="2"/>
  <c r="AG839" i="2"/>
  <c r="AG840" i="2"/>
  <c r="AG841" i="2"/>
  <c r="AG842" i="2"/>
  <c r="AG843" i="2"/>
  <c r="AG844" i="2"/>
  <c r="AG845" i="2"/>
  <c r="AG846" i="2"/>
  <c r="AG847" i="2"/>
  <c r="AG848" i="2"/>
  <c r="AG849" i="2"/>
  <c r="AG850" i="2"/>
  <c r="AG851" i="2"/>
  <c r="AG852" i="2"/>
  <c r="AG853" i="2"/>
  <c r="AG854" i="2"/>
  <c r="AG855" i="2"/>
  <c r="AG856" i="2"/>
  <c r="AG857" i="2"/>
  <c r="AG858" i="2"/>
  <c r="AG859" i="2"/>
  <c r="AG860" i="2"/>
  <c r="AG861" i="2"/>
  <c r="AG862" i="2"/>
  <c r="AG863" i="2"/>
  <c r="AG864" i="2"/>
  <c r="AG865" i="2"/>
  <c r="AG866" i="2"/>
  <c r="AG867" i="2"/>
  <c r="AG868" i="2"/>
  <c r="AG869" i="2"/>
  <c r="AG870" i="2"/>
  <c r="AG871" i="2"/>
  <c r="AG872" i="2"/>
  <c r="AG873" i="2"/>
  <c r="AG874" i="2"/>
  <c r="AG875" i="2"/>
  <c r="AG876" i="2"/>
  <c r="AG877" i="2"/>
  <c r="AG878" i="2"/>
  <c r="AG879" i="2"/>
  <c r="AG880" i="2"/>
  <c r="AG881" i="2"/>
  <c r="AG882" i="2"/>
  <c r="AG883" i="2"/>
  <c r="AG884" i="2"/>
  <c r="AG885" i="2"/>
  <c r="AG886" i="2"/>
  <c r="AG887" i="2"/>
  <c r="AG888" i="2"/>
  <c r="AG889" i="2"/>
  <c r="AG890" i="2"/>
  <c r="AG891" i="2"/>
  <c r="AG892" i="2"/>
  <c r="AG893" i="2"/>
  <c r="AG894" i="2"/>
  <c r="AG895" i="2"/>
  <c r="AG896" i="2"/>
  <c r="AG897" i="2"/>
  <c r="AG898" i="2"/>
  <c r="AG899" i="2"/>
  <c r="AG900" i="2"/>
  <c r="AG901" i="2"/>
  <c r="AG902" i="2"/>
  <c r="AG903" i="2"/>
  <c r="AG904" i="2"/>
  <c r="AG905" i="2"/>
  <c r="AG906" i="2"/>
  <c r="AG907" i="2"/>
  <c r="AG908" i="2"/>
  <c r="AG909" i="2"/>
  <c r="AG910" i="2"/>
  <c r="AG911" i="2"/>
  <c r="AG912" i="2"/>
  <c r="AG913" i="2"/>
  <c r="AG914" i="2"/>
  <c r="AG915" i="2"/>
  <c r="AG916" i="2"/>
  <c r="AG917" i="2"/>
  <c r="AG918" i="2"/>
  <c r="AG919" i="2"/>
  <c r="AG920" i="2"/>
  <c r="AG921" i="2"/>
  <c r="AG922" i="2"/>
  <c r="AG923" i="2"/>
  <c r="AG924" i="2"/>
  <c r="AG925" i="2"/>
  <c r="AG926" i="2"/>
  <c r="AG927" i="2"/>
  <c r="AG928" i="2"/>
  <c r="AG929" i="2"/>
  <c r="AG930" i="2"/>
  <c r="AG931" i="2"/>
  <c r="AG932" i="2"/>
  <c r="AG933" i="2"/>
  <c r="AG934" i="2"/>
  <c r="AG935" i="2"/>
  <c r="AG936" i="2"/>
  <c r="AG937" i="2"/>
  <c r="AG938" i="2"/>
  <c r="AG939" i="2"/>
  <c r="AG940" i="2"/>
  <c r="AG941" i="2"/>
  <c r="AG942" i="2"/>
  <c r="AG943" i="2"/>
  <c r="AG944" i="2"/>
  <c r="AG945" i="2"/>
  <c r="AG946" i="2"/>
  <c r="AG947" i="2"/>
  <c r="AG948" i="2"/>
  <c r="AG949" i="2"/>
  <c r="AG950" i="2"/>
  <c r="AG951" i="2"/>
  <c r="AG952" i="2"/>
  <c r="AG953" i="2"/>
  <c r="AG954" i="2"/>
  <c r="AG955" i="2"/>
  <c r="AG956" i="2"/>
  <c r="AG957" i="2"/>
  <c r="AG958" i="2"/>
  <c r="AG959" i="2"/>
  <c r="AG960" i="2"/>
  <c r="AG961" i="2"/>
  <c r="AG962" i="2"/>
  <c r="AG963" i="2"/>
  <c r="AG964" i="2"/>
  <c r="AG965" i="2"/>
  <c r="AG966" i="2"/>
  <c r="AG967" i="2"/>
  <c r="AG968" i="2"/>
  <c r="AG969" i="2"/>
  <c r="AG970" i="2"/>
  <c r="AG971" i="2"/>
  <c r="AG972" i="2"/>
  <c r="AG973" i="2"/>
  <c r="AG974" i="2"/>
  <c r="AG975" i="2"/>
  <c r="AG976" i="2"/>
  <c r="AG977" i="2"/>
  <c r="AG978" i="2"/>
  <c r="AG979" i="2"/>
  <c r="AG980" i="2"/>
  <c r="AG981" i="2"/>
  <c r="AG982" i="2"/>
  <c r="AG983" i="2"/>
  <c r="AG984" i="2"/>
  <c r="AG985" i="2"/>
  <c r="AG986" i="2"/>
  <c r="AG987" i="2"/>
  <c r="AG988" i="2"/>
  <c r="AG989" i="2"/>
  <c r="AG990" i="2"/>
  <c r="AG991" i="2"/>
  <c r="AG992" i="2"/>
  <c r="AG993" i="2"/>
  <c r="AG994" i="2"/>
  <c r="AG995" i="2"/>
  <c r="AG996" i="2"/>
  <c r="AG997" i="2"/>
  <c r="AG998" i="2"/>
  <c r="AG999" i="2"/>
  <c r="AG1000" i="2"/>
  <c r="AG1001" i="2"/>
  <c r="AG1002" i="2"/>
  <c r="AG1003" i="2"/>
  <c r="AG1004" i="2"/>
  <c r="AG1005" i="2"/>
  <c r="AG1006" i="2"/>
  <c r="AG1007" i="2"/>
  <c r="AG1008" i="2"/>
  <c r="AG1009" i="2"/>
  <c r="AG1010" i="2"/>
  <c r="AG1011" i="2"/>
  <c r="AG1012" i="2"/>
  <c r="AG1013" i="2"/>
  <c r="AG1014" i="2"/>
  <c r="AG1015" i="2"/>
  <c r="AG1016" i="2"/>
  <c r="AG1017" i="2"/>
  <c r="AG1018" i="2"/>
  <c r="AG1019" i="2"/>
  <c r="AG1020" i="2"/>
  <c r="AG1021" i="2"/>
  <c r="AG1022" i="2"/>
  <c r="AG1023" i="2"/>
  <c r="AG1024" i="2"/>
  <c r="AG1025" i="2"/>
  <c r="AG1026" i="2"/>
  <c r="AG1027" i="2"/>
  <c r="AG1028" i="2"/>
  <c r="AG1029" i="2"/>
  <c r="AG1030" i="2"/>
  <c r="AG1031" i="2"/>
  <c r="AG1032" i="2"/>
  <c r="AG1033" i="2"/>
  <c r="AG1034" i="2"/>
  <c r="AG1035" i="2"/>
  <c r="AG1036" i="2"/>
  <c r="AG1037" i="2"/>
  <c r="AG1038" i="2"/>
  <c r="AG1039" i="2"/>
  <c r="AG1040" i="2"/>
  <c r="AG1041" i="2"/>
  <c r="AG1042" i="2"/>
  <c r="AG1043" i="2"/>
  <c r="AG1044" i="2"/>
  <c r="AG1045" i="2"/>
  <c r="AG1046" i="2"/>
  <c r="AG1047" i="2"/>
  <c r="AG1048" i="2"/>
  <c r="AG1049" i="2"/>
  <c r="AG1050" i="2"/>
  <c r="AG1051" i="2"/>
  <c r="AG1052" i="2"/>
  <c r="AG1053" i="2"/>
  <c r="AG1054" i="2"/>
  <c r="AG1055" i="2"/>
  <c r="AG1056" i="2"/>
  <c r="AG1057" i="2"/>
  <c r="AG1058" i="2"/>
  <c r="AG1059" i="2"/>
  <c r="AG1060" i="2"/>
  <c r="AG1061" i="2"/>
  <c r="AG1062" i="2"/>
  <c r="AG1063" i="2"/>
  <c r="AG1064" i="2"/>
  <c r="AG1065" i="2"/>
  <c r="AG1066" i="2"/>
  <c r="AG1067" i="2"/>
  <c r="AG1068" i="2"/>
  <c r="AG1069" i="2"/>
  <c r="AG1070" i="2"/>
  <c r="AG1071" i="2"/>
  <c r="AG1072" i="2"/>
  <c r="AG1073" i="2"/>
  <c r="AG1074" i="2"/>
  <c r="AG1075" i="2"/>
  <c r="AG1076" i="2"/>
  <c r="AG1077" i="2"/>
  <c r="AG1078" i="2"/>
  <c r="AG1079" i="2"/>
  <c r="AG1080" i="2"/>
  <c r="AG1081" i="2"/>
  <c r="AG1082" i="2"/>
  <c r="AG1083" i="2"/>
  <c r="AG1084" i="2"/>
  <c r="AG1085" i="2"/>
  <c r="AG1086" i="2"/>
  <c r="AG1087" i="2"/>
  <c r="AG1088" i="2"/>
  <c r="AG1089" i="2"/>
  <c r="AG1090" i="2"/>
  <c r="AG1091" i="2"/>
  <c r="AG1092" i="2"/>
  <c r="AG1093" i="2"/>
  <c r="AG1094" i="2"/>
  <c r="AG1095" i="2"/>
  <c r="AG1096" i="2"/>
  <c r="AG1097" i="2"/>
  <c r="AG1098" i="2"/>
  <c r="AG1099" i="2"/>
  <c r="AG1100" i="2"/>
  <c r="AG1101" i="2"/>
  <c r="AG1102" i="2"/>
  <c r="AG1103" i="2"/>
  <c r="AG1104" i="2"/>
  <c r="AG1105" i="2"/>
  <c r="AG1106" i="2"/>
  <c r="AG1107" i="2"/>
  <c r="AG1108" i="2"/>
  <c r="AG1109" i="2"/>
  <c r="AG1110" i="2"/>
  <c r="AG1111" i="2"/>
  <c r="AG1112" i="2"/>
  <c r="AG1113" i="2"/>
  <c r="AG1114" i="2"/>
  <c r="AG1115" i="2"/>
  <c r="AG1116" i="2"/>
  <c r="AG1117" i="2"/>
  <c r="AG1118" i="2"/>
  <c r="AG1119" i="2"/>
  <c r="AG1120" i="2"/>
  <c r="AG1121" i="2"/>
  <c r="AG1122" i="2"/>
  <c r="AG1123" i="2"/>
  <c r="AG1124" i="2"/>
  <c r="AG1125" i="2"/>
  <c r="AG1126" i="2"/>
  <c r="AG1127" i="2"/>
  <c r="AG1128" i="2"/>
  <c r="AG1129" i="2"/>
  <c r="AG1130" i="2"/>
  <c r="AG1131" i="2"/>
  <c r="AG1132" i="2"/>
  <c r="AG1133" i="2"/>
  <c r="AG1134" i="2"/>
  <c r="AG1135" i="2"/>
  <c r="AG1136" i="2"/>
  <c r="AG1137" i="2"/>
  <c r="AG1138" i="2"/>
  <c r="AG1139" i="2"/>
  <c r="AG1140" i="2"/>
  <c r="AG1141" i="2"/>
  <c r="AG1142" i="2"/>
  <c r="AG1143" i="2"/>
  <c r="AG1144" i="2"/>
  <c r="AG1145" i="2"/>
  <c r="AG1146" i="2"/>
  <c r="AG1147" i="2"/>
  <c r="AG1148" i="2"/>
  <c r="AG1149" i="2"/>
  <c r="AG1150" i="2"/>
  <c r="AG1151" i="2"/>
  <c r="AG1152" i="2"/>
  <c r="AG1153" i="2"/>
  <c r="AG1154" i="2"/>
  <c r="AG1155" i="2"/>
  <c r="AG1156" i="2"/>
  <c r="AG1157" i="2"/>
  <c r="AG1158" i="2"/>
  <c r="AG1159" i="2"/>
  <c r="AG1160" i="2"/>
  <c r="AG1161" i="2"/>
  <c r="AG1162" i="2"/>
  <c r="AG1163" i="2"/>
  <c r="AG1164" i="2"/>
  <c r="AG1165" i="2"/>
  <c r="AG1166" i="2"/>
  <c r="AG1167" i="2"/>
  <c r="AG1168" i="2"/>
  <c r="AG1169" i="2"/>
  <c r="AG1170" i="2"/>
  <c r="AG1171" i="2"/>
  <c r="AG1172" i="2"/>
  <c r="AG1173" i="2"/>
  <c r="AG1174" i="2"/>
  <c r="AG1175" i="2"/>
  <c r="AG1176" i="2"/>
  <c r="AG1177" i="2"/>
  <c r="AG1178" i="2"/>
  <c r="AG1179" i="2"/>
  <c r="AG1180" i="2"/>
  <c r="AG1181" i="2"/>
  <c r="AG1182" i="2"/>
  <c r="AG1183" i="2"/>
  <c r="AG1184" i="2"/>
  <c r="AG1185" i="2"/>
  <c r="AG1186" i="2"/>
  <c r="AG1187" i="2"/>
  <c r="AG1188" i="2"/>
  <c r="AG1189" i="2"/>
  <c r="AG1190" i="2"/>
  <c r="AG1191" i="2"/>
  <c r="AG1192" i="2"/>
  <c r="AG1193" i="2"/>
  <c r="AG1194" i="2"/>
  <c r="AG1195" i="2"/>
  <c r="AG1196" i="2"/>
  <c r="AG1197" i="2"/>
  <c r="AG1198" i="2"/>
  <c r="AG1199" i="2"/>
  <c r="AG1200" i="2"/>
  <c r="AG1201" i="2"/>
  <c r="AG1202" i="2"/>
  <c r="AG1203" i="2"/>
  <c r="AG1204" i="2"/>
  <c r="AG1205" i="2"/>
  <c r="AG1206" i="2"/>
  <c r="AG1207" i="2"/>
  <c r="AG1208" i="2"/>
  <c r="AG1209" i="2"/>
  <c r="AG1210" i="2"/>
  <c r="AG1211" i="2"/>
  <c r="AG1212" i="2"/>
  <c r="AG1213" i="2"/>
  <c r="AG1214" i="2"/>
  <c r="AG1215" i="2"/>
  <c r="AG1216" i="2"/>
  <c r="AG1217" i="2"/>
  <c r="AG1218" i="2"/>
  <c r="AG1219" i="2"/>
  <c r="AG1220" i="2"/>
  <c r="AG1221" i="2"/>
  <c r="AG1222" i="2"/>
  <c r="AG1223" i="2"/>
  <c r="AG1224" i="2"/>
  <c r="AG1225" i="2"/>
  <c r="AG1226" i="2"/>
  <c r="AG1227" i="2"/>
  <c r="AG1228" i="2"/>
  <c r="AG1229" i="2"/>
  <c r="AG1230" i="2"/>
  <c r="AG1231" i="2"/>
  <c r="AG1232" i="2"/>
  <c r="AG1233" i="2"/>
  <c r="AG1234" i="2"/>
  <c r="AG1235" i="2"/>
  <c r="AG1236" i="2"/>
  <c r="AG1237" i="2"/>
  <c r="AG1238" i="2"/>
  <c r="AG1239" i="2"/>
  <c r="AG1240" i="2"/>
  <c r="AG1241" i="2"/>
  <c r="AG1242" i="2"/>
  <c r="AG1243" i="2"/>
  <c r="AG1244" i="2"/>
  <c r="AG1245" i="2"/>
  <c r="AG1246" i="2"/>
  <c r="AG1247" i="2"/>
  <c r="AG1248" i="2"/>
  <c r="AG1249" i="2"/>
  <c r="AG1250" i="2"/>
  <c r="AG1251" i="2"/>
  <c r="AG1252" i="2"/>
  <c r="AG1253" i="2"/>
  <c r="AG1254" i="2"/>
  <c r="AG1255" i="2"/>
  <c r="AG1256" i="2"/>
  <c r="AG1257" i="2"/>
  <c r="AG1258" i="2"/>
  <c r="AG1259" i="2"/>
  <c r="AG1260" i="2"/>
  <c r="AG1261" i="2"/>
  <c r="AG1262" i="2"/>
  <c r="AG1263" i="2"/>
  <c r="AG1264" i="2"/>
  <c r="AG1265" i="2"/>
  <c r="AG1266" i="2"/>
  <c r="AG1267" i="2"/>
  <c r="AG1268" i="2"/>
  <c r="AG1269" i="2"/>
  <c r="AG1270" i="2"/>
  <c r="AG1271" i="2"/>
  <c r="AG1272" i="2"/>
  <c r="AG1273" i="2"/>
  <c r="AG1274" i="2"/>
  <c r="AG1275" i="2"/>
  <c r="AG1276" i="2"/>
  <c r="AG1277" i="2"/>
  <c r="AG1278" i="2"/>
  <c r="AG1279" i="2"/>
  <c r="AG1280" i="2"/>
  <c r="AG1281" i="2"/>
  <c r="AG1282" i="2"/>
  <c r="AG1283" i="2"/>
  <c r="AG1284" i="2"/>
  <c r="AG1285" i="2"/>
  <c r="AG1286" i="2"/>
  <c r="AG1287" i="2"/>
  <c r="AG1288" i="2"/>
  <c r="AG1289" i="2"/>
  <c r="AG1290" i="2"/>
  <c r="AG1291" i="2"/>
  <c r="AG1292" i="2"/>
  <c r="AG1293" i="2"/>
  <c r="AG1294" i="2"/>
  <c r="AG1295" i="2"/>
  <c r="E9" i="7" l="1"/>
  <c r="E10" i="7"/>
  <c r="E13" i="7"/>
  <c r="E14" i="7"/>
  <c r="AG172" i="2"/>
  <c r="AG160" i="2"/>
  <c r="AG148" i="2"/>
  <c r="AG136" i="2"/>
  <c r="AG124" i="2"/>
  <c r="AG112" i="2"/>
  <c r="AG100" i="2"/>
  <c r="AG88" i="2"/>
  <c r="AG76" i="2"/>
  <c r="AG64" i="2"/>
  <c r="AG52" i="2"/>
  <c r="AG40" i="2"/>
  <c r="AG111" i="2"/>
  <c r="AG99" i="2"/>
  <c r="AG87" i="2"/>
  <c r="AG75" i="2"/>
  <c r="AG63" i="2"/>
  <c r="AG51" i="2"/>
  <c r="AG39" i="2"/>
  <c r="AG254" i="2"/>
  <c r="AG242" i="2"/>
  <c r="AG230" i="2"/>
  <c r="AG218" i="2"/>
  <c r="AG206" i="2"/>
  <c r="AG194" i="2"/>
  <c r="AG182" i="2"/>
  <c r="AG170" i="2"/>
  <c r="AG158" i="2"/>
  <c r="AG146" i="2"/>
  <c r="AG134" i="2"/>
  <c r="AG122" i="2"/>
  <c r="AG110" i="2"/>
  <c r="AG98" i="2"/>
  <c r="AG86" i="2"/>
  <c r="AG74" i="2"/>
  <c r="AG62" i="2"/>
  <c r="AG50" i="2"/>
  <c r="AG38" i="2"/>
  <c r="T9" i="7" l="1"/>
  <c r="T10" i="7" s="1"/>
  <c r="T11" i="7" s="1"/>
  <c r="T12" i="7" s="1"/>
  <c r="T13" i="7" s="1"/>
  <c r="T14" i="7" s="1"/>
  <c r="T15" i="7" s="1"/>
  <c r="T16" i="7" s="1"/>
  <c r="T17" i="7" s="1"/>
  <c r="T18" i="7" s="1"/>
  <c r="T19" i="7" s="1"/>
  <c r="T20" i="7" s="1"/>
  <c r="T21" i="7" s="1"/>
  <c r="T22" i="7" s="1"/>
  <c r="T23" i="7" s="1"/>
  <c r="T24" i="7" s="1"/>
  <c r="T25" i="7" s="1"/>
  <c r="T26" i="7" s="1"/>
  <c r="T27" i="7" s="1"/>
  <c r="T28" i="7" s="1"/>
  <c r="T29" i="7" s="1"/>
  <c r="T30" i="7" s="1"/>
  <c r="T31" i="7" s="1"/>
  <c r="T32" i="7" s="1"/>
  <c r="T33" i="7" s="1"/>
  <c r="T34" i="7" s="1"/>
  <c r="T35" i="7" s="1"/>
  <c r="T36" i="7" s="1"/>
  <c r="T37" i="7" s="1"/>
  <c r="T38" i="7" s="1"/>
  <c r="T39" i="7" s="1"/>
  <c r="T40" i="7" s="1"/>
  <c r="T41" i="7" s="1"/>
  <c r="T42" i="7" s="1"/>
  <c r="T43" i="7" s="1"/>
  <c r="T44" i="7" s="1"/>
  <c r="T45" i="7" s="1"/>
  <c r="T46" i="7" s="1"/>
  <c r="T47" i="7" s="1"/>
  <c r="T48" i="7" s="1"/>
  <c r="T49" i="7" s="1"/>
  <c r="T50" i="7" s="1"/>
  <c r="T51" i="7" s="1"/>
  <c r="T52" i="7" s="1"/>
  <c r="T53" i="7" s="1"/>
  <c r="T54" i="7" s="1"/>
  <c r="T55" i="7" s="1"/>
  <c r="T56" i="7" s="1"/>
  <c r="T57" i="7" s="1"/>
  <c r="T58" i="7" s="1"/>
  <c r="T59" i="7" s="1"/>
  <c r="T60" i="7" s="1"/>
  <c r="T61" i="7" s="1"/>
  <c r="T62" i="7" s="1"/>
  <c r="T63" i="7" s="1"/>
  <c r="T64" i="7" s="1"/>
  <c r="T65" i="7" s="1"/>
  <c r="T66" i="7" s="1"/>
  <c r="T67" i="7" s="1"/>
  <c r="T68" i="7" s="1"/>
  <c r="T69" i="7" s="1"/>
  <c r="T70" i="7" s="1"/>
  <c r="T71" i="7" s="1"/>
  <c r="T72" i="7" s="1"/>
  <c r="T73" i="7" s="1"/>
  <c r="T74" i="7" s="1"/>
  <c r="T75" i="7" s="1"/>
  <c r="T76" i="7" s="1"/>
  <c r="T77" i="7" s="1"/>
  <c r="T78" i="7" s="1"/>
  <c r="T79" i="7" s="1"/>
  <c r="T80" i="7" s="1"/>
  <c r="T81" i="7" s="1"/>
  <c r="T82" i="7" s="1"/>
  <c r="T83" i="7" s="1"/>
  <c r="T84" i="7" s="1"/>
  <c r="T85" i="7" s="1"/>
  <c r="T86" i="7" s="1"/>
  <c r="T87" i="7" s="1"/>
  <c r="T88" i="7" s="1"/>
  <c r="T89" i="7" s="1"/>
  <c r="T90" i="7" s="1"/>
  <c r="T91" i="7" s="1"/>
  <c r="T92" i="7" s="1"/>
  <c r="T93" i="7" s="1"/>
  <c r="T94" i="7" s="1"/>
  <c r="T95" i="7" s="1"/>
  <c r="T96" i="7" s="1"/>
  <c r="T97" i="7" s="1"/>
  <c r="T98" i="7" s="1"/>
  <c r="T99" i="7" s="1"/>
  <c r="T100" i="7" s="1"/>
  <c r="T101" i="7" s="1"/>
  <c r="T102" i="7" s="1"/>
  <c r="T103" i="7" s="1"/>
  <c r="T104" i="7" s="1"/>
  <c r="T105" i="7" s="1"/>
  <c r="T106" i="7" s="1"/>
  <c r="T107" i="7" s="1"/>
  <c r="T108" i="7" s="1"/>
  <c r="T109" i="7" s="1"/>
  <c r="T110" i="7" s="1"/>
  <c r="T111" i="7" s="1"/>
  <c r="T112" i="7" s="1"/>
  <c r="T113" i="7" s="1"/>
  <c r="T114" i="7" s="1"/>
  <c r="T115" i="7" s="1"/>
  <c r="T116" i="7" s="1"/>
  <c r="T117" i="7" s="1"/>
  <c r="T118" i="7" s="1"/>
  <c r="T119" i="7" s="1"/>
  <c r="T120" i="7" s="1"/>
  <c r="T121" i="7" s="1"/>
  <c r="T122" i="7" s="1"/>
  <c r="T123" i="7" s="1"/>
  <c r="T124" i="7" s="1"/>
  <c r="T125" i="7" s="1"/>
  <c r="T126" i="7" s="1"/>
  <c r="T127" i="7" s="1"/>
  <c r="T128" i="7" s="1"/>
  <c r="T129" i="7" s="1"/>
  <c r="T130" i="7" s="1"/>
  <c r="T131" i="7" s="1"/>
  <c r="T132" i="7" s="1"/>
  <c r="T133" i="7" s="1"/>
  <c r="T134" i="7" s="1"/>
  <c r="T135" i="7" s="1"/>
  <c r="T136" i="7" s="1"/>
  <c r="T137" i="7" s="1"/>
  <c r="T138" i="7" s="1"/>
  <c r="T139" i="7" s="1"/>
  <c r="T140" i="7" s="1"/>
  <c r="T141" i="7" s="1"/>
  <c r="T142" i="7" s="1"/>
  <c r="T143" i="7" s="1"/>
  <c r="T144" i="7" s="1"/>
  <c r="T145" i="7" s="1"/>
  <c r="T146" i="7" s="1"/>
  <c r="T147" i="7" s="1"/>
  <c r="T148" i="7" s="1"/>
  <c r="T149" i="7" s="1"/>
  <c r="T150" i="7" s="1"/>
  <c r="T151" i="7" s="1"/>
  <c r="T152" i="7" s="1"/>
  <c r="T153" i="7" s="1"/>
  <c r="T154" i="7" s="1"/>
  <c r="T155" i="7" s="1"/>
  <c r="T156" i="7" s="1"/>
  <c r="T157" i="7" s="1"/>
  <c r="T158" i="7" s="1"/>
  <c r="T159" i="7" s="1"/>
  <c r="T160" i="7" s="1"/>
  <c r="T161" i="7" s="1"/>
  <c r="T162" i="7" s="1"/>
  <c r="T163" i="7" s="1"/>
  <c r="T164" i="7" s="1"/>
  <c r="T165" i="7" s="1"/>
  <c r="T166" i="7" s="1"/>
  <c r="T167" i="7" s="1"/>
  <c r="T168" i="7" s="1"/>
  <c r="T169" i="7" s="1"/>
  <c r="T170" i="7" s="1"/>
  <c r="T171" i="7" s="1"/>
  <c r="T172" i="7" s="1"/>
  <c r="T173" i="7" s="1"/>
  <c r="T174" i="7" s="1"/>
  <c r="T175" i="7" s="1"/>
  <c r="T176" i="7" s="1"/>
  <c r="T177" i="7" s="1"/>
  <c r="T178" i="7" s="1"/>
  <c r="T179" i="7" s="1"/>
  <c r="T180" i="7" s="1"/>
  <c r="T181" i="7" s="1"/>
  <c r="E3" i="7"/>
  <c r="E2" i="7" s="1"/>
  <c r="U7" i="2"/>
  <c r="G6" i="2" s="1"/>
  <c r="AG28" i="2"/>
  <c r="AG30" i="2"/>
  <c r="AG13" i="2"/>
  <c r="AG24" i="2"/>
  <c r="AG18" i="2"/>
  <c r="AG22" i="2"/>
  <c r="AG14" i="2"/>
  <c r="AG12" i="2"/>
  <c r="AG10" i="2"/>
  <c r="AG31" i="2" l="1"/>
  <c r="AG25" i="2"/>
  <c r="AG16" i="2"/>
  <c r="AG19" i="2"/>
  <c r="AG21" i="2"/>
  <c r="AG29" i="2"/>
  <c r="AG17" i="2"/>
  <c r="AG20" i="2"/>
  <c r="AG11" i="2"/>
  <c r="AG15" i="2"/>
  <c r="AG34" i="2"/>
  <c r="AG23" i="2"/>
  <c r="AG33" i="2"/>
  <c r="AG32" i="2"/>
  <c r="AG27" i="2"/>
  <c r="AG26" i="2"/>
  <c r="AG9" i="2" l="1"/>
  <c r="B9" i="1" s="1" a="1"/>
  <c r="B9" i="1" l="1"/>
  <c r="K7" i="1"/>
  <c r="J7" i="1"/>
  <c r="L7"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<sst xmlns="http://schemas.openxmlformats.org/spreadsheetml/2006/main" count="1999" uniqueCount="437">
  <si>
    <t>GATEPASS</t>
  </si>
  <si>
    <t>UOM</t>
  </si>
  <si>
    <t>WH</t>
  </si>
  <si>
    <t>FRZ</t>
  </si>
  <si>
    <t>CLM</t>
  </si>
  <si>
    <t>RW</t>
  </si>
  <si>
    <t>LVL</t>
  </si>
  <si>
    <t>SIDE</t>
  </si>
  <si>
    <t>TOTAL QUANTITY:</t>
  </si>
  <si>
    <t>TOTAL KILOS:</t>
  </si>
  <si>
    <t>TOTAL PALLETS:</t>
  </si>
  <si>
    <t>No.</t>
  </si>
  <si>
    <t>Generated Stockcode</t>
  </si>
  <si>
    <t>Date Inbound</t>
  </si>
  <si>
    <t>Ageing Remarks</t>
  </si>
  <si>
    <t>Mode of Inbound</t>
  </si>
  <si>
    <t>Receiving Report ref.#</t>
  </si>
  <si>
    <t>Source</t>
  </si>
  <si>
    <t>Truck No.</t>
  </si>
  <si>
    <t>Gatepass</t>
  </si>
  <si>
    <t>Encoder</t>
  </si>
  <si>
    <t>Item Description</t>
  </si>
  <si>
    <t>Container Van No.</t>
  </si>
  <si>
    <t>Production Date</t>
  </si>
  <si>
    <t>Expiration Date</t>
  </si>
  <si>
    <t>Ageing Day/s</t>
  </si>
  <si>
    <t>In Quantity</t>
  </si>
  <si>
    <t>In Weight</t>
  </si>
  <si>
    <t>From Location</t>
  </si>
  <si>
    <t>Location</t>
  </si>
  <si>
    <t>Stock Remarks</t>
  </si>
  <si>
    <t>Ending Quantity</t>
  </si>
  <si>
    <t>Ending Weight</t>
  </si>
  <si>
    <t>Inventory Status</t>
  </si>
  <si>
    <t>OUTBOUND LOG</t>
  </si>
  <si>
    <t>DESTINATION</t>
  </si>
  <si>
    <t>QTY OUT</t>
  </si>
  <si>
    <t>PALLET OUT</t>
  </si>
  <si>
    <t>PICKLIST</t>
  </si>
  <si>
    <t>ENCODED BY:</t>
  </si>
  <si>
    <t>PLATE #</t>
  </si>
  <si>
    <t>Ending Pallet Quantity</t>
  </si>
  <si>
    <t>Pallet Series</t>
  </si>
  <si>
    <t>Pallet_qty</t>
  </si>
  <si>
    <t>Pallet_Series</t>
  </si>
  <si>
    <t>Pallet # / Pallet Series</t>
  </si>
  <si>
    <t xml:space="preserve">Container Van No. </t>
  </si>
  <si>
    <t/>
  </si>
  <si>
    <t>Expiry Date</t>
  </si>
  <si>
    <t>Balance Quantity</t>
  </si>
  <si>
    <t>Balance Weight</t>
  </si>
  <si>
    <t>Receiving Report No.</t>
  </si>
  <si>
    <t>lowest to highest</t>
  </si>
  <si>
    <t>highest to lowest</t>
  </si>
  <si>
    <t>Stock Code</t>
  </si>
  <si>
    <t>`=SORT(CHOOSECOLS(FILTER(inbound_data,ISNUMBER(SEARCH($A$12,Item_Description))*ISNUMBER(SEARCH($A$14,Container_Van_No.))*ISNUMBER(SEARCH($A$10,Pallet_Series)),""),4,6,13,12,3,10,14,15,20,21,23,33,26),8,1)</t>
  </si>
  <si>
    <t>Sorting Manner</t>
  </si>
  <si>
    <t>Sort by:</t>
  </si>
  <si>
    <t>KILOS OUT</t>
  </si>
  <si>
    <t>STOCK CODE OUT</t>
  </si>
  <si>
    <t>Date Outbound</t>
  </si>
  <si>
    <t>Withdrawal Report No.</t>
  </si>
  <si>
    <t>Container Van No. (OUT)</t>
  </si>
  <si>
    <t>Item Description (OUT)</t>
  </si>
  <si>
    <t>Pallet # / Pallet Series (OUT)</t>
  </si>
  <si>
    <t>Issued Quantity</t>
  </si>
  <si>
    <t>Issued Weight</t>
  </si>
  <si>
    <t>Destination</t>
  </si>
  <si>
    <t>ITEM DESCRIPTION (OUT)</t>
  </si>
  <si>
    <t>CONTAINER NUMBER (OUT)</t>
  </si>
  <si>
    <t>OUTBOUND DATE</t>
  </si>
  <si>
    <t>PLATE#</t>
  </si>
  <si>
    <t>PALLET SERIES (OUT)</t>
  </si>
  <si>
    <t>PICKLIST#</t>
  </si>
  <si>
    <t>GATEPASS#</t>
  </si>
  <si>
    <t>UOM (OUT)</t>
  </si>
  <si>
    <t>`=SORT(CHOOSECOLS(FILTER(Outbound_data,ISNUMBER(SEARCH($A$23,Withdrawal_Report_No.))*ISNUMBER(SEARCH($A$14,CONTAINER_NUMBER__OUT))*ISNUMBER(SEARCH($A$12,ITEM_DESCRIPTION__OUT))*ISNUMBER(SEARCH($A$10,PALLET_SERIES__OUT)),"Not Found"),1,2,16,14,3,13,5,6,15,11,8,10),$A$21,1)</t>
  </si>
  <si>
    <t>Row Labels</t>
  </si>
  <si>
    <t>Grand Total</t>
  </si>
  <si>
    <t>Rosas Norte, Saluysoy, Meycauayan. Bulacan</t>
  </si>
  <si>
    <t>TOTAL:</t>
  </si>
  <si>
    <t>OUTBOUND</t>
  </si>
  <si>
    <t>WR#</t>
  </si>
  <si>
    <t>Transaction Date</t>
  </si>
  <si>
    <t>Beginning balance</t>
  </si>
  <si>
    <t>INBOUND</t>
  </si>
  <si>
    <t>BILLING</t>
  </si>
  <si>
    <t>RR</t>
  </si>
  <si>
    <t>KILOS</t>
  </si>
  <si>
    <t>PALLETS</t>
  </si>
  <si>
    <t>WR</t>
  </si>
  <si>
    <t>VARIANCE KILOS</t>
  </si>
  <si>
    <t>VARIANCE PALLETS</t>
  </si>
  <si>
    <t xml:space="preserve"> </t>
  </si>
  <si>
    <t>RR#</t>
  </si>
  <si>
    <t>RR total in</t>
  </si>
  <si>
    <t>RR total pallet in</t>
  </si>
  <si>
    <t>RR total weight</t>
  </si>
  <si>
    <t>Remaining pallet quantity</t>
  </si>
  <si>
    <t>Remaining weight</t>
  </si>
  <si>
    <t>Net Quantity Out</t>
  </si>
  <si>
    <t>Net Weight Out</t>
  </si>
  <si>
    <t>Total Pallet Out</t>
  </si>
  <si>
    <t>Remaining quantity</t>
  </si>
  <si>
    <t>VIFEL ICE PLANT AND COLD STORAGE, INC.</t>
  </si>
  <si>
    <t>Total Pallet In:</t>
  </si>
  <si>
    <t>L O C A T I O N</t>
  </si>
  <si>
    <t>PALLET MONITORING</t>
  </si>
  <si>
    <t xml:space="preserve">       Quantity</t>
  </si>
  <si>
    <t xml:space="preserve">       Weight</t>
  </si>
  <si>
    <t>RR Return</t>
  </si>
  <si>
    <t>Return qty</t>
  </si>
  <si>
    <t>Return weight</t>
  </si>
  <si>
    <t>Return pallet</t>
  </si>
  <si>
    <t>WR qty out</t>
  </si>
  <si>
    <t>WR weight out</t>
  </si>
  <si>
    <t>WR pallet out</t>
  </si>
  <si>
    <t>OUT REMARKS</t>
  </si>
  <si>
    <t>KILOS (BILLING)</t>
  </si>
  <si>
    <t>PALLETS (BILLING)</t>
  </si>
  <si>
    <t>Pallet qty</t>
  </si>
  <si>
    <t>Pallet qty Out</t>
  </si>
  <si>
    <t>Duopower Foods Inc.</t>
  </si>
  <si>
    <t>DUO-00001A/6332</t>
  </si>
  <si>
    <t>DUO-00002A/1543</t>
  </si>
  <si>
    <t>DUO-00003A/5007</t>
  </si>
  <si>
    <t>DUO-00004A/NP</t>
  </si>
  <si>
    <t>DUO-00005A/41828</t>
  </si>
  <si>
    <t>DUO-00006A/1427</t>
  </si>
  <si>
    <t>DUO-00007A/10645</t>
  </si>
  <si>
    <t>DUO-00008A/4496</t>
  </si>
  <si>
    <t>DUO-00009A/40341</t>
  </si>
  <si>
    <t>DUO-00010A/40921</t>
  </si>
  <si>
    <t>MINIS ASADO 6'S X12 (APRUB)</t>
  </si>
  <si>
    <t>LOCAL TRANSFER</t>
  </si>
  <si>
    <t>CCK-8782</t>
  </si>
  <si>
    <t>TAGUIG</t>
  </si>
  <si>
    <t>101784</t>
  </si>
  <si>
    <t>RECEIVING</t>
  </si>
  <si>
    <t>BXS</t>
  </si>
  <si>
    <t>IMEE</t>
  </si>
  <si>
    <t>ANNEX</t>
  </si>
  <si>
    <t>R</t>
  </si>
  <si>
    <t>B</t>
  </si>
  <si>
    <t>INV</t>
  </si>
  <si>
    <t>A</t>
  </si>
  <si>
    <t>C</t>
  </si>
  <si>
    <t>DUO-00011A/4844</t>
  </si>
  <si>
    <t>DUO-00012A/1694</t>
  </si>
  <si>
    <t>DUO-00013A/3800</t>
  </si>
  <si>
    <t>DUO-00014A/8543</t>
  </si>
  <si>
    <t>101841</t>
  </si>
  <si>
    <t>DUO-00001A/633200009</t>
  </si>
  <si>
    <t>DUO-00002A/154300010</t>
  </si>
  <si>
    <t>DUO-00003A/500700011</t>
  </si>
  <si>
    <t>DUO-00010A/4092100018</t>
  </si>
  <si>
    <t>PASIG</t>
  </si>
  <si>
    <t>4AR09L3.1</t>
  </si>
  <si>
    <t>4AR09L4.1</t>
  </si>
  <si>
    <t>DUO-00005A/4182800013</t>
  </si>
  <si>
    <t>DUO-00004A/NP00012</t>
  </si>
  <si>
    <t>DUO-00009A/4034100017</t>
  </si>
  <si>
    <t>DUO-00007A/1064500015</t>
  </si>
  <si>
    <t>CALOOCAN</t>
  </si>
  <si>
    <t>NGN-7085</t>
  </si>
  <si>
    <t>DUO-00015A/10610</t>
  </si>
  <si>
    <t>DUO-00016A/3999</t>
  </si>
  <si>
    <t>DUO-00017A/8847</t>
  </si>
  <si>
    <t>DUO-00018A/4764</t>
  </si>
  <si>
    <t>DUO-00019A/6105</t>
  </si>
  <si>
    <t>DUO-00020A/41554</t>
  </si>
  <si>
    <t>DUO-00021A/3080</t>
  </si>
  <si>
    <t>PORK ASADO SIOPAO 1.3 KG (CHIBAO)</t>
  </si>
  <si>
    <t>GLADYS</t>
  </si>
  <si>
    <t>DUO-00006A/142700014</t>
  </si>
  <si>
    <t>DUO-00008A/449600016</t>
  </si>
  <si>
    <t>DUO-00011A/484400019</t>
  </si>
  <si>
    <t>DUO-00012A/169400020</t>
  </si>
  <si>
    <t>DUO-00013A/380000021</t>
  </si>
  <si>
    <t>DUO-00014A/854300022</t>
  </si>
  <si>
    <t>MANILA</t>
  </si>
  <si>
    <t>DUO-00015A/1061000023</t>
  </si>
  <si>
    <t>DUO-00016A/399900024</t>
  </si>
  <si>
    <t>DUO-00017A/884700025</t>
  </si>
  <si>
    <t>DUO-00018A/476400026</t>
  </si>
  <si>
    <t>DUO-00019A/610500027</t>
  </si>
  <si>
    <t>PAMPANGA</t>
  </si>
  <si>
    <t>DUO-00020A/4155400028</t>
  </si>
  <si>
    <t>DUO-00021A/308000029</t>
  </si>
  <si>
    <t>MEYCAUAYAN</t>
  </si>
  <si>
    <t>DUO-00022A/NP</t>
  </si>
  <si>
    <t>DUO-00023A/1639</t>
  </si>
  <si>
    <t>DUO-00024A/10033</t>
  </si>
  <si>
    <t>DUO-00025A/946</t>
  </si>
  <si>
    <t>DUO-00026A/7017</t>
  </si>
  <si>
    <t>DUO-00027A/6269</t>
  </si>
  <si>
    <t>DUO-00028A/478</t>
  </si>
  <si>
    <t>DUO-00029A/1620</t>
  </si>
  <si>
    <t>DUO-00030A/7620</t>
  </si>
  <si>
    <t>DUO-00031A/10568</t>
  </si>
  <si>
    <t>ASADO SIOPAO 30'S (500G) (CHIBAO)</t>
  </si>
  <si>
    <t>ASADO SIOPAO 10'S (1.3 KG) (CHIBAO)</t>
  </si>
  <si>
    <t>LAINE</t>
  </si>
  <si>
    <t>DUO-00032A/7926</t>
  </si>
  <si>
    <t>DUO-00033A/5935</t>
  </si>
  <si>
    <t>DUO-00034A/5898</t>
  </si>
  <si>
    <t>DUO-00035A/40422</t>
  </si>
  <si>
    <t>DUO-00036A/3309</t>
  </si>
  <si>
    <t>DUO-00037A/1381</t>
  </si>
  <si>
    <t>CHIBAO ASADO SIOPAO 10'S (1.3 KG) (CHIBAO)</t>
  </si>
  <si>
    <t>CHIBAO ASADO SIOMAI 30'S (500G) (CHIBAO)</t>
  </si>
  <si>
    <t>DUO-00024A/1003300032</t>
  </si>
  <si>
    <t>DUO-00025A/94600033</t>
  </si>
  <si>
    <t>DUO-00026A/701700034</t>
  </si>
  <si>
    <t>DUO-00022A/NP00030</t>
  </si>
  <si>
    <t>DUO-00023A/163900031</t>
  </si>
  <si>
    <t>DUO-00038A/1834</t>
  </si>
  <si>
    <t>CHIBAO ASADO SIOMAI 30'S (500G)</t>
  </si>
  <si>
    <t>CHIBAO ASADO SIOPAO 10'S (1.3 KG)</t>
  </si>
  <si>
    <t>DUO-00039A/7487</t>
  </si>
  <si>
    <t>DUO-00040A/41118</t>
  </si>
  <si>
    <t>DUO-00027A/626900035</t>
  </si>
  <si>
    <t>DUO-00028A/47800036</t>
  </si>
  <si>
    <t>DUO-00029A/162000037</t>
  </si>
  <si>
    <t>DUO-00030A/762000038</t>
  </si>
  <si>
    <t>DUO-00031A/1056800039</t>
  </si>
  <si>
    <t>TAYTAY</t>
  </si>
  <si>
    <t>DUO-00032A/792600040</t>
  </si>
  <si>
    <t>DUO-00033A/593500041</t>
  </si>
  <si>
    <t>DUO-00034A/589800042</t>
  </si>
  <si>
    <t>DUO-00035A/4042200043</t>
  </si>
  <si>
    <t>DUO-00036A/330900044</t>
  </si>
  <si>
    <t>DUO-00037A/138100045</t>
  </si>
  <si>
    <t>DUO-00038A/183400046</t>
  </si>
  <si>
    <t>DUO-00039A/748700047</t>
  </si>
  <si>
    <t>DUO-00040A/4111800048</t>
  </si>
  <si>
    <t>OSAVE PAMPANGA</t>
  </si>
  <si>
    <t>DUO POWER</t>
  </si>
  <si>
    <t>CCK-8785</t>
  </si>
  <si>
    <t>DUO-00040A/2595</t>
  </si>
  <si>
    <t>DUO-00041A/4538</t>
  </si>
  <si>
    <t>DUO-00042A/7671</t>
  </si>
  <si>
    <t>DUO-00043A/1970</t>
  </si>
  <si>
    <t>DUO-00044A/1556</t>
  </si>
  <si>
    <t>DUO-00045A/4147</t>
  </si>
  <si>
    <t>DUO-00046A/1410</t>
  </si>
  <si>
    <t>DUO-00047A/5784</t>
  </si>
  <si>
    <t>DUO-00048A/8818</t>
  </si>
  <si>
    <t>DUO-00049A/933</t>
  </si>
  <si>
    <t>PORK SIOMAI 500G (CHIBAO)</t>
  </si>
  <si>
    <t>PORK ASADO SIOPAO 1.3KG (CHIBAO)</t>
  </si>
  <si>
    <t>JAYSON</t>
  </si>
  <si>
    <t>DUO-00042A/767100051</t>
  </si>
  <si>
    <t>DUO-00043A/197000052</t>
  </si>
  <si>
    <t>DUO-00040A/259500049</t>
  </si>
  <si>
    <t>DUO-00041A/453800050</t>
  </si>
  <si>
    <t>D</t>
  </si>
  <si>
    <t>DUO-00047A/578400056</t>
  </si>
  <si>
    <t>DUO-00049A/93300058</t>
  </si>
  <si>
    <t>DUO-00045A/414700054</t>
  </si>
  <si>
    <t>DUO-00048A/881800057</t>
  </si>
  <si>
    <t>DUO-00044A/155600053</t>
  </si>
  <si>
    <t>DUO-00046A/141000055</t>
  </si>
  <si>
    <t>PLARIDEL</t>
  </si>
  <si>
    <t>DUO-00050A/NP</t>
  </si>
  <si>
    <t>DUO-00051A/8574</t>
  </si>
  <si>
    <t>DUO-00052A/1711</t>
  </si>
  <si>
    <t>DUO-00053A/4901</t>
  </si>
  <si>
    <t>DUO-00054A/5284</t>
  </si>
  <si>
    <t>DUO-00055A/496</t>
  </si>
  <si>
    <t>BULACAN</t>
  </si>
  <si>
    <t>DUO-00050A/NP00059</t>
  </si>
  <si>
    <t>DUO-00051A/857400060</t>
  </si>
  <si>
    <t>DUO-00052A/171100061</t>
  </si>
  <si>
    <t>DUO-00053A/490100062</t>
  </si>
  <si>
    <t>DUO-00054A/528400063</t>
  </si>
  <si>
    <t>DUO-00055A/49600064</t>
  </si>
  <si>
    <t>DUO-00056A/4592</t>
  </si>
  <si>
    <t>DUO-00057A/NP</t>
  </si>
  <si>
    <t>DUO-00058A/006</t>
  </si>
  <si>
    <t>DUO-00059A/2973</t>
  </si>
  <si>
    <t>DUO-00060A/41115</t>
  </si>
  <si>
    <t>DUO-00061A/4252</t>
  </si>
  <si>
    <t>DUO-00062A/6185</t>
  </si>
  <si>
    <t>DUO-00063A/3501</t>
  </si>
  <si>
    <t>DUO-00064A/583</t>
  </si>
  <si>
    <t>DUO-00065A/411</t>
  </si>
  <si>
    <t>DUO-00066A/1434</t>
  </si>
  <si>
    <t>DUO-00067A/6416</t>
  </si>
  <si>
    <t>DUO-00056A/459200065</t>
  </si>
  <si>
    <t>DUO-00057A/NP00066</t>
  </si>
  <si>
    <t>DUO-00058A/00600067</t>
  </si>
  <si>
    <t>DUO-00059A/297300068</t>
  </si>
  <si>
    <t>DUO-00060A/4111500069</t>
  </si>
  <si>
    <t>DUO-00061A/425200070</t>
  </si>
  <si>
    <t>DUO-00062A/618500071</t>
  </si>
  <si>
    <t>DUO-00063A/350100072</t>
  </si>
  <si>
    <t>DUO-00064A/58300073</t>
  </si>
  <si>
    <t>DUO-00065A/41100074</t>
  </si>
  <si>
    <t>DUO-00066A/143400075</t>
  </si>
  <si>
    <t>DUO-00067A/641600076</t>
  </si>
  <si>
    <t>DUO-00068A/7662</t>
  </si>
  <si>
    <t>DUO-00069A/7269</t>
  </si>
  <si>
    <t>DUO-00070A/4782</t>
  </si>
  <si>
    <t>DUO-00071A/2230</t>
  </si>
  <si>
    <t>DUO-00072A/6874</t>
  </si>
  <si>
    <t>DUO-00073A/3369</t>
  </si>
  <si>
    <t>DUO-00074A/4268</t>
  </si>
  <si>
    <t>DUO-00075A/6636</t>
  </si>
  <si>
    <t>DUO-00076A/40042</t>
  </si>
  <si>
    <t>DUO-00077A/4553</t>
  </si>
  <si>
    <t>CBA-2865</t>
  </si>
  <si>
    <t>SHRIMP SIOMAI 500G (APRUB)</t>
  </si>
  <si>
    <t>DUO-00078A/41401</t>
  </si>
  <si>
    <t>DUO-00079A/968</t>
  </si>
  <si>
    <t>DUO-00080A/NP</t>
  </si>
  <si>
    <t>DUO-00081A/3011</t>
  </si>
  <si>
    <t>DUO-00082A/2167</t>
  </si>
  <si>
    <t>DUO-00083A/4628</t>
  </si>
  <si>
    <t>DUO-00068A/766200077</t>
  </si>
  <si>
    <t>DUO-00069A/726900078</t>
  </si>
  <si>
    <t>DUO-00070A/478200079</t>
  </si>
  <si>
    <t>DUO-00071A/223000080</t>
  </si>
  <si>
    <t>DUO-00072A/687400081</t>
  </si>
  <si>
    <t>DUO-00073A/336900082</t>
  </si>
  <si>
    <t>DUO-00074A/426800083</t>
  </si>
  <si>
    <t>DUO-00075A/663600084</t>
  </si>
  <si>
    <t>DUO-00076A/4004200085</t>
  </si>
  <si>
    <t>DUO-00077A/455300086</t>
  </si>
  <si>
    <t>DUO-00078A/4140100087</t>
  </si>
  <si>
    <t>DUO-00079A/96800088</t>
  </si>
  <si>
    <t>DUO-00080A/NP00089</t>
  </si>
  <si>
    <t>DUO-00081A/301100090</t>
  </si>
  <si>
    <t>DUO-00082A/216700091</t>
  </si>
  <si>
    <t>DUO-00083A/462800092</t>
  </si>
  <si>
    <t>LAWRENCE</t>
  </si>
  <si>
    <t>DUO-00084A/594</t>
  </si>
  <si>
    <t>DUO-00085A/7022</t>
  </si>
  <si>
    <t>DUO-00086A/2927</t>
  </si>
  <si>
    <t>DUO-00087A/332</t>
  </si>
  <si>
    <t>DUO-00088A/NP</t>
  </si>
  <si>
    <t>DUO-00089A/40602</t>
  </si>
  <si>
    <t>DUO-00090A/9426</t>
  </si>
  <si>
    <t>DUO-00091A/3639</t>
  </si>
  <si>
    <t>DUO-00092A/354</t>
  </si>
  <si>
    <t>DUO-00093A/3384</t>
  </si>
  <si>
    <t>DUO-00094A/2489</t>
  </si>
  <si>
    <t>DUO-00095A/4944</t>
  </si>
  <si>
    <t>DUO-00096A/7355</t>
  </si>
  <si>
    <t>DUO-00097A/5798</t>
  </si>
  <si>
    <t>DUO-00098A/3437</t>
  </si>
  <si>
    <t>DUO-00099A/8833</t>
  </si>
  <si>
    <t>DUO-00100A/40777</t>
  </si>
  <si>
    <t>DUO-00101A/355</t>
  </si>
  <si>
    <t>SIOPAO PORK ASADO 1.3KG (CHIBAO)</t>
  </si>
  <si>
    <t>UBE PAO 312G (CHIBAO)</t>
  </si>
  <si>
    <t>DUO-00084A/59400093</t>
  </si>
  <si>
    <t>DUO-00085A/702200094</t>
  </si>
  <si>
    <t>DUO-00086A/292700095</t>
  </si>
  <si>
    <t>DUO-00087A/33200096</t>
  </si>
  <si>
    <t>DUO-00088A/NP00097</t>
  </si>
  <si>
    <t>DUO-00089A/4060200098</t>
  </si>
  <si>
    <t>DUO-00090A/942600099</t>
  </si>
  <si>
    <t>DUO-00091A/363900100</t>
  </si>
  <si>
    <t>DUO-00092A/35400101</t>
  </si>
  <si>
    <t>DUO-00093A/338400102</t>
  </si>
  <si>
    <t>DUO-00094A/248900103</t>
  </si>
  <si>
    <t>DUO-00095A/494400104</t>
  </si>
  <si>
    <t>DUO-00096A/735500105</t>
  </si>
  <si>
    <t>DUO-00097A/579800106</t>
  </si>
  <si>
    <t>DUO-00098A/343700107</t>
  </si>
  <si>
    <t>DUO-00099A/883300108</t>
  </si>
  <si>
    <t>DUO-00100A/4077700109</t>
  </si>
  <si>
    <t>DUO-00101A/35500110</t>
  </si>
  <si>
    <t>DUO-00102A/3830</t>
  </si>
  <si>
    <t>DUO-00103A/5636</t>
  </si>
  <si>
    <t>DUO-00104A/6305</t>
  </si>
  <si>
    <t>PORK/CHICKEN/BEEF/SHRIMP SIOMAI 30'S 500G (APRUB)</t>
  </si>
  <si>
    <t>DUO-00111A/5853</t>
  </si>
  <si>
    <t>DUO-00105A/817</t>
  </si>
  <si>
    <t>DUO-00109A/5250</t>
  </si>
  <si>
    <t>DUO-00113A/2501</t>
  </si>
  <si>
    <t>DUO-00110A/4941</t>
  </si>
  <si>
    <t>DUO-00108A/40884</t>
  </si>
  <si>
    <t>DUO-00114A/3280</t>
  </si>
  <si>
    <t>DUO-00106A/1457</t>
  </si>
  <si>
    <t>DUO-00107A/4832</t>
  </si>
  <si>
    <t>DUO-00112A/1264</t>
  </si>
  <si>
    <t>DUO-00117A/4363</t>
  </si>
  <si>
    <t>DUO-00118A/3901</t>
  </si>
  <si>
    <t>DUO-00115A/44563</t>
  </si>
  <si>
    <t>DUO-00116A/2173</t>
  </si>
  <si>
    <t>ASADO SIOPAO JUMBO</t>
  </si>
  <si>
    <t>RED BEAN PAO MINI</t>
  </si>
  <si>
    <t>CHOCO PAO MINI</t>
  </si>
  <si>
    <t>RAF</t>
  </si>
  <si>
    <t>CCR-8156</t>
  </si>
  <si>
    <t>ASADO SIOPAO MINI (APRUB)</t>
  </si>
  <si>
    <t>CHOCO PAO MINI (APRUB)</t>
  </si>
  <si>
    <t>MINI UBE PAO (APRUB)</t>
  </si>
  <si>
    <t>RED BEAN PAO MINI (APRUB)</t>
  </si>
  <si>
    <t>UBE PAO MINI (APRUB)</t>
  </si>
  <si>
    <t>ASADO SIOPAO JUMBO (APRUB)</t>
  </si>
  <si>
    <t>CHICKEN ASADO SIOPAO JUMBO (APRUB)</t>
  </si>
  <si>
    <t>CHICKEN ASADO SIOPAO MINI (APRUB)</t>
  </si>
  <si>
    <t>DUO-00111AB/4853</t>
  </si>
  <si>
    <t>DUO-00105AB/817</t>
  </si>
  <si>
    <t>DUO-00109AB/5250</t>
  </si>
  <si>
    <t>DUO-00113AB/2501</t>
  </si>
  <si>
    <t>DUO-00110AB/4941</t>
  </si>
  <si>
    <t>DUO-00108AB/40884</t>
  </si>
  <si>
    <t>DUO-00114AB/3280</t>
  </si>
  <si>
    <t>DUO-00106AB/1457</t>
  </si>
  <si>
    <t>DUO-00107AB/4832</t>
  </si>
  <si>
    <t>DUO-00112AB/1264</t>
  </si>
  <si>
    <t>DUO-00117AB/4363</t>
  </si>
  <si>
    <t>DUO-00118AB/3901</t>
  </si>
  <si>
    <t>DUO-00115AB/44563</t>
  </si>
  <si>
    <t>DUO-00116AB/2173</t>
  </si>
  <si>
    <t>149652</t>
  </si>
  <si>
    <t>106</t>
  </si>
  <si>
    <t>DUO-00106A/145700121</t>
  </si>
  <si>
    <t>DUO-00110A/494100118</t>
  </si>
  <si>
    <t>DUO-00103A/563600112</t>
  </si>
  <si>
    <t>DUO-00102A/383000111</t>
  </si>
  <si>
    <t>4A4D TRADING CORP</t>
  </si>
  <si>
    <t>NAU-9473</t>
  </si>
  <si>
    <t>RETURN</t>
  </si>
  <si>
    <t>N/A</t>
  </si>
  <si>
    <t>DUO-00110A/4997</t>
  </si>
  <si>
    <t>PORK SIOMAI 30'S 500G</t>
  </si>
  <si>
    <t>SHRIMP SIOMAI 30'S 500G</t>
  </si>
  <si>
    <t>CHICKEN SIOMAI 30'S 500G</t>
  </si>
  <si>
    <t>DUO-00103A/4507</t>
  </si>
  <si>
    <t>BEEF SIOMAI 30'S 500G</t>
  </si>
  <si>
    <t>DUO-00106AC/1457</t>
  </si>
  <si>
    <t>DUO-00102AB/3850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</si>
</sst>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_(* \(#,##0.00\);_(* &quot;-&quot;??_);_(@_)"/>
    <numFmt numFmtId="164" formatCode="[$-2409]mmmm\ dd\,\ yyyy;@"/>
    <numFmt numFmtId="165" formatCode="_(* #,##0_);_(* \(#,##0\);_(* &quot;-&quot;??_);_(@_)"/>
    <numFmt numFmtId="166" formatCode="mm/dd/yyyy;@"/>
    <numFmt numFmtId="167" formatCode="[$-1009]d\-mmm\-yy;@"/>
    <numFmt numFmtId="168" formatCode="[$-F800]dddd\,\ mmmm\ dd\,\ yyyy"/>
    <numFmt numFmtId="169" formatCode="[$-3409]dd\-mmm\-yy;@"/>
    <numFmt numFmtId="170" formatCode="#,##0\ &quot; pp&quot;"/>
    <numFmt numFmtId="171" formatCode="#,##0.00&quot; kgs&quot;"/>
  </numFmts>
  <fonts count="63" x14ac:knownFonts="1">
    <font>
      <sz val="11"/>
      <color theme="1"/>
      <name val="Aptos Narrow"/>
      <family val="2"/>
      <scheme val="minor"/>
    </font>
    <font>
      <sz val="11"/>
      <color theme="1"/>
      <name val="Aptos Narrow"/>
      <family val="2"/>
      <scheme val="minor"/>
    </font>
    <font>
      <b/>
      <sz val="11"/>
      <color theme="1"/>
      <name val="Aptos Narrow"/>
      <family val="2"/>
      <scheme val="minor"/>
    </font>
    <font>
      <sz val="10"/>
      <name val="Arial Narrow"/>
      <family val="2"/>
    </font>
    <font>
      <b/>
      <sz val="11"/>
      <name val="Aptos Narrow"/>
      <family val="2"/>
      <scheme val="minor"/>
    </font>
    <font>
      <sz val="8"/>
      <name val="Arial Narrow"/>
      <family val="2"/>
    </font>
    <font>
      <sz val="10"/>
      <color theme="1"/>
      <name val="Arial Narrow"/>
      <family val="2"/>
    </font>
    <font>
      <b/>
      <sz val="10"/>
      <name val="Arial Narrow"/>
      <family val="2"/>
    </font>
    <font>
      <b/>
      <sz val="10"/>
      <color theme="1"/>
      <name val="Arial Narrow"/>
      <family val="2"/>
    </font>
    <font>
      <i/>
      <sz val="10"/>
      <color theme="1"/>
      <name val="Arial Narrow"/>
      <family val="2"/>
    </font>
    <font>
      <b/>
      <sz val="16"/>
      <color theme="8" tint="-0.499984740745262"/>
      <name val="Aptos Narrow"/>
      <family val="2"/>
      <scheme val="minor"/>
    </font>
    <font>
      <sz val="8"/>
      <color theme="1"/>
      <name val="Aptos Narrow"/>
      <family val="2"/>
      <scheme val="minor"/>
    </font>
    <font>
      <sz val="9"/>
      <color theme="1"/>
      <name val="Aptos Narrow"/>
      <family val="2"/>
      <scheme val="minor"/>
    </font>
    <font>
      <sz val="10"/>
      <color theme="1"/>
      <name val="Aptos Narrow"/>
      <family val="2"/>
      <scheme val="minor"/>
    </font>
    <font>
      <b/>
      <sz val="10"/>
      <color rgb="FFFF0000"/>
      <name val="Aptos Narrow"/>
      <family val="2"/>
      <scheme val="minor"/>
    </font>
    <font>
      <b/>
      <sz val="10"/>
      <name val="Aptos Narrow"/>
      <family val="2"/>
      <scheme val="minor"/>
    </font>
    <font>
      <b/>
      <sz val="9"/>
      <name val="Arial Narrow"/>
      <family val="2"/>
    </font>
    <font>
      <sz val="11"/>
      <name val="Aptos Narrow"/>
      <family val="2"/>
      <scheme val="minor"/>
    </font>
    <font>
      <i/>
      <sz val="10"/>
      <name val="Arial Narrow"/>
      <family val="2"/>
    </font>
    <font>
      <b/>
      <sz val="26"/>
      <name val="Aptos Narrow"/>
      <family val="2"/>
      <scheme val="minor"/>
    </font>
    <font>
      <b/>
      <sz val="20"/>
      <name val="Arial Narrow"/>
      <family val="2"/>
    </font>
    <font>
      <b/>
      <sz val="22"/>
      <name val="Arial Narrow"/>
      <family val="2"/>
    </font>
    <font>
      <b/>
      <sz val="11"/>
      <color theme="0"/>
      <name val="Aptos Narrow"/>
      <family val="2"/>
      <scheme val="minor"/>
    </font>
    <font>
      <sz val="11"/>
      <color rgb="FFFF0000"/>
      <name val="Aptos Narrow"/>
      <family val="2"/>
      <scheme val="minor"/>
    </font>
    <font>
      <sz val="12"/>
      <color theme="1"/>
      <name val="Aptos Narrow"/>
      <family val="2"/>
      <scheme val="minor"/>
    </font>
    <font>
      <b/>
      <sz val="12"/>
      <color theme="1"/>
      <name val="Aptos Narrow"/>
      <family val="2"/>
      <scheme val="minor"/>
    </font>
    <font>
      <b/>
      <sz val="9"/>
      <color theme="0"/>
      <name val="Aptos Narrow"/>
      <family val="2"/>
      <scheme val="minor"/>
    </font>
    <font>
      <b/>
      <sz val="13"/>
      <name val="Aptos Narrow"/>
      <family val="2"/>
      <scheme val="minor"/>
    </font>
    <font>
      <b/>
      <sz val="12"/>
      <name val="Aptos Narrow"/>
      <family val="2"/>
      <scheme val="minor"/>
    </font>
    <font>
      <b/>
      <sz val="10"/>
      <color theme="1"/>
      <name val="Aptos Narrow"/>
      <family val="2"/>
      <scheme val="minor"/>
    </font>
    <font>
      <sz val="9"/>
      <color theme="1"/>
      <name val="Tahoma"/>
      <family val="2"/>
    </font>
    <font>
      <sz val="11"/>
      <color theme="0"/>
      <name val="Aptos Narrow"/>
      <family val="2"/>
      <scheme val="minor"/>
    </font>
    <font>
      <b/>
      <sz val="14"/>
      <color rgb="FF002060"/>
      <name val="Arial Black"/>
      <family val="2"/>
    </font>
    <font>
      <sz val="16"/>
      <color rgb="FFFF0000"/>
      <name val="Aptos Narrow"/>
      <family val="2"/>
      <scheme val="minor"/>
    </font>
    <font>
      <sz val="12"/>
      <color theme="1"/>
      <name val="Bahnschrift Light"/>
      <family val="2"/>
    </font>
    <font>
      <b/>
      <sz val="18"/>
      <color rgb="FFC00000"/>
      <name val="Aptos Narrow"/>
      <family val="2"/>
      <scheme val="minor"/>
    </font>
    <font>
      <sz val="11"/>
      <color rgb="FFC00000"/>
      <name val="Aptos Narrow"/>
      <family val="2"/>
      <scheme val="minor"/>
    </font>
    <font>
      <b/>
      <sz val="12"/>
      <color rgb="FFC00000"/>
      <name val="Arial Narrow"/>
      <family val="2"/>
    </font>
    <font>
      <b/>
      <sz val="18"/>
      <color theme="1"/>
      <name val="Aptos Narrow"/>
      <family val="2"/>
      <scheme val="minor"/>
    </font>
    <font>
      <sz val="9"/>
      <color theme="0"/>
      <name val="Arial Narrow"/>
      <family val="2"/>
    </font>
    <font>
      <sz val="10"/>
      <color theme="0"/>
      <name val="Arial Narrow"/>
      <family val="2"/>
    </font>
    <font>
      <sz val="11"/>
      <color theme="6"/>
      <name val="Aptos Narrow"/>
      <family val="2"/>
      <scheme val="minor"/>
    </font>
    <font>
      <b/>
      <i/>
      <sz val="11"/>
      <name val="Aptos Narrow"/>
      <family val="2"/>
      <scheme val="minor"/>
    </font>
    <font>
      <b/>
      <sz val="18"/>
      <color theme="3"/>
      <name val="Aptos Narrow"/>
      <family val="2"/>
      <scheme val="minor"/>
    </font>
    <font>
      <sz val="10"/>
      <color theme="3"/>
      <name val="Aptos Narrow"/>
      <family val="2"/>
      <scheme val="minor"/>
    </font>
    <font>
      <b/>
      <sz val="11"/>
      <color rgb="FFC00000"/>
      <name val="Arial Black"/>
      <family val="2"/>
    </font>
    <font>
      <b/>
      <sz val="11"/>
      <color theme="6"/>
      <name val="Arial Black"/>
      <family val="2"/>
    </font>
    <font>
      <b/>
      <sz val="18"/>
      <color theme="5"/>
      <name val="Aptos Narrow"/>
      <family val="2"/>
      <scheme val="minor"/>
    </font>
    <font>
      <b/>
      <i/>
      <sz val="11"/>
      <color rgb="FFFF0000"/>
      <name val="Aptos Narrow"/>
      <family val="2"/>
      <scheme val="minor"/>
    </font>
    <font>
      <b/>
      <sz val="11"/>
      <color theme="6"/>
      <name val="Aptos Narrow"/>
      <family val="2"/>
      <scheme val="minor"/>
    </font>
    <font>
      <b/>
      <sz val="10"/>
      <color rgb="FFC00000"/>
      <name val="Aptos Narrow"/>
      <family val="2"/>
      <scheme val="minor"/>
    </font>
    <font>
      <b/>
      <sz val="11"/>
      <color rgb="FFC00000"/>
      <name val="Aptos Narrow"/>
      <family val="2"/>
      <scheme val="minor"/>
    </font>
    <font>
      <b/>
      <sz val="9"/>
      <color theme="1"/>
      <name val="Tahoma"/>
      <family val="2"/>
    </font>
    <font>
      <b/>
      <i/>
      <sz val="11"/>
      <color theme="1"/>
      <name val="Aptos Narrow"/>
      <family val="2"/>
      <scheme val="minor"/>
    </font>
    <font>
      <b/>
      <i/>
      <sz val="10"/>
      <color theme="1"/>
      <name val="Aptos Narrow"/>
      <family val="2"/>
      <scheme val="minor"/>
    </font>
    <font>
      <sz val="11"/>
      <color theme="5"/>
      <name val="Aptos Narrow"/>
      <family val="2"/>
      <scheme val="minor"/>
    </font>
    <font>
      <sz val="10"/>
      <color rgb="FFC00000"/>
      <name val="Aptos Narrow"/>
      <family val="2"/>
      <scheme val="minor"/>
    </font>
    <font>
      <b/>
      <sz val="12"/>
      <color rgb="FFC00000"/>
      <name val="Aptos Narrow"/>
      <family val="2"/>
      <scheme val="minor"/>
    </font>
    <font>
      <sz val="10"/>
      <color theme="6"/>
      <name val="Aptos Narrow"/>
      <family val="2"/>
      <scheme val="minor"/>
    </font>
    <font>
      <b/>
      <sz val="12"/>
      <color theme="6"/>
      <name val="Aptos Narrow"/>
      <family val="2"/>
      <scheme val="minor"/>
    </font>
    <font>
      <sz val="8"/>
      <color rgb="FFFF0000"/>
      <name val="Aptos Narrow"/>
      <family val="2"/>
      <scheme val="minor"/>
    </font>
    <font>
      <sz val="8"/>
      <color theme="1" tint="0.499984740745262"/>
      <name val="Aptos Narrow"/>
      <family val="2"/>
      <scheme val="minor"/>
    </font>
    <font>
      <sz val="8"/>
      <name val="Aptos Narrow"/>
      <family val="2"/>
      <scheme val="minor"/>
    </font>
  </fonts>
  <fills count="14">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rgb="FFFFFF00"/>
        <bgColor indexed="64"/>
      </patternFill>
    </fill>
    <fill>
      <patternFill patternType="solid">
        <fgColor theme="4" tint="0.79998168889431442"/>
        <bgColor indexed="64"/>
      </patternFill>
    </fill>
    <fill>
      <patternFill patternType="solid">
        <fgColor theme="2" tint="-0.499984740745262"/>
        <bgColor indexed="64"/>
      </patternFill>
    </fill>
    <fill>
      <patternFill patternType="solid">
        <fgColor rgb="FFC00000"/>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3"/>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right/>
      <top/>
      <bottom style="thick">
        <color rgb="FFC00000"/>
      </bottom>
      <diagonal/>
    </border>
    <border>
      <left/>
      <right/>
      <top/>
      <bottom style="thick">
        <color theme="3"/>
      </bottom>
      <diagonal/>
    </border>
    <border>
      <left/>
      <right/>
      <top style="thick">
        <color theme="3"/>
      </top>
      <bottom/>
      <diagonal/>
    </border>
    <border>
      <left/>
      <right/>
      <top/>
      <bottom style="thick">
        <color theme="5"/>
      </bottom>
      <diagonal/>
    </border>
  </borders>
  <cellStyleXfs count="2">
    <xf numFmtId="0" fontId="0" fillId="0" borderId="0"/>
    <xf numFmtId="43" fontId="1" fillId="0" borderId="0" applyFont="0" applyFill="0" applyBorder="0" applyAlignment="0" applyProtection="0"/>
  </cellStyleXfs>
  <cellXfs count="213">
    <xf numFmtId="0" fontId="0" fillId="0" borderId="0" xfId="0"/>
    <xf numFmtId="0" fontId="10" fillId="0" borderId="0" xfId="0" applyFont="1" applyAlignment="1">
      <alignment horizontal="center" vertical="center"/>
    </xf>
    <xf numFmtId="0" fontId="11" fillId="0" borderId="0" xfId="0" applyFont="1"/>
    <xf numFmtId="0" fontId="0" fillId="0" borderId="0" xfId="0" applyAlignment="1">
      <alignment horizontal="center"/>
    </xf>
    <xf numFmtId="43" fontId="12" fillId="0" borderId="0" xfId="0" applyNumberFormat="1" applyFont="1"/>
    <xf numFmtId="43" fontId="0" fillId="0" borderId="0" xfId="0" applyNumberFormat="1"/>
    <xf numFmtId="0" fontId="13" fillId="0" borderId="0" xfId="0" applyFont="1"/>
    <xf numFmtId="43" fontId="13" fillId="0" borderId="0" xfId="0" applyNumberFormat="1" applyFont="1"/>
    <xf numFmtId="0" fontId="14" fillId="0" borderId="0" xfId="0" applyFont="1" applyAlignment="1">
      <alignment horizontal="center" vertical="center"/>
    </xf>
    <xf numFmtId="0" fontId="15" fillId="0" borderId="0" xfId="0" applyFont="1" applyAlignment="1">
      <alignment horizontal="center" vertical="center"/>
    </xf>
    <xf numFmtId="0" fontId="17" fillId="2" borderId="0" xfId="0" applyFont="1" applyFill="1" applyAlignment="1">
      <alignment wrapText="1"/>
    </xf>
    <xf numFmtId="165" fontId="7" fillId="2" borderId="1" xfId="0" applyNumberFormat="1" applyFont="1" applyFill="1" applyBorder="1" applyAlignment="1">
      <alignment horizontal="center"/>
    </xf>
    <xf numFmtId="0" fontId="17" fillId="2" borderId="0" xfId="0" applyFont="1" applyFill="1"/>
    <xf numFmtId="0" fontId="0" fillId="0" borderId="0" xfId="0" applyAlignment="1">
      <alignment horizontal="center" vertical="center" wrapText="1"/>
    </xf>
    <xf numFmtId="0" fontId="0" fillId="0" borderId="0" xfId="0" applyAlignment="1">
      <alignment vertical="center"/>
    </xf>
    <xf numFmtId="166" fontId="0" fillId="0" borderId="0" xfId="0" applyNumberFormat="1" applyAlignment="1">
      <alignment horizontal="center"/>
    </xf>
    <xf numFmtId="0" fontId="0" fillId="0" borderId="0" xfId="0" applyAlignment="1">
      <alignment horizontal="center" vertical="center"/>
    </xf>
    <xf numFmtId="166" fontId="0" fillId="0" borderId="0" xfId="0" applyNumberFormat="1" applyAlignment="1">
      <alignment horizontal="center" vertical="center"/>
    </xf>
    <xf numFmtId="0" fontId="2" fillId="0" borderId="0" xfId="0" applyFont="1" applyAlignment="1">
      <alignment horizontal="center"/>
    </xf>
    <xf numFmtId="0" fontId="23" fillId="0" borderId="0" xfId="0" applyFont="1" applyAlignment="1">
      <alignment horizontal="left"/>
    </xf>
    <xf numFmtId="0" fontId="22" fillId="6" borderId="0" xfId="0" applyFont="1" applyFill="1" applyAlignment="1">
      <alignment horizontal="center" vertical="center" wrapText="1"/>
    </xf>
    <xf numFmtId="166" fontId="22" fillId="6" borderId="0" xfId="0" applyNumberFormat="1" applyFont="1" applyFill="1" applyAlignment="1">
      <alignment horizontal="center" vertical="center" wrapText="1"/>
    </xf>
    <xf numFmtId="0" fontId="2" fillId="0" borderId="4" xfId="0" applyFont="1" applyBorder="1" applyAlignment="1">
      <alignment horizontal="center" vertical="center"/>
    </xf>
    <xf numFmtId="0" fontId="2" fillId="0" borderId="4" xfId="0" applyFont="1" applyBorder="1" applyAlignment="1">
      <alignment horizontal="left" vertical="center"/>
    </xf>
    <xf numFmtId="0" fontId="2" fillId="0" borderId="0" xfId="0" applyFont="1" applyAlignment="1">
      <alignment vertical="center"/>
    </xf>
    <xf numFmtId="0" fontId="2" fillId="0" borderId="0" xfId="0" applyFont="1"/>
    <xf numFmtId="0" fontId="2" fillId="0" borderId="0" xfId="0" applyFont="1" applyAlignment="1">
      <alignment horizontal="right" vertical="center"/>
    </xf>
    <xf numFmtId="0" fontId="22" fillId="7" borderId="0" xfId="0" applyFont="1" applyFill="1" applyAlignment="1">
      <alignment horizontal="center" vertical="center" wrapText="1"/>
    </xf>
    <xf numFmtId="0" fontId="0" fillId="0" borderId="0" xfId="0" applyAlignment="1">
      <alignment horizontal="right" vertical="center"/>
    </xf>
    <xf numFmtId="0" fontId="0" fillId="0" borderId="0" xfId="0" applyAlignment="1">
      <alignment horizontal="left" vertical="center"/>
    </xf>
    <xf numFmtId="0" fontId="0" fillId="0" borderId="0" xfId="0" pivotButton="1"/>
    <xf numFmtId="0" fontId="24" fillId="2" borderId="0" xfId="0" applyFont="1" applyFill="1" applyAlignment="1">
      <alignment horizontal="center"/>
    </xf>
    <xf numFmtId="0" fontId="25" fillId="2" borderId="0" xfId="0" applyFont="1" applyFill="1" applyAlignment="1">
      <alignment horizontal="center" vertical="center"/>
    </xf>
    <xf numFmtId="43" fontId="11" fillId="2" borderId="0" xfId="1" applyFont="1" applyFill="1" applyBorder="1" applyAlignment="1"/>
    <xf numFmtId="0" fontId="0" fillId="2" borderId="0" xfId="0" applyFill="1"/>
    <xf numFmtId="1" fontId="0" fillId="0" borderId="0" xfId="0" applyNumberFormat="1"/>
    <xf numFmtId="0" fontId="11" fillId="2" borderId="0" xfId="0" applyFont="1" applyFill="1"/>
    <xf numFmtId="0" fontId="11" fillId="2" borderId="0" xfId="1" applyNumberFormat="1" applyFont="1" applyFill="1" applyAlignment="1">
      <alignment horizontal="center"/>
    </xf>
    <xf numFmtId="43" fontId="0" fillId="0" borderId="0" xfId="1" applyFont="1" applyAlignment="1">
      <alignment horizontal="center"/>
    </xf>
    <xf numFmtId="0" fontId="0" fillId="0" borderId="0" xfId="1" applyNumberFormat="1" applyFont="1" applyAlignment="1">
      <alignment horizontal="center"/>
    </xf>
    <xf numFmtId="169" fontId="0" fillId="0" borderId="0" xfId="0" applyNumberFormat="1"/>
    <xf numFmtId="0" fontId="32" fillId="0" borderId="0" xfId="0" applyFont="1" applyAlignment="1">
      <alignment vertical="center"/>
    </xf>
    <xf numFmtId="0" fontId="11" fillId="0" borderId="0" xfId="0" applyFont="1" applyAlignment="1">
      <alignment vertical="top"/>
    </xf>
    <xf numFmtId="22" fontId="11" fillId="0" borderId="0" xfId="0" applyNumberFormat="1" applyFont="1"/>
    <xf numFmtId="0" fontId="33" fillId="0" borderId="0" xfId="0" applyFont="1"/>
    <xf numFmtId="0" fontId="16" fillId="2" borderId="2" xfId="0" applyFont="1" applyFill="1" applyBorder="1" applyAlignment="1">
      <alignment horizontal="center" vertical="center" wrapText="1"/>
    </xf>
    <xf numFmtId="165" fontId="7" fillId="2" borderId="2" xfId="0" applyNumberFormat="1" applyFont="1" applyFill="1" applyBorder="1" applyAlignment="1">
      <alignment horizontal="center"/>
    </xf>
    <xf numFmtId="165" fontId="7" fillId="2" borderId="3" xfId="0" applyNumberFormat="1" applyFont="1" applyFill="1" applyBorder="1" applyAlignment="1">
      <alignment horizontal="center"/>
    </xf>
    <xf numFmtId="43" fontId="2" fillId="4" borderId="0" xfId="1" applyFont="1" applyFill="1" applyBorder="1" applyAlignment="1">
      <alignment horizontal="center" vertical="center"/>
    </xf>
    <xf numFmtId="0" fontId="16" fillId="2" borderId="0" xfId="0" applyFont="1" applyFill="1" applyAlignment="1">
      <alignment horizontal="center" vertical="center" wrapText="1"/>
    </xf>
    <xf numFmtId="164" fontId="16" fillId="2" borderId="0" xfId="0" applyNumberFormat="1" applyFont="1" applyFill="1" applyAlignment="1">
      <alignment horizontal="center" vertical="center" wrapText="1"/>
    </xf>
    <xf numFmtId="43" fontId="16" fillId="2" borderId="0" xfId="1" applyFont="1" applyFill="1" applyBorder="1" applyAlignment="1">
      <alignment horizontal="center" vertical="center" wrapText="1"/>
    </xf>
    <xf numFmtId="165" fontId="16" fillId="2" borderId="0" xfId="1" applyNumberFormat="1" applyFont="1" applyFill="1" applyBorder="1" applyAlignment="1">
      <alignment horizontal="center" vertical="center" wrapText="1"/>
    </xf>
    <xf numFmtId="0" fontId="3" fillId="2" borderId="0" xfId="0" applyFont="1" applyFill="1" applyAlignment="1">
      <alignment horizontal="center"/>
    </xf>
    <xf numFmtId="166" fontId="3" fillId="2" borderId="0" xfId="0" applyNumberFormat="1" applyFont="1" applyFill="1" applyAlignment="1">
      <alignment horizontal="center"/>
    </xf>
    <xf numFmtId="0" fontId="3" fillId="0" borderId="0" xfId="0" applyFont="1" applyAlignment="1">
      <alignment horizontal="center"/>
    </xf>
    <xf numFmtId="0" fontId="4" fillId="2" borderId="0" xfId="0" quotePrefix="1" applyFont="1" applyFill="1" applyAlignment="1">
      <alignment horizontal="center"/>
    </xf>
    <xf numFmtId="0" fontId="5" fillId="2" borderId="0" xfId="0" applyFont="1" applyFill="1" applyAlignment="1">
      <alignment horizontal="center"/>
    </xf>
    <xf numFmtId="0" fontId="6" fillId="0" borderId="0" xfId="0" applyFont="1" applyAlignment="1">
      <alignment horizontal="center"/>
    </xf>
    <xf numFmtId="0" fontId="8" fillId="0" borderId="0" xfId="0" applyFont="1" applyAlignment="1">
      <alignment horizontal="center"/>
    </xf>
    <xf numFmtId="164" fontId="6" fillId="0" borderId="0" xfId="0" applyNumberFormat="1" applyFont="1" applyAlignment="1">
      <alignment horizontal="center"/>
    </xf>
    <xf numFmtId="43" fontId="7" fillId="2" borderId="0" xfId="1" applyFont="1" applyFill="1" applyBorder="1" applyAlignment="1">
      <alignment horizontal="center"/>
    </xf>
    <xf numFmtId="0" fontId="9" fillId="5" borderId="0" xfId="0" applyFont="1" applyFill="1" applyAlignment="1">
      <alignment horizontal="center"/>
    </xf>
    <xf numFmtId="165" fontId="5" fillId="2" borderId="0" xfId="1" applyNumberFormat="1" applyFont="1" applyFill="1" applyBorder="1" applyAlignment="1">
      <alignment horizontal="center"/>
    </xf>
    <xf numFmtId="165" fontId="3" fillId="2" borderId="0" xfId="1" applyNumberFormat="1" applyFont="1" applyFill="1" applyBorder="1" applyAlignment="1">
      <alignment horizontal="center"/>
    </xf>
    <xf numFmtId="0" fontId="3" fillId="0" borderId="0" xfId="0" quotePrefix="1" applyFont="1" applyAlignment="1">
      <alignment horizontal="center"/>
    </xf>
    <xf numFmtId="0" fontId="18" fillId="3" borderId="0" xfId="0" applyFont="1" applyFill="1" applyAlignment="1">
      <alignment horizontal="center"/>
    </xf>
    <xf numFmtId="0" fontId="7" fillId="2" borderId="0" xfId="0" applyFont="1" applyFill="1" applyAlignment="1">
      <alignment horizontal="center"/>
    </xf>
    <xf numFmtId="164" fontId="3" fillId="2" borderId="0" xfId="0" applyNumberFormat="1" applyFont="1" applyFill="1" applyAlignment="1">
      <alignment horizontal="center"/>
    </xf>
    <xf numFmtId="167" fontId="20" fillId="0" borderId="0" xfId="0" applyNumberFormat="1" applyFont="1" applyAlignment="1">
      <alignment vertical="center"/>
    </xf>
    <xf numFmtId="167" fontId="21" fillId="0" borderId="0" xfId="0" applyNumberFormat="1" applyFont="1" applyAlignment="1">
      <alignment vertical="center"/>
    </xf>
    <xf numFmtId="167" fontId="3" fillId="0" borderId="0" xfId="0" applyNumberFormat="1" applyFont="1" applyAlignment="1">
      <alignment horizontal="center"/>
    </xf>
    <xf numFmtId="0" fontId="3" fillId="0" borderId="0" xfId="1" applyNumberFormat="1" applyFont="1" applyFill="1" applyBorder="1" applyAlignment="1">
      <alignment horizontal="center"/>
    </xf>
    <xf numFmtId="0" fontId="3" fillId="9" borderId="0" xfId="0" quotePrefix="1" applyFont="1" applyFill="1" applyAlignment="1">
      <alignment horizontal="center"/>
    </xf>
    <xf numFmtId="0" fontId="17" fillId="0" borderId="0" xfId="0" applyFont="1"/>
    <xf numFmtId="0" fontId="17" fillId="0" borderId="0" xfId="0" applyFont="1" applyAlignment="1">
      <alignment horizontal="center"/>
    </xf>
    <xf numFmtId="0" fontId="19" fillId="0" borderId="0" xfId="0" applyFont="1" applyAlignment="1">
      <alignment vertical="center"/>
    </xf>
    <xf numFmtId="0" fontId="17" fillId="0" borderId="0" xfId="0" applyFont="1" applyAlignment="1">
      <alignment wrapText="1"/>
    </xf>
    <xf numFmtId="22" fontId="34" fillId="0" borderId="0" xfId="0" applyNumberFormat="1" applyFont="1" applyAlignment="1">
      <alignment horizontal="left"/>
    </xf>
    <xf numFmtId="43" fontId="8" fillId="8" borderId="0" xfId="1" applyFont="1" applyFill="1" applyBorder="1" applyAlignment="1">
      <alignment horizontal="center" vertical="center"/>
    </xf>
    <xf numFmtId="43" fontId="8" fillId="8" borderId="0" xfId="1" applyFont="1" applyFill="1" applyBorder="1" applyAlignment="1">
      <alignment horizontal="center"/>
    </xf>
    <xf numFmtId="43" fontId="13" fillId="0" borderId="0" xfId="0" applyNumberFormat="1" applyFont="1" applyAlignment="1">
      <alignment horizontal="right" vertical="center"/>
    </xf>
    <xf numFmtId="0" fontId="31" fillId="0" borderId="0" xfId="0" applyFont="1" applyAlignment="1">
      <alignment horizontal="center"/>
    </xf>
    <xf numFmtId="43" fontId="23" fillId="0" borderId="0" xfId="1" applyFont="1" applyBorder="1" applyAlignment="1">
      <alignment horizontal="left"/>
    </xf>
    <xf numFmtId="22" fontId="0" fillId="0" borderId="0" xfId="0" applyNumberFormat="1" applyAlignment="1">
      <alignment horizontal="left" vertical="center"/>
    </xf>
    <xf numFmtId="0" fontId="29" fillId="0" borderId="0" xfId="0" applyFont="1" applyAlignment="1">
      <alignment horizontal="right" vertical="center"/>
    </xf>
    <xf numFmtId="0" fontId="2" fillId="0" borderId="0" xfId="0" applyFont="1" applyAlignment="1">
      <alignment horizontal="center" vertical="center"/>
    </xf>
    <xf numFmtId="0" fontId="16" fillId="0" borderId="0" xfId="0" applyFont="1" applyAlignment="1">
      <alignment horizontal="centerContinuous"/>
    </xf>
    <xf numFmtId="0" fontId="7" fillId="0" borderId="0" xfId="0" applyFont="1" applyAlignment="1">
      <alignment horizontal="centerContinuous"/>
    </xf>
    <xf numFmtId="0" fontId="19" fillId="0" borderId="5" xfId="0" applyFont="1" applyBorder="1" applyAlignment="1">
      <alignment vertical="center"/>
    </xf>
    <xf numFmtId="0" fontId="35" fillId="0" borderId="5" xfId="0" applyFont="1" applyBorder="1"/>
    <xf numFmtId="43" fontId="36" fillId="0" borderId="0" xfId="1" applyFont="1" applyFill="1" applyBorder="1" applyAlignment="1"/>
    <xf numFmtId="43" fontId="36" fillId="0" borderId="0" xfId="1" applyFont="1" applyFill="1" applyBorder="1" applyAlignment="1">
      <alignment horizontal="center"/>
    </xf>
    <xf numFmtId="43" fontId="37" fillId="0" borderId="0" xfId="1" applyFont="1" applyFill="1" applyBorder="1" applyAlignment="1"/>
    <xf numFmtId="3" fontId="0" fillId="0" borderId="0" xfId="0" applyNumberFormat="1"/>
    <xf numFmtId="4" fontId="0" fillId="0" borderId="0" xfId="0" applyNumberFormat="1"/>
    <xf numFmtId="43" fontId="11" fillId="2" borderId="0" xfId="0" applyNumberFormat="1" applyFont="1" applyFill="1"/>
    <xf numFmtId="166" fontId="27" fillId="2" borderId="0" xfId="0" applyNumberFormat="1" applyFont="1" applyFill="1" applyAlignment="1">
      <alignment horizontal="center" vertical="center" wrapText="1"/>
    </xf>
    <xf numFmtId="0" fontId="28" fillId="2" borderId="0" xfId="0" applyFont="1" applyFill="1" applyAlignment="1">
      <alignment vertical="center" wrapText="1"/>
    </xf>
    <xf numFmtId="43" fontId="28" fillId="2" borderId="0" xfId="1" applyFont="1" applyFill="1" applyBorder="1" applyAlignment="1">
      <alignment vertical="center" wrapText="1"/>
    </xf>
    <xf numFmtId="0" fontId="27" fillId="2" borderId="0" xfId="0" applyFont="1" applyFill="1" applyAlignment="1">
      <alignment horizontal="center" vertical="center" wrapText="1"/>
    </xf>
    <xf numFmtId="43" fontId="28" fillId="2" borderId="0" xfId="1" applyFont="1" applyFill="1" applyBorder="1" applyAlignment="1">
      <alignment horizontal="center" vertical="center"/>
    </xf>
    <xf numFmtId="0" fontId="4" fillId="2" borderId="0" xfId="0" applyFont="1" applyFill="1" applyAlignment="1">
      <alignment horizontal="center"/>
    </xf>
    <xf numFmtId="166" fontId="17" fillId="2" borderId="0" xfId="0" applyNumberFormat="1" applyFont="1" applyFill="1" applyAlignment="1">
      <alignment horizontal="center"/>
    </xf>
    <xf numFmtId="0" fontId="39" fillId="7" borderId="0" xfId="0" applyFont="1" applyFill="1" applyAlignment="1">
      <alignment horizontal="center" vertical="center" wrapText="1"/>
    </xf>
    <xf numFmtId="167" fontId="40" fillId="7" borderId="0" xfId="0" applyNumberFormat="1" applyFont="1" applyFill="1" applyAlignment="1">
      <alignment horizontal="center" vertical="center" wrapText="1"/>
    </xf>
    <xf numFmtId="0" fontId="40" fillId="7" borderId="0" xfId="0" applyFont="1" applyFill="1" applyAlignment="1">
      <alignment horizontal="center" vertical="center" wrapText="1"/>
    </xf>
    <xf numFmtId="165" fontId="40" fillId="7" borderId="0" xfId="1" applyNumberFormat="1" applyFont="1" applyFill="1" applyBorder="1" applyAlignment="1">
      <alignment horizontal="center" vertical="center" wrapText="1"/>
    </xf>
    <xf numFmtId="43" fontId="40" fillId="7" borderId="0" xfId="1" applyFont="1" applyFill="1" applyBorder="1" applyAlignment="1">
      <alignment horizontal="center" vertical="center" wrapText="1"/>
    </xf>
    <xf numFmtId="43" fontId="36" fillId="2" borderId="0" xfId="1" applyFont="1" applyFill="1" applyBorder="1" applyAlignment="1">
      <alignment horizontal="center"/>
    </xf>
    <xf numFmtId="165" fontId="36" fillId="2" borderId="0" xfId="1" applyNumberFormat="1" applyFont="1" applyFill="1" applyBorder="1" applyAlignment="1">
      <alignment horizontal="center"/>
    </xf>
    <xf numFmtId="165" fontId="41" fillId="2" borderId="0" xfId="1" applyNumberFormat="1" applyFont="1" applyFill="1" applyBorder="1" applyAlignment="1">
      <alignment horizontal="center"/>
    </xf>
    <xf numFmtId="43" fontId="41" fillId="2" borderId="0" xfId="1" applyFont="1" applyFill="1" applyBorder="1" applyAlignment="1">
      <alignment horizontal="center"/>
    </xf>
    <xf numFmtId="43" fontId="36" fillId="9" borderId="0" xfId="1" applyFont="1" applyFill="1" applyBorder="1" applyAlignment="1">
      <alignment horizontal="center"/>
    </xf>
    <xf numFmtId="165" fontId="36" fillId="9" borderId="0" xfId="1" applyNumberFormat="1" applyFont="1" applyFill="1" applyBorder="1" applyAlignment="1">
      <alignment horizontal="center"/>
    </xf>
    <xf numFmtId="43" fontId="41" fillId="12" borderId="0" xfId="1" applyFont="1" applyFill="1" applyBorder="1" applyAlignment="1">
      <alignment horizontal="center"/>
    </xf>
    <xf numFmtId="165" fontId="41" fillId="12" borderId="0" xfId="1" applyNumberFormat="1" applyFont="1" applyFill="1" applyBorder="1" applyAlignment="1">
      <alignment horizontal="center"/>
    </xf>
    <xf numFmtId="166" fontId="26" fillId="13" borderId="0" xfId="0" applyNumberFormat="1" applyFont="1" applyFill="1" applyAlignment="1">
      <alignment horizontal="center" vertical="center" wrapText="1"/>
    </xf>
    <xf numFmtId="0" fontId="26" fillId="13" borderId="0" xfId="0" applyFont="1" applyFill="1" applyAlignment="1">
      <alignment horizontal="center" vertical="center" wrapText="1"/>
    </xf>
    <xf numFmtId="43" fontId="26" fillId="13" borderId="0" xfId="1" applyFont="1" applyFill="1" applyBorder="1" applyAlignment="1">
      <alignment horizontal="center" vertical="center" wrapText="1"/>
    </xf>
    <xf numFmtId="0" fontId="26" fillId="13" borderId="0" xfId="1" applyNumberFormat="1" applyFont="1" applyFill="1" applyBorder="1" applyAlignment="1">
      <alignment horizontal="center" vertical="center" wrapText="1"/>
    </xf>
    <xf numFmtId="0" fontId="24" fillId="2" borderId="6" xfId="0" applyFont="1" applyFill="1" applyBorder="1" applyAlignment="1">
      <alignment horizontal="center"/>
    </xf>
    <xf numFmtId="0" fontId="11" fillId="2" borderId="7" xfId="0" applyFont="1" applyFill="1" applyBorder="1"/>
    <xf numFmtId="166" fontId="44" fillId="2" borderId="7" xfId="0" applyNumberFormat="1" applyFont="1" applyFill="1" applyBorder="1" applyAlignment="1">
      <alignment horizontal="left" vertical="top"/>
    </xf>
    <xf numFmtId="168" fontId="43" fillId="2" borderId="6" xfId="0" applyNumberFormat="1" applyFont="1" applyFill="1" applyBorder="1" applyAlignment="1">
      <alignment vertical="center"/>
    </xf>
    <xf numFmtId="168" fontId="38" fillId="2" borderId="6" xfId="0" applyNumberFormat="1" applyFont="1" applyFill="1" applyBorder="1" applyAlignment="1">
      <alignment vertical="center"/>
    </xf>
    <xf numFmtId="1" fontId="4" fillId="11" borderId="0" xfId="0" applyNumberFormat="1" applyFont="1" applyFill="1" applyAlignment="1">
      <alignment horizontal="center"/>
    </xf>
    <xf numFmtId="170" fontId="42" fillId="11" borderId="0" xfId="1" applyNumberFormat="1" applyFont="1" applyFill="1" applyBorder="1" applyAlignment="1">
      <alignment horizontal="center"/>
    </xf>
    <xf numFmtId="165" fontId="42" fillId="11" borderId="0" xfId="1" applyNumberFormat="1" applyFont="1" applyFill="1" applyBorder="1" applyAlignment="1">
      <alignment horizontal="center"/>
    </xf>
    <xf numFmtId="171" fontId="42" fillId="11" borderId="0" xfId="1" applyNumberFormat="1" applyFont="1" applyFill="1" applyBorder="1" applyAlignment="1">
      <alignment horizontal="center"/>
    </xf>
    <xf numFmtId="0" fontId="0" fillId="0" borderId="0" xfId="0" applyAlignment="1">
      <alignment horizontal="left" vertical="top"/>
    </xf>
    <xf numFmtId="43" fontId="0" fillId="0" borderId="0" xfId="1" applyFont="1" applyBorder="1"/>
    <xf numFmtId="0" fontId="13" fillId="0" borderId="0" xfId="0" applyFont="1" applyAlignment="1">
      <alignment horizontal="left" vertical="top"/>
    </xf>
    <xf numFmtId="0" fontId="6" fillId="0" borderId="0" xfId="0" applyFont="1"/>
    <xf numFmtId="0" fontId="6" fillId="0" borderId="0" xfId="0" applyFont="1" applyAlignment="1">
      <alignment horizontal="center" vertical="center"/>
    </xf>
    <xf numFmtId="43" fontId="30" fillId="0" borderId="0" xfId="1" applyFont="1" applyFill="1" applyBorder="1"/>
    <xf numFmtId="43" fontId="0" fillId="0" borderId="0" xfId="1" applyFont="1" applyFill="1" applyBorder="1" applyAlignment="1">
      <alignment horizontal="center" vertical="center"/>
    </xf>
    <xf numFmtId="43" fontId="0" fillId="3" borderId="0" xfId="1" applyFont="1" applyFill="1" applyBorder="1"/>
    <xf numFmtId="0" fontId="0" fillId="0" borderId="0" xfId="1" applyNumberFormat="1" applyFont="1" applyBorder="1" applyAlignment="1">
      <alignment horizontal="left" vertical="top"/>
    </xf>
    <xf numFmtId="0" fontId="13" fillId="0" borderId="0" xfId="1" applyNumberFormat="1" applyFont="1" applyBorder="1" applyAlignment="1">
      <alignment horizontal="left" vertical="top"/>
    </xf>
    <xf numFmtId="165" fontId="0" fillId="0" borderId="0" xfId="1" applyNumberFormat="1" applyFont="1" applyBorder="1"/>
    <xf numFmtId="165" fontId="6" fillId="0" borderId="0" xfId="0" applyNumberFormat="1" applyFont="1"/>
    <xf numFmtId="165" fontId="0" fillId="3" borderId="0" xfId="1" applyNumberFormat="1" applyFont="1" applyFill="1" applyBorder="1"/>
    <xf numFmtId="0" fontId="4" fillId="2" borderId="0" xfId="0" applyFont="1" applyFill="1" applyAlignment="1">
      <alignment vertical="center"/>
    </xf>
    <xf numFmtId="165" fontId="4" fillId="2" borderId="0" xfId="0" applyNumberFormat="1" applyFont="1" applyFill="1" applyAlignment="1">
      <alignment vertical="center"/>
    </xf>
    <xf numFmtId="0" fontId="45" fillId="2" borderId="0" xfId="0" applyFont="1" applyFill="1" applyAlignment="1">
      <alignment vertical="center"/>
    </xf>
    <xf numFmtId="0" fontId="46" fillId="2" borderId="0" xfId="0" applyFont="1" applyFill="1" applyAlignment="1">
      <alignment vertical="center"/>
    </xf>
    <xf numFmtId="168" fontId="47" fillId="2" borderId="8" xfId="0" applyNumberFormat="1" applyFont="1" applyFill="1" applyBorder="1" applyAlignment="1">
      <alignment vertical="center"/>
    </xf>
    <xf numFmtId="43" fontId="0" fillId="0" borderId="8" xfId="1" applyFont="1" applyBorder="1"/>
    <xf numFmtId="43" fontId="48" fillId="0" borderId="0" xfId="1" applyFont="1" applyBorder="1" applyAlignment="1">
      <alignment horizontal="center" vertical="center"/>
    </xf>
    <xf numFmtId="0" fontId="49" fillId="2" borderId="0" xfId="0" applyFont="1" applyFill="1" applyAlignment="1">
      <alignment horizontal="center" vertical="center"/>
    </xf>
    <xf numFmtId="43" fontId="49" fillId="2" borderId="0" xfId="1" applyFont="1" applyFill="1" applyBorder="1" applyAlignment="1">
      <alignment horizontal="center" vertical="center"/>
    </xf>
    <xf numFmtId="165" fontId="49" fillId="2" borderId="0" xfId="1" applyNumberFormat="1" applyFont="1" applyFill="1" applyBorder="1" applyAlignment="1">
      <alignment horizontal="center" vertical="center"/>
    </xf>
    <xf numFmtId="0" fontId="50" fillId="2" borderId="0" xfId="0" applyFont="1" applyFill="1" applyAlignment="1">
      <alignment horizontal="center" vertical="center"/>
    </xf>
    <xf numFmtId="43" fontId="51" fillId="2" borderId="0" xfId="1" applyFont="1" applyFill="1" applyBorder="1" applyAlignment="1">
      <alignment horizontal="center" vertical="center"/>
    </xf>
    <xf numFmtId="0" fontId="52" fillId="0" borderId="0" xfId="0" applyFont="1" applyAlignment="1">
      <alignment horizontal="center"/>
    </xf>
    <xf numFmtId="0" fontId="53" fillId="10" borderId="0" xfId="0" applyFont="1" applyFill="1" applyAlignment="1">
      <alignment horizontal="center" vertical="center"/>
    </xf>
    <xf numFmtId="43" fontId="53" fillId="10" borderId="0" xfId="1" applyFont="1" applyFill="1" applyBorder="1" applyAlignment="1">
      <alignment horizontal="center" vertical="center"/>
    </xf>
    <xf numFmtId="165" fontId="53" fillId="10" borderId="0" xfId="1" applyNumberFormat="1" applyFont="1" applyFill="1" applyBorder="1" applyAlignment="1">
      <alignment horizontal="center" vertical="center"/>
    </xf>
    <xf numFmtId="0" fontId="54" fillId="10" borderId="0" xfId="0" applyFont="1" applyFill="1" applyAlignment="1">
      <alignment horizontal="center" vertical="center"/>
    </xf>
    <xf numFmtId="22" fontId="55" fillId="0" borderId="0" xfId="0" applyNumberFormat="1" applyFont="1" applyAlignment="1">
      <alignment horizontal="left" vertical="top"/>
    </xf>
    <xf numFmtId="43" fontId="4" fillId="11" borderId="0" xfId="1" applyFont="1" applyFill="1" applyBorder="1" applyAlignment="1">
      <alignment horizontal="center"/>
    </xf>
    <xf numFmtId="43" fontId="7" fillId="8" borderId="0" xfId="1" applyFont="1" applyFill="1" applyBorder="1" applyAlignment="1">
      <alignment horizontal="center" vertical="center"/>
    </xf>
    <xf numFmtId="43" fontId="7" fillId="8" borderId="0" xfId="1" applyFont="1" applyFill="1" applyBorder="1" applyAlignment="1">
      <alignment horizontal="center"/>
    </xf>
    <xf numFmtId="0" fontId="18" fillId="8" borderId="0" xfId="0" applyFont="1" applyFill="1" applyAlignment="1">
      <alignment horizontal="center"/>
    </xf>
    <xf numFmtId="0" fontId="3" fillId="11" borderId="0" xfId="0" applyFont="1" applyFill="1" applyAlignment="1">
      <alignment horizontal="center"/>
    </xf>
    <xf numFmtId="165" fontId="3" fillId="8" borderId="0" xfId="1" applyNumberFormat="1" applyFont="1" applyFill="1" applyBorder="1" applyAlignment="1">
      <alignment horizontal="center"/>
    </xf>
    <xf numFmtId="43" fontId="3" fillId="8" borderId="0" xfId="1" applyFont="1" applyFill="1" applyBorder="1" applyAlignment="1">
      <alignment horizontal="center"/>
    </xf>
    <xf numFmtId="43" fontId="56" fillId="2" borderId="0" xfId="1" applyFont="1" applyFill="1" applyBorder="1" applyAlignment="1">
      <alignment vertical="center" wrapText="1"/>
    </xf>
    <xf numFmtId="43" fontId="57" fillId="2" borderId="0" xfId="1" applyFont="1" applyFill="1" applyBorder="1" applyAlignment="1">
      <alignment vertical="center"/>
    </xf>
    <xf numFmtId="165" fontId="57" fillId="2" borderId="0" xfId="1" applyNumberFormat="1" applyFont="1" applyFill="1" applyBorder="1" applyAlignment="1">
      <alignment vertical="center"/>
    </xf>
    <xf numFmtId="43" fontId="58" fillId="2" borderId="0" xfId="1" applyFont="1" applyFill="1" applyBorder="1" applyAlignment="1">
      <alignment vertical="center" wrapText="1"/>
    </xf>
    <xf numFmtId="43" fontId="59" fillId="2" borderId="0" xfId="1" applyFont="1" applyFill="1" applyBorder="1" applyAlignment="1">
      <alignment vertical="center" wrapText="1"/>
    </xf>
    <xf numFmtId="43" fontId="0" fillId="0" borderId="0" xfId="1" applyFont="1"/>
    <xf numFmtId="165" fontId="3" fillId="0" borderId="0" xfId="1" applyNumberFormat="1" applyFont="1" applyFill="1" applyAlignment="1">
      <alignment horizontal="center"/>
    </xf>
    <xf numFmtId="43" fontId="11" fillId="2" borderId="7" xfId="0" applyNumberFormat="1" applyFont="1" applyFill="1" applyBorder="1"/>
    <xf numFmtId="43" fontId="61" fillId="0" borderId="0" xfId="1" applyFont="1" applyAlignment="1">
      <alignment horizontal="center" vertical="center"/>
    </xf>
    <xf numFmtId="43" fontId="60" fillId="0" borderId="0" xfId="1" applyFont="1" applyAlignment="1">
      <alignment horizontal="center" vertical="center"/>
    </xf>
    <xf numFmtId="43" fontId="22" fillId="7" borderId="0" xfId="1" applyFont="1" applyFill="1" applyAlignment="1">
      <alignment horizontal="center" vertical="center" wrapText="1"/>
    </xf>
    <xf numFmtId="43" fontId="41" fillId="12" borderId="0" xfId="1" applyFont="1" applyFill="1" applyAlignment="1">
      <alignment horizontal="center"/>
    </xf>
    <xf numFmtId="165" fontId="41" fillId="12" borderId="0" xfId="1" applyNumberFormat="1" applyFont="1" applyFill="1" applyAlignment="1">
      <alignment horizontal="center"/>
    </xf>
    <xf numFmtId="43" fontId="4" fillId="11" borderId="0" xfId="1" applyFont="1" applyFill="1" applyAlignment="1">
      <alignment horizontal="center"/>
    </xf>
    <xf numFmtId="165" fontId="36" fillId="2" borderId="0" xfId="1" applyNumberFormat="1" applyFont="1" applyFill="1" applyAlignment="1">
      <alignment horizontal="center"/>
    </xf>
    <xf numFmtId="165" fontId="41" fillId="2" borderId="0" xfId="1" applyNumberFormat="1" applyFont="1" applyFill="1" applyAlignment="1">
      <alignment horizontal="center"/>
    </xf>
    <xf numFmtId="43" fontId="36" fillId="2" borderId="0" xfId="1" applyFont="1" applyFill="1" applyAlignment="1">
      <alignment horizontal="center"/>
    </xf>
    <xf numFmtId="43" fontId="41" fillId="2" borderId="0" xfId="1" applyFont="1" applyFill="1" applyAlignment="1">
      <alignment horizontal="center"/>
    </xf>
    <xf numFmtId="43" fontId="36" fillId="9" borderId="0" xfId="1" applyFont="1" applyFill="1" applyAlignment="1">
      <alignment horizontal="center"/>
    </xf>
    <xf numFmtId="165" fontId="36" fillId="9" borderId="0" xfId="1" applyNumberFormat="1" applyFont="1" applyFill="1" applyAlignment="1">
      <alignment horizontal="center"/>
    </xf>
    <xf numFmtId="170" fontId="42" fillId="11" borderId="0" xfId="1" applyNumberFormat="1" applyFont="1" applyFill="1" applyAlignment="1">
      <alignment horizontal="center"/>
    </xf>
    <xf numFmtId="165" fontId="42" fillId="11" borderId="0" xfId="1" applyNumberFormat="1" applyFont="1" applyFill="1" applyAlignment="1">
      <alignment horizontal="center"/>
    </xf>
    <xf numFmtId="171" fontId="42" fillId="11" borderId="0" xfId="1" applyNumberFormat="1" applyFont="1" applyFill="1" applyAlignment="1">
      <alignment horizontal="center"/>
    </xf>
    <xf numFmtId="166" fontId="17" fillId="4" borderId="0" xfId="0" applyNumberFormat="1" applyFont="1" applyFill="1" applyAlignment="1">
      <alignment horizontal="center"/>
    </xf>
    <xf numFmtId="1" fontId="4" fillId="4" borderId="0" xfId="0" applyNumberFormat="1" applyFont="1" applyFill="1" applyAlignment="1">
      <alignment horizontal="center"/>
    </xf>
    <xf numFmtId="0" fontId="4" fillId="4" borderId="0" xfId="0" applyFont="1" applyFill="1" applyAlignment="1">
      <alignment horizontal="center"/>
    </xf>
    <xf numFmtId="43" fontId="41" fillId="4" borderId="0" xfId="1" applyFont="1" applyFill="1" applyBorder="1" applyAlignment="1">
      <alignment horizontal="center"/>
    </xf>
    <xf numFmtId="165" fontId="41" fillId="4" borderId="0" xfId="1" applyNumberFormat="1" applyFont="1" applyFill="1" applyBorder="1" applyAlignment="1">
      <alignment horizontal="center"/>
    </xf>
    <xf numFmtId="0" fontId="4" fillId="4" borderId="0" xfId="0" quotePrefix="1" applyFont="1" applyFill="1" applyAlignment="1">
      <alignment horizontal="center"/>
    </xf>
    <xf numFmtId="43" fontId="4" fillId="4" borderId="0" xfId="1" applyFont="1" applyFill="1" applyBorder="1" applyAlignment="1">
      <alignment horizontal="center"/>
    </xf>
    <xf numFmtId="165" fontId="36" fillId="4" borderId="0" xfId="1" applyNumberFormat="1" applyFont="1" applyFill="1" applyBorder="1" applyAlignment="1">
      <alignment horizontal="center"/>
    </xf>
    <xf numFmtId="43" fontId="36" fillId="4" borderId="0" xfId="1" applyFont="1" applyFill="1" applyBorder="1" applyAlignment="1">
      <alignment horizontal="center"/>
    </xf>
    <xf numFmtId="170" fontId="42" fillId="4" borderId="0" xfId="1" applyNumberFormat="1" applyFont="1" applyFill="1" applyBorder="1" applyAlignment="1">
      <alignment horizontal="center"/>
    </xf>
    <xf numFmtId="165" fontId="42" fillId="4" borderId="0" xfId="1" applyNumberFormat="1" applyFont="1" applyFill="1" applyBorder="1" applyAlignment="1">
      <alignment horizontal="center"/>
    </xf>
    <xf numFmtId="171" fontId="42" fillId="4" borderId="0" xfId="1" applyNumberFormat="1" applyFont="1" applyFill="1" applyBorder="1" applyAlignment="1">
      <alignment horizontal="center"/>
    </xf>
    <xf numFmtId="0" fontId="0" fillId="4" borderId="0" xfId="0" applyFill="1"/>
    <xf numFmtId="169" fontId="0" fillId="4" borderId="0" xfId="0" applyNumberFormat="1" applyFill="1"/>
    <xf numFmtId="43" fontId="41" fillId="4" borderId="0" xfId="1" applyFont="1" applyFill="1" applyAlignment="1">
      <alignment horizontal="center"/>
    </xf>
    <xf numFmtId="165" fontId="41" fillId="4" borderId="0" xfId="1" applyNumberFormat="1" applyFont="1" applyFill="1" applyAlignment="1">
      <alignment horizontal="center"/>
    </xf>
    <xf numFmtId="43" fontId="4" fillId="4" borderId="0" xfId="1" applyFont="1" applyFill="1" applyAlignment="1">
      <alignment horizontal="center"/>
    </xf>
    <xf numFmtId="165" fontId="36" fillId="4" borderId="0" xfId="1" applyNumberFormat="1" applyFont="1" applyFill="1" applyAlignment="1">
      <alignment horizontal="center"/>
    </xf>
    <xf numFmtId="43" fontId="36" fillId="4" borderId="0" xfId="1" applyFont="1" applyFill="1" applyAlignment="1">
      <alignment horizontal="center"/>
    </xf>
    <xf numFmtId="170" fontId="42" fillId="4" borderId="0" xfId="1" applyNumberFormat="1" applyFont="1" applyFill="1" applyAlignment="1">
      <alignment horizontal="center"/>
    </xf>
    <xf numFmtId="165" fontId="42" fillId="4" borderId="0" xfId="1" applyNumberFormat="1" applyFont="1" applyFill="1" applyAlignment="1">
      <alignment horizontal="center"/>
    </xf>
    <xf numFmtId="171" fontId="42" fillId="4" borderId="0" xfId="1" applyNumberFormat="1" applyFont="1" applyFill="1" applyAlignment="1">
      <alignment horizontal="center"/>
    </xf>
  </cellXfs>
  <cellStyles count="2">
    <cellStyle name="Comma" xfId="1" builtinId="3"/>
    <cellStyle name="Normal" xfId="0" builtinId="0"/>
  </cellStyles>
  <dxfs count="17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theme="9"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theme="9" tint="-0.499984740745262"/>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dxf>
    <dxf>
      <font>
        <color rgb="FF006100"/>
      </font>
      <fill>
        <patternFill>
          <bgColor rgb="FFC6EFCE"/>
        </patternFill>
      </fill>
    </dxf>
    <dxf>
      <font>
        <b/>
        <i/>
        <strike val="0"/>
        <condense val="0"/>
        <extend val="0"/>
        <outline val="0"/>
        <shadow val="0"/>
        <u val="none"/>
        <vertAlign val="baseline"/>
        <sz val="11"/>
        <color auto="1"/>
        <name val="Aptos Narrow"/>
        <family val="2"/>
        <scheme val="minor"/>
      </font>
      <numFmt numFmtId="171" formatCode="#,##0.00&quot; kgs&quot;"/>
      <fill>
        <patternFill patternType="solid">
          <fgColor indexed="64"/>
          <bgColor theme="0" tint="-0.14999847407452621"/>
        </patternFill>
      </fill>
      <alignment horizontal="center" vertical="bottom" textRotation="0" wrapText="0" indent="0" justifyLastLine="0" shrinkToFit="0" readingOrder="0"/>
    </dxf>
    <dxf>
      <font>
        <b/>
        <i/>
        <strike val="0"/>
        <condense val="0"/>
        <extend val="0"/>
        <outline val="0"/>
        <shadow val="0"/>
        <u val="none"/>
        <vertAlign val="baseline"/>
        <sz val="11"/>
        <color auto="1"/>
        <name val="Aptos Narrow"/>
        <family val="2"/>
        <scheme val="minor"/>
      </font>
      <numFmt numFmtId="165" formatCode="_(* #,##0_);_(* \(#,##0\);_(* &quot;-&quot;??_);_(@_)"/>
      <fill>
        <patternFill patternType="solid">
          <fgColor indexed="64"/>
          <bgColor theme="0" tint="-0.14999847407452621"/>
        </patternFill>
      </fill>
      <alignment horizontal="center" vertical="bottom" textRotation="0" wrapText="0" indent="0" justifyLastLine="0" shrinkToFit="0" readingOrder="0"/>
    </dxf>
    <dxf>
      <font>
        <b/>
        <i/>
        <strike val="0"/>
        <condense val="0"/>
        <extend val="0"/>
        <outline val="0"/>
        <shadow val="0"/>
        <u val="none"/>
        <vertAlign val="baseline"/>
        <sz val="11"/>
        <color auto="1"/>
        <name val="Aptos Narrow"/>
        <family val="2"/>
        <scheme val="minor"/>
      </font>
      <numFmt numFmtId="170" formatCode="#,##0\ &quot; pp&quot;"/>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1"/>
        <color rgb="FFC00000"/>
        <name val="Aptos Narrow"/>
        <family val="2"/>
        <scheme val="minor"/>
      </font>
      <numFmt numFmtId="165" formatCode="_(* #,##0_);_(* \(#,##0\);_(* &quot;-&quot;??_);_(@_)"/>
      <fill>
        <patternFill patternType="solid">
          <fgColor indexed="64"/>
          <bgColor theme="5"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rgb="FFC00000"/>
        <name val="Aptos Narrow"/>
        <family val="2"/>
        <scheme val="minor"/>
      </font>
      <fill>
        <patternFill patternType="solid">
          <fgColor indexed="64"/>
          <bgColor theme="5"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rgb="FFC00000"/>
        <name val="Aptos Narrow"/>
        <family val="2"/>
        <scheme val="minor"/>
      </font>
      <fill>
        <patternFill patternType="solid">
          <fgColor indexed="64"/>
          <bgColor theme="5"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theme="6"/>
        <name val="Aptos Narrow"/>
        <family val="2"/>
        <scheme val="minor"/>
      </font>
      <numFmt numFmtId="165" formatCode="_(* #,##0_);_(* \(#,##0\);_(* &quot;-&quot;??_);_(@_)"/>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rgb="FFC00000"/>
        <name val="Aptos Narrow"/>
        <family val="2"/>
        <scheme val="minor"/>
      </font>
      <numFmt numFmtId="165" formatCode="_(* #,##0_);_(* \(#,##0\);_(* &quot;-&quot;??_);_(@_)"/>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6"/>
        <name val="Aptos Narrow"/>
        <family val="2"/>
        <scheme val="minor"/>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rgb="FFC00000"/>
        <name val="Aptos Narrow"/>
        <family val="2"/>
        <scheme val="minor"/>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6"/>
        <name val="Aptos Narrow"/>
        <family val="2"/>
        <scheme val="minor"/>
      </font>
      <numFmt numFmtId="165" formatCode="_(* #,##0_);_(* \(#,##0\);_(* &quot;-&quot;??_);_(@_)"/>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rgb="FFC00000"/>
        <name val="Aptos Narrow"/>
        <family val="2"/>
        <scheme val="minor"/>
      </font>
      <numFmt numFmtId="165" formatCode="_(* #,##0_);_(* \(#,##0\);_(* &quot;-&quot;??_);_(@_)"/>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1"/>
        <color auto="1"/>
        <name val="Aptos Narrow"/>
        <family val="2"/>
        <scheme val="minor"/>
      </font>
      <fill>
        <patternFill patternType="solid">
          <fgColor indexed="64"/>
          <bgColor theme="0" tint="-0.14999847407452621"/>
        </patternFill>
      </fill>
      <alignment horizontal="center" vertical="bottom" textRotation="0" wrapText="0" indent="0" justifyLastLine="0" shrinkToFit="0" readingOrder="0"/>
    </dxf>
    <dxf>
      <font>
        <b/>
        <i val="0"/>
        <strike val="0"/>
        <condense val="0"/>
        <extend val="0"/>
        <outline val="0"/>
        <shadow val="0"/>
        <u val="none"/>
        <vertAlign val="baseline"/>
        <sz val="11"/>
        <color auto="1"/>
        <name val="Aptos Narrow"/>
        <family val="2"/>
        <scheme val="minor"/>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6"/>
        <name val="Aptos Narrow"/>
        <family val="2"/>
        <scheme val="minor"/>
      </font>
      <numFmt numFmtId="165" formatCode="_(* #,##0_);_(* \(#,##0\);_(* &quot;-&quot;??_);_(@_)"/>
      <fill>
        <patternFill patternType="solid">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theme="6"/>
        <name val="Aptos Narrow"/>
        <family val="2"/>
        <scheme val="minor"/>
      </font>
      <fill>
        <patternFill patternType="solid">
          <fgColor indexed="64"/>
          <bgColor theme="9"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1"/>
        <color theme="6"/>
        <name val="Aptos Narrow"/>
        <family val="2"/>
        <scheme val="minor"/>
      </font>
      <fill>
        <patternFill patternType="solid">
          <fgColor indexed="64"/>
          <bgColor theme="9" tint="0.79998168889431442"/>
        </patternFill>
      </fill>
      <alignment horizontal="center" vertical="bottom" textRotation="0" wrapText="0" indent="0" justifyLastLine="0" shrinkToFit="0" readingOrder="0"/>
    </dxf>
    <dxf>
      <font>
        <b/>
        <i val="0"/>
        <strike val="0"/>
        <condense val="0"/>
        <extend val="0"/>
        <outline val="0"/>
        <shadow val="0"/>
        <u val="none"/>
        <vertAlign val="baseline"/>
        <sz val="11"/>
        <color auto="1"/>
        <name val="Aptos Narrow"/>
        <family val="2"/>
        <scheme val="minor"/>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1"/>
        <color auto="1"/>
        <name val="Aptos Narrow"/>
        <family val="2"/>
        <scheme val="minor"/>
      </font>
      <numFmt numFmtId="1" formatCode="0"/>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Aptos Narrow"/>
        <family val="2"/>
        <scheme val="minor"/>
      </font>
      <numFmt numFmtId="166" formatCode="mm/dd/yyyy;@"/>
      <fill>
        <patternFill patternType="solid">
          <fgColor indexed="64"/>
          <bgColor theme="0"/>
        </patternFill>
      </fill>
      <alignment horizontal="center" vertical="bottom" textRotation="0" wrapText="0" indent="0" justifyLastLine="0" shrinkToFit="0" readingOrder="0"/>
    </dxf>
    <dxf>
      <font>
        <b/>
        <i/>
        <strike val="0"/>
        <condense val="0"/>
        <extend val="0"/>
        <outline val="0"/>
        <shadow val="0"/>
        <u val="none"/>
        <vertAlign val="baseline"/>
        <sz val="11"/>
        <color auto="1"/>
        <name val="Aptos Narrow"/>
        <family val="2"/>
        <scheme val="minor"/>
      </font>
      <fill>
        <patternFill patternType="solid">
          <fgColor indexed="64"/>
          <bgColor theme="0" tint="-0.14999847407452621"/>
        </patternFill>
      </fill>
      <alignment horizontal="center" vertical="bottom" textRotation="0" wrapText="0" indent="0" justifyLastLine="0" shrinkToFit="0" readingOrder="0"/>
    </dxf>
    <dxf>
      <font>
        <b/>
        <i val="0"/>
        <strike val="0"/>
        <condense val="0"/>
        <extend val="0"/>
        <outline val="0"/>
        <shadow val="0"/>
        <u val="none"/>
        <vertAlign val="baseline"/>
        <sz val="9"/>
        <color theme="0"/>
        <name val="Aptos Narrow"/>
        <family val="2"/>
        <scheme val="minor"/>
      </font>
      <numFmt numFmtId="0" formatCode="General"/>
      <fill>
        <patternFill patternType="solid">
          <fgColor indexed="64"/>
          <bgColor theme="3"/>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Narrow"/>
        <family val="2"/>
        <scheme val="none"/>
      </font>
      <numFmt numFmtId="0" formatCode="General"/>
      <fill>
        <patternFill patternType="solid">
          <fgColor indexed="64"/>
          <bgColor theme="0"/>
        </patternFill>
      </fill>
      <alignment horizontal="center" vertical="bottom"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auto="1"/>
        <name val="Arial Narrow"/>
        <family val="2"/>
        <scheme val="none"/>
      </font>
      <numFmt numFmtId="165" formatCode="_(* #,##0_);_(* \(#,##0\);_(* &quot;-&quot;??_);_(@_)"/>
      <fill>
        <patternFill>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Arial Narrow"/>
        <family val="2"/>
        <scheme val="none"/>
      </font>
      <numFmt numFmtId="0" formatCode="General"/>
      <fill>
        <patternFill patternType="solid">
          <fgColor indexed="64"/>
          <bgColor theme="0"/>
        </patternFill>
      </fill>
      <alignment horizontal="center" vertical="bottom"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8"/>
        <color auto="1"/>
        <name val="Arial Narrow"/>
        <family val="2"/>
        <scheme val="none"/>
      </font>
      <numFmt numFmtId="165" formatCode="_(* #,##0_);_(* \(#,##0\);_(* &quot;-&quot;??_);_(@_)"/>
      <fill>
        <patternFill>
          <fgColor indexed="64"/>
          <bgColor theme="0"/>
        </patternFill>
      </fill>
      <alignment horizontal="center" vertical="bottom" textRotation="0" wrapText="0" indent="0" justifyLastLine="0" shrinkToFit="0" readingOrder="0"/>
    </dxf>
    <dxf>
      <font>
        <b val="0"/>
        <i/>
        <strike val="0"/>
        <condense val="0"/>
        <extend val="0"/>
        <outline val="0"/>
        <shadow val="0"/>
        <u val="none"/>
        <vertAlign val="baseline"/>
        <sz val="10"/>
        <color auto="1"/>
        <name val="Arial Narrow"/>
        <family val="2"/>
        <scheme val="none"/>
      </font>
      <fill>
        <patternFill patternType="solid">
          <fgColor indexed="64"/>
          <bgColor theme="7" tint="0.79998168889431442"/>
        </patternFill>
      </fill>
      <alignment horizontal="center" vertical="bottom" textRotation="0" wrapText="0" indent="0" justifyLastLine="0" shrinkToFit="0" readingOrder="0"/>
      <border diagonalUp="0" diagonalDown="0" outline="0">
        <left/>
        <right/>
        <top style="thin">
          <color indexed="64"/>
        </top>
        <bottom/>
      </border>
    </dxf>
    <dxf>
      <font>
        <b val="0"/>
        <i/>
        <strike val="0"/>
        <condense val="0"/>
        <extend val="0"/>
        <outline val="0"/>
        <shadow val="0"/>
        <u val="none"/>
        <vertAlign val="baseline"/>
        <sz val="10"/>
        <color auto="1"/>
        <name val="Arial Narrow"/>
        <family val="2"/>
        <scheme val="none"/>
      </font>
      <fill>
        <patternFill patternType="solid">
          <fgColor indexed="64"/>
          <bgColor theme="7" tint="0.79998168889431442"/>
        </patternFill>
      </fill>
      <alignment horizontal="center" vertical="bottom" textRotation="0" wrapText="0" indent="0" justifyLastLine="0" shrinkToFit="0" readingOrder="0"/>
    </dxf>
    <dxf>
      <font>
        <b val="0"/>
        <i/>
        <strike val="0"/>
        <condense val="0"/>
        <extend val="0"/>
        <outline val="0"/>
        <shadow val="0"/>
        <u val="none"/>
        <vertAlign val="baseline"/>
        <sz val="10"/>
        <color auto="1"/>
        <name val="Arial Narrow"/>
        <family val="2"/>
        <scheme val="none"/>
      </font>
      <fill>
        <patternFill patternType="solid">
          <fgColor indexed="64"/>
          <bgColor theme="7" tint="0.79998168889431442"/>
        </patternFill>
      </fill>
      <alignment horizontal="center" vertical="bottom" textRotation="0" wrapText="0" indent="0" justifyLastLine="0" shrinkToFit="0" readingOrder="0"/>
      <border diagonalUp="0" diagonalDown="0" outline="0">
        <left/>
        <right/>
        <top style="thin">
          <color indexed="64"/>
        </top>
        <bottom/>
      </border>
    </dxf>
    <dxf>
      <font>
        <b val="0"/>
        <i/>
        <strike val="0"/>
        <condense val="0"/>
        <extend val="0"/>
        <outline val="0"/>
        <shadow val="0"/>
        <u val="none"/>
        <vertAlign val="baseline"/>
        <sz val="10"/>
        <color auto="1"/>
        <name val="Arial Narrow"/>
        <family val="2"/>
        <scheme val="none"/>
      </font>
      <fill>
        <patternFill patternType="solid">
          <fgColor indexed="64"/>
          <bgColor theme="7" tint="0.79998168889431442"/>
        </patternFill>
      </fill>
      <alignment horizontal="center" vertical="bottom" textRotation="0" wrapText="0" indent="0" justifyLastLine="0" shrinkToFit="0" readingOrder="0"/>
    </dxf>
    <dxf>
      <font>
        <b val="0"/>
        <i/>
        <strike val="0"/>
        <condense val="0"/>
        <extend val="0"/>
        <outline val="0"/>
        <shadow val="0"/>
        <u val="none"/>
        <vertAlign val="baseline"/>
        <sz val="10"/>
        <color auto="1"/>
        <name val="Arial Narrow"/>
        <family val="2"/>
        <scheme val="none"/>
      </font>
      <fill>
        <patternFill patternType="solid">
          <fgColor indexed="64"/>
          <bgColor theme="7" tint="0.79998168889431442"/>
        </patternFill>
      </fill>
      <alignment horizontal="center" vertical="bottom" textRotation="0" wrapText="0" indent="0" justifyLastLine="0" shrinkToFit="0" readingOrder="0"/>
      <border diagonalUp="0" diagonalDown="0" outline="0">
        <left/>
        <right/>
        <top style="thin">
          <color indexed="64"/>
        </top>
        <bottom/>
      </border>
    </dxf>
    <dxf>
      <font>
        <b val="0"/>
        <i/>
        <strike val="0"/>
        <condense val="0"/>
        <extend val="0"/>
        <outline val="0"/>
        <shadow val="0"/>
        <u val="none"/>
        <vertAlign val="baseline"/>
        <sz val="10"/>
        <color auto="1"/>
        <name val="Arial Narrow"/>
        <family val="2"/>
        <scheme val="none"/>
      </font>
      <fill>
        <patternFill patternType="solid">
          <fgColor indexed="64"/>
          <bgColor theme="7" tint="0.79998168889431442"/>
        </patternFill>
      </fill>
      <alignment horizontal="center" vertical="bottom" textRotation="0" wrapText="0" indent="0" justifyLastLine="0" shrinkToFit="0" readingOrder="0"/>
    </dxf>
    <dxf>
      <font>
        <b val="0"/>
        <i/>
        <strike val="0"/>
        <condense val="0"/>
        <extend val="0"/>
        <outline val="0"/>
        <shadow val="0"/>
        <u val="none"/>
        <vertAlign val="baseline"/>
        <sz val="10"/>
        <color auto="1"/>
        <name val="Arial Narrow"/>
        <family val="2"/>
        <scheme val="none"/>
      </font>
      <fill>
        <patternFill patternType="solid">
          <fgColor indexed="64"/>
          <bgColor theme="7" tint="0.79998168889431442"/>
        </patternFill>
      </fill>
      <alignment horizontal="center" vertical="bottom" textRotation="0" wrapText="0" indent="0" justifyLastLine="0" shrinkToFit="0" readingOrder="0"/>
      <border diagonalUp="0" diagonalDown="0" outline="0">
        <left/>
        <right/>
        <top style="thin">
          <color indexed="64"/>
        </top>
        <bottom/>
      </border>
    </dxf>
    <dxf>
      <font>
        <b val="0"/>
        <i/>
        <strike val="0"/>
        <condense val="0"/>
        <extend val="0"/>
        <outline val="0"/>
        <shadow val="0"/>
        <u val="none"/>
        <vertAlign val="baseline"/>
        <sz val="10"/>
        <color auto="1"/>
        <name val="Arial Narrow"/>
        <family val="2"/>
        <scheme val="none"/>
      </font>
      <fill>
        <patternFill patternType="solid">
          <fgColor indexed="64"/>
          <bgColor theme="7" tint="0.79998168889431442"/>
        </patternFill>
      </fill>
      <alignment horizontal="center" vertical="bottom" textRotation="0" wrapText="0" indent="0" justifyLastLine="0" shrinkToFit="0" readingOrder="0"/>
    </dxf>
    <dxf>
      <font>
        <b val="0"/>
        <i/>
        <strike val="0"/>
        <condense val="0"/>
        <extend val="0"/>
        <outline val="0"/>
        <shadow val="0"/>
        <u val="none"/>
        <vertAlign val="baseline"/>
        <sz val="10"/>
        <color auto="1"/>
        <name val="Arial Narrow"/>
        <family val="2"/>
        <scheme val="none"/>
      </font>
      <fill>
        <patternFill patternType="solid">
          <fgColor indexed="64"/>
          <bgColor theme="7" tint="0.79998168889431442"/>
        </patternFill>
      </fill>
      <alignment horizontal="center" vertical="bottom" textRotation="0" wrapText="0" indent="0" justifyLastLine="0" shrinkToFit="0" readingOrder="0"/>
      <border diagonalUp="0" diagonalDown="0" outline="0">
        <left/>
        <right/>
        <top style="thin">
          <color indexed="64"/>
        </top>
        <bottom/>
      </border>
    </dxf>
    <dxf>
      <font>
        <b val="0"/>
        <i/>
        <strike val="0"/>
        <condense val="0"/>
        <extend val="0"/>
        <outline val="0"/>
        <shadow val="0"/>
        <u val="none"/>
        <vertAlign val="baseline"/>
        <sz val="10"/>
        <color auto="1"/>
        <name val="Arial Narrow"/>
        <family val="2"/>
        <scheme val="none"/>
      </font>
      <fill>
        <patternFill patternType="solid">
          <fgColor indexed="64"/>
          <bgColor theme="7"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Arial Narrow"/>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8"/>
        <color auto="1"/>
        <name val="Arial Narrow"/>
        <family val="2"/>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Narrow"/>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auto="1"/>
        <name val="Arial Narrow"/>
        <family val="2"/>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Narrow"/>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auto="1"/>
        <name val="Arial Narrow"/>
        <family val="2"/>
        <scheme val="none"/>
      </font>
      <fill>
        <patternFill>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Narrow"/>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auto="1"/>
        <name val="Arial Narrow"/>
        <family val="2"/>
        <scheme val="none"/>
      </font>
      <fill>
        <patternFill>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0"/>
        <color auto="1"/>
        <name val="Arial Narrow"/>
        <family val="2"/>
        <scheme val="none"/>
      </font>
      <numFmt numFmtId="0" formatCode="General"/>
      <fill>
        <patternFill patternType="solid">
          <fgColor indexed="64"/>
          <bgColor theme="0"/>
        </patternFill>
      </fill>
      <alignment horizontal="center" vertical="center" textRotation="0" wrapText="0" indent="0" justifyLastLine="0" shrinkToFit="0" readingOrder="0"/>
      <border diagonalUp="0" diagonalDown="0" outline="0">
        <left/>
        <right/>
        <top style="thin">
          <color indexed="64"/>
        </top>
        <bottom/>
      </border>
    </dxf>
    <dxf>
      <font>
        <b/>
        <i val="0"/>
        <strike val="0"/>
        <condense val="0"/>
        <extend val="0"/>
        <outline val="0"/>
        <shadow val="0"/>
        <u val="none"/>
        <vertAlign val="baseline"/>
        <sz val="10"/>
        <color auto="1"/>
        <name val="Arial Narrow"/>
        <family val="2"/>
        <scheme val="none"/>
      </font>
      <numFmt numFmtId="35" formatCode="_(* #,##0.00_);_(* \(#,##0.00\);_(* &quot;-&quot;??_);_(@_)"/>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0"/>
        <color auto="1"/>
        <name val="Arial Narrow"/>
        <family val="2"/>
        <scheme val="none"/>
      </font>
      <numFmt numFmtId="0" formatCode="General"/>
      <fill>
        <patternFill patternType="solid">
          <fgColor indexed="64"/>
          <bgColor theme="0"/>
        </patternFill>
      </fill>
      <alignment horizontal="center" vertical="bottom" textRotation="0" wrapText="0" indent="0" justifyLastLine="0" shrinkToFit="0" readingOrder="0"/>
      <border diagonalUp="0" diagonalDown="0" outline="0">
        <left/>
        <right/>
        <top style="thin">
          <color indexed="64"/>
        </top>
        <bottom/>
      </border>
    </dxf>
    <dxf>
      <font>
        <b/>
        <i val="0"/>
        <strike val="0"/>
        <condense val="0"/>
        <extend val="0"/>
        <outline val="0"/>
        <shadow val="0"/>
        <u val="none"/>
        <vertAlign val="baseline"/>
        <sz val="10"/>
        <color auto="1"/>
        <name val="Arial Narrow"/>
        <family val="2"/>
        <scheme val="none"/>
      </font>
      <numFmt numFmtId="35" formatCode="_(* #,##0.00_);_(* \(#,##0.00\);_(* &quot;-&quot;??_);_(@_)"/>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0"/>
        <color auto="1"/>
        <name val="Arial Narrow"/>
        <family val="2"/>
        <scheme val="none"/>
      </font>
      <numFmt numFmtId="0" formatCode="General"/>
      <fill>
        <patternFill patternType="solid">
          <fgColor indexed="64"/>
          <bgColor theme="0"/>
        </patternFill>
      </fill>
      <alignment horizontal="center" vertical="bottom" textRotation="0" wrapText="0" indent="0" justifyLastLine="0" shrinkToFit="0" readingOrder="0"/>
      <border diagonalUp="0" diagonalDown="0" outline="0">
        <left/>
        <right/>
        <top style="thin">
          <color indexed="64"/>
        </top>
        <bottom/>
      </border>
    </dxf>
    <dxf>
      <font>
        <b/>
        <i val="0"/>
        <strike val="0"/>
        <condense val="0"/>
        <extend val="0"/>
        <outline val="0"/>
        <shadow val="0"/>
        <u val="none"/>
        <vertAlign val="baseline"/>
        <sz val="10"/>
        <color auto="1"/>
        <name val="Arial Narrow"/>
        <family val="2"/>
        <scheme val="none"/>
      </font>
      <numFmt numFmtId="35" formatCode="_(* #,##0.00_);_(* \(#,##0.00\);_(* &quot;-&quot;??_);_(@_)"/>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0"/>
        <color auto="1"/>
        <name val="Arial Narrow"/>
        <family val="2"/>
        <scheme val="none"/>
      </font>
      <numFmt numFmtId="35" formatCode="_(* #,##0.00_);_(* \(#,##0.00\);_(* &quot;-&quot;??_);_(@_)"/>
      <fill>
        <patternFill patternType="solid">
          <fgColor indexed="64"/>
          <bgColor theme="3" tint="0.89999084444715716"/>
        </patternFill>
      </fill>
      <alignment horizontal="center" vertical="bottom" textRotation="0" wrapText="0" indent="0" justifyLastLine="0" shrinkToFit="0" readingOrder="0"/>
    </dxf>
    <dxf>
      <font>
        <b/>
        <i val="0"/>
        <strike val="0"/>
        <condense val="0"/>
        <extend val="0"/>
        <outline val="0"/>
        <shadow val="0"/>
        <u val="none"/>
        <vertAlign val="baseline"/>
        <sz val="10"/>
        <color auto="1"/>
        <name val="Arial Narrow"/>
        <family val="2"/>
        <scheme val="none"/>
      </font>
      <fill>
        <patternFill patternType="solid">
          <fgColor indexed="64"/>
          <bgColor theme="3" tint="0.89999084444715716"/>
        </patternFill>
      </fill>
      <alignment horizontal="center" vertical="center" textRotation="0" wrapText="0" indent="0" justifyLastLine="0" shrinkToFit="0" readingOrder="0"/>
    </dxf>
    <dxf>
      <font>
        <b val="0"/>
        <i val="0"/>
        <strike val="0"/>
        <condense val="0"/>
        <extend val="0"/>
        <outline val="0"/>
        <shadow val="0"/>
        <u val="none"/>
        <vertAlign val="baseline"/>
        <sz val="10"/>
        <color auto="1"/>
        <name val="Arial Narrow"/>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auto="1"/>
        <name val="Arial Narrow"/>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Narrow"/>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Narrow"/>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auto="1"/>
        <name val="Arial Narrow"/>
        <family val="2"/>
        <scheme val="none"/>
      </font>
      <numFmt numFmtId="164" formatCode="[$-2409]mmmm\ dd\,\ yyyy;@"/>
      <fill>
        <patternFill>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Narrow"/>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auto="1"/>
        <name val="Arial Narrow"/>
        <family val="2"/>
        <scheme val="none"/>
      </font>
      <numFmt numFmtId="164" formatCode="[$-2409]mmmm\ dd\,\ yyyy;@"/>
      <fill>
        <patternFill>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Narrow"/>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auto="1"/>
        <name val="Arial Narrow"/>
        <family val="2"/>
        <scheme val="none"/>
      </font>
      <fill>
        <patternFill>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0"/>
        <color auto="1"/>
        <name val="Arial Narrow"/>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right/>
        <top style="thin">
          <color indexed="64"/>
        </top>
        <bottom/>
      </border>
    </dxf>
    <dxf>
      <font>
        <b/>
        <i val="0"/>
        <strike val="0"/>
        <condense val="0"/>
        <extend val="0"/>
        <outline val="0"/>
        <shadow val="0"/>
        <u val="none"/>
        <vertAlign val="baseline"/>
        <sz val="10"/>
        <color auto="1"/>
        <name val="Arial Narrow"/>
        <family val="2"/>
        <scheme val="none"/>
      </font>
      <fill>
        <patternFill>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Narrow"/>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auto="1"/>
        <name val="Arial Narrow"/>
        <family val="2"/>
        <scheme val="none"/>
      </font>
      <numFmt numFmtId="0" formatCode="General"/>
      <fill>
        <patternFill>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Narrow"/>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auto="1"/>
        <name val="Arial Narrow"/>
        <family val="2"/>
        <scheme val="none"/>
      </font>
      <fill>
        <patternFill>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Narrow"/>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auto="1"/>
        <name val="Arial Narrow"/>
        <family val="2"/>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Narrow"/>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auto="1"/>
        <name val="Arial Narrow"/>
        <family val="2"/>
        <scheme val="none"/>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8"/>
        <color auto="1"/>
        <name val="Arial Narrow"/>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8"/>
        <color auto="1"/>
        <name val="Arial Narrow"/>
        <family val="2"/>
        <scheme val="none"/>
      </font>
      <fill>
        <patternFill patternType="solid">
          <fgColor indexed="64"/>
          <bgColor theme="0"/>
        </patternFill>
      </fill>
      <alignment horizontal="center" vertical="bottom" textRotation="0" wrapText="0" indent="0" justifyLastLine="0" shrinkToFit="0" readingOrder="0"/>
    </dxf>
    <dxf>
      <font>
        <b/>
        <i val="0"/>
        <strike val="0"/>
        <condense val="0"/>
        <extend val="0"/>
        <outline val="0"/>
        <shadow val="0"/>
        <u val="none"/>
        <vertAlign val="baseline"/>
        <sz val="11"/>
        <color auto="1"/>
        <name val="Aptos Narrow"/>
        <family val="2"/>
        <scheme val="minor"/>
      </font>
      <fill>
        <patternFill patternType="solid">
          <fgColor indexed="64"/>
          <bgColor theme="0"/>
        </patternFill>
      </fill>
      <alignment horizontal="center" vertical="bottom" textRotation="0" wrapText="0" indent="0" justifyLastLine="0" shrinkToFit="0" readingOrder="0"/>
      <border diagonalUp="0" diagonalDown="0" outline="0">
        <left/>
        <right/>
        <top style="thin">
          <color indexed="64"/>
        </top>
        <bottom/>
      </border>
    </dxf>
    <dxf>
      <font>
        <b/>
        <i val="0"/>
        <strike val="0"/>
        <condense val="0"/>
        <extend val="0"/>
        <outline val="0"/>
        <shadow val="0"/>
        <u val="none"/>
        <vertAlign val="baseline"/>
        <sz val="11"/>
        <color auto="1"/>
        <name val="Aptos Narrow"/>
        <family val="2"/>
        <scheme val="minor"/>
      </font>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Narrow"/>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auto="1"/>
        <name val="Arial Narrow"/>
        <family val="2"/>
        <scheme val="none"/>
      </font>
      <fill>
        <patternFill>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Narrow"/>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auto="1"/>
        <name val="Arial Narrow"/>
        <family val="2"/>
        <scheme val="none"/>
      </font>
      <numFmt numFmtId="166" formatCode="mm/dd/yyyy;@"/>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Narrow"/>
        <family val="2"/>
        <scheme val="none"/>
      </font>
      <fill>
        <patternFill patternType="solid">
          <fgColor indexed="64"/>
          <bgColor theme="3" tint="0.89999084444715716"/>
        </patternFill>
      </fill>
      <alignment horizontal="center" vertical="bottom"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auto="1"/>
        <name val="Arial Narrow"/>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Narrow"/>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right/>
        <top style="thin">
          <color indexed="64"/>
        </top>
        <bottom/>
      </border>
    </dxf>
    <dxf>
      <font>
        <b val="0"/>
        <i val="0"/>
        <strike val="0"/>
        <condense val="0"/>
        <extend val="0"/>
        <outline val="0"/>
        <shadow val="0"/>
        <u val="none"/>
        <vertAlign val="baseline"/>
        <sz val="10"/>
        <color auto="1"/>
        <name val="Arial Narrow"/>
        <family val="2"/>
        <scheme val="none"/>
      </font>
      <numFmt numFmtId="0" formatCode="General"/>
      <fill>
        <patternFill patternType="solid">
          <fgColor indexed="64"/>
          <bgColor theme="0" tint="-0.14999847407452621"/>
        </patternFill>
      </fill>
      <alignment horizontal="center" vertical="bottom" textRotation="0" wrapText="0" indent="0" justifyLastLine="0" shrinkToFit="0" readingOrder="0"/>
    </dxf>
    <dxf>
      <font>
        <b/>
        <i val="0"/>
        <strike val="0"/>
        <condense val="0"/>
        <extend val="0"/>
        <outline val="0"/>
        <shadow val="0"/>
        <u val="none"/>
        <vertAlign val="baseline"/>
        <sz val="10"/>
        <color auto="1"/>
        <name val="Arial Narrow"/>
        <family val="2"/>
        <scheme val="none"/>
      </font>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i val="0"/>
        <strike val="0"/>
        <condense val="0"/>
        <extend val="0"/>
        <outline val="0"/>
        <shadow val="0"/>
        <u val="none"/>
        <vertAlign val="baseline"/>
        <sz val="10"/>
        <color auto="1"/>
        <name val="Arial Narrow"/>
        <family val="2"/>
        <scheme val="none"/>
      </font>
      <numFmt numFmtId="165" formatCode="_(* #,##0_);_(* \(#,##0\);_(* &quot;-&quot;??_);_(@_)"/>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border outline="0">
        <top style="thin">
          <color indexed="64"/>
        </top>
      </border>
    </dxf>
    <dxf>
      <border outline="0">
        <left style="thin">
          <color indexed="64"/>
        </left>
        <right style="thin">
          <color indexed="64"/>
        </right>
        <bottom style="thin">
          <color indexed="64"/>
        </bottom>
      </border>
    </dxf>
    <dxf>
      <font>
        <strike val="0"/>
        <outline val="0"/>
        <shadow val="0"/>
        <u val="none"/>
        <vertAlign val="baseline"/>
        <color auto="1"/>
        <family val="2"/>
      </font>
      <fill>
        <patternFill>
          <fgColor indexed="64"/>
          <bgColor theme="0"/>
        </patternFill>
      </fill>
    </dxf>
    <dxf>
      <border outline="0">
        <bottom style="thin">
          <color indexed="64"/>
        </bottom>
      </border>
    </dxf>
    <dxf>
      <font>
        <b/>
        <i val="0"/>
        <strike val="0"/>
        <condense val="0"/>
        <extend val="0"/>
        <outline val="0"/>
        <shadow val="0"/>
        <u val="none"/>
        <vertAlign val="baseline"/>
        <sz val="9"/>
        <color auto="1"/>
        <name val="Arial Narrow"/>
        <family val="2"/>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auto="1"/>
        <name val="Arial Narrow"/>
        <family val="2"/>
        <scheme val="none"/>
      </font>
      <numFmt numFmtId="0" formatCode="General"/>
      <fill>
        <patternFill patternType="solid">
          <fgColor indexed="64"/>
          <bgColor theme="5"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Narrow"/>
        <family val="2"/>
        <scheme val="none"/>
      </font>
      <numFmt numFmtId="0" formatCode="General"/>
      <fill>
        <patternFill patternType="solid">
          <fgColor indexed="64"/>
          <bgColor theme="5"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Narrow"/>
        <family val="2"/>
        <scheme val="none"/>
      </font>
      <numFmt numFmtId="0" formatCode="General"/>
      <fill>
        <patternFill patternType="solid">
          <fgColor indexed="64"/>
          <bgColor theme="5"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Narrow"/>
        <family val="2"/>
        <scheme val="none"/>
      </font>
      <numFmt numFmtId="0" formatCode="General"/>
      <fill>
        <patternFill patternType="solid">
          <fgColor indexed="64"/>
          <bgColor theme="5" tint="0.79998168889431442"/>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Narrow"/>
        <family val="2"/>
        <scheme val="none"/>
      </font>
      <numFmt numFmtId="165" formatCode="_(* #,##0_);_(* \(#,##0\);_(* &quot;-&quot;??_);_(@_)"/>
      <fill>
        <patternFill patternType="none">
          <fgColor indexed="64"/>
          <bgColor indexed="65"/>
        </patternFill>
      </fill>
      <alignment horizontal="center" vertical="bottom" textRotation="0" wrapText="0" indent="0" justifyLastLine="0" shrinkToFit="0" readingOrder="0"/>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10"/>
        <color auto="1"/>
        <name val="Arial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Narrow"/>
        <family val="2"/>
        <scheme val="none"/>
      </font>
      <numFmt numFmtId="0" formatCode="General"/>
      <fill>
        <patternFill patternType="none">
          <fgColor indexed="64"/>
          <bgColor indexed="65"/>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Narrow"/>
        <family val="2"/>
        <scheme val="none"/>
      </font>
      <numFmt numFmtId="165" formatCode="_(* #,##0_);_(* \(#,##0\);_(* &quot;-&quot;??_);_(@_)"/>
      <fill>
        <patternFill patternType="solid">
          <fgColor indexed="64"/>
          <bgColor theme="3" tint="0.89999084444715716"/>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Narrow"/>
        <family val="2"/>
        <scheme val="none"/>
      </font>
      <fill>
        <patternFill patternType="solid">
          <fgColor indexed="64"/>
          <bgColor theme="3" tint="0.89999084444715716"/>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Narrow"/>
        <family val="2"/>
        <scheme val="none"/>
      </font>
      <numFmt numFmtId="165" formatCode="_(* #,##0_);_(* \(#,##0\);_(* &quot;-&quot;??_);_(@_)"/>
      <fill>
        <patternFill patternType="solid">
          <fgColor indexed="64"/>
          <bgColor theme="3" tint="0.89999084444715716"/>
        </patternFill>
      </fill>
      <alignment horizontal="center" vertical="bottom" textRotation="0" wrapText="0" indent="0" justifyLastLine="0" shrinkToFit="0" readingOrder="0"/>
    </dxf>
    <dxf>
      <font>
        <b val="0"/>
        <i val="0"/>
        <strike val="0"/>
        <condense val="0"/>
        <extend val="0"/>
        <outline val="0"/>
        <shadow val="0"/>
        <u val="none"/>
        <vertAlign val="baseline"/>
        <sz val="10"/>
        <color auto="1"/>
        <name val="Arial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0"/>
        <color auto="1"/>
        <name val="Arial Narrow"/>
        <family val="2"/>
        <scheme val="none"/>
      </font>
      <numFmt numFmtId="167" formatCode="[$-1009]d\-mmm\-yy;@"/>
      <alignment horizontal="center" vertical="bottom"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Arial Narrow"/>
        <family val="2"/>
        <scheme val="none"/>
      </font>
      <alignment horizontal="center"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9"/>
        <color theme="0"/>
        <name val="Arial Narrow"/>
        <family val="2"/>
        <scheme val="none"/>
      </font>
      <fill>
        <patternFill patternType="solid">
          <fgColor indexed="64"/>
          <bgColor rgb="FFC00000"/>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1" defaultTableStyle="TableStyleMedium2" defaultPivotStyle="PivotStyleLight16">
    <tableStyle name="Invisible" pivot="0" table="0" count="0" xr9:uid="{0C5295CE-4596-4871-9FF6-57DB8619143F}"/>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22/11/relationships/FeaturePropertyBag" Target="featurePropertyBag/featurePropertyBag.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activeX/activeX2.xml><?xml version="1.0" encoding="utf-8"?>
<ax:ocx xmlns:ax="http://schemas.microsoft.com/office/2006/activeX" xmlns:r="http://schemas.openxmlformats.org/officeDocument/2006/relationships" ax:classid="{8BD21D10-EC42-11CE-9E0D-00AA006002F3}" ax:persistence="persistStreamInit" r:id="rId1"/>
</file>

<file path=xl/activeX/activeX3.xml><?xml version="1.0" encoding="utf-8"?>
<ax:ocx xmlns:ax="http://schemas.microsoft.com/office/2006/activeX" xmlns:r="http://schemas.openxmlformats.org/officeDocument/2006/relationships" ax:classid="{8BD21D10-EC42-11CE-9E0D-00AA006002F3}" ax:persistence="persistStreamInit" r:id="rId1"/>
</file>

<file path=xl/activeX/activeX4.xml><?xml version="1.0" encoding="utf-8"?>
<ax:ocx xmlns:ax="http://schemas.microsoft.com/office/2006/activeX" xmlns:r="http://schemas.openxmlformats.org/officeDocument/2006/relationships" ax:classid="{8BD21D10-EC42-11CE-9E0D-00AA006002F3}" ax:persistence="persistStreamInit" r:id="rId1"/>
</file>

<file path=xl/activeX/activeX5.xml><?xml version="1.0" encoding="utf-8"?>
<ax:ocx xmlns:ax="http://schemas.microsoft.com/office/2006/activeX" xmlns:r="http://schemas.openxmlformats.org/officeDocument/2006/relationships" ax:classid="{8BD21D10-EC42-11CE-9E0D-00AA006002F3}" ax:persistence="persistStreamInit" r:id="rId1"/>
</file>

<file path=xl/activeX/activeX6.xml><?xml version="1.0" encoding="utf-8"?>
<ax:ocx xmlns:ax="http://schemas.microsoft.com/office/2006/activeX" xmlns:r="http://schemas.openxmlformats.org/officeDocument/2006/relationships" ax:classid="{8BD21D10-EC42-11CE-9E0D-00AA006002F3}" ax:persistence="persistStreamInit" r:id="rId1"/>
</file>

<file path=xl/activeX/activeX7.xml><?xml version="1.0" encoding="utf-8"?>
<ax:ocx xmlns:ax="http://schemas.microsoft.com/office/2006/activeX" xmlns:r="http://schemas.openxmlformats.org/officeDocument/2006/relationships" ax:classid="{8BD21D10-EC42-11CE-9E0D-00AA006002F3}" ax:persistence="persistStreamInit" r:id="rId1"/>
</file>

<file path=xl/drawings/_rels/drawing1.xml.rels><?xml version="1.0" encoding="UTF-8" standalone="yes"?>
<Relationships xmlns="http://schemas.openxmlformats.org/package/2006/relationships"><Relationship Id="rId2" Type="http://schemas.openxmlformats.org/officeDocument/2006/relationships/image" Target="../media/image5.sv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2" Type="http://schemas.openxmlformats.org/officeDocument/2006/relationships/image" Target="../media/image5.svg"/><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7.emf"/><Relationship Id="rId4"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333375</xdr:colOff>
          <xdr:row>5</xdr:row>
          <xdr:rowOff>28575</xdr:rowOff>
        </xdr:from>
        <xdr:to>
          <xdr:col>2</xdr:col>
          <xdr:colOff>1933575</xdr:colOff>
          <xdr:row>5</xdr:row>
          <xdr:rowOff>276225</xdr:rowOff>
        </xdr:to>
        <xdr:sp macro="" textlink="">
          <xdr:nvSpPr>
            <xdr:cNvPr id="2049" name="TextBox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314325</xdr:colOff>
          <xdr:row>1</xdr:row>
          <xdr:rowOff>38100</xdr:rowOff>
        </xdr:from>
        <xdr:to>
          <xdr:col>2</xdr:col>
          <xdr:colOff>1943100</xdr:colOff>
          <xdr:row>1</xdr:row>
          <xdr:rowOff>276225</xdr:rowOff>
        </xdr:to>
        <xdr:sp macro="" textlink="">
          <xdr:nvSpPr>
            <xdr:cNvPr id="2055" name="TextBox2"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314325</xdr:colOff>
          <xdr:row>3</xdr:row>
          <xdr:rowOff>38100</xdr:rowOff>
        </xdr:from>
        <xdr:to>
          <xdr:col>2</xdr:col>
          <xdr:colOff>1914525</xdr:colOff>
          <xdr:row>3</xdr:row>
          <xdr:rowOff>276225</xdr:rowOff>
        </xdr:to>
        <xdr:sp macro="" textlink="">
          <xdr:nvSpPr>
            <xdr:cNvPr id="2056" name="TextBox3"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2</xdr:col>
      <xdr:colOff>28575</xdr:colOff>
      <xdr:row>3</xdr:row>
      <xdr:rowOff>9524</xdr:rowOff>
    </xdr:from>
    <xdr:to>
      <xdr:col>2</xdr:col>
      <xdr:colOff>1952625</xdr:colOff>
      <xdr:row>3</xdr:row>
      <xdr:rowOff>304799</xdr:rowOff>
    </xdr:to>
    <xdr:sp macro="" textlink="">
      <xdr:nvSpPr>
        <xdr:cNvPr id="31" name="Rectangle: Rounded Corners 30">
          <a:extLst>
            <a:ext uri="{FF2B5EF4-FFF2-40B4-BE49-F238E27FC236}">
              <a16:creationId xmlns:a16="http://schemas.microsoft.com/office/drawing/2014/main" id="{C6A6323A-7DA7-4504-9F36-4CACB2FCDFD7}"/>
            </a:ext>
          </a:extLst>
        </xdr:cNvPr>
        <xdr:cNvSpPr/>
      </xdr:nvSpPr>
      <xdr:spPr>
        <a:xfrm>
          <a:off x="2695575" y="704849"/>
          <a:ext cx="1924050" cy="295275"/>
        </a:xfrm>
        <a:prstGeom prst="round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oneCellAnchor>
    <xdr:from>
      <xdr:col>2</xdr:col>
      <xdr:colOff>38100</xdr:colOff>
      <xdr:row>3</xdr:row>
      <xdr:rowOff>28575</xdr:rowOff>
    </xdr:from>
    <xdr:ext cx="266699" cy="266699"/>
    <xdr:pic>
      <xdr:nvPicPr>
        <xdr:cNvPr id="32" name="Graphic 31" descr="Magnifying glass with solid fill">
          <a:extLst>
            <a:ext uri="{FF2B5EF4-FFF2-40B4-BE49-F238E27FC236}">
              <a16:creationId xmlns:a16="http://schemas.microsoft.com/office/drawing/2014/main" id="{3424AFA6-9039-4B7A-9A51-26206C9598A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05100" y="723900"/>
          <a:ext cx="266699" cy="266699"/>
        </a:xfrm>
        <a:prstGeom prst="rect">
          <a:avLst/>
        </a:prstGeom>
      </xdr:spPr>
    </xdr:pic>
    <xdr:clientData/>
  </xdr:oneCellAnchor>
  <xdr:oneCellAnchor>
    <xdr:from>
      <xdr:col>2</xdr:col>
      <xdr:colOff>42863</xdr:colOff>
      <xdr:row>1</xdr:row>
      <xdr:rowOff>28575</xdr:rowOff>
    </xdr:from>
    <xdr:ext cx="266699" cy="266699"/>
    <xdr:pic>
      <xdr:nvPicPr>
        <xdr:cNvPr id="38" name="Graphic 37" descr="Magnifying glass with solid fill">
          <a:extLst>
            <a:ext uri="{FF2B5EF4-FFF2-40B4-BE49-F238E27FC236}">
              <a16:creationId xmlns:a16="http://schemas.microsoft.com/office/drawing/2014/main" id="{8BF2AF21-1F67-49B4-A962-99583555936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14426" y="147638"/>
          <a:ext cx="266699" cy="266699"/>
        </a:xfrm>
        <a:prstGeom prst="rect">
          <a:avLst/>
        </a:prstGeom>
      </xdr:spPr>
    </xdr:pic>
    <xdr:clientData/>
  </xdr:oneCellAnchor>
  <xdr:oneCellAnchor>
    <xdr:from>
      <xdr:col>2</xdr:col>
      <xdr:colOff>42863</xdr:colOff>
      <xdr:row>5</xdr:row>
      <xdr:rowOff>21431</xdr:rowOff>
    </xdr:from>
    <xdr:ext cx="266699" cy="266699"/>
    <xdr:pic>
      <xdr:nvPicPr>
        <xdr:cNvPr id="39" name="Graphic 38" descr="Magnifying glass with solid fill">
          <a:extLst>
            <a:ext uri="{FF2B5EF4-FFF2-40B4-BE49-F238E27FC236}">
              <a16:creationId xmlns:a16="http://schemas.microsoft.com/office/drawing/2014/main" id="{10074929-7706-49A8-B317-504CEBAAD8D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14426" y="997744"/>
          <a:ext cx="266699" cy="266699"/>
        </a:xfrm>
        <a:prstGeom prst="rect">
          <a:avLst/>
        </a:prstGeom>
      </xdr:spPr>
    </xdr:pic>
    <xdr:clientData/>
  </xdr:oneCellAnchor>
  <xdr:twoCellAnchor>
    <xdr:from>
      <xdr:col>2</xdr:col>
      <xdr:colOff>28575</xdr:colOff>
      <xdr:row>1</xdr:row>
      <xdr:rowOff>9524</xdr:rowOff>
    </xdr:from>
    <xdr:to>
      <xdr:col>2</xdr:col>
      <xdr:colOff>1952625</xdr:colOff>
      <xdr:row>1</xdr:row>
      <xdr:rowOff>304799</xdr:rowOff>
    </xdr:to>
    <xdr:sp macro="" textlink="">
      <xdr:nvSpPr>
        <xdr:cNvPr id="40" name="Rectangle: Rounded Corners 39">
          <a:extLst>
            <a:ext uri="{FF2B5EF4-FFF2-40B4-BE49-F238E27FC236}">
              <a16:creationId xmlns:a16="http://schemas.microsoft.com/office/drawing/2014/main" id="{2E70E083-3A5A-4C95-96AD-B2FFFBA842C4}"/>
            </a:ext>
          </a:extLst>
        </xdr:cNvPr>
        <xdr:cNvSpPr/>
      </xdr:nvSpPr>
      <xdr:spPr>
        <a:xfrm>
          <a:off x="2695575" y="200024"/>
          <a:ext cx="1924050" cy="295275"/>
        </a:xfrm>
        <a:prstGeom prst="round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twoCellAnchor>
    <xdr:from>
      <xdr:col>2</xdr:col>
      <xdr:colOff>38100</xdr:colOff>
      <xdr:row>5</xdr:row>
      <xdr:rowOff>9524</xdr:rowOff>
    </xdr:from>
    <xdr:to>
      <xdr:col>2</xdr:col>
      <xdr:colOff>1962150</xdr:colOff>
      <xdr:row>5</xdr:row>
      <xdr:rowOff>304799</xdr:rowOff>
    </xdr:to>
    <xdr:sp macro="" textlink="">
      <xdr:nvSpPr>
        <xdr:cNvPr id="41" name="Rectangle: Rounded Corners 40">
          <a:extLst>
            <a:ext uri="{FF2B5EF4-FFF2-40B4-BE49-F238E27FC236}">
              <a16:creationId xmlns:a16="http://schemas.microsoft.com/office/drawing/2014/main" id="{2E231E43-CFD4-4FA6-B098-19946D7F1EEC}"/>
            </a:ext>
          </a:extLst>
        </xdr:cNvPr>
        <xdr:cNvSpPr/>
      </xdr:nvSpPr>
      <xdr:spPr>
        <a:xfrm>
          <a:off x="1169894" y="1006848"/>
          <a:ext cx="1924050" cy="295275"/>
        </a:xfrm>
        <a:prstGeom prst="round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0</xdr:colOff>
      <xdr:row>3</xdr:row>
      <xdr:rowOff>280147</xdr:rowOff>
    </xdr:from>
    <xdr:to>
      <xdr:col>4</xdr:col>
      <xdr:colOff>593912</xdr:colOff>
      <xdr:row>6</xdr:row>
      <xdr:rowOff>168088</xdr:rowOff>
    </xdr:to>
    <mc:AlternateContent xmlns:mc="http://schemas.openxmlformats.org/markup-compatibility/2006" xmlns:sle15="http://schemas.microsoft.com/office/drawing/2012/slicer">
      <mc:Choice Requires="sle15">
        <xdr:graphicFrame macro="">
          <xdr:nvGraphicFramePr>
            <xdr:cNvPr id="3" name="Inventory Status">
              <a:extLst>
                <a:ext uri="{FF2B5EF4-FFF2-40B4-BE49-F238E27FC236}">
                  <a16:creationId xmlns:a16="http://schemas.microsoft.com/office/drawing/2014/main" id="{CE3469AC-6F13-394A-1095-D908E52D6BE9}"/>
                </a:ext>
              </a:extLst>
            </xdr:cNvPr>
            <xdr:cNvGraphicFramePr/>
          </xdr:nvGraphicFramePr>
          <xdr:xfrm>
            <a:off x="0" y="0"/>
            <a:ext cx="0" cy="0"/>
          </xdr:xfrm>
          <a:graphic>
            <a:graphicData uri="http://schemas.microsoft.com/office/drawing/2010/slicer">
              <sle:slicer xmlns:sle="http://schemas.microsoft.com/office/drawing/2010/slicer" name="Inventory Status"/>
            </a:graphicData>
          </a:graphic>
        </xdr:graphicFrame>
      </mc:Choice>
      <mc:Fallback xmlns="">
        <xdr:sp macro="" textlink="">
          <xdr:nvSpPr>
            <xdr:cNvPr id="0" name=""/>
            <xdr:cNvSpPr>
              <a:spLocks noTextEdit="1"/>
            </xdr:cNvSpPr>
          </xdr:nvSpPr>
          <xdr:spPr>
            <a:xfrm>
              <a:off x="0" y="1210235"/>
              <a:ext cx="1736912" cy="649941"/>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333375</xdr:colOff>
          <xdr:row>5</xdr:row>
          <xdr:rowOff>28575</xdr:rowOff>
        </xdr:from>
        <xdr:to>
          <xdr:col>2</xdr:col>
          <xdr:colOff>1933575</xdr:colOff>
          <xdr:row>5</xdr:row>
          <xdr:rowOff>276225</xdr:rowOff>
        </xdr:to>
        <xdr:sp macro="" textlink="">
          <xdr:nvSpPr>
            <xdr:cNvPr id="5121" name="TextBox1" hidden="1">
              <a:extLst>
                <a:ext uri="{63B3BB69-23CF-44E3-9099-C40C66FF867C}">
                  <a14:compatExt spid="_x0000_s5121"/>
                </a:ext>
                <a:ext uri="{FF2B5EF4-FFF2-40B4-BE49-F238E27FC236}">
                  <a16:creationId xmlns:a16="http://schemas.microsoft.com/office/drawing/2014/main" id="{00000000-0008-0000-0500-000001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314325</xdr:colOff>
          <xdr:row>1</xdr:row>
          <xdr:rowOff>38100</xdr:rowOff>
        </xdr:from>
        <xdr:to>
          <xdr:col>2</xdr:col>
          <xdr:colOff>1943100</xdr:colOff>
          <xdr:row>1</xdr:row>
          <xdr:rowOff>276225</xdr:rowOff>
        </xdr:to>
        <xdr:sp macro="" textlink="">
          <xdr:nvSpPr>
            <xdr:cNvPr id="5122" name="TextBox2" hidden="1">
              <a:extLst>
                <a:ext uri="{63B3BB69-23CF-44E3-9099-C40C66FF867C}">
                  <a14:compatExt spid="_x0000_s5122"/>
                </a:ext>
                <a:ext uri="{FF2B5EF4-FFF2-40B4-BE49-F238E27FC236}">
                  <a16:creationId xmlns:a16="http://schemas.microsoft.com/office/drawing/2014/main" id="{00000000-0008-0000-0500-00000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314325</xdr:colOff>
          <xdr:row>3</xdr:row>
          <xdr:rowOff>38100</xdr:rowOff>
        </xdr:from>
        <xdr:to>
          <xdr:col>2</xdr:col>
          <xdr:colOff>1914525</xdr:colOff>
          <xdr:row>3</xdr:row>
          <xdr:rowOff>276225</xdr:rowOff>
        </xdr:to>
        <xdr:sp macro="" textlink="">
          <xdr:nvSpPr>
            <xdr:cNvPr id="5123" name="TextBox3" hidden="1">
              <a:extLst>
                <a:ext uri="{63B3BB69-23CF-44E3-9099-C40C66FF867C}">
                  <a14:compatExt spid="_x0000_s5123"/>
                </a:ext>
                <a:ext uri="{FF2B5EF4-FFF2-40B4-BE49-F238E27FC236}">
                  <a16:creationId xmlns:a16="http://schemas.microsoft.com/office/drawing/2014/main" id="{00000000-0008-0000-0500-000003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2</xdr:col>
      <xdr:colOff>28575</xdr:colOff>
      <xdr:row>3</xdr:row>
      <xdr:rowOff>9524</xdr:rowOff>
    </xdr:from>
    <xdr:to>
      <xdr:col>2</xdr:col>
      <xdr:colOff>1952625</xdr:colOff>
      <xdr:row>3</xdr:row>
      <xdr:rowOff>304799</xdr:rowOff>
    </xdr:to>
    <xdr:sp macro="" textlink="">
      <xdr:nvSpPr>
        <xdr:cNvPr id="2" name="Rectangle: Rounded Corners 1">
          <a:extLst>
            <a:ext uri="{FF2B5EF4-FFF2-40B4-BE49-F238E27FC236}">
              <a16:creationId xmlns:a16="http://schemas.microsoft.com/office/drawing/2014/main" id="{215FEFE0-39E4-4F5D-92F0-805D6A017FD4}"/>
            </a:ext>
          </a:extLst>
        </xdr:cNvPr>
        <xdr:cNvSpPr/>
      </xdr:nvSpPr>
      <xdr:spPr>
        <a:xfrm>
          <a:off x="1162050" y="571499"/>
          <a:ext cx="1924050" cy="295275"/>
        </a:xfrm>
        <a:prstGeom prst="round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oneCellAnchor>
    <xdr:from>
      <xdr:col>2</xdr:col>
      <xdr:colOff>38100</xdr:colOff>
      <xdr:row>3</xdr:row>
      <xdr:rowOff>28575</xdr:rowOff>
    </xdr:from>
    <xdr:ext cx="266699" cy="266699"/>
    <xdr:pic>
      <xdr:nvPicPr>
        <xdr:cNvPr id="3" name="Graphic 2" descr="Magnifying glass with solid fill">
          <a:extLst>
            <a:ext uri="{FF2B5EF4-FFF2-40B4-BE49-F238E27FC236}">
              <a16:creationId xmlns:a16="http://schemas.microsoft.com/office/drawing/2014/main" id="{4B94F964-EBF8-4500-9268-09BD3CF711F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71575" y="590550"/>
          <a:ext cx="266699" cy="266699"/>
        </a:xfrm>
        <a:prstGeom prst="rect">
          <a:avLst/>
        </a:prstGeom>
      </xdr:spPr>
    </xdr:pic>
    <xdr:clientData/>
  </xdr:oneCellAnchor>
  <xdr:oneCellAnchor>
    <xdr:from>
      <xdr:col>2</xdr:col>
      <xdr:colOff>42863</xdr:colOff>
      <xdr:row>1</xdr:row>
      <xdr:rowOff>28575</xdr:rowOff>
    </xdr:from>
    <xdr:ext cx="266699" cy="266699"/>
    <xdr:pic>
      <xdr:nvPicPr>
        <xdr:cNvPr id="4" name="Graphic 3" descr="Magnifying glass with solid fill">
          <a:extLst>
            <a:ext uri="{FF2B5EF4-FFF2-40B4-BE49-F238E27FC236}">
              <a16:creationId xmlns:a16="http://schemas.microsoft.com/office/drawing/2014/main" id="{4D248DEF-9DC3-490B-81FA-643507F8826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76338" y="152400"/>
          <a:ext cx="266699" cy="266699"/>
        </a:xfrm>
        <a:prstGeom prst="rect">
          <a:avLst/>
        </a:prstGeom>
      </xdr:spPr>
    </xdr:pic>
    <xdr:clientData/>
  </xdr:oneCellAnchor>
  <xdr:oneCellAnchor>
    <xdr:from>
      <xdr:col>2</xdr:col>
      <xdr:colOff>42863</xdr:colOff>
      <xdr:row>5</xdr:row>
      <xdr:rowOff>21431</xdr:rowOff>
    </xdr:from>
    <xdr:ext cx="266699" cy="266699"/>
    <xdr:pic>
      <xdr:nvPicPr>
        <xdr:cNvPr id="5" name="Graphic 4" descr="Magnifying glass with solid fill">
          <a:extLst>
            <a:ext uri="{FF2B5EF4-FFF2-40B4-BE49-F238E27FC236}">
              <a16:creationId xmlns:a16="http://schemas.microsoft.com/office/drawing/2014/main" id="{14C15BD2-FFEF-4567-952F-CDD5B45D79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76338" y="1021556"/>
          <a:ext cx="266699" cy="266699"/>
        </a:xfrm>
        <a:prstGeom prst="rect">
          <a:avLst/>
        </a:prstGeom>
      </xdr:spPr>
    </xdr:pic>
    <xdr:clientData/>
  </xdr:oneCellAnchor>
  <xdr:twoCellAnchor>
    <xdr:from>
      <xdr:col>2</xdr:col>
      <xdr:colOff>28575</xdr:colOff>
      <xdr:row>1</xdr:row>
      <xdr:rowOff>9524</xdr:rowOff>
    </xdr:from>
    <xdr:to>
      <xdr:col>2</xdr:col>
      <xdr:colOff>1952625</xdr:colOff>
      <xdr:row>1</xdr:row>
      <xdr:rowOff>304799</xdr:rowOff>
    </xdr:to>
    <xdr:sp macro="" textlink="">
      <xdr:nvSpPr>
        <xdr:cNvPr id="6" name="Rectangle: Rounded Corners 5">
          <a:extLst>
            <a:ext uri="{FF2B5EF4-FFF2-40B4-BE49-F238E27FC236}">
              <a16:creationId xmlns:a16="http://schemas.microsoft.com/office/drawing/2014/main" id="{6F0B4415-458E-4623-A5D1-83FAEF9ED313}"/>
            </a:ext>
          </a:extLst>
        </xdr:cNvPr>
        <xdr:cNvSpPr/>
      </xdr:nvSpPr>
      <xdr:spPr>
        <a:xfrm>
          <a:off x="1162050" y="133349"/>
          <a:ext cx="1924050" cy="295275"/>
        </a:xfrm>
        <a:prstGeom prst="round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twoCellAnchor>
    <xdr:from>
      <xdr:col>2</xdr:col>
      <xdr:colOff>38100</xdr:colOff>
      <xdr:row>5</xdr:row>
      <xdr:rowOff>9524</xdr:rowOff>
    </xdr:from>
    <xdr:to>
      <xdr:col>2</xdr:col>
      <xdr:colOff>1962150</xdr:colOff>
      <xdr:row>5</xdr:row>
      <xdr:rowOff>304799</xdr:rowOff>
    </xdr:to>
    <xdr:sp macro="" textlink="">
      <xdr:nvSpPr>
        <xdr:cNvPr id="7" name="Rectangle: Rounded Corners 6">
          <a:extLst>
            <a:ext uri="{FF2B5EF4-FFF2-40B4-BE49-F238E27FC236}">
              <a16:creationId xmlns:a16="http://schemas.microsoft.com/office/drawing/2014/main" id="{8A0A07B1-6AB9-4CD1-8520-ECE7AB823C58}"/>
            </a:ext>
          </a:extLst>
        </xdr:cNvPr>
        <xdr:cNvSpPr/>
      </xdr:nvSpPr>
      <xdr:spPr>
        <a:xfrm>
          <a:off x="1171575" y="1009649"/>
          <a:ext cx="1924050" cy="295275"/>
        </a:xfrm>
        <a:prstGeom prst="round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oneCellAnchor>
    <xdr:from>
      <xdr:col>4</xdr:col>
      <xdr:colOff>42863</xdr:colOff>
      <xdr:row>1</xdr:row>
      <xdr:rowOff>28575</xdr:rowOff>
    </xdr:from>
    <xdr:ext cx="266699" cy="266699"/>
    <xdr:pic>
      <xdr:nvPicPr>
        <xdr:cNvPr id="8" name="Graphic 7" descr="Magnifying glass with solid fill">
          <a:extLst>
            <a:ext uri="{FF2B5EF4-FFF2-40B4-BE49-F238E27FC236}">
              <a16:creationId xmlns:a16="http://schemas.microsoft.com/office/drawing/2014/main" id="{3B478B40-1A96-4C06-BAF1-53A061BFE6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73957" y="147638"/>
          <a:ext cx="266699" cy="266699"/>
        </a:xfrm>
        <a:prstGeom prst="rect">
          <a:avLst/>
        </a:prstGeom>
      </xdr:spPr>
    </xdr:pic>
    <xdr:clientData/>
  </xdr:oneCellAnchor>
  <xdr:twoCellAnchor>
    <xdr:from>
      <xdr:col>4</xdr:col>
      <xdr:colOff>28575</xdr:colOff>
      <xdr:row>1</xdr:row>
      <xdr:rowOff>9524</xdr:rowOff>
    </xdr:from>
    <xdr:to>
      <xdr:col>4</xdr:col>
      <xdr:colOff>1952625</xdr:colOff>
      <xdr:row>1</xdr:row>
      <xdr:rowOff>304799</xdr:rowOff>
    </xdr:to>
    <xdr:sp macro="" textlink="">
      <xdr:nvSpPr>
        <xdr:cNvPr id="9" name="Rectangle: Rounded Corners 8">
          <a:extLst>
            <a:ext uri="{FF2B5EF4-FFF2-40B4-BE49-F238E27FC236}">
              <a16:creationId xmlns:a16="http://schemas.microsoft.com/office/drawing/2014/main" id="{E2504970-5193-4D32-B73E-6B398E6FD346}"/>
            </a:ext>
          </a:extLst>
        </xdr:cNvPr>
        <xdr:cNvSpPr/>
      </xdr:nvSpPr>
      <xdr:spPr>
        <a:xfrm>
          <a:off x="1159669" y="128587"/>
          <a:ext cx="1924050" cy="295275"/>
        </a:xfrm>
        <a:prstGeom prst="roundRect">
          <a:avLst/>
        </a:prstGeom>
        <a:no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mc:AlternateContent xmlns:mc="http://schemas.openxmlformats.org/markup-compatibility/2006">
    <mc:Choice xmlns:a14="http://schemas.microsoft.com/office/drawing/2010/main" Requires="a14">
      <xdr:twoCellAnchor editAs="oneCell">
        <xdr:from>
          <xdr:col>4</xdr:col>
          <xdr:colOff>352425</xdr:colOff>
          <xdr:row>1</xdr:row>
          <xdr:rowOff>38100</xdr:rowOff>
        </xdr:from>
        <xdr:to>
          <xdr:col>4</xdr:col>
          <xdr:colOff>1905000</xdr:colOff>
          <xdr:row>1</xdr:row>
          <xdr:rowOff>276225</xdr:rowOff>
        </xdr:to>
        <xdr:sp macro="" textlink="">
          <xdr:nvSpPr>
            <xdr:cNvPr id="5125" name="TextBox4" hidden="1">
              <a:extLst>
                <a:ext uri="{63B3BB69-23CF-44E3-9099-C40C66FF867C}">
                  <a14:compatExt spid="_x0000_s5125"/>
                </a:ext>
                <a:ext uri="{FF2B5EF4-FFF2-40B4-BE49-F238E27FC236}">
                  <a16:creationId xmlns:a16="http://schemas.microsoft.com/office/drawing/2014/main" id="{00000000-0008-0000-0500-00000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featurePropertyBag/featurePropertyBag.xml><?xml version="1.0" encoding="utf-8"?>
<FeaturePropertyBags xmlns="http://schemas.microsoft.com/office/spreadsheetml/2022/featurepropertybag">
  <bag type="XFControls"/>
  <bag type="XFComplement">
    <bagId k="XFControls">0</bagId>
  </bag>
  <bag type="DXFComplements" extRef="DXFComplementsMapperExtRef">
    <a k="MappedFeaturePropertyBags">
      <bagId>1</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nventory Annex 1" refreshedDate="46111.157060069447" createdVersion="8" refreshedVersion="8" minRefreshableVersion="3" recordCount="1492" xr:uid="{23D4D905-8C7A-478A-9A64-C01F49CDDEFA}">
  <cacheSource type="worksheet">
    <worksheetSource name="inbound_data"/>
  </cacheSource>
  <cacheFields count="33">
    <cacheField name="Inventory Status" numFmtId="165">
      <sharedItems count="3">
        <s v="ZERO"/>
        <s v="INV"/>
        <s v=""/>
      </sharedItems>
    </cacheField>
    <cacheField name="No." numFmtId="0">
      <sharedItems/>
    </cacheField>
    <cacheField name="Generated Stockcode" numFmtId="0">
      <sharedItems/>
    </cacheField>
    <cacheField name="Date Inbound" numFmtId="166">
      <sharedItems containsNonDate="0" containsDate="1" containsString="0" containsBlank="1" minDate="2025-09-10T00:00:00" maxDate="2026-03-26T00:00:00"/>
    </cacheField>
    <cacheField name="Mode of Inbound" numFmtId="0">
      <sharedItems containsBlank="1"/>
    </cacheField>
    <cacheField name="Receiving Report ref.#" numFmtId="0">
      <sharedItems containsBlank="1" containsMixedTypes="1" containsNumber="1" containsInteger="1" minValue="102348" maxValue="122242"/>
    </cacheField>
    <cacheField name="Source" numFmtId="0">
      <sharedItems containsBlank="1"/>
    </cacheField>
    <cacheField name="Truck No." numFmtId="0">
      <sharedItems containsBlank="1"/>
    </cacheField>
    <cacheField name="Gatepass" numFmtId="0">
      <sharedItems containsBlank="1" containsMixedTypes="1" containsNumber="1" containsInteger="1" minValue="69470" maxValue="96470"/>
    </cacheField>
    <cacheField name="Pallet_Series" numFmtId="0">
      <sharedItems containsBlank="1"/>
    </cacheField>
    <cacheField name="Pallet_qty" numFmtId="0">
      <sharedItems containsString="0" containsBlank="1" containsNumber="1" containsInteger="1" minValue="0" maxValue="1"/>
    </cacheField>
    <cacheField name="Item Description" numFmtId="0">
      <sharedItems containsBlank="1" count="58">
        <s v="MINIS ASADO 6'S X12 (APRUB)"/>
        <s v="PORK ASADO SIOPAO 1.3 KG (CHIBAO)"/>
        <s v="ASADO SIOPAO 30'S (500G) (CHIBAO)"/>
        <s v="ASADO SIOPAO 10'S (1.3 KG) (CHIBAO)"/>
        <s v="CHIBAO ASADO SIOPAO 10'S (1.3 KG) (CHIBAO)"/>
        <s v="CHIBAO ASADO SIOMAI 30'S (500G) (CHIBAO)"/>
        <s v="CHIBAO ASADO SIOMAI 30'S (500G)"/>
        <s v="CHIBAO ASADO SIOPAO 10'S (1.3 KG)"/>
        <s v="PORK SIOMAI 500G (CHIBAO)"/>
        <s v="PORK ASADO SIOPAO 1.3KG (CHIBAO)"/>
        <s v="SHRIMP SIOMAI 500G (APRUB)"/>
        <s v="SIOPAO PORK ASADO 1.3KG (CHIBAO)"/>
        <s v="UBE PAO 312G (CHIBAO)"/>
        <s v="PORK/CHICKEN/BEEF/SHRIMP SIOMAI 30'S 500G (APRUB)"/>
        <s v="ASADO SIOPAO JUMBO"/>
        <s v="RED BEAN PAO MINI"/>
        <s v="CHOCO PAO MINI"/>
        <s v="ASADO SIOPAO MINI (APRUB)"/>
        <s v="CHOCO PAO MINI (APRUB)"/>
        <s v="MINI UBE PAO (APRUB)"/>
        <s v="RED BEAN PAO MINI (APRUB)"/>
        <s v="UBE PAO MINI (APRUB)"/>
        <s v="ASADO SIOPAO JUMBO (APRUB)"/>
        <s v="CHICKEN ASADO SIOPAO JUMBO (APRUB)"/>
        <s v="CHICKEN ASADO SIOPAO MINI (APRUB)"/>
        <s v="PORK SIOMAI 30'S 500G"/>
        <s v="SHRIMP SIOMAI 30'S 500G"/>
        <s v="CHICKEN SIOMAI 30'S 500G"/>
        <s v="BEEF SIOMAI 30'S 500G"/>
        <m/>
        <s v="PORK/CHICKEN/BEEF/SHRIMP SIOMAI 30'S (500G)" u="1"/>
        <s v="PORK BONELESS SHOULDER (MAXAGRO)" u="1"/>
        <s v="PORK SHOULDER BONELESS (MAX AGRO)" u="1"/>
        <s v="PORK CUTTING FAT (REIXACH)" u="1"/>
        <s v="PORK MASK (RIVALEA)" u="1"/>
        <s v="PORK BACK FAT SKINLESS (RIVASAM)" u="1"/>
        <s v="PORK MASK (SEVENPOINT)" u="1"/>
        <s v="PORK MASK (SEFICLO)" u="1"/>
        <s v="PORK BACK FAT SKINLESS (COREN)" u="1"/>
        <s v="PORK BELLY BISO SHEET RIBBED (SEARA)" u="1"/>
        <s v="PORK BELLY BLSO SHEET RIBBED (SEARA)" u="1"/>
        <s v="PORK DIAPHRAGM (FRIBIN)" u="1"/>
        <s v="PORK LIVER (SEARA)" u="1"/>
        <s v="CHICKEN MDM (SEARA)" u="1"/>
        <s v="PORK LIVER (MACOBA)" u="1"/>
        <s v="PORK TONGUE ROOT (FRIBIN)" u="1"/>
        <s v="PORK SHOULDER BLSL (SEARA)" u="1"/>
        <s v="PORK CUTTING FAT (CONESTOGA)" u="1"/>
        <s v="PORK BACKFAT SKINLESS (COREN)" u="1"/>
        <s v="PORK MASK W/O SNOUT AND EAR (SEARA)" u="1"/>
        <s v="PORK CUTTING FAT (DU BRETON)" u="1"/>
        <s v="PORK CUTTING FAT (FRISELVA)" u="1"/>
        <s v="PORK SHOULDER PICNIC BLSL (OLYMEL)" u="1"/>
        <s v="PORK BELLY BONELESS SKINLESS (SEARA)" u="1"/>
        <s v="PORK MIXED SKIN (BRITCO)" u="1"/>
        <s v="BONELESS BEEF TRIMMINGS 80VL (MONDELLI)" u="1"/>
        <s v="BONELESS BUFFALO MEAT FOREQUARTER (ALLANA)" u="1"/>
        <s v="BONELESS BUFFALO TRIMMINGS (ALLANA)" u="1"/>
      </sharedItems>
    </cacheField>
    <cacheField name="Container Van No." numFmtId="0">
      <sharedItems containsBlank="1" count="25">
        <s v="LOCAL TRANSFER"/>
        <m/>
        <s v="CGMU 557055-0" u="1"/>
        <s v="SEGU 970394-0" u="1"/>
        <s v="TLLU 119191-0" u="1"/>
        <s v="CGMU 522422-2 (LOCAL)" u="1"/>
        <s v="OTPU 625592-5" u="1"/>
        <s v="OOLU 624364-3" u="1"/>
        <s v="MNBU 054982-2" u="1"/>
        <s v="TTNU 811553-4" u="1"/>
        <s v="MNBU 420679-7" u="1"/>
        <s v="CXRU 692216-2" u="1"/>
        <s v="MNBU-302443-7" u="1"/>
        <s v="MNBU 906018-0" u="1"/>
        <s v="MNBU 427919-7" u="1"/>
        <s v="GESU 954574-7" u="1"/>
        <s v="MEDU 973909-9" u="1"/>
        <s v="MWCU 532822-0" u="1"/>
        <s v="MNBU 319914-6" u="1"/>
        <s v="TRIU 802205-6" u="1"/>
        <s v="MNBU 350417-0 (LOCAL TRANSFER)" u="1"/>
        <s v="EMCU 538926-9" u="1"/>
        <s v="EMCU 552361-3" u="1"/>
        <s v="MMAU 112702-0 (LOCAL TRANSFER)" u="1"/>
        <s v="MNBU 308818-0" u="1"/>
      </sharedItems>
    </cacheField>
    <cacheField name="Production Date" numFmtId="164">
      <sharedItems containsNonDate="0" containsDate="1" containsString="0" containsBlank="1" minDate="2025-09-01T00:00:00" maxDate="2026-05-02T00:00:00"/>
    </cacheField>
    <cacheField name="Expiration Date" numFmtId="164">
      <sharedItems containsNonDate="0" containsDate="1" containsString="0" containsBlank="1" minDate="2026-09-27T00:00:00" maxDate="2027-09-02T00:00:00"/>
    </cacheField>
    <cacheField name="Ageing Day/s" numFmtId="0">
      <sharedItems containsMixedTypes="1" containsNumber="1" containsInteger="1" minValue="181" maxValue="520"/>
    </cacheField>
    <cacheField name="Ageing Remarks" numFmtId="0">
      <sharedItems/>
    </cacheField>
    <cacheField name="In Quantity" numFmtId="43">
      <sharedItems containsString="0" containsBlank="1" containsNumber="1" containsInteger="1" minValue="1" maxValue="77"/>
    </cacheField>
    <cacheField name="In Weight" numFmtId="43">
      <sharedItems containsString="0" containsBlank="1" containsNumber="1" minValue="0.312" maxValue="840"/>
    </cacheField>
    <cacheField name="Ending Quantity" numFmtId="43">
      <sharedItems containsSemiMixedTypes="0" containsString="0" containsNumber="1" containsInteger="1" minValue="0" maxValue="60"/>
    </cacheField>
    <cacheField name="Ending Weight" numFmtId="43">
      <sharedItems containsSemiMixedTypes="0" containsString="0" containsNumber="1" minValue="-203.68799999999999" maxValue="720"/>
    </cacheField>
    <cacheField name="Ending Pallet Quantity" numFmtId="43">
      <sharedItems containsSemiMixedTypes="0" containsString="0" containsNumber="1" containsInteger="1" minValue="0" maxValue="1"/>
    </cacheField>
    <cacheField name="UOM" numFmtId="0">
      <sharedItems containsBlank="1"/>
    </cacheField>
    <cacheField name="WH" numFmtId="0">
      <sharedItems containsBlank="1"/>
    </cacheField>
    <cacheField name="Encoder" numFmtId="0">
      <sharedItems containsBlank="1"/>
    </cacheField>
    <cacheField name="Stock Remarks" numFmtId="0">
      <sharedItems containsBlank="1"/>
    </cacheField>
    <cacheField name="FRZ" numFmtId="0">
      <sharedItems containsString="0" containsBlank="1" containsNumber="1" containsInteger="1" minValue="2" maxValue="5"/>
    </cacheField>
    <cacheField name="CLM" numFmtId="0">
      <sharedItems containsBlank="1"/>
    </cacheField>
    <cacheField name="RW" numFmtId="0">
      <sharedItems containsString="0" containsBlank="1" containsNumber="1" containsInteger="1" minValue="1" maxValue="12"/>
    </cacheField>
    <cacheField name="LVL" numFmtId="0">
      <sharedItems containsString="0" containsBlank="1" containsNumber="1" containsInteger="1" minValue="1" maxValue="7"/>
    </cacheField>
    <cacheField name="SIDE" numFmtId="0">
      <sharedItems containsString="0" containsBlank="1" containsNumber="1" containsInteger="1" minValue="1" maxValue="2"/>
    </cacheField>
    <cacheField name="From Location" numFmtId="165">
      <sharedItems containsBlank="1"/>
    </cacheField>
    <cacheField name="Location" numFmtId="165">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2">
  <r>
    <x v="0"/>
    <s v="00009"/>
    <s v="DUO-00001A/633200009"/>
    <d v="2025-09-10T00:00:00"/>
    <s v="RECEIVING"/>
    <s v="101784"/>
    <s v="TAGUIG"/>
    <s v="CCK-8782"/>
    <n v="73296"/>
    <s v="DUO-00001A/6332"/>
    <n v="1"/>
    <x v="0"/>
    <x v="0"/>
    <d v="2025-09-08T00:00:00"/>
    <d v="2027-03-08T00:00:00"/>
    <s v=""/>
    <s v=""/>
    <n v="70"/>
    <n v="262.08000000000004"/>
    <n v="0"/>
    <n v="0"/>
    <n v="0"/>
    <s v="BXS"/>
    <s v="ANNEX"/>
    <s v="IMEE"/>
    <s v="R"/>
    <n v="4"/>
    <s v="C"/>
    <n v="2"/>
    <n v="4"/>
    <n v="1"/>
    <m/>
    <s v=""/>
  </r>
  <r>
    <x v="0"/>
    <s v="00010"/>
    <s v="DUO-00002A/154300010"/>
    <d v="2025-09-10T00:00:00"/>
    <s v="RECEIVING"/>
    <s v="101784"/>
    <s v="TAGUIG"/>
    <s v="CCK-8782"/>
    <n v="73296"/>
    <s v="DUO-00002A/1543"/>
    <n v="1"/>
    <x v="0"/>
    <x v="0"/>
    <d v="2025-09-08T00:00:00"/>
    <d v="2027-03-08T00:00:00"/>
    <s v=""/>
    <s v=""/>
    <n v="70"/>
    <n v="262.08000000000004"/>
    <n v="0"/>
    <n v="0"/>
    <n v="0"/>
    <s v="BXS"/>
    <s v="ANNEX"/>
    <s v="IMEE"/>
    <s v="B"/>
    <n v="4"/>
    <s v="C"/>
    <n v="2"/>
    <n v="5"/>
    <n v="1"/>
    <m/>
    <s v=""/>
  </r>
  <r>
    <x v="0"/>
    <s v="00011"/>
    <s v="DUO-00003A/500700011"/>
    <d v="2025-09-10T00:00:00"/>
    <s v="RECEIVING"/>
    <s v="101784"/>
    <s v="TAGUIG"/>
    <s v="CCK-8782"/>
    <n v="73296"/>
    <s v="DUO-00003A/5007"/>
    <n v="1"/>
    <x v="0"/>
    <x v="0"/>
    <d v="2025-09-08T00:00:00"/>
    <d v="2027-03-08T00:00:00"/>
    <s v=""/>
    <s v=""/>
    <n v="70"/>
    <n v="262.08000000000004"/>
    <n v="0"/>
    <n v="0"/>
    <n v="0"/>
    <s v="BXS"/>
    <s v="ANNEX"/>
    <s v="IMEE"/>
    <s v="R"/>
    <n v="4"/>
    <s v="A"/>
    <n v="9"/>
    <n v="3"/>
    <n v="2"/>
    <m/>
    <s v=""/>
  </r>
  <r>
    <x v="0"/>
    <s v="00012"/>
    <s v="DUO-00004A/NP00012"/>
    <d v="2025-09-10T00:00:00"/>
    <s v="RECEIVING"/>
    <s v="101784"/>
    <s v="TAGUIG"/>
    <s v="CCK-8782"/>
    <n v="73296"/>
    <s v="DUO-00004A/NP"/>
    <n v="1"/>
    <x v="0"/>
    <x v="0"/>
    <d v="2025-09-08T00:00:00"/>
    <d v="2027-03-08T00:00:00"/>
    <s v=""/>
    <s v=""/>
    <n v="70"/>
    <n v="262.08000000000004"/>
    <n v="0"/>
    <n v="0"/>
    <n v="0"/>
    <s v="BXS"/>
    <s v="ANNEX"/>
    <s v="IMEE"/>
    <s v="R"/>
    <n v="4"/>
    <s v="A"/>
    <n v="12"/>
    <n v="5"/>
    <n v="1"/>
    <s v="4AR09L4.1"/>
    <s v=""/>
  </r>
  <r>
    <x v="0"/>
    <s v="00013"/>
    <s v="DUO-00005A/4182800013"/>
    <d v="2025-09-10T00:00:00"/>
    <s v="RECEIVING"/>
    <s v="101784"/>
    <s v="TAGUIG"/>
    <s v="CCK-8782"/>
    <n v="73296"/>
    <s v="DUO-00005A/41828"/>
    <n v="1"/>
    <x v="0"/>
    <x v="0"/>
    <d v="2025-09-08T00:00:00"/>
    <d v="2027-03-08T00:00:00"/>
    <s v=""/>
    <s v=""/>
    <n v="70"/>
    <n v="262.08000000000004"/>
    <n v="0"/>
    <n v="0"/>
    <n v="0"/>
    <s v="BXS"/>
    <s v="ANNEX"/>
    <s v="IMEE"/>
    <s v="R"/>
    <n v="4"/>
    <s v="A"/>
    <n v="11"/>
    <n v="6"/>
    <n v="2"/>
    <s v="4AR09L3.1"/>
    <s v=""/>
  </r>
  <r>
    <x v="0"/>
    <s v="00014"/>
    <s v="DUO-00006A/142700014"/>
    <d v="2025-09-10T00:00:00"/>
    <s v="RECEIVING"/>
    <s v="101784"/>
    <s v="TAGUIG"/>
    <s v="CCK-8782"/>
    <n v="73296"/>
    <s v="DUO-00006A/1427"/>
    <n v="1"/>
    <x v="0"/>
    <x v="0"/>
    <d v="2025-09-08T00:00:00"/>
    <d v="2027-03-08T00:00:00"/>
    <s v=""/>
    <s v=""/>
    <n v="70"/>
    <n v="262.08000000000004"/>
    <n v="0"/>
    <n v="0"/>
    <n v="0"/>
    <s v="BXS"/>
    <s v="ANNEX"/>
    <s v="IMEE"/>
    <s v="B"/>
    <m/>
    <m/>
    <m/>
    <m/>
    <m/>
    <m/>
    <s v=""/>
  </r>
  <r>
    <x v="0"/>
    <s v="00015"/>
    <s v="DUO-00007A/1064500015"/>
    <d v="2025-09-10T00:00:00"/>
    <s v="RECEIVING"/>
    <s v="101784"/>
    <s v="TAGUIG"/>
    <s v="CCK-8782"/>
    <n v="73296"/>
    <s v="DUO-00007A/10645"/>
    <n v="1"/>
    <x v="0"/>
    <x v="0"/>
    <d v="2025-09-08T00:00:00"/>
    <d v="2027-03-08T00:00:00"/>
    <s v=""/>
    <s v=""/>
    <n v="70"/>
    <n v="262.08000000000004"/>
    <n v="0"/>
    <n v="0"/>
    <n v="0"/>
    <s v="BXS"/>
    <s v="ANNEX"/>
    <s v="IMEE"/>
    <s v="R"/>
    <n v="4"/>
    <s v="C"/>
    <n v="1"/>
    <n v="4"/>
    <n v="2"/>
    <m/>
    <s v=""/>
  </r>
  <r>
    <x v="0"/>
    <s v="00016"/>
    <s v="DUO-00008A/449600016"/>
    <d v="2025-09-10T00:00:00"/>
    <s v="RECEIVING"/>
    <s v="101784"/>
    <s v="TAGUIG"/>
    <s v="CCK-8782"/>
    <n v="73296"/>
    <s v="DUO-00008A/4496"/>
    <n v="1"/>
    <x v="0"/>
    <x v="0"/>
    <d v="2025-09-08T00:00:00"/>
    <d v="2027-03-08T00:00:00"/>
    <s v=""/>
    <s v=""/>
    <n v="70"/>
    <n v="262.08000000000004"/>
    <n v="0"/>
    <n v="0"/>
    <n v="0"/>
    <s v="BXS"/>
    <s v="ANNEX"/>
    <s v="IMEE"/>
    <s v="B"/>
    <n v="4"/>
    <s v="C"/>
    <n v="2"/>
    <n v="4"/>
    <n v="2"/>
    <m/>
    <s v=""/>
  </r>
  <r>
    <x v="0"/>
    <s v="00017"/>
    <s v="DUO-00009A/4034100017"/>
    <d v="2025-09-10T00:00:00"/>
    <s v="RECEIVING"/>
    <s v="101784"/>
    <s v="TAGUIG"/>
    <s v="CCK-8782"/>
    <n v="73296"/>
    <s v="DUO-00009A/40341"/>
    <n v="1"/>
    <x v="0"/>
    <x v="0"/>
    <d v="2025-09-08T00:00:00"/>
    <d v="2027-03-08T00:00:00"/>
    <s v=""/>
    <s v=""/>
    <n v="70"/>
    <n v="262.08000000000004"/>
    <n v="0"/>
    <n v="0"/>
    <n v="0"/>
    <s v="BXS"/>
    <s v="ANNEX"/>
    <s v="IMEE"/>
    <s v="B"/>
    <n v="4"/>
    <s v="C"/>
    <n v="1"/>
    <n v="3"/>
    <n v="2"/>
    <m/>
    <s v=""/>
  </r>
  <r>
    <x v="0"/>
    <s v="00018"/>
    <s v="DUO-00010A/4092100018"/>
    <d v="2025-09-10T00:00:00"/>
    <s v="RECEIVING"/>
    <s v="101784"/>
    <s v="TAGUIG"/>
    <s v="CCK-8782"/>
    <n v="73296"/>
    <s v="DUO-00010A/40921"/>
    <n v="1"/>
    <x v="0"/>
    <x v="0"/>
    <d v="2025-09-08T00:00:00"/>
    <d v="2027-03-08T00:00:00"/>
    <s v=""/>
    <s v=""/>
    <n v="41"/>
    <n v="153.50400000000002"/>
    <n v="0"/>
    <n v="0"/>
    <n v="0"/>
    <s v="BXS"/>
    <s v="ANNEX"/>
    <s v="IMEE"/>
    <s v="R"/>
    <n v="4"/>
    <s v="C"/>
    <n v="2"/>
    <n v="5"/>
    <n v="2"/>
    <m/>
    <s v=""/>
  </r>
  <r>
    <x v="0"/>
    <s v="00019"/>
    <s v="DUO-00011A/484400019"/>
    <d v="2025-09-12T00:00:00"/>
    <s v="RECEIVING"/>
    <s v="101841"/>
    <s v="TAGUIG"/>
    <s v="CCK-8782"/>
    <n v="73339"/>
    <s v="DUO-00011A/4844"/>
    <n v="1"/>
    <x v="0"/>
    <x v="0"/>
    <d v="2025-09-01T00:00:00"/>
    <d v="2027-03-01T00:00:00"/>
    <s v=""/>
    <s v=""/>
    <n v="70"/>
    <n v="262.08000000000004"/>
    <n v="0"/>
    <n v="0"/>
    <n v="0"/>
    <s v="BXS"/>
    <s v="ANNEX"/>
    <s v="IMEE"/>
    <s v="B"/>
    <n v="4"/>
    <s v="A"/>
    <n v="12"/>
    <n v="5"/>
    <n v="2"/>
    <m/>
    <s v=""/>
  </r>
  <r>
    <x v="0"/>
    <s v="00020"/>
    <s v="DUO-00012A/169400020"/>
    <d v="2025-09-12T00:00:00"/>
    <s v="RECEIVING"/>
    <s v="101841"/>
    <s v="TAGUIG"/>
    <s v="CCK-8782"/>
    <n v="73339"/>
    <s v="DUO-00012A/1694"/>
    <n v="1"/>
    <x v="0"/>
    <x v="0"/>
    <d v="2025-09-01T00:00:00"/>
    <d v="2027-03-01T00:00:00"/>
    <s v=""/>
    <s v=""/>
    <n v="70"/>
    <n v="262.08000000000004"/>
    <n v="0"/>
    <n v="0"/>
    <n v="0"/>
    <s v="BXS"/>
    <s v="ANNEX"/>
    <s v="IMEE"/>
    <s v="B"/>
    <n v="4"/>
    <s v="A"/>
    <n v="12"/>
    <n v="6"/>
    <n v="1"/>
    <m/>
    <s v=""/>
  </r>
  <r>
    <x v="0"/>
    <s v="00021"/>
    <s v="DUO-00013A/380000021"/>
    <d v="2025-09-12T00:00:00"/>
    <s v="RECEIVING"/>
    <s v="101841"/>
    <s v="TAGUIG"/>
    <s v="CCK-8782"/>
    <n v="73339"/>
    <s v="DUO-00013A/3800"/>
    <n v="1"/>
    <x v="0"/>
    <x v="0"/>
    <d v="2025-09-01T00:00:00"/>
    <d v="2027-03-01T00:00:00"/>
    <s v=""/>
    <s v=""/>
    <n v="70"/>
    <n v="262.08000000000004"/>
    <n v="0"/>
    <n v="0"/>
    <n v="0"/>
    <s v="BXS"/>
    <s v="ANNEX"/>
    <s v="IMEE"/>
    <s v="R"/>
    <n v="4"/>
    <s v="A"/>
    <n v="11"/>
    <n v="6"/>
    <n v="1"/>
    <m/>
    <s v=""/>
  </r>
  <r>
    <x v="0"/>
    <s v="00022"/>
    <s v="DUO-00014A/854300022"/>
    <d v="2025-09-12T00:00:00"/>
    <s v="RECEIVING"/>
    <s v="101841"/>
    <s v="TAGUIG"/>
    <s v="CCK-8782"/>
    <n v="73339"/>
    <s v="DUO-00014A/8543"/>
    <n v="1"/>
    <x v="0"/>
    <x v="0"/>
    <d v="2025-09-01T00:00:00"/>
    <d v="2027-03-01T00:00:00"/>
    <s v=""/>
    <s v=""/>
    <n v="70"/>
    <n v="262.08000000000004"/>
    <n v="0"/>
    <n v="0"/>
    <n v="0"/>
    <s v="BXS"/>
    <s v="ANNEX"/>
    <s v="IMEE"/>
    <s v="R"/>
    <n v="4"/>
    <s v="A"/>
    <n v="12"/>
    <n v="6"/>
    <n v="2"/>
    <m/>
    <s v=""/>
  </r>
  <r>
    <x v="0"/>
    <s v="00023"/>
    <s v="DUO-00015A/1061000023"/>
    <d v="2025-09-18T00:00:00"/>
    <s v="RECEIVING"/>
    <n v="102348"/>
    <s v="TAGUIG"/>
    <s v="CCK-8782"/>
    <n v="75186"/>
    <s v="DUO-00015A/10610"/>
    <n v="1"/>
    <x v="1"/>
    <x v="0"/>
    <d v="2025-09-16T00:00:00"/>
    <d v="2027-03-16T00:00:00"/>
    <s v=""/>
    <s v=""/>
    <n v="30"/>
    <n v="312"/>
    <n v="0"/>
    <n v="0"/>
    <n v="0"/>
    <s v="BXS"/>
    <s v="ANNEX"/>
    <s v="GLADYS"/>
    <s v="R"/>
    <m/>
    <m/>
    <m/>
    <m/>
    <m/>
    <m/>
    <s v=""/>
  </r>
  <r>
    <x v="0"/>
    <s v="00024"/>
    <s v="DUO-00016A/399900024"/>
    <d v="2025-09-18T00:00:00"/>
    <s v="RECEIVING"/>
    <n v="102348"/>
    <s v="TAGUIG"/>
    <s v="CCK-8782"/>
    <n v="75186"/>
    <s v="DUO-00016A/3999"/>
    <n v="1"/>
    <x v="1"/>
    <x v="0"/>
    <d v="2025-09-16T00:00:00"/>
    <d v="2027-03-16T00:00:00"/>
    <s v=""/>
    <s v=""/>
    <n v="30"/>
    <n v="312"/>
    <n v="0"/>
    <n v="0"/>
    <n v="0"/>
    <s v="BXS"/>
    <s v="ANNEX"/>
    <s v="GLADYS"/>
    <s v="R"/>
    <m/>
    <m/>
    <m/>
    <m/>
    <m/>
    <m/>
    <s v=""/>
  </r>
  <r>
    <x v="0"/>
    <s v="00025"/>
    <s v="DUO-00017A/884700025"/>
    <d v="2025-09-18T00:00:00"/>
    <s v="RECEIVING"/>
    <n v="102348"/>
    <s v="TAGUIG"/>
    <s v="CCK-8782"/>
    <n v="75186"/>
    <s v="DUO-00017A/8847"/>
    <n v="1"/>
    <x v="1"/>
    <x v="0"/>
    <d v="2025-09-16T00:00:00"/>
    <d v="2027-03-16T00:00:00"/>
    <s v=""/>
    <s v=""/>
    <n v="30"/>
    <n v="312"/>
    <n v="0"/>
    <n v="0"/>
    <n v="0"/>
    <s v="BXS"/>
    <s v="ANNEX"/>
    <s v="GLADYS"/>
    <s v="R"/>
    <m/>
    <m/>
    <m/>
    <m/>
    <m/>
    <m/>
    <s v=""/>
  </r>
  <r>
    <x v="0"/>
    <s v="00026"/>
    <s v="DUO-00018A/476400026"/>
    <d v="2025-09-18T00:00:00"/>
    <s v="RECEIVING"/>
    <n v="102348"/>
    <s v="TAGUIG"/>
    <s v="CCK-8782"/>
    <n v="75186"/>
    <s v="DUO-00018A/4764"/>
    <n v="1"/>
    <x v="1"/>
    <x v="0"/>
    <d v="2025-09-16T00:00:00"/>
    <d v="2027-03-16T00:00:00"/>
    <s v=""/>
    <s v=""/>
    <n v="30"/>
    <n v="312"/>
    <n v="0"/>
    <n v="0"/>
    <n v="0"/>
    <s v="BXS"/>
    <s v="ANNEX"/>
    <s v="GLADYS"/>
    <s v="B"/>
    <m/>
    <m/>
    <m/>
    <m/>
    <m/>
    <m/>
    <s v=""/>
  </r>
  <r>
    <x v="0"/>
    <s v="00027"/>
    <s v="DUO-00019A/610500027"/>
    <d v="2025-09-18T00:00:00"/>
    <s v="RECEIVING"/>
    <n v="102348"/>
    <s v="TAGUIG"/>
    <s v="CCK-8782"/>
    <n v="75186"/>
    <s v="DUO-00019A/6105"/>
    <n v="1"/>
    <x v="1"/>
    <x v="0"/>
    <d v="2025-09-16T00:00:00"/>
    <d v="2027-03-16T00:00:00"/>
    <s v=""/>
    <s v=""/>
    <n v="30"/>
    <n v="312"/>
    <n v="0"/>
    <n v="0"/>
    <n v="0"/>
    <s v="BXS"/>
    <s v="ANNEX"/>
    <s v="GLADYS"/>
    <s v="R"/>
    <m/>
    <m/>
    <m/>
    <m/>
    <m/>
    <m/>
    <s v=""/>
  </r>
  <r>
    <x v="0"/>
    <s v="00028"/>
    <s v="DUO-00020A/4155400028"/>
    <d v="2025-09-18T00:00:00"/>
    <s v="RECEIVING"/>
    <n v="102348"/>
    <s v="TAGUIG"/>
    <s v="CCK-8782"/>
    <n v="75186"/>
    <s v="DUO-00020A/41554"/>
    <n v="1"/>
    <x v="1"/>
    <x v="0"/>
    <d v="2025-09-16T00:00:00"/>
    <d v="2027-03-16T00:00:00"/>
    <s v=""/>
    <s v=""/>
    <n v="30"/>
    <n v="312"/>
    <n v="0"/>
    <n v="0"/>
    <n v="0"/>
    <s v="BXS"/>
    <s v="ANNEX"/>
    <s v="GLADYS"/>
    <s v="B"/>
    <n v="2"/>
    <s v="A"/>
    <n v="6"/>
    <n v="3"/>
    <n v="1"/>
    <m/>
    <s v=""/>
  </r>
  <r>
    <x v="0"/>
    <s v="00029"/>
    <s v="DUO-00021A/308000029"/>
    <d v="2025-09-18T00:00:00"/>
    <s v="RECEIVING"/>
    <n v="102348"/>
    <s v="TAGUIG"/>
    <s v="CCK-8782"/>
    <n v="75186"/>
    <s v="DUO-00021A/3080"/>
    <n v="1"/>
    <x v="1"/>
    <x v="0"/>
    <d v="2025-09-16T00:00:00"/>
    <d v="2027-03-16T00:00:00"/>
    <s v=""/>
    <s v=""/>
    <n v="30"/>
    <n v="312"/>
    <n v="0"/>
    <n v="0"/>
    <n v="0"/>
    <s v="BXS"/>
    <s v="ANNEX"/>
    <s v="GLADYS"/>
    <s v="R"/>
    <n v="2"/>
    <s v="A"/>
    <n v="6"/>
    <n v="4"/>
    <n v="2"/>
    <m/>
    <s v=""/>
  </r>
  <r>
    <x v="0"/>
    <s v="00030"/>
    <s v="DUO-00022A/NP00030"/>
    <d v="2025-10-14T00:00:00"/>
    <s v="RECEIVING"/>
    <n v="105131"/>
    <s v="CALOOCAN"/>
    <s v="CCK-8782"/>
    <n v="78680"/>
    <s v="DUO-00022A/NP"/>
    <n v="1"/>
    <x v="2"/>
    <x v="0"/>
    <d v="2025-10-01T00:00:00"/>
    <d v="2027-04-01T00:00:00"/>
    <s v=""/>
    <s v=""/>
    <n v="50"/>
    <n v="600"/>
    <n v="0"/>
    <n v="0"/>
    <n v="0"/>
    <s v="BXS"/>
    <s v="ANNEX"/>
    <s v="LAINE"/>
    <s v="R"/>
    <m/>
    <m/>
    <m/>
    <m/>
    <m/>
    <m/>
    <s v=""/>
  </r>
  <r>
    <x v="0"/>
    <s v="00031"/>
    <s v="DUO-00023A/163900031"/>
    <d v="2025-10-14T00:00:00"/>
    <s v="RECEIVING"/>
    <n v="105131"/>
    <s v="CALOOCAN"/>
    <s v="CCK-8782"/>
    <n v="78680"/>
    <s v="DUO-00023A/1639"/>
    <n v="1"/>
    <x v="2"/>
    <x v="0"/>
    <d v="2025-10-01T00:00:00"/>
    <d v="2027-04-01T00:00:00"/>
    <s v=""/>
    <s v=""/>
    <n v="37"/>
    <n v="444"/>
    <n v="0"/>
    <n v="0"/>
    <n v="0"/>
    <s v="BXS"/>
    <s v="ANNEX"/>
    <s v="LAINE"/>
    <s v="B"/>
    <m/>
    <m/>
    <m/>
    <m/>
    <m/>
    <m/>
    <s v=""/>
  </r>
  <r>
    <x v="0"/>
    <s v="00032"/>
    <s v="DUO-00024A/1003300032"/>
    <d v="2025-10-14T00:00:00"/>
    <s v="RECEIVING"/>
    <n v="105131"/>
    <s v="CALOOCAN"/>
    <s v="CCK-8782"/>
    <n v="78680"/>
    <s v="DUO-00024A/10033"/>
    <n v="1"/>
    <x v="3"/>
    <x v="0"/>
    <d v="2025-10-01T00:00:00"/>
    <d v="2027-04-01T00:00:00"/>
    <s v=""/>
    <s v=""/>
    <n v="30"/>
    <n v="312"/>
    <n v="0"/>
    <n v="0"/>
    <n v="0"/>
    <s v="BXS"/>
    <s v="ANNEX"/>
    <s v="LAINE"/>
    <s v="R"/>
    <m/>
    <m/>
    <m/>
    <m/>
    <m/>
    <m/>
    <s v=""/>
  </r>
  <r>
    <x v="0"/>
    <s v="00033"/>
    <s v="DUO-00025A/94600033"/>
    <d v="2025-10-14T00:00:00"/>
    <s v="RECEIVING"/>
    <n v="105131"/>
    <s v="CALOOCAN"/>
    <s v="CCK-8782"/>
    <n v="78680"/>
    <s v="DUO-00025A/946"/>
    <n v="1"/>
    <x v="3"/>
    <x v="0"/>
    <d v="2025-10-01T00:00:00"/>
    <d v="2027-04-01T00:00:00"/>
    <s v=""/>
    <s v=""/>
    <n v="30"/>
    <n v="312"/>
    <n v="0"/>
    <n v="0"/>
    <n v="0"/>
    <s v="BXS"/>
    <s v="ANNEX"/>
    <s v="LAINE"/>
    <s v="R"/>
    <m/>
    <m/>
    <m/>
    <m/>
    <m/>
    <m/>
    <s v=""/>
  </r>
  <r>
    <x v="0"/>
    <s v="00034"/>
    <s v="DUO-00026A/701700034"/>
    <d v="2025-10-14T00:00:00"/>
    <s v="RECEIVING"/>
    <n v="105131"/>
    <s v="CALOOCAN"/>
    <s v="CCK-8782"/>
    <n v="78680"/>
    <s v="DUO-00026A/7017"/>
    <n v="1"/>
    <x v="3"/>
    <x v="0"/>
    <d v="2025-10-01T00:00:00"/>
    <d v="2027-04-01T00:00:00"/>
    <s v=""/>
    <s v=""/>
    <n v="30"/>
    <n v="312"/>
    <n v="0"/>
    <n v="0"/>
    <n v="0"/>
    <s v="BXS"/>
    <s v="ANNEX"/>
    <s v="LAINE"/>
    <s v="R"/>
    <m/>
    <m/>
    <m/>
    <m/>
    <m/>
    <m/>
    <s v=""/>
  </r>
  <r>
    <x v="0"/>
    <s v="00035"/>
    <s v="DUO-00027A/626900035"/>
    <d v="2025-10-14T00:00:00"/>
    <s v="RECEIVING"/>
    <n v="105131"/>
    <s v="CALOOCAN"/>
    <s v="CCK-8782"/>
    <n v="78680"/>
    <s v="DUO-00027A/6269"/>
    <n v="1"/>
    <x v="3"/>
    <x v="0"/>
    <d v="2025-10-01T00:00:00"/>
    <d v="2027-04-01T00:00:00"/>
    <s v=""/>
    <s v=""/>
    <n v="30"/>
    <n v="312"/>
    <n v="0"/>
    <n v="0"/>
    <n v="0"/>
    <s v="BXS"/>
    <s v="ANNEX"/>
    <s v="LAINE"/>
    <s v="R"/>
    <m/>
    <m/>
    <m/>
    <m/>
    <m/>
    <m/>
    <s v=""/>
  </r>
  <r>
    <x v="0"/>
    <s v="00036"/>
    <s v="DUO-00028A/47800036"/>
    <d v="2025-10-14T00:00:00"/>
    <s v="RECEIVING"/>
    <n v="105131"/>
    <s v="CALOOCAN"/>
    <s v="CCK-8782"/>
    <n v="78680"/>
    <s v="DUO-00028A/478"/>
    <n v="1"/>
    <x v="3"/>
    <x v="0"/>
    <d v="2025-10-01T00:00:00"/>
    <d v="2027-04-01T00:00:00"/>
    <s v=""/>
    <s v=""/>
    <n v="30"/>
    <n v="312"/>
    <n v="0"/>
    <n v="0"/>
    <n v="0"/>
    <s v="BXS"/>
    <s v="ANNEX"/>
    <s v="LAINE"/>
    <s v="R"/>
    <m/>
    <m/>
    <m/>
    <m/>
    <m/>
    <m/>
    <s v=""/>
  </r>
  <r>
    <x v="0"/>
    <s v="00037"/>
    <s v="DUO-00029A/162000037"/>
    <d v="2025-10-14T00:00:00"/>
    <s v="RECEIVING"/>
    <n v="105131"/>
    <s v="CALOOCAN"/>
    <s v="CCK-8782"/>
    <n v="78680"/>
    <s v="DUO-00029A/1620"/>
    <n v="1"/>
    <x v="3"/>
    <x v="0"/>
    <d v="2025-10-01T00:00:00"/>
    <d v="2027-04-01T00:00:00"/>
    <s v=""/>
    <s v=""/>
    <n v="30"/>
    <n v="312"/>
    <n v="0"/>
    <n v="0"/>
    <n v="0"/>
    <s v="BXS"/>
    <s v="ANNEX"/>
    <s v="LAINE"/>
    <s v="B"/>
    <m/>
    <m/>
    <m/>
    <m/>
    <m/>
    <m/>
    <s v=""/>
  </r>
  <r>
    <x v="0"/>
    <s v="00038"/>
    <s v="DUO-00030A/762000038"/>
    <d v="2025-10-14T00:00:00"/>
    <s v="RECEIVING"/>
    <n v="105131"/>
    <s v="CALOOCAN"/>
    <s v="CCK-8782"/>
    <n v="78680"/>
    <s v="DUO-00030A/7620"/>
    <n v="1"/>
    <x v="3"/>
    <x v="0"/>
    <d v="2025-10-01T00:00:00"/>
    <d v="2027-04-01T00:00:00"/>
    <s v=""/>
    <s v=""/>
    <n v="30"/>
    <n v="312"/>
    <n v="0"/>
    <n v="0"/>
    <n v="0"/>
    <s v="BXS"/>
    <s v="ANNEX"/>
    <s v="LAINE"/>
    <s v="R"/>
    <m/>
    <m/>
    <m/>
    <m/>
    <m/>
    <m/>
    <s v=""/>
  </r>
  <r>
    <x v="0"/>
    <s v="00039"/>
    <s v="DUO-00031A/1056800039"/>
    <d v="2025-10-14T00:00:00"/>
    <s v="RECEIVING"/>
    <n v="105131"/>
    <s v="CALOOCAN"/>
    <s v="CCK-8782"/>
    <n v="78680"/>
    <s v="DUO-00031A/10568"/>
    <n v="1"/>
    <x v="3"/>
    <x v="0"/>
    <d v="2025-10-01T00:00:00"/>
    <d v="2027-04-01T00:00:00"/>
    <s v=""/>
    <s v=""/>
    <n v="30"/>
    <n v="312"/>
    <n v="0"/>
    <n v="0"/>
    <n v="0"/>
    <s v="BXS"/>
    <s v="ANNEX"/>
    <s v="LAINE"/>
    <s v="R"/>
    <m/>
    <m/>
    <m/>
    <m/>
    <m/>
    <m/>
    <s v=""/>
  </r>
  <r>
    <x v="0"/>
    <s v="00040"/>
    <s v="DUO-00032A/792600040"/>
    <d v="2025-10-15T00:00:00"/>
    <s v="RECEIVING"/>
    <n v="105317"/>
    <s v="CALOOCAN"/>
    <s v="NGN-7085"/>
    <n v="78706"/>
    <s v="DUO-00032A/7926"/>
    <n v="1"/>
    <x v="4"/>
    <x v="0"/>
    <d v="2025-10-01T00:00:00"/>
    <d v="2027-04-01T00:00:00"/>
    <s v=""/>
    <s v=""/>
    <n v="30"/>
    <n v="312"/>
    <n v="0"/>
    <n v="0"/>
    <n v="0"/>
    <s v="BXS"/>
    <s v="ANNEX"/>
    <s v="LAINE"/>
    <s v="R"/>
    <n v="2"/>
    <s v="A"/>
    <n v="6"/>
    <n v="4"/>
    <n v="1"/>
    <m/>
    <s v=""/>
  </r>
  <r>
    <x v="0"/>
    <s v="00041"/>
    <s v="DUO-00033A/593500041"/>
    <d v="2025-10-15T00:00:00"/>
    <s v="RECEIVING"/>
    <n v="105317"/>
    <s v="CALOOCAN"/>
    <s v="NGN-7085"/>
    <n v="78706"/>
    <s v="DUO-00033A/5935"/>
    <n v="1"/>
    <x v="4"/>
    <x v="0"/>
    <d v="2025-10-01T00:00:00"/>
    <d v="2027-04-01T00:00:00"/>
    <s v=""/>
    <s v=""/>
    <n v="30"/>
    <n v="312"/>
    <n v="0"/>
    <n v="0"/>
    <n v="0"/>
    <s v="BXS"/>
    <s v="ANNEX"/>
    <s v="LAINE"/>
    <s v="B"/>
    <n v="2"/>
    <s v="B"/>
    <n v="8"/>
    <n v="7"/>
    <n v="2"/>
    <m/>
    <s v=""/>
  </r>
  <r>
    <x v="0"/>
    <s v="00042"/>
    <s v="DUO-00034A/589800042"/>
    <d v="2025-10-15T00:00:00"/>
    <s v="RECEIVING"/>
    <n v="105317"/>
    <s v="CALOOCAN"/>
    <s v="NGN-7085"/>
    <n v="78706"/>
    <s v="DUO-00034A/5898"/>
    <n v="1"/>
    <x v="4"/>
    <x v="0"/>
    <d v="2025-10-01T00:00:00"/>
    <d v="2027-04-01T00:00:00"/>
    <s v=""/>
    <s v=""/>
    <n v="30"/>
    <n v="312"/>
    <n v="0"/>
    <n v="0"/>
    <n v="0"/>
    <s v="BXS"/>
    <s v="ANNEX"/>
    <s v="LAINE"/>
    <s v="R"/>
    <n v="2"/>
    <s v="B"/>
    <n v="6"/>
    <n v="5"/>
    <n v="2"/>
    <m/>
    <s v=""/>
  </r>
  <r>
    <x v="0"/>
    <s v="00043"/>
    <s v="DUO-00035A/4042200043"/>
    <d v="2025-10-15T00:00:00"/>
    <s v="RECEIVING"/>
    <n v="105317"/>
    <s v="CALOOCAN"/>
    <s v="NGN-7085"/>
    <n v="78706"/>
    <s v="DUO-00035A/40422"/>
    <n v="1"/>
    <x v="4"/>
    <x v="0"/>
    <d v="2025-10-01T00:00:00"/>
    <d v="2027-04-01T00:00:00"/>
    <s v=""/>
    <s v=""/>
    <n v="30"/>
    <n v="312"/>
    <n v="0"/>
    <n v="0"/>
    <n v="0"/>
    <s v="BXS"/>
    <s v="ANNEX"/>
    <s v="LAINE"/>
    <s v="R"/>
    <n v="2"/>
    <s v="B"/>
    <n v="6"/>
    <n v="5"/>
    <n v="1"/>
    <m/>
    <s v=""/>
  </r>
  <r>
    <x v="0"/>
    <s v="00044"/>
    <s v="DUO-00036A/330900044"/>
    <d v="2025-10-15T00:00:00"/>
    <s v="RECEIVING"/>
    <n v="105317"/>
    <s v="CALOOCAN"/>
    <s v="NGN-7085"/>
    <n v="78706"/>
    <s v="DUO-00036A/3309"/>
    <n v="1"/>
    <x v="5"/>
    <x v="0"/>
    <d v="2025-10-01T00:00:00"/>
    <d v="2027-04-01T00:00:00"/>
    <s v=""/>
    <s v=""/>
    <n v="50"/>
    <n v="600"/>
    <n v="0"/>
    <n v="0"/>
    <n v="0"/>
    <s v="BXS"/>
    <s v="ANNEX"/>
    <s v="LAINE"/>
    <s v="R"/>
    <n v="2"/>
    <s v="A"/>
    <n v="6"/>
    <n v="4"/>
    <n v="2"/>
    <m/>
    <s v=""/>
  </r>
  <r>
    <x v="0"/>
    <s v="00045"/>
    <s v="DUO-00037A/138100045"/>
    <d v="2025-10-15T00:00:00"/>
    <s v="RECEIVING"/>
    <n v="105317"/>
    <s v="CALOOCAN"/>
    <s v="NGN-7085"/>
    <n v="78706"/>
    <s v="DUO-00037A/1381"/>
    <n v="1"/>
    <x v="5"/>
    <x v="0"/>
    <d v="2025-10-01T00:00:00"/>
    <d v="2027-04-01T00:00:00"/>
    <s v=""/>
    <s v=""/>
    <n v="41"/>
    <n v="492"/>
    <n v="0"/>
    <n v="0"/>
    <n v="0"/>
    <s v="BXS"/>
    <s v="ANNEX"/>
    <s v="LAINE"/>
    <s v="R"/>
    <n v="2"/>
    <s v="B"/>
    <n v="8"/>
    <n v="7"/>
    <n v="1"/>
    <m/>
    <s v=""/>
  </r>
  <r>
    <x v="0"/>
    <s v="00046"/>
    <s v="DUO-00038A/183400046"/>
    <d v="2025-10-16T00:00:00"/>
    <s v="RECEIVING"/>
    <n v="105330"/>
    <s v="CALOOCAN"/>
    <s v="CCK-8782"/>
    <n v="78716"/>
    <s v="DUO-00038A/1834"/>
    <n v="1"/>
    <x v="6"/>
    <x v="0"/>
    <d v="2025-10-15T00:00:00"/>
    <d v="2027-04-15T00:00:00"/>
    <s v=""/>
    <s v=""/>
    <n v="30"/>
    <n v="360"/>
    <n v="0"/>
    <n v="0"/>
    <n v="0"/>
    <s v="BXS"/>
    <s v="ANNEX"/>
    <s v="IMEE"/>
    <m/>
    <m/>
    <m/>
    <m/>
    <m/>
    <m/>
    <m/>
    <s v=""/>
  </r>
  <r>
    <x v="0"/>
    <s v="00047"/>
    <s v="DUO-00039A/748700047"/>
    <d v="2025-10-16T00:00:00"/>
    <s v="RECEIVING"/>
    <n v="105330"/>
    <s v="CALOOCAN"/>
    <s v="CCK-8782"/>
    <n v="78716"/>
    <s v="DUO-00039A/7487"/>
    <n v="1"/>
    <x v="7"/>
    <x v="0"/>
    <d v="2025-10-15T00:00:00"/>
    <d v="2027-04-15T00:00:00"/>
    <s v=""/>
    <s v=""/>
    <n v="30"/>
    <n v="312"/>
    <n v="0"/>
    <n v="0"/>
    <n v="0"/>
    <s v="BXS"/>
    <s v="ANNEX"/>
    <s v="IMEE"/>
    <m/>
    <m/>
    <m/>
    <m/>
    <m/>
    <m/>
    <m/>
    <s v=""/>
  </r>
  <r>
    <x v="0"/>
    <s v="00048"/>
    <s v="DUO-00040A/4111800048"/>
    <d v="2025-10-16T00:00:00"/>
    <s v="RECEIVING"/>
    <n v="105330"/>
    <s v="CALOOCAN"/>
    <s v="CCK-8782"/>
    <n v="78716"/>
    <s v="DUO-00040A/41118"/>
    <n v="1"/>
    <x v="7"/>
    <x v="0"/>
    <d v="2025-10-15T00:00:00"/>
    <d v="2027-04-15T00:00:00"/>
    <s v=""/>
    <s v=""/>
    <n v="25"/>
    <n v="260"/>
    <n v="0"/>
    <n v="0"/>
    <n v="0"/>
    <s v="BXS"/>
    <s v="ANNEX"/>
    <s v="IMEE"/>
    <m/>
    <m/>
    <m/>
    <m/>
    <m/>
    <m/>
    <m/>
    <s v=""/>
  </r>
  <r>
    <x v="0"/>
    <s v="00049"/>
    <s v="DUO-00040A/259500049"/>
    <d v="2025-11-27T00:00:00"/>
    <s v="RECEIVING"/>
    <n v="109569"/>
    <s v="DUO POWER"/>
    <s v="CCK-8785"/>
    <n v="83318"/>
    <s v="DUO-00040A/2595"/>
    <n v="1"/>
    <x v="8"/>
    <x v="0"/>
    <d v="2025-11-25T00:00:00"/>
    <d v="2027-05-26T00:00:00"/>
    <s v=""/>
    <s v=""/>
    <n v="50"/>
    <n v="600"/>
    <n v="0"/>
    <n v="0"/>
    <n v="0"/>
    <s v="BXS"/>
    <s v="ANNEX"/>
    <s v="JAYSON"/>
    <m/>
    <m/>
    <m/>
    <m/>
    <m/>
    <m/>
    <m/>
    <s v=""/>
  </r>
  <r>
    <x v="0"/>
    <s v="00050"/>
    <s v="DUO-00041A/453800050"/>
    <d v="2025-11-27T00:00:00"/>
    <s v="RECEIVING"/>
    <n v="109569"/>
    <s v="DUO POWER"/>
    <s v="CCK-8785"/>
    <n v="83318"/>
    <s v="DUO-00041A/4538"/>
    <n v="1"/>
    <x v="8"/>
    <x v="0"/>
    <d v="2025-11-25T00:00:00"/>
    <d v="2027-05-26T00:00:00"/>
    <s v=""/>
    <s v=""/>
    <n v="50"/>
    <n v="600"/>
    <n v="0"/>
    <n v="0"/>
    <n v="0"/>
    <s v="BXS"/>
    <s v="ANNEX"/>
    <s v="JAYSON"/>
    <m/>
    <m/>
    <m/>
    <m/>
    <m/>
    <m/>
    <m/>
    <s v=""/>
  </r>
  <r>
    <x v="0"/>
    <s v="00051"/>
    <s v="DUO-00042A/767100051"/>
    <d v="2025-11-27T00:00:00"/>
    <s v="RECEIVING"/>
    <n v="109569"/>
    <s v="DUO POWER"/>
    <s v="CCK-8785"/>
    <n v="83318"/>
    <s v="DUO-00042A/7671"/>
    <n v="1"/>
    <x v="9"/>
    <x v="0"/>
    <d v="2025-11-25T00:00:00"/>
    <d v="2027-05-26T00:00:00"/>
    <s v=""/>
    <s v=""/>
    <n v="30"/>
    <n v="312"/>
    <n v="0"/>
    <n v="0"/>
    <n v="0"/>
    <s v="BXS"/>
    <s v="ANNEX"/>
    <s v="JAYSON"/>
    <m/>
    <m/>
    <m/>
    <m/>
    <m/>
    <m/>
    <m/>
    <s v=""/>
  </r>
  <r>
    <x v="0"/>
    <s v="00052"/>
    <s v="DUO-00043A/197000052"/>
    <d v="2025-11-27T00:00:00"/>
    <s v="RECEIVING"/>
    <n v="109569"/>
    <s v="DUO POWER"/>
    <s v="CCK-8785"/>
    <n v="83318"/>
    <s v="DUO-00043A/1970"/>
    <n v="1"/>
    <x v="9"/>
    <x v="0"/>
    <d v="2025-11-25T00:00:00"/>
    <d v="2027-05-26T00:00:00"/>
    <s v=""/>
    <s v=""/>
    <n v="30"/>
    <n v="312"/>
    <n v="0"/>
    <n v="0"/>
    <n v="0"/>
    <s v="BXS"/>
    <s v="ANNEX"/>
    <s v="JAYSON"/>
    <m/>
    <m/>
    <m/>
    <m/>
    <m/>
    <m/>
    <m/>
    <s v=""/>
  </r>
  <r>
    <x v="0"/>
    <s v="00053"/>
    <s v="DUO-00044A/155600053"/>
    <d v="2025-11-27T00:00:00"/>
    <s v="RECEIVING"/>
    <n v="109569"/>
    <s v="DUO POWER"/>
    <s v="CCK-8785"/>
    <n v="83318"/>
    <s v="DUO-00044A/1556"/>
    <n v="1"/>
    <x v="9"/>
    <x v="0"/>
    <d v="2025-11-25T00:00:00"/>
    <d v="2027-05-26T00:00:00"/>
    <s v=""/>
    <s v=""/>
    <n v="30"/>
    <n v="312"/>
    <n v="0"/>
    <n v="0"/>
    <n v="0"/>
    <s v="BXS"/>
    <s v="ANNEX"/>
    <s v="JAYSON"/>
    <m/>
    <n v="4"/>
    <s v="C"/>
    <n v="8"/>
    <n v="6"/>
    <n v="1"/>
    <m/>
    <s v=""/>
  </r>
  <r>
    <x v="0"/>
    <s v="00054"/>
    <s v="DUO-00045A/414700054"/>
    <d v="2025-11-27T00:00:00"/>
    <s v="RECEIVING"/>
    <n v="109569"/>
    <s v="DUO POWER"/>
    <s v="CCK-8785"/>
    <n v="83318"/>
    <s v="DUO-00045A/4147"/>
    <n v="1"/>
    <x v="9"/>
    <x v="0"/>
    <d v="2025-11-25T00:00:00"/>
    <d v="2027-05-26T00:00:00"/>
    <s v=""/>
    <s v=""/>
    <n v="30"/>
    <n v="312"/>
    <n v="0"/>
    <n v="0"/>
    <n v="0"/>
    <s v="BXS"/>
    <s v="ANNEX"/>
    <s v="JAYSON"/>
    <m/>
    <n v="4"/>
    <s v="C"/>
    <n v="5"/>
    <n v="3"/>
    <n v="1"/>
    <m/>
    <s v=""/>
  </r>
  <r>
    <x v="0"/>
    <s v="00055"/>
    <s v="DUO-00046A/141000055"/>
    <d v="2025-11-27T00:00:00"/>
    <s v="RECEIVING"/>
    <n v="109569"/>
    <s v="DUO POWER"/>
    <s v="CCK-8785"/>
    <n v="83318"/>
    <s v="DUO-00046A/1410"/>
    <n v="1"/>
    <x v="9"/>
    <x v="0"/>
    <d v="2025-11-25T00:00:00"/>
    <d v="2027-05-26T00:00:00"/>
    <s v=""/>
    <s v=""/>
    <n v="30"/>
    <n v="312"/>
    <n v="0"/>
    <n v="0"/>
    <n v="0"/>
    <s v="BXS"/>
    <s v="ANNEX"/>
    <s v="JAYSON"/>
    <m/>
    <n v="4"/>
    <s v="D"/>
    <n v="2"/>
    <n v="6"/>
    <n v="2"/>
    <m/>
    <s v=""/>
  </r>
  <r>
    <x v="0"/>
    <s v="00056"/>
    <s v="DUO-00047A/578400056"/>
    <d v="2025-11-27T00:00:00"/>
    <s v="RECEIVING"/>
    <n v="109569"/>
    <s v="DUO POWER"/>
    <s v="CCK-8785"/>
    <n v="83318"/>
    <s v="DUO-00047A/5784"/>
    <n v="1"/>
    <x v="9"/>
    <x v="0"/>
    <d v="2025-11-25T00:00:00"/>
    <d v="2027-05-26T00:00:00"/>
    <s v=""/>
    <s v=""/>
    <n v="30"/>
    <n v="312"/>
    <n v="0"/>
    <n v="0"/>
    <n v="0"/>
    <s v="BXS"/>
    <s v="ANNEX"/>
    <s v="JAYSON"/>
    <m/>
    <n v="4"/>
    <s v="C"/>
    <n v="4"/>
    <n v="5"/>
    <n v="1"/>
    <m/>
    <s v=""/>
  </r>
  <r>
    <x v="0"/>
    <s v="00057"/>
    <s v="DUO-00048A/881800057"/>
    <d v="2025-11-27T00:00:00"/>
    <s v="RECEIVING"/>
    <n v="109569"/>
    <s v="DUO POWER"/>
    <s v="CCK-8785"/>
    <n v="83318"/>
    <s v="DUO-00048A/8818"/>
    <n v="1"/>
    <x v="9"/>
    <x v="0"/>
    <d v="2025-11-25T00:00:00"/>
    <d v="2027-05-26T00:00:00"/>
    <s v=""/>
    <s v=""/>
    <n v="30"/>
    <n v="312"/>
    <n v="0"/>
    <n v="0"/>
    <n v="0"/>
    <s v="BXS"/>
    <s v="ANNEX"/>
    <s v="JAYSON"/>
    <m/>
    <n v="4"/>
    <s v="C"/>
    <n v="6"/>
    <n v="3"/>
    <n v="1"/>
    <m/>
    <s v=""/>
  </r>
  <r>
    <x v="0"/>
    <s v="00058"/>
    <s v="DUO-00049A/93300058"/>
    <d v="2025-11-27T00:00:00"/>
    <s v="RECEIVING"/>
    <n v="109569"/>
    <s v="DUO POWER"/>
    <s v="CCK-8785"/>
    <n v="83318"/>
    <s v="DUO-00049A/933"/>
    <n v="1"/>
    <x v="9"/>
    <x v="0"/>
    <d v="2025-11-25T00:00:00"/>
    <d v="2027-05-26T00:00:00"/>
    <s v=""/>
    <s v=""/>
    <n v="30"/>
    <n v="312"/>
    <n v="0"/>
    <n v="0"/>
    <n v="0"/>
    <s v="BXS"/>
    <s v="ANNEX"/>
    <s v="JAYSON"/>
    <m/>
    <n v="4"/>
    <s v="C"/>
    <n v="4"/>
    <n v="5"/>
    <n v="2"/>
    <m/>
    <s v=""/>
  </r>
  <r>
    <x v="0"/>
    <s v="00059"/>
    <s v="DUO-00050A/NP00059"/>
    <d v="2025-12-09T00:00:00"/>
    <s v="RECEIVING"/>
    <n v="110866"/>
    <s v="BULACAN"/>
    <s v="NGN-7085"/>
    <n v="86353"/>
    <s v="DUO-00050A/NP"/>
    <n v="1"/>
    <x v="9"/>
    <x v="0"/>
    <d v="2025-12-01T00:00:00"/>
    <d v="2027-06-01T00:00:00"/>
    <s v=""/>
    <s v=""/>
    <n v="30"/>
    <n v="312"/>
    <n v="0"/>
    <n v="0"/>
    <n v="0"/>
    <s v="BXS"/>
    <s v="ANNEX"/>
    <s v="IMEE"/>
    <m/>
    <m/>
    <m/>
    <m/>
    <m/>
    <m/>
    <m/>
    <s v=""/>
  </r>
  <r>
    <x v="0"/>
    <s v="00060"/>
    <s v="DUO-00051A/857400060"/>
    <d v="2025-12-09T00:00:00"/>
    <s v="RECEIVING"/>
    <n v="110866"/>
    <s v="BULACAN"/>
    <s v="NGN-7085"/>
    <n v="86353"/>
    <s v="DUO-00051A/8574"/>
    <n v="1"/>
    <x v="9"/>
    <x v="0"/>
    <d v="2025-12-01T00:00:00"/>
    <d v="2027-06-01T00:00:00"/>
    <s v=""/>
    <s v=""/>
    <n v="30"/>
    <n v="312"/>
    <n v="0"/>
    <n v="0"/>
    <n v="0"/>
    <s v="BXS"/>
    <s v="ANNEX"/>
    <s v="IMEE"/>
    <m/>
    <m/>
    <m/>
    <m/>
    <m/>
    <m/>
    <m/>
    <s v=""/>
  </r>
  <r>
    <x v="0"/>
    <s v="00061"/>
    <s v="DUO-00052A/171100061"/>
    <d v="2025-12-09T00:00:00"/>
    <s v="RECEIVING"/>
    <n v="110866"/>
    <s v="BULACAN"/>
    <s v="NGN-7085"/>
    <n v="86353"/>
    <s v="DUO-00052A/1711"/>
    <n v="1"/>
    <x v="9"/>
    <x v="0"/>
    <d v="2025-12-01T00:00:00"/>
    <d v="2027-06-01T00:00:00"/>
    <s v=""/>
    <s v=""/>
    <n v="30"/>
    <n v="312"/>
    <n v="0"/>
    <n v="0"/>
    <n v="0"/>
    <s v="BXS"/>
    <s v="ANNEX"/>
    <s v="IMEE"/>
    <m/>
    <m/>
    <m/>
    <m/>
    <m/>
    <m/>
    <m/>
    <s v=""/>
  </r>
  <r>
    <x v="0"/>
    <s v="00062"/>
    <s v="DUO-00053A/490100062"/>
    <d v="2025-12-09T00:00:00"/>
    <s v="RECEIVING"/>
    <n v="110866"/>
    <s v="BULACAN"/>
    <s v="NGN-7085"/>
    <n v="86353"/>
    <s v="DUO-00053A/4901"/>
    <n v="1"/>
    <x v="9"/>
    <x v="0"/>
    <d v="2025-12-01T00:00:00"/>
    <d v="2027-06-01T00:00:00"/>
    <s v=""/>
    <s v=""/>
    <n v="30"/>
    <n v="312"/>
    <n v="0"/>
    <n v="0"/>
    <n v="0"/>
    <s v="BXS"/>
    <s v="ANNEX"/>
    <s v="IMEE"/>
    <m/>
    <m/>
    <m/>
    <m/>
    <m/>
    <m/>
    <m/>
    <s v=""/>
  </r>
  <r>
    <x v="0"/>
    <s v="00063"/>
    <s v="DUO-00054A/528400063"/>
    <d v="2025-12-09T00:00:00"/>
    <s v="RECEIVING"/>
    <n v="110866"/>
    <s v="BULACAN"/>
    <s v="NGN-7085"/>
    <n v="86353"/>
    <s v="DUO-00054A/5284"/>
    <n v="1"/>
    <x v="9"/>
    <x v="0"/>
    <d v="2025-12-01T00:00:00"/>
    <d v="2027-06-01T00:00:00"/>
    <s v=""/>
    <s v=""/>
    <n v="30"/>
    <n v="312"/>
    <n v="0"/>
    <n v="0"/>
    <n v="0"/>
    <s v="BXS"/>
    <s v="ANNEX"/>
    <s v="IMEE"/>
    <m/>
    <m/>
    <m/>
    <m/>
    <m/>
    <m/>
    <m/>
    <s v=""/>
  </r>
  <r>
    <x v="0"/>
    <s v="00064"/>
    <s v="DUO-00055A/49600064"/>
    <d v="2025-12-09T00:00:00"/>
    <s v="RECEIVING"/>
    <n v="110866"/>
    <s v="BULACAN"/>
    <s v="NGN-7085"/>
    <n v="86353"/>
    <s v="DUO-00055A/496"/>
    <n v="1"/>
    <x v="9"/>
    <x v="0"/>
    <d v="2025-12-01T00:00:00"/>
    <d v="2027-06-01T00:00:00"/>
    <s v=""/>
    <s v=""/>
    <n v="30"/>
    <n v="312"/>
    <n v="0"/>
    <n v="0"/>
    <n v="0"/>
    <s v="BXS"/>
    <s v="ANNEX"/>
    <s v="IMEE"/>
    <m/>
    <m/>
    <m/>
    <m/>
    <m/>
    <m/>
    <m/>
    <s v=""/>
  </r>
  <r>
    <x v="0"/>
    <s v="00065"/>
    <s v="DUO-00056A/459200065"/>
    <d v="2025-12-11T00:00:00"/>
    <s v="RECEIVING"/>
    <n v="111906"/>
    <s v="BULACAN"/>
    <s v="CCK-8782"/>
    <n v="86465"/>
    <s v="DUO-00056A/4592"/>
    <n v="1"/>
    <x v="9"/>
    <x v="0"/>
    <d v="2025-12-01T00:00:00"/>
    <d v="2027-06-01T00:00:00"/>
    <s v=""/>
    <s v=""/>
    <n v="30"/>
    <n v="312"/>
    <n v="0"/>
    <n v="0"/>
    <n v="0"/>
    <s v="BXS"/>
    <s v="ANNEX"/>
    <s v="IMEE"/>
    <m/>
    <m/>
    <m/>
    <m/>
    <m/>
    <m/>
    <m/>
    <s v=""/>
  </r>
  <r>
    <x v="0"/>
    <s v="00066"/>
    <s v="DUO-00057A/NP00066"/>
    <d v="2025-12-11T00:00:00"/>
    <s v="RECEIVING"/>
    <n v="111906"/>
    <s v="BULACAN"/>
    <s v="CCK-8782"/>
    <n v="86465"/>
    <s v="DUO-00057A/NP"/>
    <n v="1"/>
    <x v="9"/>
    <x v="0"/>
    <d v="2025-12-01T00:00:00"/>
    <d v="2027-06-01T00:00:00"/>
    <s v=""/>
    <s v=""/>
    <n v="30"/>
    <n v="312"/>
    <n v="0"/>
    <n v="0"/>
    <n v="0"/>
    <s v="BXS"/>
    <s v="ANNEX"/>
    <s v="IMEE"/>
    <m/>
    <m/>
    <m/>
    <m/>
    <m/>
    <m/>
    <m/>
    <s v=""/>
  </r>
  <r>
    <x v="0"/>
    <s v="00067"/>
    <s v="DUO-00058A/00600067"/>
    <d v="2025-12-11T00:00:00"/>
    <s v="RECEIVING"/>
    <n v="111906"/>
    <s v="BULACAN"/>
    <s v="CCK-8782"/>
    <n v="86465"/>
    <s v="DUO-00058A/006"/>
    <n v="1"/>
    <x v="9"/>
    <x v="0"/>
    <d v="2025-12-01T00:00:00"/>
    <d v="2027-06-01T00:00:00"/>
    <s v=""/>
    <s v=""/>
    <n v="30"/>
    <n v="312"/>
    <n v="0"/>
    <n v="0"/>
    <n v="0"/>
    <s v="BXS"/>
    <s v="ANNEX"/>
    <s v="IMEE"/>
    <m/>
    <m/>
    <m/>
    <m/>
    <m/>
    <m/>
    <m/>
    <s v=""/>
  </r>
  <r>
    <x v="0"/>
    <s v="00068"/>
    <s v="DUO-00059A/297300068"/>
    <d v="2025-12-11T00:00:00"/>
    <s v="RECEIVING"/>
    <n v="111906"/>
    <s v="BULACAN"/>
    <s v="CCK-8782"/>
    <n v="86465"/>
    <s v="DUO-00059A/2973"/>
    <n v="1"/>
    <x v="9"/>
    <x v="0"/>
    <d v="2025-12-01T00:00:00"/>
    <d v="2027-06-01T00:00:00"/>
    <s v=""/>
    <s v=""/>
    <n v="30"/>
    <n v="312"/>
    <n v="0"/>
    <n v="0"/>
    <n v="0"/>
    <s v="BXS"/>
    <s v="ANNEX"/>
    <s v="IMEE"/>
    <m/>
    <m/>
    <m/>
    <m/>
    <m/>
    <m/>
    <m/>
    <s v=""/>
  </r>
  <r>
    <x v="0"/>
    <s v="00069"/>
    <s v="DUO-00060A/4111500069"/>
    <d v="2025-12-11T00:00:00"/>
    <s v="RECEIVING"/>
    <n v="111906"/>
    <s v="BULACAN"/>
    <s v="CCK-8782"/>
    <n v="86465"/>
    <s v="DUO-00060A/41115"/>
    <n v="1"/>
    <x v="9"/>
    <x v="0"/>
    <d v="2025-12-01T00:00:00"/>
    <d v="2027-06-01T00:00:00"/>
    <s v=""/>
    <s v=""/>
    <n v="30"/>
    <n v="312"/>
    <n v="0"/>
    <n v="0"/>
    <n v="0"/>
    <s v="BXS"/>
    <s v="ANNEX"/>
    <s v="IMEE"/>
    <m/>
    <m/>
    <m/>
    <m/>
    <m/>
    <m/>
    <m/>
    <s v=""/>
  </r>
  <r>
    <x v="0"/>
    <s v="00070"/>
    <s v="DUO-00061A/425200070"/>
    <d v="2025-12-11T00:00:00"/>
    <s v="RECEIVING"/>
    <n v="111906"/>
    <s v="BULACAN"/>
    <s v="CCK-8782"/>
    <n v="86465"/>
    <s v="DUO-00061A/4252"/>
    <n v="1"/>
    <x v="9"/>
    <x v="0"/>
    <d v="2025-12-01T00:00:00"/>
    <d v="2027-06-01T00:00:00"/>
    <s v=""/>
    <s v=""/>
    <n v="30"/>
    <n v="312"/>
    <n v="0"/>
    <n v="0"/>
    <n v="0"/>
    <s v="BXS"/>
    <s v="ANNEX"/>
    <s v="IMEE"/>
    <m/>
    <m/>
    <m/>
    <m/>
    <m/>
    <m/>
    <m/>
    <s v=""/>
  </r>
  <r>
    <x v="0"/>
    <s v="00071"/>
    <s v="DUO-00062A/618500071"/>
    <d v="2025-12-11T00:00:00"/>
    <s v="RECEIVING"/>
    <n v="111906"/>
    <s v="BULACAN"/>
    <s v="CCK-8782"/>
    <n v="86465"/>
    <s v="DUO-00062A/6185"/>
    <n v="1"/>
    <x v="9"/>
    <x v="0"/>
    <d v="2025-12-01T00:00:00"/>
    <d v="2027-06-01T00:00:00"/>
    <s v=""/>
    <s v=""/>
    <n v="30"/>
    <n v="312"/>
    <n v="0"/>
    <n v="0"/>
    <n v="0"/>
    <s v="BXS"/>
    <s v="ANNEX"/>
    <s v="IMEE"/>
    <m/>
    <m/>
    <m/>
    <m/>
    <m/>
    <m/>
    <m/>
    <s v=""/>
  </r>
  <r>
    <x v="0"/>
    <s v="00072"/>
    <s v="DUO-00063A/350100072"/>
    <d v="2025-12-11T00:00:00"/>
    <s v="RECEIVING"/>
    <n v="111906"/>
    <s v="BULACAN"/>
    <s v="CCK-8782"/>
    <n v="86465"/>
    <s v="DUO-00063A/3501"/>
    <n v="1"/>
    <x v="9"/>
    <x v="0"/>
    <d v="2025-12-01T00:00:00"/>
    <d v="2027-06-01T00:00:00"/>
    <s v=""/>
    <s v=""/>
    <n v="30"/>
    <n v="312"/>
    <n v="0"/>
    <n v="0"/>
    <n v="0"/>
    <s v="BXS"/>
    <s v="ANNEX"/>
    <s v="IMEE"/>
    <m/>
    <m/>
    <m/>
    <m/>
    <m/>
    <m/>
    <m/>
    <s v=""/>
  </r>
  <r>
    <x v="0"/>
    <s v="00073"/>
    <s v="DUO-00064A/58300073"/>
    <d v="2025-12-11T00:00:00"/>
    <s v="RECEIVING"/>
    <n v="111906"/>
    <s v="BULACAN"/>
    <s v="CCK-8782"/>
    <n v="86465"/>
    <s v="DUO-00064A/583"/>
    <n v="1"/>
    <x v="9"/>
    <x v="0"/>
    <d v="2025-12-01T00:00:00"/>
    <d v="2027-06-01T00:00:00"/>
    <s v=""/>
    <s v=""/>
    <n v="30"/>
    <n v="312"/>
    <n v="0"/>
    <n v="0"/>
    <n v="0"/>
    <s v="BXS"/>
    <s v="ANNEX"/>
    <s v="IMEE"/>
    <m/>
    <m/>
    <m/>
    <m/>
    <m/>
    <m/>
    <m/>
    <s v=""/>
  </r>
  <r>
    <x v="0"/>
    <s v="00074"/>
    <s v="DUO-00065A/41100074"/>
    <d v="2025-12-11T00:00:00"/>
    <s v="RECEIVING"/>
    <n v="111906"/>
    <s v="BULACAN"/>
    <s v="CCK-8782"/>
    <n v="86465"/>
    <s v="DUO-00065A/411"/>
    <n v="1"/>
    <x v="9"/>
    <x v="0"/>
    <d v="2025-12-01T00:00:00"/>
    <d v="2027-06-01T00:00:00"/>
    <s v=""/>
    <s v=""/>
    <n v="30"/>
    <n v="312"/>
    <n v="0"/>
    <n v="0"/>
    <n v="0"/>
    <s v="BXS"/>
    <s v="ANNEX"/>
    <s v="IMEE"/>
    <m/>
    <m/>
    <m/>
    <m/>
    <m/>
    <m/>
    <m/>
    <s v=""/>
  </r>
  <r>
    <x v="0"/>
    <s v="00075"/>
    <s v="DUO-00066A/143400075"/>
    <d v="2025-12-11T00:00:00"/>
    <s v="RECEIVING"/>
    <n v="111906"/>
    <s v="BULACAN"/>
    <s v="CCK-8782"/>
    <n v="86465"/>
    <s v="DUO-00066A/1434"/>
    <n v="1"/>
    <x v="9"/>
    <x v="0"/>
    <d v="2025-12-01T00:00:00"/>
    <d v="2027-06-01T00:00:00"/>
    <s v=""/>
    <s v=""/>
    <n v="30"/>
    <n v="312"/>
    <n v="0"/>
    <n v="0"/>
    <n v="0"/>
    <s v="BXS"/>
    <s v="ANNEX"/>
    <s v="IMEE"/>
    <m/>
    <m/>
    <m/>
    <m/>
    <m/>
    <m/>
    <m/>
    <s v=""/>
  </r>
  <r>
    <x v="0"/>
    <s v="00076"/>
    <s v="DUO-00067A/641600076"/>
    <d v="2025-12-11T00:00:00"/>
    <s v="RECEIVING"/>
    <n v="111906"/>
    <s v="BULACAN"/>
    <s v="CCK-8782"/>
    <n v="86465"/>
    <s v="DUO-00067A/6416"/>
    <n v="1"/>
    <x v="9"/>
    <x v="0"/>
    <d v="2025-12-01T00:00:00"/>
    <d v="2027-06-01T00:00:00"/>
    <s v=""/>
    <s v=""/>
    <n v="25"/>
    <n v="260"/>
    <n v="0"/>
    <n v="0"/>
    <n v="0"/>
    <s v="BXS"/>
    <s v="ANNEX"/>
    <s v="IMEE"/>
    <m/>
    <m/>
    <m/>
    <m/>
    <m/>
    <m/>
    <m/>
    <s v=""/>
  </r>
  <r>
    <x v="0"/>
    <s v="00077"/>
    <s v="DUO-00068A/766200077"/>
    <d v="2025-12-23T00:00:00"/>
    <s v="RECEIVING"/>
    <n v="112725"/>
    <s v="BULACAN"/>
    <s v="CBA-2865"/>
    <n v="87426"/>
    <s v="DUO-00068A/7662"/>
    <n v="1"/>
    <x v="10"/>
    <x v="0"/>
    <d v="2025-12-01T00:00:00"/>
    <d v="2027-06-01T00:00:00"/>
    <s v=""/>
    <s v=""/>
    <n v="77"/>
    <n v="462"/>
    <n v="0"/>
    <n v="0"/>
    <n v="0"/>
    <s v="BXS"/>
    <s v="ANNEX"/>
    <s v="LAINE"/>
    <m/>
    <m/>
    <m/>
    <m/>
    <m/>
    <m/>
    <m/>
    <s v=""/>
  </r>
  <r>
    <x v="0"/>
    <s v="00078"/>
    <s v="DUO-00069A/726900078"/>
    <d v="2025-12-23T00:00:00"/>
    <s v="RECEIVING"/>
    <n v="112725"/>
    <s v="BULACAN"/>
    <s v="CBA-2865"/>
    <n v="87426"/>
    <s v="DUO-00069A/7269"/>
    <n v="1"/>
    <x v="10"/>
    <x v="0"/>
    <d v="2025-12-01T00:00:00"/>
    <d v="2027-06-01T00:00:00"/>
    <s v=""/>
    <s v=""/>
    <n v="77"/>
    <n v="462"/>
    <n v="0"/>
    <n v="0"/>
    <n v="0"/>
    <s v="BXS"/>
    <s v="ANNEX"/>
    <s v="LAINE"/>
    <m/>
    <m/>
    <m/>
    <m/>
    <m/>
    <m/>
    <m/>
    <s v=""/>
  </r>
  <r>
    <x v="0"/>
    <s v="00079"/>
    <s v="DUO-00070A/478200079"/>
    <d v="2025-12-23T00:00:00"/>
    <s v="RECEIVING"/>
    <n v="112725"/>
    <s v="BULACAN"/>
    <s v="CBA-2865"/>
    <n v="87426"/>
    <s v="DUO-00070A/4782"/>
    <n v="1"/>
    <x v="10"/>
    <x v="0"/>
    <d v="2025-12-01T00:00:00"/>
    <d v="2027-06-01T00:00:00"/>
    <s v=""/>
    <s v=""/>
    <n v="77"/>
    <n v="462"/>
    <n v="0"/>
    <n v="0"/>
    <n v="0"/>
    <s v="BXS"/>
    <s v="ANNEX"/>
    <s v="LAINE"/>
    <m/>
    <m/>
    <m/>
    <m/>
    <m/>
    <m/>
    <m/>
    <s v=""/>
  </r>
  <r>
    <x v="0"/>
    <s v="00080"/>
    <s v="DUO-00071A/223000080"/>
    <d v="2025-12-23T00:00:00"/>
    <s v="RECEIVING"/>
    <n v="112725"/>
    <s v="BULACAN"/>
    <s v="CBA-2865"/>
    <n v="87426"/>
    <s v="DUO-00071A/2230"/>
    <n v="1"/>
    <x v="10"/>
    <x v="0"/>
    <d v="2025-12-01T00:00:00"/>
    <d v="2027-06-01T00:00:00"/>
    <s v=""/>
    <s v=""/>
    <n v="77"/>
    <n v="462"/>
    <n v="0"/>
    <n v="0"/>
    <n v="0"/>
    <s v="BXS"/>
    <s v="ANNEX"/>
    <s v="LAINE"/>
    <m/>
    <m/>
    <m/>
    <m/>
    <m/>
    <m/>
    <m/>
    <s v=""/>
  </r>
  <r>
    <x v="0"/>
    <s v="00081"/>
    <s v="DUO-00072A/687400081"/>
    <d v="2025-12-23T00:00:00"/>
    <s v="RECEIVING"/>
    <n v="112725"/>
    <s v="BULACAN"/>
    <s v="CBA-2865"/>
    <n v="87426"/>
    <s v="DUO-00072A/6874"/>
    <n v="1"/>
    <x v="10"/>
    <x v="0"/>
    <d v="2025-12-01T00:00:00"/>
    <d v="2027-06-01T00:00:00"/>
    <s v=""/>
    <s v=""/>
    <n v="60"/>
    <n v="360"/>
    <n v="0"/>
    <n v="0"/>
    <n v="0"/>
    <s v="BXS"/>
    <s v="ANNEX"/>
    <s v="LAINE"/>
    <m/>
    <m/>
    <m/>
    <m/>
    <m/>
    <m/>
    <m/>
    <s v=""/>
  </r>
  <r>
    <x v="0"/>
    <s v="00082"/>
    <s v="DUO-00073A/336900082"/>
    <d v="2025-12-23T00:00:00"/>
    <s v="RECEIVING"/>
    <n v="112725"/>
    <s v="BULACAN"/>
    <s v="CBA-2865"/>
    <n v="87426"/>
    <s v="DUO-00073A/3369"/>
    <n v="1"/>
    <x v="10"/>
    <x v="0"/>
    <d v="2025-12-01T00:00:00"/>
    <d v="2027-06-01T00:00:00"/>
    <s v=""/>
    <s v=""/>
    <n v="60"/>
    <n v="360"/>
    <n v="0"/>
    <n v="0"/>
    <n v="0"/>
    <s v="BXS"/>
    <s v="ANNEX"/>
    <s v="LAINE"/>
    <m/>
    <m/>
    <m/>
    <m/>
    <m/>
    <m/>
    <m/>
    <s v=""/>
  </r>
  <r>
    <x v="0"/>
    <s v="00083"/>
    <s v="DUO-00074A/426800083"/>
    <d v="2025-12-23T00:00:00"/>
    <s v="RECEIVING"/>
    <n v="112725"/>
    <s v="BULACAN"/>
    <s v="CBA-2865"/>
    <n v="87426"/>
    <s v="DUO-00074A/4268"/>
    <n v="1"/>
    <x v="10"/>
    <x v="0"/>
    <d v="2025-12-01T00:00:00"/>
    <d v="2027-06-01T00:00:00"/>
    <s v=""/>
    <s v=""/>
    <n v="60"/>
    <n v="360"/>
    <n v="0"/>
    <n v="0"/>
    <n v="0"/>
    <s v="BXS"/>
    <s v="ANNEX"/>
    <s v="LAINE"/>
    <m/>
    <m/>
    <m/>
    <m/>
    <m/>
    <m/>
    <m/>
    <s v=""/>
  </r>
  <r>
    <x v="0"/>
    <s v="00084"/>
    <s v="DUO-00075A/663600084"/>
    <d v="2025-12-23T00:00:00"/>
    <s v="RECEIVING"/>
    <n v="112725"/>
    <s v="BULACAN"/>
    <s v="CBA-2865"/>
    <n v="87426"/>
    <s v="DUO-00075A/6636"/>
    <n v="1"/>
    <x v="10"/>
    <x v="0"/>
    <d v="2025-12-01T00:00:00"/>
    <d v="2027-06-01T00:00:00"/>
    <s v=""/>
    <s v=""/>
    <n v="60"/>
    <n v="360"/>
    <n v="0"/>
    <n v="0"/>
    <n v="0"/>
    <s v="BXS"/>
    <s v="ANNEX"/>
    <s v="LAINE"/>
    <m/>
    <m/>
    <m/>
    <m/>
    <m/>
    <m/>
    <m/>
    <s v=""/>
  </r>
  <r>
    <x v="0"/>
    <s v="00085"/>
    <s v="DUO-00076A/4004200085"/>
    <d v="2025-12-23T00:00:00"/>
    <s v="RECEIVING"/>
    <n v="112725"/>
    <s v="BULACAN"/>
    <s v="CBA-2865"/>
    <n v="87426"/>
    <s v="DUO-00076A/40042"/>
    <n v="1"/>
    <x v="10"/>
    <x v="0"/>
    <d v="2025-12-01T00:00:00"/>
    <d v="2027-06-01T00:00:00"/>
    <s v=""/>
    <s v=""/>
    <n v="51"/>
    <n v="306"/>
    <n v="0"/>
    <n v="0"/>
    <n v="0"/>
    <s v="BXS"/>
    <s v="ANNEX"/>
    <s v="LAINE"/>
    <m/>
    <m/>
    <m/>
    <m/>
    <m/>
    <m/>
    <m/>
    <s v=""/>
  </r>
  <r>
    <x v="0"/>
    <s v="00086"/>
    <s v="DUO-00077A/455300086"/>
    <d v="2025-12-23T00:00:00"/>
    <s v="RECEIVING"/>
    <n v="112725"/>
    <s v="BULACAN"/>
    <s v="CBA-2865"/>
    <n v="87426"/>
    <s v="DUO-00077A/4553"/>
    <n v="1"/>
    <x v="10"/>
    <x v="0"/>
    <d v="2025-12-01T00:00:00"/>
    <d v="2027-06-01T00:00:00"/>
    <s v=""/>
    <s v=""/>
    <n v="50"/>
    <n v="300"/>
    <n v="0"/>
    <n v="0"/>
    <n v="0"/>
    <s v="BXS"/>
    <s v="ANNEX"/>
    <s v="LAINE"/>
    <m/>
    <m/>
    <m/>
    <m/>
    <m/>
    <m/>
    <m/>
    <s v=""/>
  </r>
  <r>
    <x v="0"/>
    <s v="00087"/>
    <s v="DUO-00078A/4140100087"/>
    <d v="2025-12-28T00:00:00"/>
    <s v="RECEIVING"/>
    <n v="112763"/>
    <s v="BULACAN"/>
    <s v="NGN-7085"/>
    <n v="88040"/>
    <s v="DUO-00078A/41401"/>
    <n v="1"/>
    <x v="10"/>
    <x v="0"/>
    <d v="2025-12-01T00:00:00"/>
    <d v="2027-06-01T00:00:00"/>
    <s v=""/>
    <s v=""/>
    <n v="66"/>
    <n v="396"/>
    <n v="0"/>
    <n v="0"/>
    <n v="0"/>
    <s v="BXS"/>
    <s v="ANNEX"/>
    <s v="LAINE"/>
    <m/>
    <m/>
    <m/>
    <m/>
    <m/>
    <m/>
    <m/>
    <s v=""/>
  </r>
  <r>
    <x v="0"/>
    <s v="00088"/>
    <s v="DUO-00079A/96800088"/>
    <d v="2025-12-28T00:00:00"/>
    <s v="RECEIVING"/>
    <n v="112763"/>
    <s v="BULACAN"/>
    <s v="NGN-7085"/>
    <n v="88040"/>
    <s v="DUO-00079A/968"/>
    <n v="1"/>
    <x v="10"/>
    <x v="0"/>
    <d v="2025-12-01T00:00:00"/>
    <d v="2027-06-01T00:00:00"/>
    <s v=""/>
    <s v=""/>
    <n v="66"/>
    <n v="396"/>
    <n v="0"/>
    <n v="0"/>
    <n v="0"/>
    <s v="BXS"/>
    <s v="ANNEX"/>
    <s v="LAINE"/>
    <m/>
    <m/>
    <m/>
    <m/>
    <m/>
    <m/>
    <m/>
    <s v=""/>
  </r>
  <r>
    <x v="0"/>
    <s v="00089"/>
    <s v="DUO-00080A/NP00089"/>
    <d v="2025-12-28T00:00:00"/>
    <s v="RECEIVING"/>
    <n v="112763"/>
    <s v="BULACAN"/>
    <s v="NGN-7085"/>
    <n v="88040"/>
    <s v="DUO-00080A/NP"/>
    <n v="1"/>
    <x v="10"/>
    <x v="0"/>
    <d v="2025-12-01T00:00:00"/>
    <d v="2027-06-01T00:00:00"/>
    <s v=""/>
    <s v=""/>
    <n v="66"/>
    <n v="396"/>
    <n v="0"/>
    <n v="0"/>
    <n v="0"/>
    <s v="BXS"/>
    <s v="ANNEX"/>
    <s v="LAINE"/>
    <m/>
    <m/>
    <m/>
    <m/>
    <m/>
    <m/>
    <m/>
    <s v=""/>
  </r>
  <r>
    <x v="0"/>
    <s v="00090"/>
    <s v="DUO-00081A/301100090"/>
    <d v="2025-12-28T00:00:00"/>
    <s v="RECEIVING"/>
    <n v="112763"/>
    <s v="BULACAN"/>
    <s v="NGN-7085"/>
    <n v="88040"/>
    <s v="DUO-00081A/3011"/>
    <n v="1"/>
    <x v="10"/>
    <x v="0"/>
    <d v="2025-12-01T00:00:00"/>
    <d v="2027-06-01T00:00:00"/>
    <s v=""/>
    <s v=""/>
    <n v="66"/>
    <n v="396"/>
    <n v="0"/>
    <n v="0"/>
    <n v="0"/>
    <s v="BXS"/>
    <s v="ANNEX"/>
    <s v="LAINE"/>
    <m/>
    <m/>
    <m/>
    <m/>
    <m/>
    <m/>
    <m/>
    <s v=""/>
  </r>
  <r>
    <x v="0"/>
    <s v="00091"/>
    <s v="DUO-00082A/216700091"/>
    <d v="2025-12-28T00:00:00"/>
    <s v="RECEIVING"/>
    <n v="112763"/>
    <s v="BULACAN"/>
    <s v="NGN-7085"/>
    <n v="88040"/>
    <s v="DUO-00082A/2167"/>
    <n v="1"/>
    <x v="10"/>
    <x v="0"/>
    <d v="2025-12-01T00:00:00"/>
    <d v="2027-06-01T00:00:00"/>
    <s v=""/>
    <s v=""/>
    <n v="66"/>
    <n v="396"/>
    <n v="0"/>
    <n v="0"/>
    <n v="0"/>
    <s v="BXS"/>
    <s v="ANNEX"/>
    <s v="LAINE"/>
    <m/>
    <m/>
    <m/>
    <m/>
    <m/>
    <m/>
    <m/>
    <s v=""/>
  </r>
  <r>
    <x v="0"/>
    <s v="00092"/>
    <s v="DUO-00083A/462800092"/>
    <d v="2025-12-28T00:00:00"/>
    <s v="RECEIVING"/>
    <n v="112763"/>
    <s v="BULACAN"/>
    <s v="NGN-7085"/>
    <n v="88040"/>
    <s v="DUO-00083A/4628"/>
    <n v="1"/>
    <x v="10"/>
    <x v="0"/>
    <d v="2025-12-01T00:00:00"/>
    <d v="2027-06-01T00:00:00"/>
    <s v=""/>
    <s v=""/>
    <n v="71"/>
    <n v="426"/>
    <n v="0"/>
    <n v="0"/>
    <n v="0"/>
    <s v="BXS"/>
    <s v="ANNEX"/>
    <s v="LAINE"/>
    <m/>
    <m/>
    <m/>
    <m/>
    <m/>
    <m/>
    <m/>
    <s v=""/>
  </r>
  <r>
    <x v="0"/>
    <s v="00093"/>
    <s v="DUO-00084A/59400093"/>
    <d v="2026-01-25T00:00:00"/>
    <s v="RECEIVING"/>
    <n v="115077"/>
    <s v="BULACAN"/>
    <s v="CCK-8782"/>
    <n v="92007"/>
    <s v="DUO-00084A/594"/>
    <n v="1"/>
    <x v="11"/>
    <x v="0"/>
    <d v="2026-01-01T00:00:00"/>
    <d v="2027-07-01T00:00:00"/>
    <s v=""/>
    <s v=""/>
    <n v="30"/>
    <n v="312"/>
    <n v="0"/>
    <n v="0"/>
    <n v="0"/>
    <s v="BXS"/>
    <s v="ANNEX"/>
    <s v="LAINE"/>
    <m/>
    <n v="4"/>
    <s v="C"/>
    <n v="4"/>
    <n v="5"/>
    <n v="1"/>
    <m/>
    <s v=""/>
  </r>
  <r>
    <x v="0"/>
    <s v="00094"/>
    <s v="DUO-00085A/702200094"/>
    <d v="2026-01-25T00:00:00"/>
    <s v="RECEIVING"/>
    <n v="115077"/>
    <s v="BULACAN"/>
    <s v="CCK-8782"/>
    <n v="92007"/>
    <s v="DUO-00085A/7022"/>
    <n v="1"/>
    <x v="11"/>
    <x v="0"/>
    <d v="2026-01-01T00:00:00"/>
    <d v="2027-07-01T00:00:00"/>
    <s v=""/>
    <s v=""/>
    <n v="30"/>
    <n v="312"/>
    <n v="0"/>
    <n v="0"/>
    <n v="0"/>
    <s v="BXS"/>
    <s v="ANNEX"/>
    <s v="LAINE"/>
    <m/>
    <n v="4"/>
    <s v="C"/>
    <n v="4"/>
    <n v="7"/>
    <n v="1"/>
    <m/>
    <s v=""/>
  </r>
  <r>
    <x v="0"/>
    <s v="00095"/>
    <s v="DUO-00086A/292700095"/>
    <d v="2026-01-25T00:00:00"/>
    <s v="RECEIVING"/>
    <n v="115077"/>
    <s v="BULACAN"/>
    <s v="CCK-8782"/>
    <n v="92007"/>
    <s v="DUO-00086A/2927"/>
    <n v="1"/>
    <x v="11"/>
    <x v="0"/>
    <d v="2026-01-01T00:00:00"/>
    <d v="2027-07-01T00:00:00"/>
    <s v=""/>
    <s v=""/>
    <n v="30"/>
    <n v="312"/>
    <n v="0"/>
    <n v="0"/>
    <n v="0"/>
    <s v="BXS"/>
    <s v="ANNEX"/>
    <s v="LAINE"/>
    <m/>
    <n v="4"/>
    <s v="C"/>
    <n v="5"/>
    <n v="3"/>
    <n v="1"/>
    <m/>
    <s v=""/>
  </r>
  <r>
    <x v="0"/>
    <s v="00096"/>
    <s v="DUO-00087A/33200096"/>
    <d v="2026-01-25T00:00:00"/>
    <s v="RECEIVING"/>
    <n v="115077"/>
    <s v="BULACAN"/>
    <s v="CCK-8782"/>
    <n v="92007"/>
    <s v="DUO-00087A/332"/>
    <n v="1"/>
    <x v="11"/>
    <x v="0"/>
    <d v="2026-01-01T00:00:00"/>
    <d v="2027-07-01T00:00:00"/>
    <s v=""/>
    <s v=""/>
    <n v="30"/>
    <n v="312"/>
    <n v="0"/>
    <n v="0"/>
    <n v="0"/>
    <s v="BXS"/>
    <s v="ANNEX"/>
    <s v="LAINE"/>
    <m/>
    <n v="4"/>
    <s v="C"/>
    <n v="1"/>
    <n v="5"/>
    <n v="2"/>
    <m/>
    <s v=""/>
  </r>
  <r>
    <x v="0"/>
    <s v="00097"/>
    <s v="DUO-00088A/NP00097"/>
    <d v="2026-01-25T00:00:00"/>
    <s v="RECEIVING"/>
    <n v="115077"/>
    <s v="BULACAN"/>
    <s v="CCK-8782"/>
    <n v="92007"/>
    <s v="DUO-00088A/NP"/>
    <n v="1"/>
    <x v="11"/>
    <x v="0"/>
    <d v="2026-01-01T00:00:00"/>
    <d v="2027-07-01T00:00:00"/>
    <s v=""/>
    <s v=""/>
    <n v="30"/>
    <n v="312"/>
    <n v="0"/>
    <n v="0"/>
    <n v="0"/>
    <s v="BXS"/>
    <s v="ANNEX"/>
    <s v="LAINE"/>
    <m/>
    <n v="4"/>
    <s v="C"/>
    <n v="1"/>
    <n v="5"/>
    <n v="1"/>
    <m/>
    <s v=""/>
  </r>
  <r>
    <x v="0"/>
    <s v="00098"/>
    <s v="DUO-00089A/4060200098"/>
    <d v="2026-01-25T00:00:00"/>
    <s v="RECEIVING"/>
    <n v="115077"/>
    <s v="BULACAN"/>
    <s v="CCK-8782"/>
    <n v="92007"/>
    <s v="DUO-00089A/40602"/>
    <n v="1"/>
    <x v="11"/>
    <x v="0"/>
    <d v="2026-01-01T00:00:00"/>
    <d v="2027-07-01T00:00:00"/>
    <s v=""/>
    <s v=""/>
    <n v="30"/>
    <n v="312"/>
    <n v="0"/>
    <n v="0"/>
    <n v="0"/>
    <s v="BXS"/>
    <s v="ANNEX"/>
    <s v="LAINE"/>
    <m/>
    <n v="4"/>
    <s v="C"/>
    <n v="4"/>
    <n v="6"/>
    <n v="1"/>
    <m/>
    <s v=""/>
  </r>
  <r>
    <x v="0"/>
    <s v="00099"/>
    <s v="DUO-00090A/942600099"/>
    <d v="2026-01-25T00:00:00"/>
    <s v="RECEIVING"/>
    <n v="115077"/>
    <s v="BULACAN"/>
    <s v="CCK-8782"/>
    <n v="92007"/>
    <s v="DUO-00090A/9426"/>
    <n v="1"/>
    <x v="11"/>
    <x v="0"/>
    <d v="2026-01-01T00:00:00"/>
    <d v="2027-07-01T00:00:00"/>
    <s v=""/>
    <s v=""/>
    <n v="30"/>
    <n v="312"/>
    <n v="0"/>
    <n v="0"/>
    <n v="0"/>
    <s v="BXS"/>
    <s v="ANNEX"/>
    <s v="LAINE"/>
    <m/>
    <n v="4"/>
    <s v="C"/>
    <n v="8"/>
    <n v="5"/>
    <n v="1"/>
    <m/>
    <s v=""/>
  </r>
  <r>
    <x v="0"/>
    <s v="00100"/>
    <s v="DUO-00091A/363900100"/>
    <d v="2026-01-25T00:00:00"/>
    <s v="RECEIVING"/>
    <n v="115077"/>
    <s v="BULACAN"/>
    <s v="CCK-8782"/>
    <n v="92007"/>
    <s v="DUO-00091A/3639"/>
    <n v="1"/>
    <x v="12"/>
    <x v="0"/>
    <d v="2026-01-01T00:00:00"/>
    <d v="2027-07-01T00:00:00"/>
    <s v=""/>
    <s v=""/>
    <n v="60"/>
    <n v="224.64000000000001"/>
    <n v="0"/>
    <n v="0"/>
    <n v="0"/>
    <s v="BXS"/>
    <s v="ANNEX"/>
    <s v="LAINE"/>
    <m/>
    <n v="4"/>
    <s v="C"/>
    <n v="3"/>
    <n v="3"/>
    <n v="1"/>
    <m/>
    <s v=""/>
  </r>
  <r>
    <x v="0"/>
    <s v="00101"/>
    <s v="DUO-00092A/35400101"/>
    <d v="2026-01-25T00:00:00"/>
    <s v="RECEIVING"/>
    <n v="115077"/>
    <s v="BULACAN"/>
    <s v="CCK-8782"/>
    <n v="92007"/>
    <s v="DUO-00092A/354"/>
    <n v="1"/>
    <x v="12"/>
    <x v="0"/>
    <d v="2026-01-01T00:00:00"/>
    <d v="2027-07-01T00:00:00"/>
    <s v=""/>
    <s v=""/>
    <n v="60"/>
    <n v="224.64000000000001"/>
    <n v="0"/>
    <n v="0"/>
    <n v="0"/>
    <s v="BXS"/>
    <s v="ANNEX"/>
    <s v="LAINE"/>
    <m/>
    <n v="4"/>
    <s v="C"/>
    <n v="3"/>
    <n v="3"/>
    <n v="2"/>
    <m/>
    <s v=""/>
  </r>
  <r>
    <x v="0"/>
    <s v="00102"/>
    <s v="DUO-00093A/338400102"/>
    <d v="2026-01-25T00:00:00"/>
    <s v="RECEIVING"/>
    <n v="115077"/>
    <s v="BULACAN"/>
    <s v="CCK-8782"/>
    <n v="92007"/>
    <s v="DUO-00093A/3384"/>
    <n v="1"/>
    <x v="11"/>
    <x v="0"/>
    <d v="2026-01-01T00:00:00"/>
    <d v="2027-07-01T00:00:00"/>
    <s v=""/>
    <s v=""/>
    <n v="30"/>
    <n v="312"/>
    <n v="0"/>
    <n v="0"/>
    <n v="0"/>
    <s v="BXS"/>
    <s v="ANNEX"/>
    <s v="LAINE"/>
    <m/>
    <n v="4"/>
    <s v="C"/>
    <n v="8"/>
    <n v="5"/>
    <n v="2"/>
    <m/>
    <s v=""/>
  </r>
  <r>
    <x v="0"/>
    <s v="00103"/>
    <s v="DUO-00094A/248900103"/>
    <d v="2026-01-25T00:00:00"/>
    <s v="RECEIVING"/>
    <n v="115077"/>
    <s v="BULACAN"/>
    <s v="CCK-8782"/>
    <n v="92007"/>
    <s v="DUO-00094A/2489"/>
    <n v="1"/>
    <x v="11"/>
    <x v="0"/>
    <d v="2026-01-01T00:00:00"/>
    <d v="2027-07-01T00:00:00"/>
    <s v=""/>
    <s v=""/>
    <n v="30"/>
    <n v="312"/>
    <n v="0"/>
    <n v="0"/>
    <n v="0"/>
    <s v="BXS"/>
    <s v="ANNEX"/>
    <s v="LAINE"/>
    <m/>
    <n v="4"/>
    <s v="C"/>
    <n v="6"/>
    <n v="2"/>
    <n v="1"/>
    <m/>
    <s v=""/>
  </r>
  <r>
    <x v="0"/>
    <s v="00104"/>
    <s v="DUO-00095A/494400104"/>
    <d v="2026-01-25T00:00:00"/>
    <s v="RECEIVING"/>
    <n v="115077"/>
    <s v="BULACAN"/>
    <s v="CCK-8782"/>
    <n v="92007"/>
    <s v="DUO-00095A/4944"/>
    <n v="1"/>
    <x v="11"/>
    <x v="0"/>
    <d v="2026-01-01T00:00:00"/>
    <d v="2027-07-01T00:00:00"/>
    <s v=""/>
    <s v=""/>
    <n v="30"/>
    <n v="312"/>
    <n v="0"/>
    <n v="0"/>
    <n v="0"/>
    <s v="BXS"/>
    <s v="ANNEX"/>
    <s v="LAINE"/>
    <m/>
    <n v="4"/>
    <s v="C"/>
    <n v="6"/>
    <n v="2"/>
    <n v="2"/>
    <m/>
    <s v=""/>
  </r>
  <r>
    <x v="0"/>
    <s v="00105"/>
    <s v="DUO-00096A/735500105"/>
    <d v="2026-01-25T00:00:00"/>
    <s v="RECEIVING"/>
    <n v="115077"/>
    <s v="BULACAN"/>
    <s v="CCK-8782"/>
    <n v="92007"/>
    <s v="DUO-00096A/7355"/>
    <n v="1"/>
    <x v="11"/>
    <x v="0"/>
    <d v="2026-01-01T00:00:00"/>
    <d v="2027-07-01T00:00:00"/>
    <s v=""/>
    <s v=""/>
    <n v="30"/>
    <n v="312"/>
    <n v="0"/>
    <n v="0"/>
    <n v="0"/>
    <s v="BXS"/>
    <s v="ANNEX"/>
    <s v="LAINE"/>
    <m/>
    <n v="4"/>
    <s v="C"/>
    <n v="5"/>
    <n v="3"/>
    <n v="2"/>
    <m/>
    <s v=""/>
  </r>
  <r>
    <x v="0"/>
    <s v="00106"/>
    <s v="DUO-00097A/579800106"/>
    <d v="2026-01-25T00:00:00"/>
    <s v="RECEIVING"/>
    <n v="115077"/>
    <s v="BULACAN"/>
    <s v="CCK-8782"/>
    <n v="92007"/>
    <s v="DUO-00097A/5798"/>
    <n v="1"/>
    <x v="11"/>
    <x v="0"/>
    <d v="2026-01-01T00:00:00"/>
    <d v="2027-07-01T00:00:00"/>
    <s v=""/>
    <s v=""/>
    <n v="20"/>
    <n v="208"/>
    <n v="0"/>
    <n v="0"/>
    <n v="0"/>
    <s v="BXS"/>
    <s v="ANNEX"/>
    <s v="LAINE"/>
    <m/>
    <n v="4"/>
    <s v="C"/>
    <n v="8"/>
    <n v="1"/>
    <n v="1"/>
    <m/>
    <s v=""/>
  </r>
  <r>
    <x v="0"/>
    <s v="00107"/>
    <s v="DUO-00098A/343700107"/>
    <d v="2026-01-25T00:00:00"/>
    <s v="RECEIVING"/>
    <n v="115077"/>
    <s v="BULACAN"/>
    <s v="CCK-8782"/>
    <n v="92007"/>
    <s v="DUO-00098A/3437"/>
    <n v="1"/>
    <x v="12"/>
    <x v="0"/>
    <d v="2026-01-01T00:00:00"/>
    <d v="2027-07-01T00:00:00"/>
    <s v=""/>
    <s v=""/>
    <n v="60"/>
    <n v="224.64000000000001"/>
    <n v="0"/>
    <n v="0"/>
    <n v="0"/>
    <s v="BXS"/>
    <s v="ANNEX"/>
    <s v="LAINE"/>
    <m/>
    <n v="4"/>
    <s v="C"/>
    <n v="4"/>
    <n v="5"/>
    <n v="2"/>
    <m/>
    <s v=""/>
  </r>
  <r>
    <x v="0"/>
    <s v="00108"/>
    <s v="DUO-00099A/883300108"/>
    <d v="2026-01-25T00:00:00"/>
    <s v="RECEIVING"/>
    <n v="115077"/>
    <s v="BULACAN"/>
    <s v="CCK-8782"/>
    <n v="92007"/>
    <s v="DUO-00099A/8833"/>
    <n v="1"/>
    <x v="12"/>
    <x v="0"/>
    <d v="2026-01-01T00:00:00"/>
    <d v="2027-07-01T00:00:00"/>
    <s v=""/>
    <s v=""/>
    <n v="60"/>
    <n v="224.64000000000001"/>
    <n v="0"/>
    <n v="0"/>
    <n v="0"/>
    <s v="BXS"/>
    <s v="ANNEX"/>
    <s v="LAINE"/>
    <m/>
    <n v="4"/>
    <s v="C"/>
    <n v="4"/>
    <n v="7"/>
    <n v="2"/>
    <m/>
    <s v=""/>
  </r>
  <r>
    <x v="0"/>
    <s v="00109"/>
    <s v="DUO-00100A/4077700109"/>
    <d v="2026-01-25T00:00:00"/>
    <s v="RECEIVING"/>
    <n v="115077"/>
    <s v="BULACAN"/>
    <s v="CCK-8782"/>
    <n v="92007"/>
    <s v="DUO-00100A/40777"/>
    <n v="1"/>
    <x v="12"/>
    <x v="0"/>
    <d v="2026-01-01T00:00:00"/>
    <d v="2027-07-01T00:00:00"/>
    <s v=""/>
    <s v=""/>
    <n v="70"/>
    <n v="262.08000000000004"/>
    <n v="0"/>
    <n v="0"/>
    <n v="0"/>
    <s v="BXS"/>
    <s v="ANNEX"/>
    <s v="LAINE"/>
    <m/>
    <n v="4"/>
    <s v="C"/>
    <n v="4"/>
    <n v="4"/>
    <n v="2"/>
    <m/>
    <s v=""/>
  </r>
  <r>
    <x v="0"/>
    <s v="00110"/>
    <s v="DUO-00101A/35500110"/>
    <d v="2026-01-25T00:00:00"/>
    <s v="RECEIVING"/>
    <n v="115077"/>
    <s v="BULACAN"/>
    <s v="CCK-8782"/>
    <n v="92007"/>
    <s v="DUO-00101A/355"/>
    <n v="1"/>
    <x v="8"/>
    <x v="0"/>
    <d v="2026-01-01T00:00:00"/>
    <d v="2027-07-01T00:00:00"/>
    <s v=""/>
    <s v=""/>
    <n v="23"/>
    <n v="276"/>
    <n v="0"/>
    <n v="0"/>
    <n v="0"/>
    <s v="BXS"/>
    <s v="ANNEX"/>
    <s v="LAINE"/>
    <m/>
    <n v="4"/>
    <s v="C"/>
    <n v="4"/>
    <n v="6"/>
    <n v="2"/>
    <m/>
    <s v=""/>
  </r>
  <r>
    <x v="0"/>
    <s v="00111"/>
    <s v="DUO-00102A/383000111"/>
    <d v="2026-03-08T00:00:00"/>
    <s v="RECEIVING"/>
    <n v="121230"/>
    <s v="BULACAN"/>
    <s v="CCK-8782"/>
    <n v="96368"/>
    <s v="DUO-00102A/3830"/>
    <n v="1"/>
    <x v="13"/>
    <x v="0"/>
    <d v="2026-05-01T00:00:00"/>
    <d v="2027-05-01T00:00:00"/>
    <s v=""/>
    <s v=""/>
    <n v="70"/>
    <n v="840"/>
    <n v="0"/>
    <n v="0"/>
    <n v="0"/>
    <s v="BXS"/>
    <s v="ANNEX"/>
    <s v="LAINE"/>
    <m/>
    <n v="5"/>
    <s v="B"/>
    <n v="2"/>
    <n v="1"/>
    <n v="1"/>
    <m/>
    <s v=""/>
  </r>
  <r>
    <x v="0"/>
    <s v="00112"/>
    <s v="DUO-00103A/563600112"/>
    <d v="2026-03-08T00:00:00"/>
    <s v="RECEIVING"/>
    <n v="121230"/>
    <s v="BULACAN"/>
    <s v="CCK-8782"/>
    <n v="96368"/>
    <s v="DUO-00103A/5636"/>
    <n v="1"/>
    <x v="13"/>
    <x v="0"/>
    <d v="2026-05-01T00:00:00"/>
    <d v="2027-05-01T00:00:00"/>
    <s v=""/>
    <s v=""/>
    <n v="70"/>
    <n v="840"/>
    <n v="0"/>
    <n v="0"/>
    <n v="0"/>
    <s v="BXS"/>
    <s v="ANNEX"/>
    <s v="LAINE"/>
    <m/>
    <n v="5"/>
    <s v="B"/>
    <n v="1"/>
    <n v="1"/>
    <n v="1"/>
    <m/>
    <s v=""/>
  </r>
  <r>
    <x v="1"/>
    <s v="00113"/>
    <s v="DUO-00104A/630500113"/>
    <d v="2026-03-08T00:00:00"/>
    <s v="RECEIVING"/>
    <n v="121230"/>
    <s v="BULACAN"/>
    <s v="CCK-8782"/>
    <n v="96368"/>
    <s v="DUO-00104A/6305"/>
    <n v="1"/>
    <x v="13"/>
    <x v="0"/>
    <d v="2026-05-01T00:00:00"/>
    <d v="2027-05-01T00:00:00"/>
    <n v="397"/>
    <s v=""/>
    <n v="60"/>
    <n v="720"/>
    <n v="60"/>
    <n v="720"/>
    <n v="1"/>
    <s v="BXS"/>
    <s v="ANNEX"/>
    <s v="LAINE"/>
    <m/>
    <n v="5"/>
    <s v="B"/>
    <n v="1"/>
    <n v="1"/>
    <n v="2"/>
    <m/>
    <s v="5BR01L1.2"/>
  </r>
  <r>
    <x v="1"/>
    <s v="00114"/>
    <s v="DUO-00111A/585300114"/>
    <d v="2026-03-16T00:00:00"/>
    <s v="RECEIVING"/>
    <n v="121165"/>
    <s v="BULACAN"/>
    <s v="CCR-8156"/>
    <n v="69470"/>
    <s v="DUO-00111A/5853"/>
    <n v="1"/>
    <x v="14"/>
    <x v="0"/>
    <d v="2026-03-26T00:00:00"/>
    <d v="2026-09-27T00:00:00"/>
    <n v="181"/>
    <s v=""/>
    <n v="25"/>
    <n v="11.8"/>
    <n v="25"/>
    <n v="11.8"/>
    <n v="1"/>
    <s v="BXS"/>
    <s v="ANNEX"/>
    <s v="RAF"/>
    <m/>
    <n v="5"/>
    <s v="B"/>
    <n v="4"/>
    <n v="4"/>
    <n v="2"/>
    <m/>
    <s v="5BR04L4.2"/>
  </r>
  <r>
    <x v="1"/>
    <s v="00115"/>
    <s v="DUO-00105A/81700115"/>
    <d v="2026-03-16T00:00:00"/>
    <s v="RECEIVING"/>
    <n v="121165"/>
    <s v="BULACAN"/>
    <s v="CCR-8156"/>
    <n v="69470"/>
    <s v="DUO-00105A/817"/>
    <n v="1"/>
    <x v="15"/>
    <x v="0"/>
    <d v="2026-03-26T00:00:00"/>
    <d v="2026-09-27T00:00:00"/>
    <n v="181"/>
    <s v=""/>
    <n v="25"/>
    <n v="0.312"/>
    <n v="25"/>
    <n v="0.312"/>
    <n v="1"/>
    <s v="BXS"/>
    <s v="ANNEX"/>
    <s v="RAF"/>
    <m/>
    <n v="5"/>
    <s v="B"/>
    <n v="2"/>
    <n v="6"/>
    <n v="1"/>
    <m/>
    <s v="5BR02L6.1"/>
  </r>
  <r>
    <x v="1"/>
    <s v="00116"/>
    <s v="DUO-00109A/525000116"/>
    <d v="2026-03-16T00:00:00"/>
    <s v="RECEIVING"/>
    <n v="121165"/>
    <s v="BULACAN"/>
    <s v="CCR-8156"/>
    <n v="69470"/>
    <s v="DUO-00109A/5250"/>
    <n v="1"/>
    <x v="16"/>
    <x v="0"/>
    <d v="2026-03-26T00:00:00"/>
    <d v="2026-09-27T00:00:00"/>
    <n v="181"/>
    <s v=""/>
    <n v="25"/>
    <n v="0.312"/>
    <n v="25"/>
    <n v="0.312"/>
    <n v="1"/>
    <s v="BXS"/>
    <s v="ANNEX"/>
    <s v="RAF"/>
    <m/>
    <n v="5"/>
    <s v="B"/>
    <n v="1"/>
    <n v="6"/>
    <n v="2"/>
    <m/>
    <s v="5BR01L6.2"/>
  </r>
  <r>
    <x v="1"/>
    <s v="00117"/>
    <s v="DUO-00113A/250100117"/>
    <d v="2026-03-16T00:00:00"/>
    <s v="RECEIVING"/>
    <n v="121165"/>
    <s v="BULACAN"/>
    <s v="CCR-8156"/>
    <n v="69470"/>
    <s v="DUO-00113A/2501"/>
    <n v="1"/>
    <x v="17"/>
    <x v="0"/>
    <d v="2026-03-26T00:00:00"/>
    <d v="2026-09-27T00:00:00"/>
    <n v="181"/>
    <s v=""/>
    <n v="25"/>
    <n v="14.36"/>
    <n v="25"/>
    <n v="14.36"/>
    <n v="1"/>
    <s v="BXS"/>
    <s v="ANNEX"/>
    <s v="RAF"/>
    <m/>
    <n v="5"/>
    <s v="B"/>
    <n v="4"/>
    <n v="5"/>
    <n v="1"/>
    <m/>
    <s v="5BR04L5.1"/>
  </r>
  <r>
    <x v="0"/>
    <s v="00118"/>
    <s v="DUO-00110A/494100118"/>
    <d v="2026-03-16T00:00:00"/>
    <s v="RECEIVING"/>
    <n v="121165"/>
    <s v="BULACAN"/>
    <s v="CCR-8156"/>
    <n v="69470"/>
    <s v="DUO-00110A/4941"/>
    <n v="1"/>
    <x v="18"/>
    <x v="0"/>
    <d v="2026-03-26T00:00:00"/>
    <d v="2026-09-27T00:00:00"/>
    <s v=""/>
    <s v=""/>
    <n v="25"/>
    <n v="0.312"/>
    <n v="0"/>
    <n v="-203.68799999999999"/>
    <n v="0"/>
    <s v="BXS"/>
    <s v="ANNEX"/>
    <s v="RAF"/>
    <m/>
    <n v="5"/>
    <s v="B"/>
    <n v="1"/>
    <n v="7"/>
    <n v="1"/>
    <m/>
    <s v=""/>
  </r>
  <r>
    <x v="1"/>
    <s v="00119"/>
    <s v="DUO-00108A/4088400119"/>
    <d v="2026-03-16T00:00:00"/>
    <s v="RECEIVING"/>
    <n v="121165"/>
    <s v="BULACAN"/>
    <s v="CCR-8156"/>
    <n v="69470"/>
    <s v="DUO-00108A/40884"/>
    <n v="1"/>
    <x v="19"/>
    <x v="0"/>
    <d v="2026-03-26T00:00:00"/>
    <d v="2026-09-27T00:00:00"/>
    <n v="181"/>
    <s v=""/>
    <n v="25"/>
    <n v="0.312"/>
    <n v="25"/>
    <n v="0.312"/>
    <n v="1"/>
    <s v="BXS"/>
    <s v="ANNEX"/>
    <s v="RAF"/>
    <m/>
    <n v="5"/>
    <s v="B"/>
    <n v="1"/>
    <n v="4"/>
    <n v="2"/>
    <m/>
    <s v="5BR01L4.2"/>
  </r>
  <r>
    <x v="1"/>
    <s v="00120"/>
    <s v="DUO-00114A/328000120"/>
    <d v="2026-03-16T00:00:00"/>
    <s v="RECEIVING"/>
    <n v="121165"/>
    <s v="BULACAN"/>
    <s v="CCR-8156"/>
    <n v="69470"/>
    <s v="DUO-00114A/3280"/>
    <n v="1"/>
    <x v="17"/>
    <x v="0"/>
    <d v="2026-03-26T00:00:00"/>
    <d v="2026-09-27T00:00:00"/>
    <n v="181"/>
    <s v=""/>
    <n v="25"/>
    <n v="14.36"/>
    <n v="25"/>
    <n v="14.36"/>
    <n v="1"/>
    <s v="BXS"/>
    <s v="ANNEX"/>
    <s v="RAF"/>
    <m/>
    <n v="5"/>
    <s v="A"/>
    <n v="5"/>
    <n v="7"/>
    <n v="2"/>
    <m/>
    <s v="5AR05L7.2"/>
  </r>
  <r>
    <x v="0"/>
    <s v="00121"/>
    <s v="DUO-00106A/145700121"/>
    <d v="2026-03-16T00:00:00"/>
    <s v="RECEIVING"/>
    <n v="121165"/>
    <s v="BULACAN"/>
    <s v="CCR-8156"/>
    <n v="69470"/>
    <s v="DUO-00106A/1457"/>
    <n v="1"/>
    <x v="20"/>
    <x v="0"/>
    <d v="2026-03-26T00:00:00"/>
    <d v="2026-09-27T00:00:00"/>
    <s v=""/>
    <s v=""/>
    <n v="25"/>
    <n v="0.312"/>
    <n v="0"/>
    <n v="-203.68799999999999"/>
    <n v="0"/>
    <s v="BXS"/>
    <s v="ANNEX"/>
    <s v="RAF"/>
    <m/>
    <n v="5"/>
    <s v="A"/>
    <n v="4"/>
    <n v="4"/>
    <n v="1"/>
    <m/>
    <s v=""/>
  </r>
  <r>
    <x v="1"/>
    <s v="00122"/>
    <s v="DUO-00107A/483200122"/>
    <d v="2026-03-16T00:00:00"/>
    <s v="RECEIVING"/>
    <n v="121165"/>
    <s v="BULACAN"/>
    <s v="CCR-8156"/>
    <n v="69470"/>
    <s v="DUO-00107A/4832"/>
    <n v="1"/>
    <x v="21"/>
    <x v="0"/>
    <d v="2026-03-26T00:00:00"/>
    <d v="2026-09-27T00:00:00"/>
    <n v="181"/>
    <s v=""/>
    <n v="25"/>
    <n v="0.312"/>
    <n v="25"/>
    <n v="0.312"/>
    <n v="1"/>
    <s v="BXS"/>
    <s v="ANNEX"/>
    <s v="RAF"/>
    <m/>
    <n v="5"/>
    <s v="A"/>
    <n v="5"/>
    <n v="7"/>
    <n v="1"/>
    <m/>
    <s v="5AR05L7.1"/>
  </r>
  <r>
    <x v="1"/>
    <s v="00123"/>
    <s v="DUO-00112A/126400123"/>
    <d v="2026-03-16T00:00:00"/>
    <s v="RECEIVING"/>
    <n v="121165"/>
    <s v="BULACAN"/>
    <s v="CCR-8156"/>
    <n v="69470"/>
    <s v="DUO-00112A/1264"/>
    <n v="1"/>
    <x v="22"/>
    <x v="0"/>
    <d v="2026-03-26T00:00:00"/>
    <d v="2026-09-27T00:00:00"/>
    <n v="181"/>
    <s v=""/>
    <n v="25"/>
    <n v="11.8"/>
    <n v="25"/>
    <n v="11.8"/>
    <n v="1"/>
    <s v="BXS"/>
    <s v="ANNEX"/>
    <s v="RAF"/>
    <m/>
    <n v="5"/>
    <s v="B"/>
    <n v="4"/>
    <n v="5"/>
    <n v="2"/>
    <m/>
    <s v="5BR04L5.2"/>
  </r>
  <r>
    <x v="1"/>
    <s v="00124"/>
    <s v="DUO-00117A/436300124"/>
    <d v="2026-03-16T00:00:00"/>
    <s v="RECEIVING"/>
    <n v="121165"/>
    <s v="BULACAN"/>
    <s v="CCR-8156"/>
    <n v="69470"/>
    <s v="DUO-00117A/4363"/>
    <n v="1"/>
    <x v="23"/>
    <x v="0"/>
    <d v="2026-03-26T00:00:00"/>
    <d v="2026-09-27T00:00:00"/>
    <n v="181"/>
    <s v=""/>
    <n v="25"/>
    <n v="11.84"/>
    <n v="25"/>
    <n v="11.84"/>
    <n v="1"/>
    <s v="BXS"/>
    <s v="ANNEX"/>
    <s v="RAF"/>
    <m/>
    <n v="5"/>
    <s v="A"/>
    <n v="4"/>
    <n v="5"/>
    <n v="1"/>
    <m/>
    <s v="5AR04L5.1"/>
  </r>
  <r>
    <x v="1"/>
    <s v="00125"/>
    <s v="DUO-00118A/390100125"/>
    <d v="2026-03-16T00:00:00"/>
    <s v="RECEIVING"/>
    <n v="121165"/>
    <s v="BULACAN"/>
    <s v="CCR-8156"/>
    <n v="69470"/>
    <s v="DUO-00118A/3901"/>
    <n v="1"/>
    <x v="23"/>
    <x v="0"/>
    <d v="2026-03-26T00:00:00"/>
    <d v="2026-09-27T00:00:00"/>
    <n v="181"/>
    <s v=""/>
    <n v="25"/>
    <n v="11.84"/>
    <n v="25"/>
    <n v="11.84"/>
    <n v="1"/>
    <s v="BXS"/>
    <s v="ANNEX"/>
    <s v="RAF"/>
    <m/>
    <n v="5"/>
    <s v="B"/>
    <n v="1"/>
    <n v="5"/>
    <n v="1"/>
    <m/>
    <s v="5BR01L5.1"/>
  </r>
  <r>
    <x v="1"/>
    <s v="00126"/>
    <s v="DUO-00115A/4456300126"/>
    <d v="2026-03-16T00:00:00"/>
    <s v="RECEIVING"/>
    <n v="121165"/>
    <s v="BULACAN"/>
    <s v="CCR-8156"/>
    <n v="69470"/>
    <s v="DUO-00115A/44563"/>
    <n v="1"/>
    <x v="24"/>
    <x v="0"/>
    <d v="2026-03-26T00:00:00"/>
    <d v="2026-09-27T00:00:00"/>
    <n v="181"/>
    <s v=""/>
    <n v="25"/>
    <n v="14.16"/>
    <n v="25"/>
    <n v="14.16"/>
    <n v="1"/>
    <s v="BXS"/>
    <s v="ANNEX"/>
    <s v="RAF"/>
    <m/>
    <n v="5"/>
    <s v="B"/>
    <n v="1"/>
    <n v="6"/>
    <n v="1"/>
    <m/>
    <s v="5BR01L6.1"/>
  </r>
  <r>
    <x v="1"/>
    <s v="00127"/>
    <s v="DUO-00116A/217300127"/>
    <d v="2026-03-16T00:00:00"/>
    <s v="RECEIVING"/>
    <n v="121165"/>
    <s v="BULACAN"/>
    <s v="CCR-8156"/>
    <n v="69470"/>
    <s v="DUO-00116A/2173"/>
    <n v="1"/>
    <x v="24"/>
    <x v="0"/>
    <d v="2026-03-26T00:00:00"/>
    <d v="2026-09-27T00:00:00"/>
    <n v="181"/>
    <s v=""/>
    <n v="25"/>
    <n v="14.16"/>
    <n v="25"/>
    <n v="14.16"/>
    <n v="1"/>
    <s v="BXS"/>
    <s v="ANNEX"/>
    <s v="RAF"/>
    <m/>
    <n v="5"/>
    <s v="A"/>
    <n v="4"/>
    <n v="5"/>
    <n v="2"/>
    <m/>
    <s v="5AR04L5.2"/>
  </r>
  <r>
    <x v="1"/>
    <s v="00128"/>
    <s v="DUO-00111AB/485300128"/>
    <d v="2026-03-17T00:00:00"/>
    <s v="RECEIVING"/>
    <n v="121180"/>
    <s v="LOCAL TRANSFER"/>
    <s v="CCR-8156"/>
    <n v="96470"/>
    <s v="DUO-00111AB/4853"/>
    <n v="1"/>
    <x v="22"/>
    <x v="0"/>
    <d v="2026-03-01T00:00:00"/>
    <d v="2027-09-01T00:00:00"/>
    <n v="520"/>
    <s v=""/>
    <n v="25"/>
    <n v="11.8"/>
    <n v="25"/>
    <n v="11.8"/>
    <n v="1"/>
    <s v="BXS"/>
    <s v="ANNEX"/>
    <s v="RAF"/>
    <m/>
    <m/>
    <m/>
    <m/>
    <m/>
    <m/>
    <m/>
    <s v="R00L0.0"/>
  </r>
  <r>
    <x v="1"/>
    <s v="00129"/>
    <s v="DUO-00105AB/81700129"/>
    <d v="2026-03-17T00:00:00"/>
    <s v="RECEIVING"/>
    <n v="121180"/>
    <s v="LOCAL TRANSFER"/>
    <s v="CCR-8156"/>
    <n v="96470"/>
    <s v="DUO-00105AB/817"/>
    <n v="1"/>
    <x v="20"/>
    <x v="0"/>
    <d v="2026-03-01T00:00:00"/>
    <d v="2027-09-01T00:00:00"/>
    <n v="520"/>
    <s v=""/>
    <n v="25"/>
    <n v="8.14"/>
    <n v="25"/>
    <n v="8.14"/>
    <n v="1"/>
    <s v="BXS"/>
    <s v="ANNEX"/>
    <s v="RAF"/>
    <m/>
    <m/>
    <m/>
    <m/>
    <m/>
    <m/>
    <m/>
    <s v="R00L0.0"/>
  </r>
  <r>
    <x v="1"/>
    <s v="00130"/>
    <s v="DUO-00109AB/525000130"/>
    <d v="2026-03-17T00:00:00"/>
    <s v="RECEIVING"/>
    <n v="121180"/>
    <s v="LOCAL TRANSFER"/>
    <s v="CCR-8156"/>
    <n v="96470"/>
    <s v="DUO-00109AB/5250"/>
    <n v="1"/>
    <x v="18"/>
    <x v="0"/>
    <d v="2026-03-01T00:00:00"/>
    <d v="2027-09-01T00:00:00"/>
    <n v="520"/>
    <s v=""/>
    <n v="25"/>
    <n v="8.0399999999999991"/>
    <n v="25"/>
    <n v="8.0399999999999991"/>
    <n v="1"/>
    <s v="BXS"/>
    <s v="ANNEX"/>
    <s v="RAF"/>
    <m/>
    <m/>
    <m/>
    <m/>
    <m/>
    <m/>
    <m/>
    <s v="R00L0.0"/>
  </r>
  <r>
    <x v="1"/>
    <s v="00131"/>
    <s v="DUO-00113AB/250100131"/>
    <d v="2026-03-17T00:00:00"/>
    <s v="RECEIVING"/>
    <n v="121180"/>
    <s v="LOCAL TRANSFER"/>
    <s v="CCR-8156"/>
    <n v="96470"/>
    <s v="DUO-00113AB/2501"/>
    <n v="1"/>
    <x v="17"/>
    <x v="0"/>
    <d v="2026-03-01T00:00:00"/>
    <d v="2027-09-01T00:00:00"/>
    <n v="520"/>
    <s v=""/>
    <n v="25"/>
    <n v="14.36"/>
    <n v="25"/>
    <n v="14.36"/>
    <n v="1"/>
    <s v="BXS"/>
    <s v="ANNEX"/>
    <s v="RAF"/>
    <m/>
    <m/>
    <m/>
    <m/>
    <m/>
    <m/>
    <m/>
    <s v="R00L0.0"/>
  </r>
  <r>
    <x v="1"/>
    <s v="00132"/>
    <s v="DUO-00110AB/494100132"/>
    <d v="2026-03-17T00:00:00"/>
    <s v="RECEIVING"/>
    <n v="121180"/>
    <s v="LOCAL TRANSFER"/>
    <s v="CCR-8156"/>
    <n v="96470"/>
    <s v="DUO-00110AB/4941"/>
    <n v="1"/>
    <x v="18"/>
    <x v="0"/>
    <d v="2026-03-01T00:00:00"/>
    <d v="2027-09-01T00:00:00"/>
    <n v="520"/>
    <s v=""/>
    <n v="25"/>
    <n v="8.0399999999999991"/>
    <n v="25"/>
    <n v="8.0399999999999991"/>
    <n v="1"/>
    <s v="BXS"/>
    <s v="ANNEX"/>
    <s v="RAF"/>
    <m/>
    <m/>
    <m/>
    <m/>
    <m/>
    <m/>
    <m/>
    <s v="R00L0.0"/>
  </r>
  <r>
    <x v="1"/>
    <s v="00133"/>
    <s v="DUO-00108AB/4088400133"/>
    <d v="2026-03-17T00:00:00"/>
    <s v="RECEIVING"/>
    <n v="121180"/>
    <s v="LOCAL TRANSFER"/>
    <s v="CCR-8156"/>
    <n v="96470"/>
    <s v="DUO-00108AB/40884"/>
    <n v="1"/>
    <x v="21"/>
    <x v="0"/>
    <d v="2026-03-01T00:00:00"/>
    <d v="2027-09-01T00:00:00"/>
    <n v="520"/>
    <s v=""/>
    <n v="25"/>
    <n v="8.34"/>
    <n v="25"/>
    <n v="8.34"/>
    <n v="1"/>
    <s v="BXS"/>
    <s v="ANNEX"/>
    <s v="RAF"/>
    <m/>
    <m/>
    <m/>
    <m/>
    <m/>
    <m/>
    <m/>
    <s v="R00L0.0"/>
  </r>
  <r>
    <x v="1"/>
    <s v="00134"/>
    <s v="DUO-00114AB/328000134"/>
    <d v="2026-03-17T00:00:00"/>
    <s v="RECEIVING"/>
    <n v="121180"/>
    <s v="LOCAL TRANSFER"/>
    <s v="CCR-8156"/>
    <n v="96470"/>
    <s v="DUO-00114AB/3280"/>
    <n v="1"/>
    <x v="17"/>
    <x v="0"/>
    <d v="2026-03-01T00:00:00"/>
    <d v="2027-09-01T00:00:00"/>
    <n v="520"/>
    <s v=""/>
    <n v="25"/>
    <n v="14.36"/>
    <n v="25"/>
    <n v="14.36"/>
    <n v="1"/>
    <s v="BXS"/>
    <s v="ANNEX"/>
    <s v="RAF"/>
    <m/>
    <m/>
    <m/>
    <m/>
    <m/>
    <m/>
    <m/>
    <s v="R00L0.0"/>
  </r>
  <r>
    <x v="1"/>
    <s v="00135"/>
    <s v="DUO-00106AB/145700135"/>
    <d v="2026-03-17T00:00:00"/>
    <s v="RECEIVING"/>
    <n v="121180"/>
    <s v="LOCAL TRANSFER"/>
    <s v="CCR-8156"/>
    <n v="96470"/>
    <s v="DUO-00106AB/1457"/>
    <n v="1"/>
    <x v="20"/>
    <x v="0"/>
    <d v="2026-03-01T00:00:00"/>
    <d v="2027-09-01T00:00:00"/>
    <n v="520"/>
    <s v=""/>
    <n v="25"/>
    <n v="8.14"/>
    <n v="25"/>
    <n v="8.14"/>
    <n v="1"/>
    <s v="BXS"/>
    <s v="ANNEX"/>
    <s v="RAF"/>
    <m/>
    <m/>
    <m/>
    <m/>
    <m/>
    <m/>
    <m/>
    <s v="R00L0.0"/>
  </r>
  <r>
    <x v="1"/>
    <s v="00136"/>
    <s v="DUO-00107AB/483200136"/>
    <d v="2026-03-17T00:00:00"/>
    <s v="RECEIVING"/>
    <n v="121180"/>
    <s v="LOCAL TRANSFER"/>
    <s v="CCR-8156"/>
    <n v="96470"/>
    <s v="DUO-00107AB/4832"/>
    <n v="1"/>
    <x v="21"/>
    <x v="0"/>
    <d v="2026-03-01T00:00:00"/>
    <d v="2027-09-01T00:00:00"/>
    <n v="520"/>
    <s v=""/>
    <n v="25"/>
    <n v="8.34"/>
    <n v="25"/>
    <n v="8.34"/>
    <n v="1"/>
    <s v="BXS"/>
    <s v="ANNEX"/>
    <s v="RAF"/>
    <m/>
    <m/>
    <m/>
    <m/>
    <m/>
    <m/>
    <m/>
    <s v="R00L0.0"/>
  </r>
  <r>
    <x v="1"/>
    <s v="00137"/>
    <s v="DUO-00112AB/126400137"/>
    <d v="2026-03-17T00:00:00"/>
    <s v="RECEIVING"/>
    <n v="121180"/>
    <s v="LOCAL TRANSFER"/>
    <s v="CCR-8156"/>
    <n v="96470"/>
    <s v="DUO-00112AB/1264"/>
    <n v="1"/>
    <x v="22"/>
    <x v="0"/>
    <d v="2026-03-01T00:00:00"/>
    <d v="2027-09-01T00:00:00"/>
    <n v="520"/>
    <s v=""/>
    <n v="25"/>
    <n v="11.8"/>
    <n v="25"/>
    <n v="11.8"/>
    <n v="1"/>
    <s v="BXS"/>
    <s v="ANNEX"/>
    <s v="RAF"/>
    <m/>
    <m/>
    <m/>
    <m/>
    <m/>
    <m/>
    <m/>
    <s v="R00L0.0"/>
  </r>
  <r>
    <x v="1"/>
    <s v="00138"/>
    <s v="DUO-00117AB/436300138"/>
    <d v="2026-03-17T00:00:00"/>
    <s v="RECEIVING"/>
    <n v="121180"/>
    <s v="LOCAL TRANSFER"/>
    <s v="CCR-8156"/>
    <n v="96470"/>
    <s v="DUO-00117AB/4363"/>
    <n v="1"/>
    <x v="23"/>
    <x v="0"/>
    <d v="2026-03-01T00:00:00"/>
    <d v="2027-09-01T00:00:00"/>
    <n v="520"/>
    <s v=""/>
    <n v="25"/>
    <n v="11.84"/>
    <n v="25"/>
    <n v="11.84"/>
    <n v="1"/>
    <s v="BXS"/>
    <s v="ANNEX"/>
    <s v="RAF"/>
    <m/>
    <m/>
    <m/>
    <m/>
    <m/>
    <m/>
    <m/>
    <s v="R00L0.0"/>
  </r>
  <r>
    <x v="1"/>
    <s v="00139"/>
    <s v="DUO-00118AB/390100139"/>
    <d v="2026-03-17T00:00:00"/>
    <s v="RECEIVING"/>
    <n v="121180"/>
    <s v="LOCAL TRANSFER"/>
    <s v="CCR-8156"/>
    <n v="96470"/>
    <s v="DUO-00118AB/3901"/>
    <n v="1"/>
    <x v="23"/>
    <x v="0"/>
    <d v="2026-03-01T00:00:00"/>
    <d v="2027-09-01T00:00:00"/>
    <n v="520"/>
    <s v=""/>
    <n v="25"/>
    <n v="11.84"/>
    <n v="25"/>
    <n v="11.84"/>
    <n v="1"/>
    <s v="BXS"/>
    <s v="ANNEX"/>
    <s v="RAF"/>
    <m/>
    <m/>
    <m/>
    <m/>
    <m/>
    <m/>
    <m/>
    <s v="R00L0.0"/>
  </r>
  <r>
    <x v="1"/>
    <s v="00140"/>
    <s v="DUO-00115AB/4456300140"/>
    <d v="2026-03-17T00:00:00"/>
    <s v="RECEIVING"/>
    <n v="121180"/>
    <s v="LOCAL TRANSFER"/>
    <s v="CCR-8156"/>
    <n v="96470"/>
    <s v="DUO-00115AB/44563"/>
    <n v="1"/>
    <x v="24"/>
    <x v="0"/>
    <d v="2026-03-01T00:00:00"/>
    <d v="2027-09-01T00:00:00"/>
    <n v="520"/>
    <s v=""/>
    <n v="25"/>
    <n v="14.16"/>
    <n v="25"/>
    <n v="14.16"/>
    <n v="1"/>
    <s v="BXS"/>
    <s v="ANNEX"/>
    <s v="RAF"/>
    <m/>
    <m/>
    <m/>
    <m/>
    <m/>
    <m/>
    <m/>
    <s v="R00L0.0"/>
  </r>
  <r>
    <x v="1"/>
    <s v="00141"/>
    <s v="DUO-00116AB/217300141"/>
    <d v="2026-03-17T00:00:00"/>
    <s v="RECEIVING"/>
    <n v="121180"/>
    <s v="LOCAL TRANSFER"/>
    <s v="CCR-8156"/>
    <n v="96470"/>
    <s v="DUO-00116AB/2173"/>
    <n v="1"/>
    <x v="24"/>
    <x v="0"/>
    <d v="2026-03-01T00:00:00"/>
    <d v="2027-09-01T00:00:00"/>
    <n v="520"/>
    <s v=""/>
    <n v="25"/>
    <n v="14.16"/>
    <n v="25"/>
    <n v="14.16"/>
    <n v="1"/>
    <s v="BXS"/>
    <s v="ANNEX"/>
    <s v="RAF"/>
    <m/>
    <m/>
    <m/>
    <m/>
    <m/>
    <m/>
    <m/>
    <s v="R00L0.0"/>
  </r>
  <r>
    <x v="1"/>
    <s v="00142"/>
    <s v="DUO-00110A/499700142"/>
    <d v="2026-03-25T00:00:00"/>
    <s v="RETURN"/>
    <n v="122242"/>
    <s v="LOCAL TRANSFER"/>
    <s v="N/A"/>
    <s v="N/A"/>
    <s v="DUO-00110A/4997"/>
    <n v="1"/>
    <x v="16"/>
    <x v="0"/>
    <d v="2026-03-01T00:00:00"/>
    <d v="2027-09-01T00:00:00"/>
    <n v="520"/>
    <s v=""/>
    <n v="5"/>
    <n v="40.799999999999997"/>
    <n v="5"/>
    <n v="40.799999999999997"/>
    <n v="1"/>
    <s v="BXS"/>
    <s v="ANNEX"/>
    <s v="RAF"/>
    <m/>
    <m/>
    <m/>
    <m/>
    <m/>
    <m/>
    <m/>
    <s v="R00L0.0"/>
  </r>
  <r>
    <x v="1"/>
    <s v="00143"/>
    <s v="DUO-00106AC/145700143"/>
    <d v="2026-03-25T00:00:00"/>
    <s v="RETURN"/>
    <n v="122242"/>
    <s v="LOCAL TRANSFER"/>
    <s v="N/A"/>
    <s v="N/A"/>
    <s v="DUO-00106AC/1457"/>
    <n v="1"/>
    <x v="15"/>
    <x v="0"/>
    <d v="2026-03-01T00:00:00"/>
    <d v="2027-09-01T00:00:00"/>
    <n v="520"/>
    <s v=""/>
    <n v="5"/>
    <n v="40.799999999999997"/>
    <n v="5"/>
    <n v="40.799999999999997"/>
    <n v="1"/>
    <s v="BXS"/>
    <s v="ANNEX"/>
    <s v="RAF"/>
    <m/>
    <m/>
    <m/>
    <m/>
    <m/>
    <m/>
    <m/>
    <s v="R00L0.0"/>
  </r>
  <r>
    <x v="1"/>
    <s v="00144"/>
    <s v="DUO-00102AB/385000144"/>
    <d v="2026-03-25T00:00:00"/>
    <s v="RETURN"/>
    <n v="122242"/>
    <s v="LOCAL TRANSFER"/>
    <s v="N/A"/>
    <s v="N/A"/>
    <s v="DUO-00102AB/3850"/>
    <n v="0"/>
    <x v="25"/>
    <x v="0"/>
    <d v="2026-05-01T00:00:00"/>
    <d v="2027-05-01T00:00:00"/>
    <n v="397"/>
    <s v=""/>
    <n v="30"/>
    <n v="360"/>
    <n v="30"/>
    <n v="360"/>
    <n v="0"/>
    <s v="BXS"/>
    <s v="ANNEX"/>
    <s v="RAF"/>
    <m/>
    <m/>
    <m/>
    <m/>
    <m/>
    <m/>
    <m/>
    <s v="R00L0.0"/>
  </r>
  <r>
    <x v="1"/>
    <s v="00145"/>
    <s v="DUO-00102AB/385000145"/>
    <d v="2026-03-25T00:00:00"/>
    <s v="RETURN"/>
    <n v="122242"/>
    <s v="LOCAL TRANSFER"/>
    <s v="N/A"/>
    <s v="N/A"/>
    <s v="DUO-00102AB/3850"/>
    <n v="0"/>
    <x v="26"/>
    <x v="0"/>
    <d v="2026-05-01T00:00:00"/>
    <d v="2027-05-01T00:00:00"/>
    <n v="397"/>
    <s v=""/>
    <n v="1"/>
    <n v="12"/>
    <n v="1"/>
    <n v="12"/>
    <n v="0"/>
    <s v="BXS"/>
    <s v="ANNEX"/>
    <s v="RAF"/>
    <m/>
    <m/>
    <m/>
    <m/>
    <m/>
    <m/>
    <m/>
    <s v="R00L0.0"/>
  </r>
  <r>
    <x v="1"/>
    <s v="00146"/>
    <s v="DUO-00102AB/385000146"/>
    <d v="2026-03-25T00:00:00"/>
    <s v="RETURN"/>
    <n v="122242"/>
    <s v="LOCAL TRANSFER"/>
    <s v="N/A"/>
    <s v="N/A"/>
    <s v="DUO-00102AB/3850"/>
    <n v="1"/>
    <x v="27"/>
    <x v="0"/>
    <d v="2026-05-01T00:00:00"/>
    <d v="2027-05-01T00:00:00"/>
    <n v="397"/>
    <s v=""/>
    <n v="19"/>
    <n v="228"/>
    <n v="19"/>
    <n v="228"/>
    <n v="1"/>
    <s v="BXS"/>
    <s v="ANNEX"/>
    <s v="RAF"/>
    <m/>
    <m/>
    <m/>
    <m/>
    <m/>
    <m/>
    <m/>
    <s v="R00L0.0"/>
  </r>
  <r>
    <x v="1"/>
    <s v="00147"/>
    <s v="DUO-00103A/450700147"/>
    <d v="2026-03-25T00:00:00"/>
    <s v="RETURN"/>
    <n v="122242"/>
    <s v="LOCAL TRANSFER"/>
    <s v="N/A"/>
    <s v="N/A"/>
    <s v="DUO-00103A/4507"/>
    <n v="1"/>
    <x v="28"/>
    <x v="0"/>
    <d v="2026-05-01T00:00:00"/>
    <d v="2027-05-01T00:00:00"/>
    <n v="397"/>
    <s v=""/>
    <n v="50"/>
    <n v="600"/>
    <n v="50"/>
    <n v="600"/>
    <n v="1"/>
    <s v="BXS"/>
    <s v="ANNEX"/>
    <s v="RAF"/>
    <m/>
    <m/>
    <m/>
    <m/>
    <m/>
    <m/>
    <m/>
    <s v="R00L0.0"/>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r>
    <x v="2"/>
    <s v=""/>
    <s v=""/>
    <m/>
    <m/>
    <m/>
    <m/>
    <m/>
    <m/>
    <m/>
    <m/>
    <x v="29"/>
    <x v="1"/>
    <m/>
    <m/>
    <s v=""/>
    <s v=""/>
    <m/>
    <m/>
    <n v="0"/>
    <n v="0"/>
    <n v="0"/>
    <m/>
    <m/>
    <m/>
    <m/>
    <m/>
    <m/>
    <m/>
    <m/>
    <m/>
    <m/>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FCDCAB-E35E-4C46-938B-F4F0C66D499C}" name="PivotTable1" cacheId="1202"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fieldListSortAscending="1">
  <location ref="A4:D21" firstHeaderRow="0" firstDataRow="1" firstDataCol="2" rowPageCount="1" colPageCount="1"/>
  <pivotFields count="33">
    <pivotField axis="axisPage" outline="0" multipleItemSelectionAllowed="1" showAll="0" defaultSubtotal="0">
      <items count="3">
        <item h="1" x="2"/>
        <item x="1"/>
        <item h="1" x="0"/>
      </items>
    </pivotField>
    <pivotField showAll="0"/>
    <pivotField showAll="0"/>
    <pivotField showAll="0"/>
    <pivotField showAll="0"/>
    <pivotField showAll="0"/>
    <pivotField showAll="0"/>
    <pivotField showAll="0"/>
    <pivotField showAll="0"/>
    <pivotField showAll="0"/>
    <pivotField showAll="0"/>
    <pivotField axis="axisRow" outline="0" showAll="0" defaultSubtotal="0">
      <items count="58">
        <item m="1" x="55"/>
        <item m="1" x="56"/>
        <item m="1" x="57"/>
        <item m="1" x="43"/>
        <item m="1" x="38"/>
        <item m="1" x="35"/>
        <item m="1" x="48"/>
        <item m="1" x="39"/>
        <item m="1" x="40"/>
        <item m="1" x="53"/>
        <item m="1" x="31"/>
        <item m="1" x="47"/>
        <item m="1" x="50"/>
        <item m="1" x="51"/>
        <item m="1" x="33"/>
        <item m="1" x="41"/>
        <item m="1" x="44"/>
        <item m="1" x="42"/>
        <item m="1" x="34"/>
        <item m="1" x="37"/>
        <item m="1" x="36"/>
        <item m="1" x="49"/>
        <item m="1" x="54"/>
        <item m="1" x="46"/>
        <item m="1" x="32"/>
        <item m="1" x="52"/>
        <item m="1" x="45"/>
        <item x="29"/>
        <item x="0"/>
        <item x="1"/>
        <item x="2"/>
        <item x="3"/>
        <item x="4"/>
        <item x="5"/>
        <item x="6"/>
        <item x="7"/>
        <item x="8"/>
        <item x="9"/>
        <item x="10"/>
        <item x="11"/>
        <item x="12"/>
        <item m="1" x="30"/>
        <item x="13"/>
        <item x="14"/>
        <item x="15"/>
        <item x="16"/>
        <item x="17"/>
        <item x="18"/>
        <item x="19"/>
        <item x="20"/>
        <item x="21"/>
        <item x="22"/>
        <item x="23"/>
        <item x="24"/>
        <item x="25"/>
        <item x="26"/>
        <item x="27"/>
        <item x="28"/>
      </items>
      <extLst>
        <ext xmlns:x14="http://schemas.microsoft.com/office/spreadsheetml/2009/9/main" uri="{2946ED86-A175-432a-8AC1-64E0C546D7DE}">
          <x14:pivotField fillDownLabels="1"/>
        </ext>
      </extLst>
    </pivotField>
    <pivotField axis="axisRow" outline="0" showAll="0" defaultSubtotal="0">
      <items count="25">
        <item m="1" x="5"/>
        <item m="1" x="2"/>
        <item m="1" x="11"/>
        <item m="1" x="21"/>
        <item m="1" x="22"/>
        <item m="1" x="15"/>
        <item x="0"/>
        <item m="1" x="16"/>
        <item m="1" x="23"/>
        <item m="1" x="8"/>
        <item m="1" x="24"/>
        <item m="1" x="18"/>
        <item m="1" x="20"/>
        <item m="1" x="10"/>
        <item m="1" x="14"/>
        <item m="1" x="13"/>
        <item m="1" x="12"/>
        <item m="1" x="17"/>
        <item m="1" x="7"/>
        <item m="1" x="6"/>
        <item m="1" x="3"/>
        <item m="1" x="4"/>
        <item m="1" x="19"/>
        <item m="1" x="9"/>
        <item x="1"/>
      </items>
      <extLst>
        <ext xmlns:x14="http://schemas.microsoft.com/office/spreadsheetml/2009/9/main" uri="{2946ED86-A175-432a-8AC1-64E0C546D7DE}">
          <x14:pivotField fillDownLabels="1"/>
        </ext>
      </extLst>
    </pivotField>
    <pivotField showAll="0"/>
    <pivotField showAll="0"/>
    <pivotField showAll="0"/>
    <pivotField showAll="0"/>
    <pivotField showAll="0"/>
    <pivotField showAll="0"/>
    <pivotField dataField="1" numFmtId="43" showAll="0"/>
    <pivotField dataField="1" numFmtId="43" showAll="0"/>
    <pivotField showAll="0" defaultSubtotal="0">
      <extLst>
        <ext xmlns:x14="http://schemas.microsoft.com/office/spreadsheetml/2009/9/main" uri="{2946ED86-A175-432a-8AC1-64E0C546D7DE}">
          <x14:pivotField fillDownLabels="1"/>
        </ext>
      </extLst>
    </pivotField>
    <pivotField showAll="0"/>
    <pivotField showAll="0"/>
    <pivotField showAll="0"/>
    <pivotField showAll="0"/>
    <pivotField showAll="0"/>
    <pivotField showAll="0"/>
    <pivotField showAll="0"/>
    <pivotField showAll="0"/>
    <pivotField showAll="0"/>
    <pivotField showAll="0"/>
    <pivotField showAll="0"/>
  </pivotFields>
  <rowFields count="2">
    <field x="11"/>
    <field x="12"/>
  </rowFields>
  <rowItems count="17">
    <i>
      <x v="42"/>
      <x v="6"/>
    </i>
    <i>
      <x v="43"/>
      <x v="6"/>
    </i>
    <i>
      <x v="44"/>
      <x v="6"/>
    </i>
    <i>
      <x v="45"/>
      <x v="6"/>
    </i>
    <i>
      <x v="46"/>
      <x v="6"/>
    </i>
    <i>
      <x v="47"/>
      <x v="6"/>
    </i>
    <i>
      <x v="48"/>
      <x v="6"/>
    </i>
    <i>
      <x v="49"/>
      <x v="6"/>
    </i>
    <i>
      <x v="50"/>
      <x v="6"/>
    </i>
    <i>
      <x v="51"/>
      <x v="6"/>
    </i>
    <i>
      <x v="52"/>
      <x v="6"/>
    </i>
    <i>
      <x v="53"/>
      <x v="6"/>
    </i>
    <i>
      <x v="54"/>
      <x v="6"/>
    </i>
    <i>
      <x v="55"/>
      <x v="6"/>
    </i>
    <i>
      <x v="56"/>
      <x v="6"/>
    </i>
    <i>
      <x v="57"/>
      <x v="6"/>
    </i>
    <i t="grand">
      <x/>
    </i>
  </rowItems>
  <colFields count="1">
    <field x="-2"/>
  </colFields>
  <colItems count="2">
    <i>
      <x/>
    </i>
    <i i="1">
      <x v="1"/>
    </i>
  </colItems>
  <pageFields count="1">
    <pageField fld="0" hier="-1"/>
  </pageFields>
  <dataFields count="2">
    <dataField name="       Quantity" fld="19" baseField="12" baseItem="3" numFmtId="3"/>
    <dataField name="       Weight" fld="20" baseField="12" baseItem="3" numFmtId="4"/>
  </dataFields>
  <pivotTableStyleInfo name="PivotStyleLight1"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entory_Status" xr10:uid="{DA809992-01F9-47B4-81FF-34F5492D6E13}" sourceName="Inventory Status">
  <extLst>
    <x:ext xmlns:x15="http://schemas.microsoft.com/office/spreadsheetml/2010/11/main" uri="{2F2917AC-EB37-4324-AD4E-5DD8C200BD13}">
      <x15:tableSlicerCache tableId="1" column="3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ventory Status" xr10:uid="{9930F865-8FF7-4B5D-88A2-4C00AA93C5A1}" cache="Slicer_Inventory_Status" caption="Inventory Status" columnCount="2" style="SlicerStyleOther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0C486F4-D993-496C-9DEC-6389A7153079}" name="Outbound_data" displayName="Outbound_data" ref="B3:Q1480" totalsRowShown="0" headerRowDxfId="169" dataDxfId="167" headerRowBorderDxfId="168" tableBorderDxfId="166" totalsRowBorderDxfId="165">
  <autoFilter ref="B3:Q1480" xr:uid="{D0C486F4-D993-496C-9DEC-6389A715307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48D546D-1F01-4A9B-AAA8-E34070E5283A}" name="OUTBOUND DATE" dataDxfId="164"/>
    <tableColumn id="2" xr3:uid="{A88735E5-84EA-4867-BB7C-EBC55B93D706}" name="Withdrawal Report No." dataDxfId="163"/>
    <tableColumn id="4" xr3:uid="{7D395BE7-EE72-4E75-B4FF-4005B1FB3E69}" name="DESTINATION" dataDxfId="162"/>
    <tableColumn id="3" xr3:uid="{FA5479AF-84AA-4FC9-B7D8-52EDE2FD8C67}" name="STOCK CODE OUT" dataDxfId="161"/>
    <tableColumn id="5" xr3:uid="{3B43193F-1972-45FC-8232-3574ABB52F82}" name="QTY OUT" dataDxfId="160" dataCellStyle="Comma"/>
    <tableColumn id="6" xr3:uid="{A34095FF-5BC3-4FF8-9FFD-7AB95E7B91EA}" name="KILOS OUT" dataDxfId="159" dataCellStyle="Comma"/>
    <tableColumn id="7" xr3:uid="{233F3C1D-C9F8-4064-B612-E58FFA7C5335}" name="PALLET OUT" dataDxfId="158" dataCellStyle="Comma"/>
    <tableColumn id="8" xr3:uid="{97D26F75-5C03-4EE6-8FE7-7BB433119414}" name="PICKLIST" dataDxfId="157" dataCellStyle="Comma"/>
    <tableColumn id="9" xr3:uid="{D38ECF13-7D12-45B0-B57C-E57868D19297}" name="ENCODED BY:" dataDxfId="156"/>
    <tableColumn id="10" xr3:uid="{363BAD0B-9722-4122-BAB7-A853697A3D53}" name="GATEPASS" dataDxfId="155"/>
    <tableColumn id="11" xr3:uid="{C5093D4A-B09A-4841-BF6C-32CF8D86030B}" name="PLATE #" dataDxfId="154"/>
    <tableColumn id="12" xr3:uid="{94FF8DF1-A97E-451A-AE7D-61A13CC10B19}" name="OUT REMARKS" dataDxfId="153" dataCellStyle="Comma"/>
    <tableColumn id="13" xr3:uid="{92CE2D62-E155-4C86-B197-70393945CBB9}" name="PALLET SERIES (OUT)" dataDxfId="152">
      <calculatedColumnFormula>IF(ISBLANK(C4),"",_xlfn.IFNA(INDEX(inbound_data[],MATCH(Outbound_data[[#This Row],[STOCK CODE OUT]],Generated_Stockcode,0),10),""))</calculatedColumnFormula>
    </tableColumn>
    <tableColumn id="14" xr3:uid="{52039466-1DE0-49E1-8650-0EAE671ED400}" name="ITEM DESCRIPTION (OUT)" dataDxfId="151">
      <calculatedColumnFormula>IF(ISBLANK(C4),"",_xlfn.IFNA(INDEX(inbound_data[],MATCH(Outbound_data[[#This Row],[STOCK CODE OUT]],Generated_Stockcode,0),12),""))</calculatedColumnFormula>
    </tableColumn>
    <tableColumn id="17" xr3:uid="{2A4D1663-46A0-4104-93E8-2F3B067B0D78}" name="UOM (OUT)" dataDxfId="150">
      <calculatedColumnFormula>IF(ISBLANK(C4),"",_xlfn.IFNA(INDEX(inbound_data[],MATCH(Outbound_data[[#This Row],[STOCK CODE OUT]],Generated_Stockcode,0),23),""))</calculatedColumnFormula>
    </tableColumn>
    <tableColumn id="15" xr3:uid="{0CAA92DD-3E68-45C8-BFE8-2F1B7BFE94D5}" name="CONTAINER NUMBER (OUT)" dataDxfId="149">
      <calculatedColumnFormula>IF(ISBLANK(C4),"",_xlfn.IFNA(INDEX(inbound_data[],MATCH(Outbound_data[[#This Row],[STOCK CODE OUT]],Generated_Stockcode,0),13),""))</calculatedColumnFormula>
    </tableColumn>
  </tableColumns>
  <tableStyleInfo name="TableStyleLight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00B733-A394-4707-B8E3-266BAEED9890}" name="inbound_data" displayName="inbound_data" ref="A8:AG1500" headerRowDxfId="148" dataDxfId="146" headerRowBorderDxfId="147" tableBorderDxfId="145" totalsRowBorderDxfId="144" headerRowCellStyle="Comma">
  <autoFilter ref="A8:AG1500" xr:uid="{0400B733-A394-4707-B8E3-266BAEED9890}"/>
  <tableColumns count="33">
    <tableColumn id="32" xr3:uid="{5233F362-7C01-4DFB-87EC-71D4617BBBE6}" name="Inventory Status" totalsRowLabel="Total" dataDxfId="143" totalsRowDxfId="142">
      <calculatedColumnFormula>IF(ISBLANK(inbound_data[[#This Row],[Receiving Report ref.'#]]),"",IF(inbound_data[[#This Row],[Ending Quantity]]=0,"ZERO","INV"))</calculatedColumnFormula>
    </tableColumn>
    <tableColumn id="1" xr3:uid="{56AD93DF-E074-4514-B6EF-B8626190BBBF}" name="No." dataDxfId="141" totalsRowDxfId="140">
      <calculatedColumnFormula>IF(ISBLANK(D9),"",TEXT(ROW(),"00000"))</calculatedColumnFormula>
    </tableColumn>
    <tableColumn id="37" xr3:uid="{E340ACA2-5A64-40B3-9FC9-50FD9F2E27C4}" name="Generated Stockcode" dataDxfId="139" totalsRowDxfId="138">
      <calculatedColumnFormula>IF(ISBLANK(D9),"",inbound_data[[#This Row],[Pallet_Series]]&amp;inbound_data[[#This Row],[No.]])</calculatedColumnFormula>
    </tableColumn>
    <tableColumn id="36" xr3:uid="{91CBBA93-5009-4B08-9ECB-0BF351456399}" name="Date Inbound" dataDxfId="137" totalsRowDxfId="136"/>
    <tableColumn id="2" xr3:uid="{1B533DA2-177F-4E5A-BCE5-7989D7BBEB93}" name="Mode of Inbound" dataDxfId="135" totalsRowDxfId="134"/>
    <tableColumn id="3" xr3:uid="{612F85AC-E833-4E8B-B860-6B664EFFD42D}" name="Receiving Report ref.#" dataDxfId="133" totalsRowDxfId="132"/>
    <tableColumn id="4" xr3:uid="{EB11E554-284B-4BC9-BACB-43A826B47CCC}" name="Source" dataDxfId="131" totalsRowDxfId="130"/>
    <tableColumn id="5" xr3:uid="{489C7578-F3A8-4839-940C-D53238095DE6}" name="Truck No." dataDxfId="129" totalsRowDxfId="128"/>
    <tableColumn id="6" xr3:uid="{3C8BFE1E-B960-4F8C-B63D-3C770878BF4F}" name="Gatepass" dataDxfId="127" totalsRowDxfId="126"/>
    <tableColumn id="9" xr3:uid="{DB208B44-675D-427C-B450-81FD2CCE3EA7}" name="Pallet_Series" dataDxfId="125" totalsRowDxfId="124"/>
    <tableColumn id="10" xr3:uid="{FEFBFC9D-1A1A-45C1-88CA-E44022CB5A06}" name="Pallet_qty" dataDxfId="123" totalsRowDxfId="122"/>
    <tableColumn id="11" xr3:uid="{87AA89A8-298C-472C-9B93-167A39B452E6}" name="Item Description" dataDxfId="121" totalsRowDxfId="120"/>
    <tableColumn id="12" xr3:uid="{57FC14DB-BA5F-4FB1-BB20-F3C12E214C80}" name="Container Van No." dataDxfId="119" totalsRowDxfId="118"/>
    <tableColumn id="13" xr3:uid="{F2C24A7A-A46E-4FB3-A609-B69C5FBE1AB6}" name="Production Date" dataDxfId="117" totalsRowDxfId="116"/>
    <tableColumn id="14" xr3:uid="{374680BB-8EF7-48FB-922C-C058407AC069}" name="Expiration Date" dataDxfId="115" totalsRowDxfId="114"/>
    <tableColumn id="15" xr3:uid="{0F766916-0426-4114-9D72-68C879D8AB3D}" name="Ageing Day/s" dataDxfId="113">
      <calculatedColumnFormula>IF(A9="ZERO","",IF(O9="","",O9-TODAY()))</calculatedColumnFormula>
    </tableColumn>
    <tableColumn id="16" xr3:uid="{EDE69645-4A2D-4366-B7B7-FE1C32BE59A2}" name="Ageing Remarks" dataDxfId="112" totalsRowDxfId="111">
      <calculatedColumnFormula>IF(A9="ZERO","",IF(P9&lt;0,"ALREADY EXPIRED",IF(P9&lt;60,"NEARLY EXPIRED","")))</calculatedColumnFormula>
    </tableColumn>
    <tableColumn id="17" xr3:uid="{89B5275C-A136-4D3A-BCB6-C2D582425F50}" name="In Quantity" dataDxfId="110" dataCellStyle="Comma"/>
    <tableColumn id="18" xr3:uid="{7B6660AE-9F34-4313-90DA-D0939EF6115D}" name="In Weight" dataDxfId="109" dataCellStyle="Comma">
      <calculatedColumnFormula>+inbound_data[[#This Row],[In Quantity]]*3.744</calculatedColumnFormula>
    </tableColumn>
    <tableColumn id="29" xr3:uid="{6C01C1C7-5FF0-4AF4-B977-217B420AC352}" name="Ending Quantity" dataDxfId="108" totalsRowDxfId="107" dataCellStyle="Comma">
      <calculatedColumnFormula>IF(ISBLANK(R9),0,R9-SUMIF(STOCK_CODE_OUT,$C9,QTY_OUT))</calculatedColumnFormula>
    </tableColumn>
    <tableColumn id="30" xr3:uid="{C58613F4-0CC9-40BC-8877-1FD06935BC03}" name="Ending Weight" dataDxfId="106" totalsRowDxfId="105" dataCellStyle="Comma">
      <calculatedColumnFormula>IF(ISBLANK(S9),0,S9-SUMIF(STOCK_CODE_OUT,$C9,KILOS_OUT))</calculatedColumnFormula>
    </tableColumn>
    <tableColumn id="31" xr3:uid="{40975BBB-E7AE-414F-B1F9-FB4292851911}" name="Ending Pallet Quantity" dataDxfId="104" totalsRowDxfId="103" dataCellStyle="Comma">
      <calculatedColumnFormula>IF(ISBLANK(K9),0,K9-SUMIF(STOCK_CODE_OUT,$C9,PALLET_OUT))</calculatedColumnFormula>
    </tableColumn>
    <tableColumn id="19" xr3:uid="{DD69F2EA-6124-4898-8844-79578B0A3BF5}" name="UOM" dataDxfId="102" totalsRowDxfId="101"/>
    <tableColumn id="20" xr3:uid="{3CE38C5C-4B14-40AD-B30B-4153C4CDEC49}" name="WH" dataDxfId="100" totalsRowDxfId="99"/>
    <tableColumn id="7" xr3:uid="{2A19AAA2-0E6A-4E7B-AF6B-494757930AFB}" name="Encoder" dataDxfId="98" totalsRowDxfId="97"/>
    <tableColumn id="28" xr3:uid="{FBA1DCA7-5DDC-440A-96F9-60E4B89A6214}" name="Stock Remarks" dataDxfId="96" totalsRowDxfId="95"/>
    <tableColumn id="21" xr3:uid="{394CB1C1-560F-4CEE-84BF-7CC9FCB790CD}" name="FRZ" dataDxfId="94" totalsRowDxfId="93"/>
    <tableColumn id="22" xr3:uid="{23636E08-B92E-4304-B061-D89AAA29B4EA}" name="CLM" dataDxfId="92" totalsRowDxfId="91"/>
    <tableColumn id="23" xr3:uid="{A5AF0ED8-4CE1-4FEB-B0D9-B96E94911CBC}" name="RW" dataDxfId="90" totalsRowDxfId="89"/>
    <tableColumn id="24" xr3:uid="{815E4F91-BD4A-4325-9C9D-CA2D2E62621C}" name="LVL" dataDxfId="88" totalsRowDxfId="87"/>
    <tableColumn id="25" xr3:uid="{43A9F8D3-B043-45E3-B8E8-3792D25F09B3}" name="SIDE" dataDxfId="86" totalsRowDxfId="85"/>
    <tableColumn id="26" xr3:uid="{6DC34B83-25D1-4ED0-B783-9EBD82EE22F8}" name="From Location" dataDxfId="84" totalsRowDxfId="83" dataCellStyle="Comma"/>
    <tableColumn id="27" xr3:uid="{C2EC30D1-F1E1-4861-957D-17A49F716B40}" name="Location" totalsRowFunction="count" dataDxfId="82" totalsRowDxfId="81" dataCellStyle="Comma">
      <calculatedColumnFormula>IF(T9&gt;0,CONCATENATE(AA9,AB9,TEXT(AC9,"R00"),TEXT(AD9,"L0."),TEXT(AE9,"0")),"")</calculatedColumnFormula>
    </tableColumn>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5EFC28-D129-4FEA-8220-1544CED4E549}" name="Table2" displayName="Table2" ref="A4:T181" totalsRowShown="0" headerRowDxfId="80" dataDxfId="79" headerRowCellStyle="Comma" dataCellStyle="Comma">
  <autoFilter ref="A4:T181" xr:uid="{965EFC28-D129-4FEA-8220-1544CED4E54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autoFilter>
  <tableColumns count="20">
    <tableColumn id="1" xr3:uid="{B9BBC654-F7AF-42D8-B29E-D6520DF09DFF}" name="Transaction Date" dataDxfId="78"/>
    <tableColumn id="2" xr3:uid="{70E06199-FC0F-425F-856F-952BCD3058AB}" name="Beginning balance" dataDxfId="77">
      <calculatedColumnFormula>R4</calculatedColumnFormula>
    </tableColumn>
    <tableColumn id="3" xr3:uid="{BC90043B-821D-4736-A1F2-CFAB8F36D514}" name="RR#" dataDxfId="76"/>
    <tableColumn id="4" xr3:uid="{6F7ADEA7-3C36-4545-99BE-35BFA90CE930}" name="RR total in" dataDxfId="75" dataCellStyle="Comma">
      <calculatedColumnFormula>SUMIF(Receiving_Report_ref.,C5,In_Quantity)</calculatedColumnFormula>
    </tableColumn>
    <tableColumn id="5" xr3:uid="{85312B90-BACA-4234-8557-8ADF0BDCA170}" name="RR total weight" dataDxfId="74" dataCellStyle="Comma">
      <calculatedColumnFormula>SUMIF(Receiving_Report_ref.,C5,In_Weight)</calculatedColumnFormula>
    </tableColumn>
    <tableColumn id="6" xr3:uid="{A7CD5762-0E21-4867-B87A-738C4A415507}" name="RR total pallet in" dataDxfId="73" dataCellStyle="Comma">
      <calculatedColumnFormula>SUMIF(Receiving_Report_ref.,C5,Pallet_qty)</calculatedColumnFormula>
    </tableColumn>
    <tableColumn id="7" xr3:uid="{99890197-A1AD-4D0C-AFF8-E18D97801393}" name="WR#" dataDxfId="72"/>
    <tableColumn id="8" xr3:uid="{BA0D53D1-68FC-46EC-8BB1-A632297426C5}" name="RR Return" dataDxfId="71" dataCellStyle="Comma">
      <calculatedColumnFormula>IFERROR(INDEX(inbound_data[],MATCH(G5,Source,0),6),0)</calculatedColumnFormula>
    </tableColumn>
    <tableColumn id="9" xr3:uid="{59DE43AF-FA72-416C-99E0-652F0B2120F3}" name="WR qty out" dataDxfId="70" dataCellStyle="Comma">
      <calculatedColumnFormula>SUMIF(Withdrawal_Report_No.,G5,QTY_OUT)</calculatedColumnFormula>
    </tableColumn>
    <tableColumn id="10" xr3:uid="{73FFFADD-3637-4BB2-9657-8BF01328A80A}" name="Return qty" dataDxfId="69" dataCellStyle="Comma">
      <calculatedColumnFormula>SUMIF(Receiving_Report_ref.,H5,In_Quantity)</calculatedColumnFormula>
    </tableColumn>
    <tableColumn id="11" xr3:uid="{5C2FA338-542D-4F47-AD83-9C074E893123}" name="WR weight out" dataDxfId="68" dataCellStyle="Comma">
      <calculatedColumnFormula>SUMIF(Withdrawal_Report_No.,G5,KILOS_OUT)</calculatedColumnFormula>
    </tableColumn>
    <tableColumn id="12" xr3:uid="{796AC78D-747D-4A95-B011-9E6852419E5C}" name="Return weight" dataDxfId="67" dataCellStyle="Comma">
      <calculatedColumnFormula>SUMIF(Receiving_Report_ref.,H5,In_Weight)</calculatedColumnFormula>
    </tableColumn>
    <tableColumn id="13" xr3:uid="{870DD9EA-33A1-4676-97CA-232973DE8D0F}" name="WR pallet out" dataDxfId="66" dataCellStyle="Comma">
      <calculatedColumnFormula>SUMIF(Withdrawal_Report_No.,G5,PALLET_OUT)</calculatedColumnFormula>
    </tableColumn>
    <tableColumn id="14" xr3:uid="{0E908810-09D7-484A-AF36-A783E744055E}" name="Return pallet" dataDxfId="65" dataCellStyle="Comma">
      <calculatedColumnFormula>SUMIF(Receiving_Report_ref.,H5,Pallet_qty)</calculatedColumnFormula>
    </tableColumn>
    <tableColumn id="15" xr3:uid="{C48B229C-E843-4983-9572-6953685722CF}" name="Net Quantity Out" dataDxfId="64" dataCellStyle="Comma">
      <calculatedColumnFormula>I5-J5</calculatedColumnFormula>
    </tableColumn>
    <tableColumn id="16" xr3:uid="{4F8D74FB-CA25-4ADB-816B-00AD3FE01789}" name="Net Weight Out" dataDxfId="63" dataCellStyle="Comma">
      <calculatedColumnFormula>K5-L5</calculatedColumnFormula>
    </tableColumn>
    <tableColumn id="17" xr3:uid="{BC6FE821-648B-47D8-9581-B3200A1B0B59}" name="Total Pallet Out" dataDxfId="62" dataCellStyle="Comma">
      <calculatedColumnFormula>+M5-N5</calculatedColumnFormula>
    </tableColumn>
    <tableColumn id="18" xr3:uid="{42030C1E-3D08-4D72-B556-BC12E3A085C3}" name="Remaining pallet quantity" dataDxfId="61" dataCellStyle="Comma">
      <calculatedColumnFormula>B5+F5-Q5</calculatedColumnFormula>
    </tableColumn>
    <tableColumn id="19" xr3:uid="{05AACFD0-1512-47E1-A82B-A0A5DCD33192}" name="Remaining quantity" dataDxfId="60" dataCellStyle="Comma">
      <calculatedColumnFormula>S4+D5-O5</calculatedColumnFormula>
    </tableColumn>
    <tableColumn id="20" xr3:uid="{93E25183-74D1-4AB0-A00B-64A1605CB9D7}" name="Remaining weight" dataDxfId="59" dataCellStyle="Comma">
      <calculatedColumnFormula>T4+E5-P5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3.xml"/><Relationship Id="rId3" Type="http://schemas.openxmlformats.org/officeDocument/2006/relationships/vmlDrawing" Target="../drawings/vmlDrawing1.vml"/><Relationship Id="rId7" Type="http://schemas.openxmlformats.org/officeDocument/2006/relationships/image" Target="../media/image2.emf"/><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ntrol" Target="../activeX/activeX2.xml"/><Relationship Id="rId5" Type="http://schemas.openxmlformats.org/officeDocument/2006/relationships/image" Target="../media/image1.emf"/><Relationship Id="rId4" Type="http://schemas.openxmlformats.org/officeDocument/2006/relationships/control" Target="../activeX/activeX1.xml"/><Relationship Id="rId9" Type="http://schemas.openxmlformats.org/officeDocument/2006/relationships/image" Target="../media/image3.emf"/></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8" Type="http://schemas.openxmlformats.org/officeDocument/2006/relationships/control" Target="../activeX/activeX6.xml"/><Relationship Id="rId3" Type="http://schemas.openxmlformats.org/officeDocument/2006/relationships/vmlDrawing" Target="../drawings/vmlDrawing2.vml"/><Relationship Id="rId7" Type="http://schemas.openxmlformats.org/officeDocument/2006/relationships/image" Target="../media/image7.emf"/><Relationship Id="rId2" Type="http://schemas.openxmlformats.org/officeDocument/2006/relationships/drawing" Target="../drawings/drawing3.xml"/><Relationship Id="rId1" Type="http://schemas.openxmlformats.org/officeDocument/2006/relationships/printerSettings" Target="../printerSettings/printerSettings5.bin"/><Relationship Id="rId6" Type="http://schemas.openxmlformats.org/officeDocument/2006/relationships/control" Target="../activeX/activeX5.xml"/><Relationship Id="rId11" Type="http://schemas.openxmlformats.org/officeDocument/2006/relationships/image" Target="../media/image3.emf"/><Relationship Id="rId5" Type="http://schemas.openxmlformats.org/officeDocument/2006/relationships/image" Target="../media/image6.emf"/><Relationship Id="rId10" Type="http://schemas.openxmlformats.org/officeDocument/2006/relationships/control" Target="../activeX/activeX7.xml"/><Relationship Id="rId4" Type="http://schemas.openxmlformats.org/officeDocument/2006/relationships/control" Target="../activeX/activeX4.xml"/><Relationship Id="rId9" Type="http://schemas.openxmlformats.org/officeDocument/2006/relationships/image" Target="../media/image2.emf"/></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197DBA-5C5E-4967-8CC8-0FFC2372D249}">
  <dimension ref="A1:D21"/>
  <sheetViews>
    <sheetView showGridLines="0" tabSelected="1" zoomScaleNormal="100" workbookViewId="0"/>
  </sheetViews>
  <sheetFormatPr defaultRowHeight="15" x14ac:dyDescent="0.25"/>
  <cols>
    <col min="1" max="1" width="51" bestFit="1" customWidth="1"/>
    <col min="2" max="2" width="19.85546875" bestFit="1" customWidth="1"/>
    <col min="3" max="3" width="11.7109375" bestFit="1" customWidth="1"/>
    <col min="4" max="4" width="10.42578125" bestFit="1" customWidth="1"/>
    <col min="5" max="5" width="10.28515625" bestFit="1" customWidth="1"/>
    <col min="6" max="6" width="12.28515625" bestFit="1" customWidth="1"/>
  </cols>
  <sheetData>
    <row r="1" spans="1:4" ht="32.25" customHeight="1" x14ac:dyDescent="0.35">
      <c r="A1" s="44" t="str">
        <f>'Inbound data'!$D$3</f>
        <v>Duopower Foods Inc.</v>
      </c>
    </row>
    <row r="2" spans="1:4" x14ac:dyDescent="0.25">
      <c r="A2" s="30" t="s">
        <v>33</v>
      </c>
      <c r="B2" t="s">
        <v>144</v>
      </c>
    </row>
    <row r="3" spans="1:4" ht="15.75" x14ac:dyDescent="0.25">
      <c r="A3" s="78">
        <f ca="1">NOW()</f>
        <v>46111.157060300924</v>
      </c>
    </row>
    <row r="4" spans="1:4" x14ac:dyDescent="0.25">
      <c r="A4" s="30" t="s">
        <v>77</v>
      </c>
      <c r="B4" s="30" t="s">
        <v>22</v>
      </c>
      <c r="C4" t="s">
        <v>108</v>
      </c>
      <c r="D4" t="s">
        <v>109</v>
      </c>
    </row>
    <row r="5" spans="1:4" x14ac:dyDescent="0.25">
      <c r="A5" t="s">
        <v>377</v>
      </c>
      <c r="B5" t="s">
        <v>134</v>
      </c>
      <c r="C5" s="94">
        <v>60</v>
      </c>
      <c r="D5" s="95">
        <v>720</v>
      </c>
    </row>
    <row r="6" spans="1:4" x14ac:dyDescent="0.25">
      <c r="A6" t="s">
        <v>392</v>
      </c>
      <c r="B6" t="s">
        <v>134</v>
      </c>
      <c r="C6" s="94">
        <v>25</v>
      </c>
      <c r="D6" s="95">
        <v>11.8</v>
      </c>
    </row>
    <row r="7" spans="1:4" x14ac:dyDescent="0.25">
      <c r="A7" t="s">
        <v>393</v>
      </c>
      <c r="B7" t="s">
        <v>134</v>
      </c>
      <c r="C7" s="94">
        <v>30</v>
      </c>
      <c r="D7" s="95">
        <v>41.111999999999995</v>
      </c>
    </row>
    <row r="8" spans="1:4" x14ac:dyDescent="0.25">
      <c r="A8" t="s">
        <v>394</v>
      </c>
      <c r="B8" t="s">
        <v>134</v>
      </c>
      <c r="C8" s="94">
        <v>30</v>
      </c>
      <c r="D8" s="95">
        <v>41.111999999999995</v>
      </c>
    </row>
    <row r="9" spans="1:4" x14ac:dyDescent="0.25">
      <c r="A9" t="s">
        <v>397</v>
      </c>
      <c r="B9" t="s">
        <v>134</v>
      </c>
      <c r="C9" s="94">
        <v>100</v>
      </c>
      <c r="D9" s="95">
        <v>57.44</v>
      </c>
    </row>
    <row r="10" spans="1:4" x14ac:dyDescent="0.25">
      <c r="A10" t="s">
        <v>398</v>
      </c>
      <c r="B10" t="s">
        <v>134</v>
      </c>
      <c r="C10" s="94">
        <v>50</v>
      </c>
      <c r="D10" s="95">
        <v>16.079999999999998</v>
      </c>
    </row>
    <row r="11" spans="1:4" x14ac:dyDescent="0.25">
      <c r="A11" t="s">
        <v>399</v>
      </c>
      <c r="B11" t="s">
        <v>134</v>
      </c>
      <c r="C11" s="94">
        <v>25</v>
      </c>
      <c r="D11" s="95">
        <v>0.312</v>
      </c>
    </row>
    <row r="12" spans="1:4" x14ac:dyDescent="0.25">
      <c r="A12" t="s">
        <v>400</v>
      </c>
      <c r="B12" t="s">
        <v>134</v>
      </c>
      <c r="C12" s="94">
        <v>50</v>
      </c>
      <c r="D12" s="95">
        <v>16.28</v>
      </c>
    </row>
    <row r="13" spans="1:4" x14ac:dyDescent="0.25">
      <c r="A13" t="s">
        <v>401</v>
      </c>
      <c r="B13" t="s">
        <v>134</v>
      </c>
      <c r="C13" s="94">
        <v>75</v>
      </c>
      <c r="D13" s="95">
        <v>16.992000000000001</v>
      </c>
    </row>
    <row r="14" spans="1:4" x14ac:dyDescent="0.25">
      <c r="A14" t="s">
        <v>402</v>
      </c>
      <c r="B14" t="s">
        <v>134</v>
      </c>
      <c r="C14" s="94">
        <v>75</v>
      </c>
      <c r="D14" s="95">
        <v>35.400000000000006</v>
      </c>
    </row>
    <row r="15" spans="1:4" x14ac:dyDescent="0.25">
      <c r="A15" t="s">
        <v>403</v>
      </c>
      <c r="B15" t="s">
        <v>134</v>
      </c>
      <c r="C15" s="94">
        <v>100</v>
      </c>
      <c r="D15" s="95">
        <v>47.36</v>
      </c>
    </row>
    <row r="16" spans="1:4" x14ac:dyDescent="0.25">
      <c r="A16" t="s">
        <v>404</v>
      </c>
      <c r="B16" t="s">
        <v>134</v>
      </c>
      <c r="C16" s="94">
        <v>100</v>
      </c>
      <c r="D16" s="95">
        <v>56.64</v>
      </c>
    </row>
    <row r="17" spans="1:4" x14ac:dyDescent="0.25">
      <c r="A17" t="s">
        <v>430</v>
      </c>
      <c r="B17" t="s">
        <v>134</v>
      </c>
      <c r="C17" s="94">
        <v>30</v>
      </c>
      <c r="D17" s="95">
        <v>360</v>
      </c>
    </row>
    <row r="18" spans="1:4" x14ac:dyDescent="0.25">
      <c r="A18" t="s">
        <v>431</v>
      </c>
      <c r="B18" t="s">
        <v>134</v>
      </c>
      <c r="C18" s="94">
        <v>1</v>
      </c>
      <c r="D18" s="95">
        <v>12</v>
      </c>
    </row>
    <row r="19" spans="1:4" x14ac:dyDescent="0.25">
      <c r="A19" t="s">
        <v>432</v>
      </c>
      <c r="B19" t="s">
        <v>134</v>
      </c>
      <c r="C19" s="94">
        <v>19</v>
      </c>
      <c r="D19" s="95">
        <v>228</v>
      </c>
    </row>
    <row r="20" spans="1:4" x14ac:dyDescent="0.25">
      <c r="A20" t="s">
        <v>434</v>
      </c>
      <c r="B20" t="s">
        <v>134</v>
      </c>
      <c r="C20" s="94">
        <v>50</v>
      </c>
      <c r="D20" s="95">
        <v>600</v>
      </c>
    </row>
    <row r="21" spans="1:4" x14ac:dyDescent="0.25">
      <c r="A21" t="s">
        <v>78</v>
      </c>
      <c r="C21" s="94">
        <v>820</v>
      </c>
      <c r="D21" s="95">
        <v>2260.5280000000002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FB164-E147-485A-80E4-E6AECB62BE25}">
  <sheetPr codeName="Sheet1">
    <pageSetUpPr autoPageBreaks="0"/>
  </sheetPr>
  <dimension ref="A1:O1294"/>
  <sheetViews>
    <sheetView showGridLines="0" topLeftCell="B1" zoomScale="85" zoomScaleNormal="85" workbookViewId="0">
      <pane ySplit="8" topLeftCell="A9" activePane="bottomLeft" state="frozen"/>
      <selection activeCell="B1" sqref="B1"/>
      <selection pane="bottomLeft" activeCell="E9" sqref="E9"/>
    </sheetView>
  </sheetViews>
  <sheetFormatPr defaultRowHeight="15" x14ac:dyDescent="0.25"/>
  <cols>
    <col min="1" max="1" width="19" hidden="1" customWidth="1"/>
    <col min="2" max="2" width="17" style="3" customWidth="1"/>
    <col min="3" max="3" width="29.5703125" style="3" customWidth="1"/>
    <col min="4" max="4" width="25.42578125" style="3" customWidth="1"/>
    <col min="5" max="5" width="28" style="3" customWidth="1"/>
    <col min="6" max="6" width="47" style="16" bestFit="1" customWidth="1"/>
    <col min="7" max="7" width="20.7109375" style="3" bestFit="1" customWidth="1"/>
    <col min="8" max="9" width="13.42578125" style="15" customWidth="1"/>
    <col min="10" max="12" width="12.42578125" style="3" customWidth="1"/>
    <col min="13" max="13" width="13.42578125" customWidth="1"/>
    <col min="14" max="14" width="16.42578125" customWidth="1"/>
    <col min="15" max="15" width="12" customWidth="1"/>
  </cols>
  <sheetData>
    <row r="1" spans="1:15" ht="9.9499999999999993" customHeight="1" thickBot="1" x14ac:dyDescent="0.3">
      <c r="A1" s="19" t="s">
        <v>55</v>
      </c>
      <c r="E1" s="16"/>
    </row>
    <row r="2" spans="1:15" s="14" customFormat="1" ht="24.95" customHeight="1" thickBot="1" x14ac:dyDescent="0.3">
      <c r="B2" s="24" t="s">
        <v>21</v>
      </c>
      <c r="C2" s="16"/>
      <c r="D2" s="26" t="s">
        <v>33</v>
      </c>
      <c r="E2" s="23" t="s">
        <v>144</v>
      </c>
      <c r="F2" s="16"/>
      <c r="G2" s="16"/>
      <c r="H2" s="17"/>
      <c r="I2" s="17"/>
      <c r="J2" s="16"/>
      <c r="K2" s="16"/>
      <c r="L2" s="16"/>
    </row>
    <row r="3" spans="1:15" ht="9.9499999999999993" customHeight="1" thickBot="1" x14ac:dyDescent="0.3">
      <c r="B3" s="18"/>
      <c r="D3" s="18"/>
    </row>
    <row r="4" spans="1:15" s="14" customFormat="1" ht="24.95" customHeight="1" thickBot="1" x14ac:dyDescent="0.3">
      <c r="B4" s="24" t="s">
        <v>46</v>
      </c>
      <c r="C4" s="16"/>
      <c r="D4" s="26" t="s">
        <v>57</v>
      </c>
      <c r="E4" s="22"/>
      <c r="F4" s="16"/>
      <c r="G4" s="16"/>
      <c r="H4" s="17"/>
      <c r="I4" s="17"/>
      <c r="J4" s="16"/>
      <c r="K4" s="16"/>
      <c r="L4" s="16"/>
    </row>
    <row r="5" spans="1:15" ht="9.9499999999999993" customHeight="1" x14ac:dyDescent="0.25">
      <c r="B5" s="25"/>
    </row>
    <row r="6" spans="1:15" s="14" customFormat="1" ht="24.95" customHeight="1" x14ac:dyDescent="0.25">
      <c r="A6" s="14" t="s">
        <v>47</v>
      </c>
      <c r="B6" s="24" t="s">
        <v>42</v>
      </c>
      <c r="C6" s="16"/>
      <c r="D6" s="16" t="s">
        <v>47</v>
      </c>
      <c r="E6" s="16"/>
      <c r="F6" s="16"/>
      <c r="G6" s="16"/>
      <c r="H6" s="17"/>
      <c r="I6" s="17"/>
      <c r="J6" s="16"/>
      <c r="K6" s="16"/>
      <c r="L6" s="16"/>
    </row>
    <row r="7" spans="1:15" x14ac:dyDescent="0.25">
      <c r="I7" s="3"/>
      <c r="J7" s="176">
        <f ca="1">SUBTOTAL(9,J9:J500)</f>
        <v>30</v>
      </c>
      <c r="K7" s="176">
        <f ca="1">SUBTOTAL(9,K9:K500)</f>
        <v>48.94</v>
      </c>
      <c r="L7" s="176">
        <f ca="1">SUBTOTAL(9,L9:L500)</f>
        <v>2</v>
      </c>
      <c r="M7" s="3"/>
      <c r="N7" s="3"/>
    </row>
    <row r="8" spans="1:15" s="13" customFormat="1" ht="31.5" customHeight="1" x14ac:dyDescent="0.25">
      <c r="B8" s="20" t="s">
        <v>13</v>
      </c>
      <c r="C8" s="20" t="s">
        <v>51</v>
      </c>
      <c r="D8" s="20" t="s">
        <v>22</v>
      </c>
      <c r="E8" s="20" t="s">
        <v>54</v>
      </c>
      <c r="F8" s="20" t="s">
        <v>21</v>
      </c>
      <c r="G8" s="20" t="s">
        <v>45</v>
      </c>
      <c r="H8" s="21" t="s">
        <v>23</v>
      </c>
      <c r="I8" s="21" t="s">
        <v>48</v>
      </c>
      <c r="J8" s="20" t="s">
        <v>49</v>
      </c>
      <c r="K8" s="20" t="s">
        <v>50</v>
      </c>
      <c r="L8" s="20" t="s">
        <v>120</v>
      </c>
      <c r="M8" s="20" t="s">
        <v>1</v>
      </c>
      <c r="N8" s="20" t="s">
        <v>29</v>
      </c>
      <c r="O8" s="20" t="s">
        <v>30</v>
      </c>
    </row>
    <row r="9" spans="1:15" x14ac:dyDescent="0.25">
      <c r="A9" t="s">
        <v>45</v>
      </c>
      <c r="B9" s="15" cm="1">
        <f t="array" aca="1" ref="B9:O10" ca="1">_xlfn._xlws.SORT(_xlfn.CHOOSECOLS(_xlfn._xlws.FILTER(inbound_data[],ISNUMBER(SEARCH($A$12,Item_Description))*ISNUMBER(SEARCH($A$14,Container_Van_No.))*ISNUMBER(SEARCH($A$10,Pallet_Series))*ISNUMBER(SEARCH(E2,Inventory_Status)),""),4,6,13,3,12,10,14,15,20,21,22,23,33,26),$A$21,1)</f>
        <v>46098</v>
      </c>
      <c r="C9" s="3">
        <f ca="1"/>
        <v>121180</v>
      </c>
      <c r="D9" s="3" t="str">
        <f ca="1"/>
        <v>LOCAL TRANSFER</v>
      </c>
      <c r="E9" s="3" t="str">
        <f ca="1"/>
        <v>DUO-00106AB/145700135</v>
      </c>
      <c r="F9" s="16" t="str">
        <f ca="1"/>
        <v>RED BEAN PAO MINI (APRUB)</v>
      </c>
      <c r="G9" s="3" t="str">
        <f ca="1"/>
        <v>DUO-00106AB/1457</v>
      </c>
      <c r="H9" s="15">
        <f ca="1"/>
        <v>46082</v>
      </c>
      <c r="I9" s="15">
        <f ca="1"/>
        <v>46631</v>
      </c>
      <c r="J9" s="3">
        <f ca="1"/>
        <v>25</v>
      </c>
      <c r="K9" s="3">
        <f ca="1"/>
        <v>8.14</v>
      </c>
      <c r="L9" s="3">
        <f ca="1"/>
        <v>1</v>
      </c>
      <c r="M9" t="str">
        <f ca="1"/>
        <v>BXS</v>
      </c>
      <c r="N9" t="str">
        <f ca="1"/>
        <v>R00L0.0</v>
      </c>
      <c r="O9">
        <f ca="1"/>
        <v>0</v>
      </c>
    </row>
    <row r="10" spans="1:15" x14ac:dyDescent="0.25">
      <c r="A10" t="s">
        <v>420</v>
      </c>
      <c r="B10" s="15">
        <f ca="1"/>
        <v>46106</v>
      </c>
      <c r="C10" s="3">
        <f ca="1"/>
        <v>122242</v>
      </c>
      <c r="D10" s="3" t="str">
        <f ca="1"/>
        <v>LOCAL TRANSFER</v>
      </c>
      <c r="E10" s="3" t="str">
        <f ca="1"/>
        <v>DUO-00106AC/145700143</v>
      </c>
      <c r="F10" s="16" t="str">
        <f ca="1"/>
        <v>RED BEAN PAO MINI</v>
      </c>
      <c r="G10" s="3" t="str">
        <f ca="1"/>
        <v>DUO-00106AC/1457</v>
      </c>
      <c r="H10" s="15">
        <f ca="1"/>
        <v>46082</v>
      </c>
      <c r="I10" s="15">
        <f ca="1"/>
        <v>46631</v>
      </c>
      <c r="J10" s="3">
        <f ca="1"/>
        <v>5</v>
      </c>
      <c r="K10" s="3">
        <f ca="1"/>
        <v>40.799999999999997</v>
      </c>
      <c r="L10" s="3">
        <f ca="1"/>
        <v>1</v>
      </c>
      <c r="M10" t="str">
        <f ca="1"/>
        <v>BXS</v>
      </c>
      <c r="N10" t="str">
        <f ca="1"/>
        <v>R00L0.0</v>
      </c>
      <c r="O10">
        <f ca="1"/>
        <v>0</v>
      </c>
    </row>
    <row r="11" spans="1:15" x14ac:dyDescent="0.25">
      <c r="A11" t="s">
        <v>21</v>
      </c>
      <c r="B11" s="15"/>
    </row>
    <row r="12" spans="1:15" x14ac:dyDescent="0.25">
      <c r="A12" s="13" t="s">
        <v>47</v>
      </c>
      <c r="B12" s="15"/>
    </row>
    <row r="13" spans="1:15" x14ac:dyDescent="0.25">
      <c r="A13" t="s">
        <v>46</v>
      </c>
      <c r="B13" s="15"/>
    </row>
    <row r="14" spans="1:15" x14ac:dyDescent="0.25">
      <c r="A14" t="s">
        <v>47</v>
      </c>
      <c r="B14" s="15"/>
    </row>
    <row r="15" spans="1:15" x14ac:dyDescent="0.25">
      <c r="B15" s="15"/>
    </row>
    <row r="16" spans="1:15" x14ac:dyDescent="0.25">
      <c r="A16" t="s">
        <v>52</v>
      </c>
      <c r="B16" s="15"/>
    </row>
    <row r="17" spans="1:2" x14ac:dyDescent="0.25">
      <c r="A17">
        <v>1</v>
      </c>
      <c r="B17" s="15"/>
    </row>
    <row r="18" spans="1:2" x14ac:dyDescent="0.25">
      <c r="A18" t="s">
        <v>53</v>
      </c>
      <c r="B18" s="15"/>
    </row>
    <row r="19" spans="1:2" x14ac:dyDescent="0.25">
      <c r="A19">
        <v>-1</v>
      </c>
      <c r="B19" s="15"/>
    </row>
    <row r="20" spans="1:2" x14ac:dyDescent="0.25">
      <c r="A20" t="s">
        <v>56</v>
      </c>
      <c r="B20" s="15"/>
    </row>
    <row r="21" spans="1:2" x14ac:dyDescent="0.25">
      <c r="A21">
        <f>IF(E4="Available Balance",9,IF(E4="Expiration date",8,IF(E4="Location",13,1)))</f>
        <v>1</v>
      </c>
      <c r="B21" s="15"/>
    </row>
    <row r="22" spans="1:2" x14ac:dyDescent="0.25">
      <c r="B22" s="15"/>
    </row>
    <row r="23" spans="1:2" x14ac:dyDescent="0.25">
      <c r="B23" s="15"/>
    </row>
    <row r="24" spans="1:2" x14ac:dyDescent="0.25">
      <c r="B24" s="15"/>
    </row>
    <row r="25" spans="1:2" x14ac:dyDescent="0.25">
      <c r="B25" s="15"/>
    </row>
    <row r="26" spans="1:2" x14ac:dyDescent="0.25">
      <c r="B26" s="15"/>
    </row>
    <row r="27" spans="1:2" x14ac:dyDescent="0.25">
      <c r="B27" s="15"/>
    </row>
    <row r="28" spans="1:2" x14ac:dyDescent="0.25">
      <c r="B28" s="15"/>
    </row>
    <row r="29" spans="1:2" x14ac:dyDescent="0.25">
      <c r="B29" s="15"/>
    </row>
    <row r="30" spans="1:2" x14ac:dyDescent="0.25">
      <c r="B30" s="15"/>
    </row>
    <row r="31" spans="1:2" x14ac:dyDescent="0.25">
      <c r="B31" s="15"/>
    </row>
    <row r="32" spans="1:2" x14ac:dyDescent="0.25">
      <c r="B32" s="15"/>
    </row>
    <row r="33" spans="2:2" x14ac:dyDescent="0.25">
      <c r="B33" s="15"/>
    </row>
    <row r="34" spans="2:2" x14ac:dyDescent="0.25">
      <c r="B34" s="15"/>
    </row>
    <row r="35" spans="2:2" x14ac:dyDescent="0.25">
      <c r="B35" s="15"/>
    </row>
    <row r="36" spans="2:2" x14ac:dyDescent="0.25">
      <c r="B36" s="15"/>
    </row>
    <row r="37" spans="2:2" x14ac:dyDescent="0.25">
      <c r="B37" s="15"/>
    </row>
    <row r="38" spans="2:2" x14ac:dyDescent="0.25">
      <c r="B38" s="15"/>
    </row>
    <row r="39" spans="2:2" x14ac:dyDescent="0.25">
      <c r="B39" s="15"/>
    </row>
    <row r="40" spans="2:2" x14ac:dyDescent="0.25">
      <c r="B40" s="15"/>
    </row>
    <row r="41" spans="2:2" x14ac:dyDescent="0.25">
      <c r="B41" s="15"/>
    </row>
    <row r="42" spans="2:2" x14ac:dyDescent="0.25">
      <c r="B42" s="15"/>
    </row>
    <row r="43" spans="2:2" x14ac:dyDescent="0.25">
      <c r="B43" s="15"/>
    </row>
    <row r="44" spans="2:2" x14ac:dyDescent="0.25">
      <c r="B44" s="15"/>
    </row>
    <row r="45" spans="2:2" x14ac:dyDescent="0.25">
      <c r="B45" s="15"/>
    </row>
    <row r="46" spans="2:2" x14ac:dyDescent="0.25">
      <c r="B46" s="15"/>
    </row>
    <row r="47" spans="2:2" x14ac:dyDescent="0.25">
      <c r="B47" s="15"/>
    </row>
    <row r="48" spans="2:2" x14ac:dyDescent="0.25">
      <c r="B48" s="15"/>
    </row>
    <row r="49" spans="2:2" x14ac:dyDescent="0.25">
      <c r="B49" s="15"/>
    </row>
    <row r="50" spans="2:2" x14ac:dyDescent="0.25">
      <c r="B50" s="15"/>
    </row>
    <row r="51" spans="2:2" x14ac:dyDescent="0.25">
      <c r="B51" s="15"/>
    </row>
    <row r="52" spans="2:2" x14ac:dyDescent="0.25">
      <c r="B52" s="15"/>
    </row>
    <row r="53" spans="2:2" x14ac:dyDescent="0.25">
      <c r="B53" s="15"/>
    </row>
    <row r="54" spans="2:2" x14ac:dyDescent="0.25">
      <c r="B54" s="15"/>
    </row>
    <row r="55" spans="2:2" x14ac:dyDescent="0.25">
      <c r="B55" s="15"/>
    </row>
    <row r="56" spans="2:2" x14ac:dyDescent="0.25">
      <c r="B56" s="15"/>
    </row>
    <row r="57" spans="2:2" x14ac:dyDescent="0.25">
      <c r="B57" s="15"/>
    </row>
    <row r="58" spans="2:2" x14ac:dyDescent="0.25">
      <c r="B58" s="15"/>
    </row>
    <row r="59" spans="2:2" x14ac:dyDescent="0.25">
      <c r="B59" s="15"/>
    </row>
    <row r="60" spans="2:2" x14ac:dyDescent="0.25">
      <c r="B60" s="15"/>
    </row>
    <row r="61" spans="2:2" x14ac:dyDescent="0.25">
      <c r="B61" s="15"/>
    </row>
    <row r="62" spans="2:2" x14ac:dyDescent="0.25">
      <c r="B62" s="15"/>
    </row>
    <row r="63" spans="2:2" x14ac:dyDescent="0.25">
      <c r="B63" s="15"/>
    </row>
    <row r="64" spans="2:2" x14ac:dyDescent="0.25">
      <c r="B64" s="15"/>
    </row>
    <row r="65" spans="2:2" x14ac:dyDescent="0.25">
      <c r="B65" s="15"/>
    </row>
    <row r="66" spans="2:2" x14ac:dyDescent="0.25">
      <c r="B66" s="15"/>
    </row>
    <row r="67" spans="2:2" x14ac:dyDescent="0.25">
      <c r="B67" s="15"/>
    </row>
    <row r="68" spans="2:2" x14ac:dyDescent="0.25">
      <c r="B68" s="15"/>
    </row>
    <row r="69" spans="2:2" x14ac:dyDescent="0.25">
      <c r="B69" s="15"/>
    </row>
    <row r="70" spans="2:2" x14ac:dyDescent="0.25">
      <c r="B70" s="15"/>
    </row>
    <row r="71" spans="2:2" x14ac:dyDescent="0.25">
      <c r="B71" s="15"/>
    </row>
    <row r="72" spans="2:2" x14ac:dyDescent="0.25">
      <c r="B72" s="15"/>
    </row>
    <row r="73" spans="2:2" x14ac:dyDescent="0.25">
      <c r="B73" s="15"/>
    </row>
    <row r="74" spans="2:2" x14ac:dyDescent="0.25">
      <c r="B74" s="15"/>
    </row>
    <row r="75" spans="2:2" x14ac:dyDescent="0.25">
      <c r="B75" s="15"/>
    </row>
    <row r="76" spans="2:2" x14ac:dyDescent="0.25">
      <c r="B76" s="15"/>
    </row>
    <row r="77" spans="2:2" x14ac:dyDescent="0.25">
      <c r="B77" s="15"/>
    </row>
    <row r="78" spans="2:2" x14ac:dyDescent="0.25">
      <c r="B78" s="15"/>
    </row>
    <row r="79" spans="2:2" x14ac:dyDescent="0.25">
      <c r="B79" s="15"/>
    </row>
    <row r="80" spans="2:2" x14ac:dyDescent="0.25">
      <c r="B80" s="15"/>
    </row>
    <row r="81" spans="2:2" x14ac:dyDescent="0.25">
      <c r="B81" s="15"/>
    </row>
    <row r="82" spans="2:2" x14ac:dyDescent="0.25">
      <c r="B82" s="15"/>
    </row>
    <row r="83" spans="2:2" x14ac:dyDescent="0.25">
      <c r="B83" s="15"/>
    </row>
    <row r="84" spans="2:2" x14ac:dyDescent="0.25">
      <c r="B84" s="15"/>
    </row>
    <row r="85" spans="2:2" x14ac:dyDescent="0.25">
      <c r="B85" s="15"/>
    </row>
    <row r="86" spans="2:2" x14ac:dyDescent="0.25">
      <c r="B86" s="15"/>
    </row>
    <row r="87" spans="2:2" x14ac:dyDescent="0.25">
      <c r="B87" s="15"/>
    </row>
    <row r="88" spans="2:2" x14ac:dyDescent="0.25">
      <c r="B88" s="15"/>
    </row>
    <row r="89" spans="2:2" x14ac:dyDescent="0.25">
      <c r="B89" s="15"/>
    </row>
    <row r="90" spans="2:2" x14ac:dyDescent="0.25">
      <c r="B90" s="15"/>
    </row>
    <row r="91" spans="2:2" x14ac:dyDescent="0.25">
      <c r="B91" s="15"/>
    </row>
    <row r="92" spans="2:2" x14ac:dyDescent="0.25">
      <c r="B92" s="15"/>
    </row>
    <row r="93" spans="2:2" x14ac:dyDescent="0.25">
      <c r="B93" s="15"/>
    </row>
    <row r="94" spans="2:2" x14ac:dyDescent="0.25">
      <c r="B94" s="15"/>
    </row>
    <row r="95" spans="2:2" x14ac:dyDescent="0.25">
      <c r="B95" s="15"/>
    </row>
    <row r="96" spans="2:2" x14ac:dyDescent="0.25">
      <c r="B96" s="15"/>
    </row>
    <row r="97" spans="2:2" x14ac:dyDescent="0.25">
      <c r="B97" s="15"/>
    </row>
    <row r="98" spans="2:2" x14ac:dyDescent="0.25">
      <c r="B98" s="15"/>
    </row>
    <row r="99" spans="2:2" x14ac:dyDescent="0.25">
      <c r="B99" s="15"/>
    </row>
    <row r="100" spans="2:2" x14ac:dyDescent="0.25">
      <c r="B100" s="15"/>
    </row>
    <row r="101" spans="2:2" x14ac:dyDescent="0.25">
      <c r="B101" s="15"/>
    </row>
    <row r="102" spans="2:2" x14ac:dyDescent="0.25">
      <c r="B102" s="15"/>
    </row>
    <row r="103" spans="2:2" x14ac:dyDescent="0.25">
      <c r="B103" s="15"/>
    </row>
    <row r="104" spans="2:2" x14ac:dyDescent="0.25">
      <c r="B104" s="15"/>
    </row>
    <row r="105" spans="2:2" x14ac:dyDescent="0.25">
      <c r="B105" s="15"/>
    </row>
    <row r="106" spans="2:2" x14ac:dyDescent="0.25">
      <c r="B106" s="15"/>
    </row>
    <row r="107" spans="2:2" x14ac:dyDescent="0.25">
      <c r="B107" s="15"/>
    </row>
    <row r="108" spans="2:2" x14ac:dyDescent="0.25">
      <c r="B108" s="15"/>
    </row>
    <row r="109" spans="2:2" x14ac:dyDescent="0.25">
      <c r="B109" s="15"/>
    </row>
    <row r="110" spans="2:2" x14ac:dyDescent="0.25">
      <c r="B110" s="15"/>
    </row>
    <row r="111" spans="2:2" x14ac:dyDescent="0.25">
      <c r="B111" s="15"/>
    </row>
    <row r="112" spans="2:2" x14ac:dyDescent="0.25">
      <c r="B112" s="15"/>
    </row>
    <row r="113" spans="2:2" x14ac:dyDescent="0.25">
      <c r="B113" s="15"/>
    </row>
    <row r="114" spans="2:2" x14ac:dyDescent="0.25">
      <c r="B114" s="15"/>
    </row>
    <row r="115" spans="2:2" x14ac:dyDescent="0.25">
      <c r="B115" s="15"/>
    </row>
    <row r="116" spans="2:2" x14ac:dyDescent="0.25">
      <c r="B116" s="15"/>
    </row>
    <row r="117" spans="2:2" x14ac:dyDescent="0.25">
      <c r="B117" s="15"/>
    </row>
    <row r="118" spans="2:2" x14ac:dyDescent="0.25">
      <c r="B118" s="15"/>
    </row>
    <row r="119" spans="2:2" x14ac:dyDescent="0.25">
      <c r="B119" s="15"/>
    </row>
    <row r="120" spans="2:2" x14ac:dyDescent="0.25">
      <c r="B120" s="15"/>
    </row>
    <row r="121" spans="2:2" x14ac:dyDescent="0.25">
      <c r="B121" s="15"/>
    </row>
    <row r="122" spans="2:2" x14ac:dyDescent="0.25">
      <c r="B122" s="15"/>
    </row>
    <row r="123" spans="2:2" x14ac:dyDescent="0.25">
      <c r="B123" s="15"/>
    </row>
    <row r="124" spans="2:2" x14ac:dyDescent="0.25">
      <c r="B124" s="15"/>
    </row>
    <row r="125" spans="2:2" x14ac:dyDescent="0.25">
      <c r="B125" s="15"/>
    </row>
    <row r="126" spans="2:2" x14ac:dyDescent="0.25">
      <c r="B126" s="15"/>
    </row>
    <row r="127" spans="2:2" x14ac:dyDescent="0.25">
      <c r="B127" s="15"/>
    </row>
    <row r="128" spans="2:2" x14ac:dyDescent="0.25">
      <c r="B128" s="15"/>
    </row>
    <row r="129" spans="2:2" x14ac:dyDescent="0.25">
      <c r="B129" s="15"/>
    </row>
    <row r="130" spans="2:2" x14ac:dyDescent="0.25">
      <c r="B130" s="15"/>
    </row>
    <row r="131" spans="2:2" x14ac:dyDescent="0.25">
      <c r="B131" s="15"/>
    </row>
    <row r="132" spans="2:2" x14ac:dyDescent="0.25">
      <c r="B132" s="15"/>
    </row>
    <row r="133" spans="2:2" x14ac:dyDescent="0.25">
      <c r="B133" s="15"/>
    </row>
    <row r="134" spans="2:2" x14ac:dyDescent="0.25">
      <c r="B134" s="15"/>
    </row>
    <row r="135" spans="2:2" x14ac:dyDescent="0.25">
      <c r="B135" s="15"/>
    </row>
    <row r="136" spans="2:2" x14ac:dyDescent="0.25">
      <c r="B136" s="15"/>
    </row>
    <row r="137" spans="2:2" x14ac:dyDescent="0.25">
      <c r="B137" s="15"/>
    </row>
    <row r="138" spans="2:2" x14ac:dyDescent="0.25">
      <c r="B138" s="15"/>
    </row>
    <row r="139" spans="2:2" x14ac:dyDescent="0.25">
      <c r="B139" s="15"/>
    </row>
    <row r="140" spans="2:2" x14ac:dyDescent="0.25">
      <c r="B140" s="15"/>
    </row>
    <row r="141" spans="2:2" x14ac:dyDescent="0.25">
      <c r="B141" s="15"/>
    </row>
    <row r="142" spans="2:2" x14ac:dyDescent="0.25">
      <c r="B142" s="15"/>
    </row>
    <row r="143" spans="2:2" x14ac:dyDescent="0.25">
      <c r="B143" s="15"/>
    </row>
    <row r="144" spans="2:2" x14ac:dyDescent="0.25">
      <c r="B144" s="15"/>
    </row>
    <row r="145" spans="2:2" x14ac:dyDescent="0.25">
      <c r="B145" s="15"/>
    </row>
    <row r="146" spans="2:2" x14ac:dyDescent="0.25">
      <c r="B146" s="15"/>
    </row>
    <row r="147" spans="2:2" x14ac:dyDescent="0.25">
      <c r="B147" s="15"/>
    </row>
    <row r="148" spans="2:2" x14ac:dyDescent="0.25">
      <c r="B148" s="15"/>
    </row>
    <row r="149" spans="2:2" x14ac:dyDescent="0.25">
      <c r="B149" s="15"/>
    </row>
    <row r="150" spans="2:2" x14ac:dyDescent="0.25">
      <c r="B150" s="15"/>
    </row>
    <row r="151" spans="2:2" x14ac:dyDescent="0.25">
      <c r="B151" s="15"/>
    </row>
    <row r="152" spans="2:2" x14ac:dyDescent="0.25">
      <c r="B152" s="15"/>
    </row>
    <row r="153" spans="2:2" x14ac:dyDescent="0.25">
      <c r="B153" s="15"/>
    </row>
    <row r="154" spans="2:2" x14ac:dyDescent="0.25">
      <c r="B154" s="15"/>
    </row>
    <row r="155" spans="2:2" x14ac:dyDescent="0.25">
      <c r="B155" s="15"/>
    </row>
    <row r="156" spans="2:2" x14ac:dyDescent="0.25">
      <c r="B156" s="15"/>
    </row>
    <row r="157" spans="2:2" x14ac:dyDescent="0.25">
      <c r="B157" s="15"/>
    </row>
    <row r="158" spans="2:2" x14ac:dyDescent="0.25">
      <c r="B158" s="15"/>
    </row>
    <row r="159" spans="2:2" x14ac:dyDescent="0.25">
      <c r="B159" s="15"/>
    </row>
    <row r="160" spans="2:2" x14ac:dyDescent="0.25">
      <c r="B160" s="15"/>
    </row>
    <row r="161" spans="2:2" x14ac:dyDescent="0.25">
      <c r="B161" s="15"/>
    </row>
    <row r="162" spans="2:2" x14ac:dyDescent="0.25">
      <c r="B162" s="15"/>
    </row>
    <row r="163" spans="2:2" x14ac:dyDescent="0.25">
      <c r="B163" s="15"/>
    </row>
    <row r="164" spans="2:2" x14ac:dyDescent="0.25">
      <c r="B164" s="15"/>
    </row>
    <row r="165" spans="2:2" x14ac:dyDescent="0.25">
      <c r="B165" s="15"/>
    </row>
    <row r="166" spans="2:2" x14ac:dyDescent="0.25">
      <c r="B166" s="15"/>
    </row>
    <row r="167" spans="2:2" x14ac:dyDescent="0.25">
      <c r="B167" s="15"/>
    </row>
    <row r="168" spans="2:2" x14ac:dyDescent="0.25">
      <c r="B168" s="15"/>
    </row>
    <row r="169" spans="2:2" x14ac:dyDescent="0.25">
      <c r="B169" s="15"/>
    </row>
    <row r="170" spans="2:2" x14ac:dyDescent="0.25">
      <c r="B170" s="15"/>
    </row>
    <row r="171" spans="2:2" x14ac:dyDescent="0.25">
      <c r="B171" s="15"/>
    </row>
    <row r="172" spans="2:2" x14ac:dyDescent="0.25">
      <c r="B172" s="15"/>
    </row>
    <row r="173" spans="2:2" x14ac:dyDescent="0.25">
      <c r="B173" s="15"/>
    </row>
    <row r="174" spans="2:2" x14ac:dyDescent="0.25">
      <c r="B174" s="15"/>
    </row>
    <row r="175" spans="2:2" x14ac:dyDescent="0.25">
      <c r="B175" s="15"/>
    </row>
    <row r="176" spans="2:2" x14ac:dyDescent="0.25">
      <c r="B176" s="15"/>
    </row>
    <row r="177" spans="2:2" x14ac:dyDescent="0.25">
      <c r="B177" s="15"/>
    </row>
    <row r="178" spans="2:2" x14ac:dyDescent="0.25">
      <c r="B178" s="15"/>
    </row>
    <row r="179" spans="2:2" x14ac:dyDescent="0.25">
      <c r="B179" s="15"/>
    </row>
    <row r="180" spans="2:2" x14ac:dyDescent="0.25">
      <c r="B180" s="15"/>
    </row>
    <row r="181" spans="2:2" x14ac:dyDescent="0.25">
      <c r="B181" s="15"/>
    </row>
    <row r="182" spans="2:2" x14ac:dyDescent="0.25">
      <c r="B182" s="15"/>
    </row>
    <row r="183" spans="2:2" x14ac:dyDescent="0.25">
      <c r="B183" s="15"/>
    </row>
    <row r="184" spans="2:2" x14ac:dyDescent="0.25">
      <c r="B184" s="15"/>
    </row>
    <row r="185" spans="2:2" x14ac:dyDescent="0.25">
      <c r="B185" s="15"/>
    </row>
    <row r="186" spans="2:2" x14ac:dyDescent="0.25">
      <c r="B186" s="15"/>
    </row>
    <row r="187" spans="2:2" x14ac:dyDescent="0.25">
      <c r="B187" s="15"/>
    </row>
    <row r="188" spans="2:2" x14ac:dyDescent="0.25">
      <c r="B188" s="15"/>
    </row>
    <row r="189" spans="2:2" x14ac:dyDescent="0.25">
      <c r="B189" s="15"/>
    </row>
    <row r="190" spans="2:2" x14ac:dyDescent="0.25">
      <c r="B190" s="15"/>
    </row>
    <row r="191" spans="2:2" x14ac:dyDescent="0.25">
      <c r="B191" s="15"/>
    </row>
    <row r="192" spans="2:2" x14ac:dyDescent="0.25">
      <c r="B192" s="15"/>
    </row>
    <row r="193" spans="2:2" x14ac:dyDescent="0.25">
      <c r="B193" s="15"/>
    </row>
    <row r="194" spans="2:2" x14ac:dyDescent="0.25">
      <c r="B194" s="15"/>
    </row>
    <row r="195" spans="2:2" x14ac:dyDescent="0.25">
      <c r="B195" s="15"/>
    </row>
    <row r="196" spans="2:2" x14ac:dyDescent="0.25">
      <c r="B196" s="15"/>
    </row>
    <row r="197" spans="2:2" x14ac:dyDescent="0.25">
      <c r="B197" s="15"/>
    </row>
    <row r="198" spans="2:2" x14ac:dyDescent="0.25">
      <c r="B198" s="15"/>
    </row>
    <row r="199" spans="2:2" x14ac:dyDescent="0.25">
      <c r="B199" s="15"/>
    </row>
    <row r="200" spans="2:2" x14ac:dyDescent="0.25">
      <c r="B200" s="15"/>
    </row>
    <row r="201" spans="2:2" x14ac:dyDescent="0.25">
      <c r="B201" s="15"/>
    </row>
    <row r="202" spans="2:2" x14ac:dyDescent="0.25">
      <c r="B202" s="15"/>
    </row>
    <row r="203" spans="2:2" x14ac:dyDescent="0.25">
      <c r="B203" s="15"/>
    </row>
    <row r="204" spans="2:2" x14ac:dyDescent="0.25">
      <c r="B204" s="15"/>
    </row>
    <row r="205" spans="2:2" x14ac:dyDescent="0.25">
      <c r="B205" s="15"/>
    </row>
    <row r="206" spans="2:2" x14ac:dyDescent="0.25">
      <c r="B206" s="15"/>
    </row>
    <row r="207" spans="2:2" x14ac:dyDescent="0.25">
      <c r="B207" s="15"/>
    </row>
    <row r="208" spans="2:2" x14ac:dyDescent="0.25">
      <c r="B208" s="15"/>
    </row>
    <row r="209" spans="2:2" x14ac:dyDescent="0.25">
      <c r="B209" s="15"/>
    </row>
    <row r="210" spans="2:2" x14ac:dyDescent="0.25">
      <c r="B210" s="15"/>
    </row>
    <row r="211" spans="2:2" x14ac:dyDescent="0.25">
      <c r="B211" s="15"/>
    </row>
    <row r="212" spans="2:2" x14ac:dyDescent="0.25">
      <c r="B212" s="15"/>
    </row>
    <row r="213" spans="2:2" x14ac:dyDescent="0.25">
      <c r="B213" s="15"/>
    </row>
    <row r="214" spans="2:2" x14ac:dyDescent="0.25">
      <c r="B214" s="15"/>
    </row>
    <row r="215" spans="2:2" x14ac:dyDescent="0.25">
      <c r="B215" s="15"/>
    </row>
    <row r="216" spans="2:2" x14ac:dyDescent="0.25">
      <c r="B216" s="15"/>
    </row>
    <row r="217" spans="2:2" x14ac:dyDescent="0.25">
      <c r="B217" s="15"/>
    </row>
    <row r="218" spans="2:2" x14ac:dyDescent="0.25">
      <c r="B218" s="15"/>
    </row>
    <row r="219" spans="2:2" x14ac:dyDescent="0.25">
      <c r="B219" s="15"/>
    </row>
    <row r="220" spans="2:2" x14ac:dyDescent="0.25">
      <c r="B220" s="15"/>
    </row>
    <row r="221" spans="2:2" x14ac:dyDescent="0.25">
      <c r="B221" s="15"/>
    </row>
    <row r="222" spans="2:2" x14ac:dyDescent="0.25">
      <c r="B222" s="15"/>
    </row>
    <row r="223" spans="2:2" x14ac:dyDescent="0.25">
      <c r="B223" s="15"/>
    </row>
    <row r="224" spans="2:2" x14ac:dyDescent="0.25">
      <c r="B224" s="15"/>
    </row>
    <row r="225" spans="2:2" x14ac:dyDescent="0.25">
      <c r="B225" s="15"/>
    </row>
    <row r="226" spans="2:2" x14ac:dyDescent="0.25">
      <c r="B226" s="15"/>
    </row>
    <row r="227" spans="2:2" x14ac:dyDescent="0.25">
      <c r="B227" s="15"/>
    </row>
    <row r="228" spans="2:2" x14ac:dyDescent="0.25">
      <c r="B228" s="15"/>
    </row>
    <row r="229" spans="2:2" x14ac:dyDescent="0.25">
      <c r="B229" s="15"/>
    </row>
    <row r="230" spans="2:2" x14ac:dyDescent="0.25">
      <c r="B230" s="15"/>
    </row>
    <row r="231" spans="2:2" x14ac:dyDescent="0.25">
      <c r="B231" s="15"/>
    </row>
    <row r="232" spans="2:2" x14ac:dyDescent="0.25">
      <c r="B232" s="15"/>
    </row>
    <row r="233" spans="2:2" x14ac:dyDescent="0.25">
      <c r="B233" s="15"/>
    </row>
    <row r="234" spans="2:2" x14ac:dyDescent="0.25">
      <c r="B234" s="15"/>
    </row>
    <row r="235" spans="2:2" x14ac:dyDescent="0.25">
      <c r="B235" s="15"/>
    </row>
    <row r="236" spans="2:2" x14ac:dyDescent="0.25">
      <c r="B236" s="15"/>
    </row>
    <row r="237" spans="2:2" x14ac:dyDescent="0.25">
      <c r="B237" s="15"/>
    </row>
    <row r="238" spans="2:2" x14ac:dyDescent="0.25">
      <c r="B238" s="15"/>
    </row>
    <row r="239" spans="2:2" x14ac:dyDescent="0.25">
      <c r="B239" s="15"/>
    </row>
    <row r="240" spans="2:2" x14ac:dyDescent="0.25">
      <c r="B240" s="15"/>
    </row>
    <row r="241" spans="2:2" x14ac:dyDescent="0.25">
      <c r="B241" s="15"/>
    </row>
    <row r="242" spans="2:2" x14ac:dyDescent="0.25">
      <c r="B242" s="15"/>
    </row>
    <row r="243" spans="2:2" x14ac:dyDescent="0.25">
      <c r="B243" s="15"/>
    </row>
    <row r="244" spans="2:2" x14ac:dyDescent="0.25">
      <c r="B244" s="15"/>
    </row>
    <row r="245" spans="2:2" x14ac:dyDescent="0.25">
      <c r="B245" s="15"/>
    </row>
    <row r="246" spans="2:2" x14ac:dyDescent="0.25">
      <c r="B246" s="15"/>
    </row>
    <row r="247" spans="2:2" x14ac:dyDescent="0.25">
      <c r="B247" s="15"/>
    </row>
    <row r="248" spans="2:2" x14ac:dyDescent="0.25">
      <c r="B248" s="15"/>
    </row>
    <row r="249" spans="2:2" x14ac:dyDescent="0.25">
      <c r="B249" s="15"/>
    </row>
    <row r="250" spans="2:2" x14ac:dyDescent="0.25">
      <c r="B250" s="15"/>
    </row>
    <row r="251" spans="2:2" x14ac:dyDescent="0.25">
      <c r="B251" s="15"/>
    </row>
    <row r="252" spans="2:2" x14ac:dyDescent="0.25">
      <c r="B252" s="15"/>
    </row>
    <row r="253" spans="2:2" x14ac:dyDescent="0.25">
      <c r="B253" s="15"/>
    </row>
    <row r="254" spans="2:2" x14ac:dyDescent="0.25">
      <c r="B254" s="15"/>
    </row>
    <row r="255" spans="2:2" x14ac:dyDescent="0.25">
      <c r="B255" s="15"/>
    </row>
    <row r="256" spans="2:2" x14ac:dyDescent="0.25">
      <c r="B256" s="15"/>
    </row>
    <row r="257" spans="2:2" x14ac:dyDescent="0.25">
      <c r="B257" s="15"/>
    </row>
    <row r="258" spans="2:2" x14ac:dyDescent="0.25">
      <c r="B258" s="15"/>
    </row>
    <row r="259" spans="2:2" x14ac:dyDescent="0.25">
      <c r="B259" s="15"/>
    </row>
    <row r="260" spans="2:2" x14ac:dyDescent="0.25">
      <c r="B260" s="15"/>
    </row>
    <row r="261" spans="2:2" x14ac:dyDescent="0.25">
      <c r="B261" s="15"/>
    </row>
    <row r="262" spans="2:2" x14ac:dyDescent="0.25">
      <c r="B262" s="15"/>
    </row>
    <row r="263" spans="2:2" x14ac:dyDescent="0.25">
      <c r="B263" s="15"/>
    </row>
    <row r="264" spans="2:2" x14ac:dyDescent="0.25">
      <c r="B264" s="15"/>
    </row>
    <row r="265" spans="2:2" x14ac:dyDescent="0.25">
      <c r="B265" s="15"/>
    </row>
    <row r="266" spans="2:2" x14ac:dyDescent="0.25">
      <c r="B266" s="15"/>
    </row>
    <row r="267" spans="2:2" x14ac:dyDescent="0.25">
      <c r="B267" s="15"/>
    </row>
    <row r="268" spans="2:2" x14ac:dyDescent="0.25">
      <c r="B268" s="15"/>
    </row>
    <row r="269" spans="2:2" x14ac:dyDescent="0.25">
      <c r="B269" s="15"/>
    </row>
    <row r="270" spans="2:2" x14ac:dyDescent="0.25">
      <c r="B270" s="15"/>
    </row>
    <row r="271" spans="2:2" x14ac:dyDescent="0.25">
      <c r="B271" s="15"/>
    </row>
    <row r="272" spans="2:2" x14ac:dyDescent="0.25">
      <c r="B272" s="15"/>
    </row>
    <row r="273" spans="2:2" x14ac:dyDescent="0.25">
      <c r="B273" s="15"/>
    </row>
    <row r="274" spans="2:2" x14ac:dyDescent="0.25">
      <c r="B274" s="15"/>
    </row>
    <row r="275" spans="2:2" x14ac:dyDescent="0.25">
      <c r="B275" s="15"/>
    </row>
    <row r="276" spans="2:2" x14ac:dyDescent="0.25">
      <c r="B276" s="15"/>
    </row>
    <row r="277" spans="2:2" x14ac:dyDescent="0.25">
      <c r="B277" s="15"/>
    </row>
    <row r="278" spans="2:2" x14ac:dyDescent="0.25">
      <c r="B278" s="15"/>
    </row>
    <row r="279" spans="2:2" x14ac:dyDescent="0.25">
      <c r="B279" s="15"/>
    </row>
    <row r="280" spans="2:2" x14ac:dyDescent="0.25">
      <c r="B280" s="15"/>
    </row>
    <row r="281" spans="2:2" x14ac:dyDescent="0.25">
      <c r="B281" s="15"/>
    </row>
    <row r="282" spans="2:2" x14ac:dyDescent="0.25">
      <c r="B282" s="15"/>
    </row>
    <row r="283" spans="2:2" x14ac:dyDescent="0.25">
      <c r="B283" s="15"/>
    </row>
    <row r="284" spans="2:2" x14ac:dyDescent="0.25">
      <c r="B284" s="15"/>
    </row>
    <row r="285" spans="2:2" x14ac:dyDescent="0.25">
      <c r="B285" s="15"/>
    </row>
    <row r="286" spans="2:2" x14ac:dyDescent="0.25">
      <c r="B286" s="15"/>
    </row>
    <row r="287" spans="2:2" x14ac:dyDescent="0.25">
      <c r="B287" s="15"/>
    </row>
    <row r="288" spans="2:2" x14ac:dyDescent="0.25">
      <c r="B288" s="15"/>
    </row>
    <row r="289" spans="2:2" x14ac:dyDescent="0.25">
      <c r="B289" s="15"/>
    </row>
    <row r="290" spans="2:2" x14ac:dyDescent="0.25">
      <c r="B290" s="15"/>
    </row>
    <row r="291" spans="2:2" x14ac:dyDescent="0.25">
      <c r="B291" s="15"/>
    </row>
    <row r="292" spans="2:2" x14ac:dyDescent="0.25">
      <c r="B292" s="15"/>
    </row>
    <row r="293" spans="2:2" x14ac:dyDescent="0.25">
      <c r="B293" s="15"/>
    </row>
    <row r="294" spans="2:2" x14ac:dyDescent="0.25">
      <c r="B294" s="15"/>
    </row>
    <row r="295" spans="2:2" x14ac:dyDescent="0.25">
      <c r="B295" s="15"/>
    </row>
    <row r="296" spans="2:2" x14ac:dyDescent="0.25">
      <c r="B296" s="15"/>
    </row>
    <row r="297" spans="2:2" x14ac:dyDescent="0.25">
      <c r="B297" s="15"/>
    </row>
    <row r="298" spans="2:2" x14ac:dyDescent="0.25">
      <c r="B298" s="15"/>
    </row>
    <row r="299" spans="2:2" x14ac:dyDescent="0.25">
      <c r="B299" s="15"/>
    </row>
    <row r="300" spans="2:2" x14ac:dyDescent="0.25">
      <c r="B300" s="15"/>
    </row>
    <row r="301" spans="2:2" x14ac:dyDescent="0.25">
      <c r="B301" s="15"/>
    </row>
    <row r="302" spans="2:2" x14ac:dyDescent="0.25">
      <c r="B302" s="15"/>
    </row>
    <row r="303" spans="2:2" x14ac:dyDescent="0.25">
      <c r="B303" s="15"/>
    </row>
    <row r="304" spans="2:2" x14ac:dyDescent="0.25">
      <c r="B304" s="15"/>
    </row>
    <row r="305" spans="2:2" x14ac:dyDescent="0.25">
      <c r="B305" s="15"/>
    </row>
    <row r="306" spans="2:2" x14ac:dyDescent="0.25">
      <c r="B306" s="15"/>
    </row>
    <row r="307" spans="2:2" x14ac:dyDescent="0.25">
      <c r="B307" s="15"/>
    </row>
    <row r="308" spans="2:2" x14ac:dyDescent="0.25">
      <c r="B308" s="15"/>
    </row>
    <row r="309" spans="2:2" x14ac:dyDescent="0.25">
      <c r="B309" s="15"/>
    </row>
    <row r="310" spans="2:2" x14ac:dyDescent="0.25">
      <c r="B310" s="15"/>
    </row>
    <row r="311" spans="2:2" x14ac:dyDescent="0.25">
      <c r="B311" s="15"/>
    </row>
    <row r="312" spans="2:2" x14ac:dyDescent="0.25">
      <c r="B312" s="15"/>
    </row>
    <row r="313" spans="2:2" x14ac:dyDescent="0.25">
      <c r="B313" s="15"/>
    </row>
    <row r="314" spans="2:2" x14ac:dyDescent="0.25">
      <c r="B314" s="15"/>
    </row>
    <row r="315" spans="2:2" x14ac:dyDescent="0.25">
      <c r="B315" s="15"/>
    </row>
    <row r="316" spans="2:2" x14ac:dyDescent="0.25">
      <c r="B316" s="15"/>
    </row>
    <row r="317" spans="2:2" x14ac:dyDescent="0.25">
      <c r="B317" s="15"/>
    </row>
    <row r="318" spans="2:2" x14ac:dyDescent="0.25">
      <c r="B318" s="15"/>
    </row>
    <row r="319" spans="2:2" x14ac:dyDescent="0.25">
      <c r="B319" s="15"/>
    </row>
    <row r="320" spans="2:2" x14ac:dyDescent="0.25">
      <c r="B320" s="15"/>
    </row>
    <row r="321" spans="2:2" x14ac:dyDescent="0.25">
      <c r="B321" s="15"/>
    </row>
    <row r="322" spans="2:2" x14ac:dyDescent="0.25">
      <c r="B322" s="15"/>
    </row>
    <row r="323" spans="2:2" x14ac:dyDescent="0.25">
      <c r="B323" s="15"/>
    </row>
    <row r="324" spans="2:2" x14ac:dyDescent="0.25">
      <c r="B324" s="15"/>
    </row>
    <row r="325" spans="2:2" x14ac:dyDescent="0.25">
      <c r="B325" s="15"/>
    </row>
    <row r="326" spans="2:2" x14ac:dyDescent="0.25">
      <c r="B326" s="15"/>
    </row>
    <row r="327" spans="2:2" x14ac:dyDescent="0.25">
      <c r="B327" s="15"/>
    </row>
    <row r="328" spans="2:2" x14ac:dyDescent="0.25">
      <c r="B328" s="15"/>
    </row>
    <row r="329" spans="2:2" x14ac:dyDescent="0.25">
      <c r="B329" s="15"/>
    </row>
    <row r="330" spans="2:2" x14ac:dyDescent="0.25">
      <c r="B330" s="15"/>
    </row>
    <row r="331" spans="2:2" x14ac:dyDescent="0.25">
      <c r="B331" s="15"/>
    </row>
    <row r="332" spans="2:2" x14ac:dyDescent="0.25">
      <c r="B332" s="15"/>
    </row>
    <row r="333" spans="2:2" x14ac:dyDescent="0.25">
      <c r="B333" s="15"/>
    </row>
    <row r="334" spans="2:2" x14ac:dyDescent="0.25">
      <c r="B334" s="15"/>
    </row>
    <row r="335" spans="2:2" x14ac:dyDescent="0.25">
      <c r="B335" s="15"/>
    </row>
    <row r="336" spans="2:2" x14ac:dyDescent="0.25">
      <c r="B336" s="15"/>
    </row>
    <row r="337" spans="2:2" x14ac:dyDescent="0.25">
      <c r="B337" s="15"/>
    </row>
    <row r="338" spans="2:2" x14ac:dyDescent="0.25">
      <c r="B338" s="15"/>
    </row>
    <row r="339" spans="2:2" x14ac:dyDescent="0.25">
      <c r="B339" s="15"/>
    </row>
    <row r="340" spans="2:2" x14ac:dyDescent="0.25">
      <c r="B340" s="15"/>
    </row>
    <row r="341" spans="2:2" x14ac:dyDescent="0.25">
      <c r="B341" s="15"/>
    </row>
    <row r="342" spans="2:2" x14ac:dyDescent="0.25">
      <c r="B342" s="15"/>
    </row>
    <row r="343" spans="2:2" x14ac:dyDescent="0.25">
      <c r="B343" s="15"/>
    </row>
    <row r="344" spans="2:2" x14ac:dyDescent="0.25">
      <c r="B344" s="15"/>
    </row>
    <row r="345" spans="2:2" x14ac:dyDescent="0.25">
      <c r="B345" s="15"/>
    </row>
    <row r="346" spans="2:2" x14ac:dyDescent="0.25">
      <c r="B346" s="15"/>
    </row>
    <row r="347" spans="2:2" x14ac:dyDescent="0.25">
      <c r="B347" s="15"/>
    </row>
    <row r="348" spans="2:2" x14ac:dyDescent="0.25">
      <c r="B348" s="15"/>
    </row>
    <row r="349" spans="2:2" x14ac:dyDescent="0.25">
      <c r="B349" s="15"/>
    </row>
    <row r="350" spans="2:2" x14ac:dyDescent="0.25">
      <c r="B350" s="15"/>
    </row>
    <row r="351" spans="2:2" x14ac:dyDescent="0.25">
      <c r="B351" s="15"/>
    </row>
    <row r="352" spans="2:2" x14ac:dyDescent="0.25">
      <c r="B352" s="15"/>
    </row>
    <row r="353" spans="2:2" x14ac:dyDescent="0.25">
      <c r="B353" s="15"/>
    </row>
    <row r="354" spans="2:2" x14ac:dyDescent="0.25">
      <c r="B354" s="15"/>
    </row>
    <row r="355" spans="2:2" x14ac:dyDescent="0.25">
      <c r="B355" s="15"/>
    </row>
    <row r="356" spans="2:2" x14ac:dyDescent="0.25">
      <c r="B356" s="15"/>
    </row>
    <row r="357" spans="2:2" x14ac:dyDescent="0.25">
      <c r="B357" s="15"/>
    </row>
    <row r="358" spans="2:2" x14ac:dyDescent="0.25">
      <c r="B358" s="15"/>
    </row>
    <row r="359" spans="2:2" x14ac:dyDescent="0.25">
      <c r="B359" s="15"/>
    </row>
    <row r="360" spans="2:2" x14ac:dyDescent="0.25">
      <c r="B360" s="15"/>
    </row>
    <row r="361" spans="2:2" x14ac:dyDescent="0.25">
      <c r="B361" s="15"/>
    </row>
    <row r="362" spans="2:2" x14ac:dyDescent="0.25">
      <c r="B362" s="15"/>
    </row>
    <row r="363" spans="2:2" x14ac:dyDescent="0.25">
      <c r="B363" s="15"/>
    </row>
    <row r="364" spans="2:2" x14ac:dyDescent="0.25">
      <c r="B364" s="15"/>
    </row>
    <row r="365" spans="2:2" x14ac:dyDescent="0.25">
      <c r="B365" s="15"/>
    </row>
    <row r="366" spans="2:2" x14ac:dyDescent="0.25">
      <c r="B366" s="15"/>
    </row>
    <row r="367" spans="2:2" x14ac:dyDescent="0.25">
      <c r="B367" s="15"/>
    </row>
    <row r="368" spans="2:2" x14ac:dyDescent="0.25">
      <c r="B368" s="15"/>
    </row>
    <row r="369" spans="2:2" x14ac:dyDescent="0.25">
      <c r="B369" s="15"/>
    </row>
    <row r="370" spans="2:2" x14ac:dyDescent="0.25">
      <c r="B370" s="15"/>
    </row>
    <row r="371" spans="2:2" x14ac:dyDescent="0.25">
      <c r="B371" s="15"/>
    </row>
    <row r="372" spans="2:2" x14ac:dyDescent="0.25">
      <c r="B372" s="15"/>
    </row>
    <row r="373" spans="2:2" x14ac:dyDescent="0.25">
      <c r="B373" s="15"/>
    </row>
    <row r="374" spans="2:2" x14ac:dyDescent="0.25">
      <c r="B374" s="15"/>
    </row>
    <row r="375" spans="2:2" x14ac:dyDescent="0.25">
      <c r="B375" s="15"/>
    </row>
    <row r="376" spans="2:2" x14ac:dyDescent="0.25">
      <c r="B376" s="15"/>
    </row>
    <row r="377" spans="2:2" x14ac:dyDescent="0.25">
      <c r="B377" s="15"/>
    </row>
    <row r="378" spans="2:2" x14ac:dyDescent="0.25">
      <c r="B378" s="15"/>
    </row>
    <row r="379" spans="2:2" x14ac:dyDescent="0.25">
      <c r="B379" s="15"/>
    </row>
    <row r="380" spans="2:2" x14ac:dyDescent="0.25">
      <c r="B380" s="15"/>
    </row>
    <row r="381" spans="2:2" x14ac:dyDescent="0.25">
      <c r="B381" s="15"/>
    </row>
    <row r="382" spans="2:2" x14ac:dyDescent="0.25">
      <c r="B382" s="15"/>
    </row>
    <row r="383" spans="2:2" x14ac:dyDescent="0.25">
      <c r="B383" s="15"/>
    </row>
    <row r="384" spans="2:2" x14ac:dyDescent="0.25">
      <c r="B384" s="15"/>
    </row>
    <row r="385" spans="2:2" x14ac:dyDescent="0.25">
      <c r="B385" s="15"/>
    </row>
    <row r="386" spans="2:2" x14ac:dyDescent="0.25">
      <c r="B386" s="15"/>
    </row>
    <row r="387" spans="2:2" x14ac:dyDescent="0.25">
      <c r="B387" s="15"/>
    </row>
    <row r="388" spans="2:2" x14ac:dyDescent="0.25">
      <c r="B388" s="15"/>
    </row>
    <row r="389" spans="2:2" x14ac:dyDescent="0.25">
      <c r="B389" s="15"/>
    </row>
    <row r="390" spans="2:2" x14ac:dyDescent="0.25">
      <c r="B390" s="15"/>
    </row>
    <row r="391" spans="2:2" x14ac:dyDescent="0.25">
      <c r="B391" s="15"/>
    </row>
    <row r="392" spans="2:2" x14ac:dyDescent="0.25">
      <c r="B392" s="15"/>
    </row>
    <row r="393" spans="2:2" x14ac:dyDescent="0.25">
      <c r="B393" s="15"/>
    </row>
    <row r="394" spans="2:2" x14ac:dyDescent="0.25">
      <c r="B394" s="15"/>
    </row>
    <row r="395" spans="2:2" x14ac:dyDescent="0.25">
      <c r="B395" s="15"/>
    </row>
    <row r="396" spans="2:2" x14ac:dyDescent="0.25">
      <c r="B396" s="15"/>
    </row>
    <row r="397" spans="2:2" x14ac:dyDescent="0.25">
      <c r="B397" s="15"/>
    </row>
    <row r="398" spans="2:2" x14ac:dyDescent="0.25">
      <c r="B398" s="15"/>
    </row>
    <row r="399" spans="2:2" x14ac:dyDescent="0.25">
      <c r="B399" s="15"/>
    </row>
    <row r="400" spans="2:2" x14ac:dyDescent="0.25">
      <c r="B400" s="15"/>
    </row>
    <row r="401" spans="2:2" x14ac:dyDescent="0.25">
      <c r="B401" s="15"/>
    </row>
    <row r="402" spans="2:2" x14ac:dyDescent="0.25">
      <c r="B402" s="15"/>
    </row>
    <row r="403" spans="2:2" x14ac:dyDescent="0.25">
      <c r="B403" s="15"/>
    </row>
    <row r="404" spans="2:2" x14ac:dyDescent="0.25">
      <c r="B404" s="15"/>
    </row>
    <row r="405" spans="2:2" x14ac:dyDescent="0.25">
      <c r="B405" s="15"/>
    </row>
    <row r="406" spans="2:2" x14ac:dyDescent="0.25">
      <c r="B406" s="15"/>
    </row>
    <row r="407" spans="2:2" x14ac:dyDescent="0.25">
      <c r="B407" s="15"/>
    </row>
    <row r="408" spans="2:2" x14ac:dyDescent="0.25">
      <c r="B408" s="15"/>
    </row>
    <row r="409" spans="2:2" x14ac:dyDescent="0.25">
      <c r="B409" s="15"/>
    </row>
    <row r="410" spans="2:2" x14ac:dyDescent="0.25">
      <c r="B410" s="15"/>
    </row>
    <row r="411" spans="2:2" x14ac:dyDescent="0.25">
      <c r="B411" s="15"/>
    </row>
    <row r="412" spans="2:2" x14ac:dyDescent="0.25">
      <c r="B412" s="15"/>
    </row>
    <row r="413" spans="2:2" x14ac:dyDescent="0.25">
      <c r="B413" s="15"/>
    </row>
    <row r="414" spans="2:2" x14ac:dyDescent="0.25">
      <c r="B414" s="15"/>
    </row>
    <row r="415" spans="2:2" x14ac:dyDescent="0.25">
      <c r="B415" s="15"/>
    </row>
    <row r="416" spans="2:2" x14ac:dyDescent="0.25">
      <c r="B416" s="15"/>
    </row>
    <row r="417" spans="2:2" x14ac:dyDescent="0.25">
      <c r="B417" s="15"/>
    </row>
    <row r="418" spans="2:2" x14ac:dyDescent="0.25">
      <c r="B418" s="15"/>
    </row>
    <row r="419" spans="2:2" x14ac:dyDescent="0.25">
      <c r="B419" s="15"/>
    </row>
    <row r="420" spans="2:2" x14ac:dyDescent="0.25">
      <c r="B420" s="15"/>
    </row>
    <row r="421" spans="2:2" x14ac:dyDescent="0.25">
      <c r="B421" s="15"/>
    </row>
    <row r="422" spans="2:2" x14ac:dyDescent="0.25">
      <c r="B422" s="15"/>
    </row>
    <row r="423" spans="2:2" x14ac:dyDescent="0.25">
      <c r="B423" s="15"/>
    </row>
    <row r="424" spans="2:2" x14ac:dyDescent="0.25">
      <c r="B424" s="15"/>
    </row>
    <row r="425" spans="2:2" x14ac:dyDescent="0.25">
      <c r="B425" s="15"/>
    </row>
    <row r="426" spans="2:2" x14ac:dyDescent="0.25">
      <c r="B426" s="15"/>
    </row>
    <row r="427" spans="2:2" x14ac:dyDescent="0.25">
      <c r="B427" s="15"/>
    </row>
    <row r="428" spans="2:2" x14ac:dyDescent="0.25">
      <c r="B428" s="15"/>
    </row>
    <row r="429" spans="2:2" x14ac:dyDescent="0.25">
      <c r="B429" s="15"/>
    </row>
    <row r="430" spans="2:2" x14ac:dyDescent="0.25">
      <c r="B430" s="15"/>
    </row>
    <row r="431" spans="2:2" x14ac:dyDescent="0.25">
      <c r="B431" s="15"/>
    </row>
    <row r="432" spans="2:2" x14ac:dyDescent="0.25">
      <c r="B432" s="15"/>
    </row>
    <row r="433" spans="2:2" x14ac:dyDescent="0.25">
      <c r="B433" s="15"/>
    </row>
    <row r="434" spans="2:2" x14ac:dyDescent="0.25">
      <c r="B434" s="15"/>
    </row>
    <row r="435" spans="2:2" x14ac:dyDescent="0.25">
      <c r="B435" s="15"/>
    </row>
    <row r="436" spans="2:2" x14ac:dyDescent="0.25">
      <c r="B436" s="15"/>
    </row>
    <row r="437" spans="2:2" x14ac:dyDescent="0.25">
      <c r="B437" s="15"/>
    </row>
    <row r="438" spans="2:2" x14ac:dyDescent="0.25">
      <c r="B438" s="15"/>
    </row>
    <row r="439" spans="2:2" x14ac:dyDescent="0.25">
      <c r="B439" s="15"/>
    </row>
    <row r="440" spans="2:2" x14ac:dyDescent="0.25">
      <c r="B440" s="15"/>
    </row>
    <row r="441" spans="2:2" x14ac:dyDescent="0.25">
      <c r="B441" s="15"/>
    </row>
    <row r="442" spans="2:2" x14ac:dyDescent="0.25">
      <c r="B442" s="15"/>
    </row>
    <row r="443" spans="2:2" x14ac:dyDescent="0.25">
      <c r="B443" s="15"/>
    </row>
    <row r="444" spans="2:2" x14ac:dyDescent="0.25">
      <c r="B444" s="15"/>
    </row>
    <row r="445" spans="2:2" x14ac:dyDescent="0.25">
      <c r="B445" s="15"/>
    </row>
    <row r="446" spans="2:2" x14ac:dyDescent="0.25">
      <c r="B446" s="15"/>
    </row>
    <row r="447" spans="2:2" x14ac:dyDescent="0.25">
      <c r="B447" s="15"/>
    </row>
    <row r="448" spans="2:2" x14ac:dyDescent="0.25">
      <c r="B448" s="15"/>
    </row>
    <row r="449" spans="2:2" x14ac:dyDescent="0.25">
      <c r="B449" s="15"/>
    </row>
    <row r="450" spans="2:2" x14ac:dyDescent="0.25">
      <c r="B450" s="15"/>
    </row>
    <row r="451" spans="2:2" x14ac:dyDescent="0.25">
      <c r="B451" s="15"/>
    </row>
    <row r="452" spans="2:2" x14ac:dyDescent="0.25">
      <c r="B452" s="15"/>
    </row>
    <row r="453" spans="2:2" x14ac:dyDescent="0.25">
      <c r="B453" s="15"/>
    </row>
    <row r="454" spans="2:2" x14ac:dyDescent="0.25">
      <c r="B454" s="15"/>
    </row>
    <row r="455" spans="2:2" x14ac:dyDescent="0.25">
      <c r="B455" s="15"/>
    </row>
    <row r="456" spans="2:2" x14ac:dyDescent="0.25">
      <c r="B456" s="15"/>
    </row>
    <row r="457" spans="2:2" x14ac:dyDescent="0.25">
      <c r="B457" s="15"/>
    </row>
    <row r="458" spans="2:2" x14ac:dyDescent="0.25">
      <c r="B458" s="15"/>
    </row>
    <row r="459" spans="2:2" x14ac:dyDescent="0.25">
      <c r="B459" s="15"/>
    </row>
    <row r="460" spans="2:2" x14ac:dyDescent="0.25">
      <c r="B460" s="15"/>
    </row>
    <row r="461" spans="2:2" x14ac:dyDescent="0.25">
      <c r="B461" s="15"/>
    </row>
    <row r="462" spans="2:2" x14ac:dyDescent="0.25">
      <c r="B462" s="15"/>
    </row>
    <row r="463" spans="2:2" x14ac:dyDescent="0.25">
      <c r="B463" s="15"/>
    </row>
    <row r="464" spans="2:2" x14ac:dyDescent="0.25">
      <c r="B464" s="15"/>
    </row>
    <row r="465" spans="2:2" x14ac:dyDescent="0.25">
      <c r="B465" s="15"/>
    </row>
    <row r="466" spans="2:2" x14ac:dyDescent="0.25">
      <c r="B466" s="15"/>
    </row>
    <row r="467" spans="2:2" x14ac:dyDescent="0.25">
      <c r="B467" s="15"/>
    </row>
    <row r="468" spans="2:2" x14ac:dyDescent="0.25">
      <c r="B468" s="15"/>
    </row>
    <row r="469" spans="2:2" x14ac:dyDescent="0.25">
      <c r="B469" s="15"/>
    </row>
    <row r="470" spans="2:2" x14ac:dyDescent="0.25">
      <c r="B470" s="15"/>
    </row>
    <row r="471" spans="2:2" x14ac:dyDescent="0.25">
      <c r="B471" s="15"/>
    </row>
    <row r="472" spans="2:2" x14ac:dyDescent="0.25">
      <c r="B472" s="15"/>
    </row>
    <row r="473" spans="2:2" x14ac:dyDescent="0.25">
      <c r="B473" s="15"/>
    </row>
    <row r="474" spans="2:2" x14ac:dyDescent="0.25">
      <c r="B474" s="15"/>
    </row>
    <row r="475" spans="2:2" x14ac:dyDescent="0.25">
      <c r="B475" s="15"/>
    </row>
    <row r="476" spans="2:2" x14ac:dyDescent="0.25">
      <c r="B476" s="15"/>
    </row>
    <row r="477" spans="2:2" x14ac:dyDescent="0.25">
      <c r="B477" s="15"/>
    </row>
    <row r="478" spans="2:2" x14ac:dyDescent="0.25">
      <c r="B478" s="15"/>
    </row>
    <row r="479" spans="2:2" x14ac:dyDescent="0.25">
      <c r="B479" s="15"/>
    </row>
    <row r="480" spans="2:2" x14ac:dyDescent="0.25">
      <c r="B480" s="15"/>
    </row>
    <row r="481" spans="2:2" x14ac:dyDescent="0.25">
      <c r="B481" s="15"/>
    </row>
    <row r="482" spans="2:2" x14ac:dyDescent="0.25">
      <c r="B482" s="15"/>
    </row>
    <row r="483" spans="2:2" x14ac:dyDescent="0.25">
      <c r="B483" s="15"/>
    </row>
    <row r="484" spans="2:2" x14ac:dyDescent="0.25">
      <c r="B484" s="15"/>
    </row>
    <row r="485" spans="2:2" x14ac:dyDescent="0.25">
      <c r="B485" s="15"/>
    </row>
    <row r="486" spans="2:2" x14ac:dyDescent="0.25">
      <c r="B486" s="15"/>
    </row>
    <row r="487" spans="2:2" x14ac:dyDescent="0.25">
      <c r="B487" s="15"/>
    </row>
    <row r="488" spans="2:2" x14ac:dyDescent="0.25">
      <c r="B488" s="15"/>
    </row>
    <row r="489" spans="2:2" x14ac:dyDescent="0.25">
      <c r="B489" s="15"/>
    </row>
    <row r="490" spans="2:2" x14ac:dyDescent="0.25">
      <c r="B490" s="15"/>
    </row>
    <row r="491" spans="2:2" x14ac:dyDescent="0.25">
      <c r="B491" s="15"/>
    </row>
    <row r="492" spans="2:2" x14ac:dyDescent="0.25">
      <c r="B492" s="15"/>
    </row>
    <row r="493" spans="2:2" x14ac:dyDescent="0.25">
      <c r="B493" s="15"/>
    </row>
    <row r="494" spans="2:2" x14ac:dyDescent="0.25">
      <c r="B494" s="15"/>
    </row>
    <row r="495" spans="2:2" x14ac:dyDescent="0.25">
      <c r="B495" s="15"/>
    </row>
    <row r="496" spans="2:2" x14ac:dyDescent="0.25">
      <c r="B496" s="15"/>
    </row>
    <row r="497" spans="2:2" x14ac:dyDescent="0.25">
      <c r="B497" s="15"/>
    </row>
    <row r="498" spans="2:2" x14ac:dyDescent="0.25">
      <c r="B498" s="15"/>
    </row>
    <row r="499" spans="2:2" x14ac:dyDescent="0.25">
      <c r="B499" s="15"/>
    </row>
    <row r="500" spans="2:2" x14ac:dyDescent="0.25">
      <c r="B500" s="15"/>
    </row>
    <row r="501" spans="2:2" x14ac:dyDescent="0.25">
      <c r="B501" s="15"/>
    </row>
    <row r="502" spans="2:2" x14ac:dyDescent="0.25">
      <c r="B502" s="15"/>
    </row>
    <row r="503" spans="2:2" x14ac:dyDescent="0.25">
      <c r="B503" s="15"/>
    </row>
    <row r="504" spans="2:2" x14ac:dyDescent="0.25">
      <c r="B504" s="15"/>
    </row>
    <row r="505" spans="2:2" x14ac:dyDescent="0.25">
      <c r="B505" s="15"/>
    </row>
    <row r="506" spans="2:2" x14ac:dyDescent="0.25">
      <c r="B506" s="15"/>
    </row>
    <row r="507" spans="2:2" x14ac:dyDescent="0.25">
      <c r="B507" s="15"/>
    </row>
    <row r="508" spans="2:2" x14ac:dyDescent="0.25">
      <c r="B508" s="15"/>
    </row>
    <row r="509" spans="2:2" x14ac:dyDescent="0.25">
      <c r="B509" s="15"/>
    </row>
    <row r="510" spans="2:2" x14ac:dyDescent="0.25">
      <c r="B510" s="15"/>
    </row>
    <row r="511" spans="2:2" x14ac:dyDescent="0.25">
      <c r="B511" s="15"/>
    </row>
    <row r="512" spans="2:2" x14ac:dyDescent="0.25">
      <c r="B512" s="15"/>
    </row>
    <row r="513" spans="2:2" x14ac:dyDescent="0.25">
      <c r="B513" s="15"/>
    </row>
    <row r="514" spans="2:2" x14ac:dyDescent="0.25">
      <c r="B514" s="15"/>
    </row>
    <row r="515" spans="2:2" x14ac:dyDescent="0.25">
      <c r="B515" s="15"/>
    </row>
    <row r="516" spans="2:2" x14ac:dyDescent="0.25">
      <c r="B516" s="15"/>
    </row>
    <row r="517" spans="2:2" x14ac:dyDescent="0.25">
      <c r="B517" s="15"/>
    </row>
    <row r="518" spans="2:2" x14ac:dyDescent="0.25">
      <c r="B518" s="15"/>
    </row>
    <row r="519" spans="2:2" x14ac:dyDescent="0.25">
      <c r="B519" s="15"/>
    </row>
    <row r="520" spans="2:2" x14ac:dyDescent="0.25">
      <c r="B520" s="15"/>
    </row>
    <row r="521" spans="2:2" x14ac:dyDescent="0.25">
      <c r="B521" s="15"/>
    </row>
    <row r="522" spans="2:2" x14ac:dyDescent="0.25">
      <c r="B522" s="15"/>
    </row>
    <row r="523" spans="2:2" x14ac:dyDescent="0.25">
      <c r="B523" s="15"/>
    </row>
    <row r="524" spans="2:2" x14ac:dyDescent="0.25">
      <c r="B524" s="15"/>
    </row>
    <row r="525" spans="2:2" x14ac:dyDescent="0.25">
      <c r="B525" s="15"/>
    </row>
    <row r="526" spans="2:2" x14ac:dyDescent="0.25">
      <c r="B526" s="15"/>
    </row>
    <row r="527" spans="2:2" x14ac:dyDescent="0.25">
      <c r="B527" s="15"/>
    </row>
    <row r="528" spans="2:2" x14ac:dyDescent="0.25">
      <c r="B528" s="15"/>
    </row>
    <row r="529" spans="2:2" x14ac:dyDescent="0.25">
      <c r="B529" s="15"/>
    </row>
    <row r="530" spans="2:2" x14ac:dyDescent="0.25">
      <c r="B530" s="15"/>
    </row>
    <row r="531" spans="2:2" x14ac:dyDescent="0.25">
      <c r="B531" s="15"/>
    </row>
    <row r="532" spans="2:2" x14ac:dyDescent="0.25">
      <c r="B532" s="15"/>
    </row>
    <row r="533" spans="2:2" x14ac:dyDescent="0.25">
      <c r="B533" s="15"/>
    </row>
    <row r="534" spans="2:2" x14ac:dyDescent="0.25">
      <c r="B534" s="15"/>
    </row>
    <row r="535" spans="2:2" x14ac:dyDescent="0.25">
      <c r="B535" s="15"/>
    </row>
    <row r="536" spans="2:2" x14ac:dyDescent="0.25">
      <c r="B536" s="15"/>
    </row>
    <row r="537" spans="2:2" x14ac:dyDescent="0.25">
      <c r="B537" s="15"/>
    </row>
    <row r="538" spans="2:2" x14ac:dyDescent="0.25">
      <c r="B538" s="15"/>
    </row>
    <row r="539" spans="2:2" x14ac:dyDescent="0.25">
      <c r="B539" s="15"/>
    </row>
    <row r="540" spans="2:2" x14ac:dyDescent="0.25">
      <c r="B540" s="15"/>
    </row>
    <row r="541" spans="2:2" x14ac:dyDescent="0.25">
      <c r="B541" s="15"/>
    </row>
    <row r="542" spans="2:2" x14ac:dyDescent="0.25">
      <c r="B542" s="15"/>
    </row>
    <row r="543" spans="2:2" x14ac:dyDescent="0.25">
      <c r="B543" s="15"/>
    </row>
    <row r="544" spans="2:2" x14ac:dyDescent="0.25">
      <c r="B544" s="15"/>
    </row>
    <row r="545" spans="2:2" x14ac:dyDescent="0.25">
      <c r="B545" s="15"/>
    </row>
    <row r="546" spans="2:2" x14ac:dyDescent="0.25">
      <c r="B546" s="15"/>
    </row>
    <row r="547" spans="2:2" x14ac:dyDescent="0.25">
      <c r="B547" s="15"/>
    </row>
    <row r="548" spans="2:2" x14ac:dyDescent="0.25">
      <c r="B548" s="15"/>
    </row>
    <row r="549" spans="2:2" x14ac:dyDescent="0.25">
      <c r="B549" s="15"/>
    </row>
    <row r="550" spans="2:2" x14ac:dyDescent="0.25">
      <c r="B550" s="15"/>
    </row>
    <row r="551" spans="2:2" x14ac:dyDescent="0.25">
      <c r="B551" s="15"/>
    </row>
    <row r="552" spans="2:2" x14ac:dyDescent="0.25">
      <c r="B552" s="15"/>
    </row>
    <row r="553" spans="2:2" x14ac:dyDescent="0.25">
      <c r="B553" s="15"/>
    </row>
    <row r="554" spans="2:2" x14ac:dyDescent="0.25">
      <c r="B554" s="15"/>
    </row>
    <row r="555" spans="2:2" x14ac:dyDescent="0.25">
      <c r="B555" s="15"/>
    </row>
    <row r="556" spans="2:2" x14ac:dyDescent="0.25">
      <c r="B556" s="15"/>
    </row>
    <row r="557" spans="2:2" x14ac:dyDescent="0.25">
      <c r="B557" s="15"/>
    </row>
    <row r="558" spans="2:2" x14ac:dyDescent="0.25">
      <c r="B558" s="15"/>
    </row>
    <row r="559" spans="2:2" x14ac:dyDescent="0.25">
      <c r="B559" s="15"/>
    </row>
    <row r="560" spans="2:2" x14ac:dyDescent="0.25">
      <c r="B560" s="15"/>
    </row>
    <row r="561" spans="2:2" x14ac:dyDescent="0.25">
      <c r="B561" s="15"/>
    </row>
    <row r="562" spans="2:2" x14ac:dyDescent="0.25">
      <c r="B562" s="15"/>
    </row>
    <row r="563" spans="2:2" x14ac:dyDescent="0.25">
      <c r="B563" s="15"/>
    </row>
    <row r="564" spans="2:2" x14ac:dyDescent="0.25">
      <c r="B564" s="15"/>
    </row>
    <row r="565" spans="2:2" x14ac:dyDescent="0.25">
      <c r="B565" s="15"/>
    </row>
    <row r="566" spans="2:2" x14ac:dyDescent="0.25">
      <c r="B566" s="15"/>
    </row>
    <row r="567" spans="2:2" x14ac:dyDescent="0.25">
      <c r="B567" s="15"/>
    </row>
    <row r="568" spans="2:2" x14ac:dyDescent="0.25">
      <c r="B568" s="15"/>
    </row>
    <row r="569" spans="2:2" x14ac:dyDescent="0.25">
      <c r="B569" s="15"/>
    </row>
    <row r="570" spans="2:2" x14ac:dyDescent="0.25">
      <c r="B570" s="15"/>
    </row>
    <row r="571" spans="2:2" x14ac:dyDescent="0.25">
      <c r="B571" s="15"/>
    </row>
    <row r="572" spans="2:2" x14ac:dyDescent="0.25">
      <c r="B572" s="15"/>
    </row>
    <row r="573" spans="2:2" x14ac:dyDescent="0.25">
      <c r="B573" s="15"/>
    </row>
    <row r="574" spans="2:2" x14ac:dyDescent="0.25">
      <c r="B574" s="15"/>
    </row>
    <row r="575" spans="2:2" x14ac:dyDescent="0.25">
      <c r="B575" s="15"/>
    </row>
    <row r="576" spans="2:2" x14ac:dyDescent="0.25">
      <c r="B576" s="15"/>
    </row>
    <row r="577" spans="2:2" x14ac:dyDescent="0.25">
      <c r="B577" s="15"/>
    </row>
    <row r="578" spans="2:2" x14ac:dyDescent="0.25">
      <c r="B578" s="15"/>
    </row>
    <row r="579" spans="2:2" x14ac:dyDescent="0.25">
      <c r="B579" s="15"/>
    </row>
    <row r="580" spans="2:2" x14ac:dyDescent="0.25">
      <c r="B580" s="15"/>
    </row>
    <row r="581" spans="2:2" x14ac:dyDescent="0.25">
      <c r="B581" s="15"/>
    </row>
    <row r="582" spans="2:2" x14ac:dyDescent="0.25">
      <c r="B582" s="15"/>
    </row>
    <row r="583" spans="2:2" x14ac:dyDescent="0.25">
      <c r="B583" s="15"/>
    </row>
    <row r="584" spans="2:2" x14ac:dyDescent="0.25">
      <c r="B584" s="15"/>
    </row>
    <row r="585" spans="2:2" x14ac:dyDescent="0.25">
      <c r="B585" s="15"/>
    </row>
    <row r="586" spans="2:2" x14ac:dyDescent="0.25">
      <c r="B586" s="15"/>
    </row>
    <row r="587" spans="2:2" x14ac:dyDescent="0.25">
      <c r="B587" s="15"/>
    </row>
    <row r="588" spans="2:2" x14ac:dyDescent="0.25">
      <c r="B588" s="15"/>
    </row>
    <row r="589" spans="2:2" x14ac:dyDescent="0.25">
      <c r="B589" s="15"/>
    </row>
    <row r="590" spans="2:2" x14ac:dyDescent="0.25">
      <c r="B590" s="15"/>
    </row>
    <row r="591" spans="2:2" x14ac:dyDescent="0.25">
      <c r="B591" s="15"/>
    </row>
    <row r="592" spans="2:2" x14ac:dyDescent="0.25">
      <c r="B592" s="15"/>
    </row>
    <row r="593" spans="2:2" x14ac:dyDescent="0.25">
      <c r="B593" s="15"/>
    </row>
    <row r="594" spans="2:2" x14ac:dyDescent="0.25">
      <c r="B594" s="15"/>
    </row>
    <row r="595" spans="2:2" x14ac:dyDescent="0.25">
      <c r="B595" s="15"/>
    </row>
    <row r="596" spans="2:2" x14ac:dyDescent="0.25">
      <c r="B596" s="15"/>
    </row>
    <row r="597" spans="2:2" x14ac:dyDescent="0.25">
      <c r="B597" s="15"/>
    </row>
    <row r="598" spans="2:2" x14ac:dyDescent="0.25">
      <c r="B598" s="15"/>
    </row>
    <row r="599" spans="2:2" x14ac:dyDescent="0.25">
      <c r="B599" s="15"/>
    </row>
    <row r="600" spans="2:2" x14ac:dyDescent="0.25">
      <c r="B600" s="15"/>
    </row>
    <row r="601" spans="2:2" x14ac:dyDescent="0.25">
      <c r="B601" s="15"/>
    </row>
    <row r="602" spans="2:2" x14ac:dyDescent="0.25">
      <c r="B602" s="15"/>
    </row>
    <row r="603" spans="2:2" x14ac:dyDescent="0.25">
      <c r="B603" s="15"/>
    </row>
    <row r="604" spans="2:2" x14ac:dyDescent="0.25">
      <c r="B604" s="15"/>
    </row>
    <row r="605" spans="2:2" x14ac:dyDescent="0.25">
      <c r="B605" s="15"/>
    </row>
    <row r="606" spans="2:2" x14ac:dyDescent="0.25">
      <c r="B606" s="15"/>
    </row>
    <row r="607" spans="2:2" x14ac:dyDescent="0.25">
      <c r="B607" s="15"/>
    </row>
    <row r="608" spans="2:2" x14ac:dyDescent="0.25">
      <c r="B608" s="15"/>
    </row>
    <row r="609" spans="2:2" x14ac:dyDescent="0.25">
      <c r="B609" s="15"/>
    </row>
    <row r="610" spans="2:2" x14ac:dyDescent="0.25">
      <c r="B610" s="15"/>
    </row>
    <row r="611" spans="2:2" x14ac:dyDescent="0.25">
      <c r="B611" s="15"/>
    </row>
    <row r="612" spans="2:2" x14ac:dyDescent="0.25">
      <c r="B612" s="15"/>
    </row>
    <row r="613" spans="2:2" x14ac:dyDescent="0.25">
      <c r="B613" s="15"/>
    </row>
    <row r="614" spans="2:2" x14ac:dyDescent="0.25">
      <c r="B614" s="15"/>
    </row>
    <row r="615" spans="2:2" x14ac:dyDescent="0.25">
      <c r="B615" s="15"/>
    </row>
    <row r="616" spans="2:2" x14ac:dyDescent="0.25">
      <c r="B616" s="15"/>
    </row>
    <row r="617" spans="2:2" x14ac:dyDescent="0.25">
      <c r="B617" s="15"/>
    </row>
    <row r="618" spans="2:2" x14ac:dyDescent="0.25">
      <c r="B618" s="15"/>
    </row>
    <row r="619" spans="2:2" x14ac:dyDescent="0.25">
      <c r="B619" s="15"/>
    </row>
    <row r="620" spans="2:2" x14ac:dyDescent="0.25">
      <c r="B620" s="15"/>
    </row>
    <row r="621" spans="2:2" x14ac:dyDescent="0.25">
      <c r="B621" s="15"/>
    </row>
    <row r="622" spans="2:2" x14ac:dyDescent="0.25">
      <c r="B622" s="15"/>
    </row>
    <row r="623" spans="2:2" x14ac:dyDescent="0.25">
      <c r="B623" s="15"/>
    </row>
    <row r="624" spans="2:2" x14ac:dyDescent="0.25">
      <c r="B624" s="15"/>
    </row>
    <row r="625" spans="2:2" x14ac:dyDescent="0.25">
      <c r="B625" s="15"/>
    </row>
    <row r="626" spans="2:2" x14ac:dyDescent="0.25">
      <c r="B626" s="15"/>
    </row>
    <row r="627" spans="2:2" x14ac:dyDescent="0.25">
      <c r="B627" s="15"/>
    </row>
    <row r="628" spans="2:2" x14ac:dyDescent="0.25">
      <c r="B628" s="15"/>
    </row>
    <row r="629" spans="2:2" x14ac:dyDescent="0.25">
      <c r="B629" s="15"/>
    </row>
    <row r="630" spans="2:2" x14ac:dyDescent="0.25">
      <c r="B630" s="15"/>
    </row>
    <row r="631" spans="2:2" x14ac:dyDescent="0.25">
      <c r="B631" s="15"/>
    </row>
    <row r="632" spans="2:2" x14ac:dyDescent="0.25">
      <c r="B632" s="15"/>
    </row>
    <row r="633" spans="2:2" x14ac:dyDescent="0.25">
      <c r="B633" s="15"/>
    </row>
    <row r="634" spans="2:2" x14ac:dyDescent="0.25">
      <c r="B634" s="15"/>
    </row>
    <row r="635" spans="2:2" x14ac:dyDescent="0.25">
      <c r="B635" s="15"/>
    </row>
    <row r="636" spans="2:2" x14ac:dyDescent="0.25">
      <c r="B636" s="15"/>
    </row>
    <row r="637" spans="2:2" x14ac:dyDescent="0.25">
      <c r="B637" s="15"/>
    </row>
    <row r="638" spans="2:2" x14ac:dyDescent="0.25">
      <c r="B638" s="15"/>
    </row>
    <row r="639" spans="2:2" x14ac:dyDescent="0.25">
      <c r="B639" s="15"/>
    </row>
    <row r="640" spans="2:2" x14ac:dyDescent="0.25">
      <c r="B640" s="15"/>
    </row>
    <row r="641" spans="2:2" x14ac:dyDescent="0.25">
      <c r="B641" s="15"/>
    </row>
    <row r="642" spans="2:2" x14ac:dyDescent="0.25">
      <c r="B642" s="15"/>
    </row>
    <row r="643" spans="2:2" x14ac:dyDescent="0.25">
      <c r="B643" s="15"/>
    </row>
    <row r="644" spans="2:2" x14ac:dyDescent="0.25">
      <c r="B644" s="15"/>
    </row>
    <row r="645" spans="2:2" x14ac:dyDescent="0.25">
      <c r="B645" s="15"/>
    </row>
    <row r="646" spans="2:2" x14ac:dyDescent="0.25">
      <c r="B646" s="15"/>
    </row>
    <row r="647" spans="2:2" x14ac:dyDescent="0.25">
      <c r="B647" s="15"/>
    </row>
    <row r="648" spans="2:2" x14ac:dyDescent="0.25">
      <c r="B648" s="15"/>
    </row>
    <row r="649" spans="2:2" x14ac:dyDescent="0.25">
      <c r="B649" s="15"/>
    </row>
    <row r="650" spans="2:2" x14ac:dyDescent="0.25">
      <c r="B650" s="15"/>
    </row>
    <row r="651" spans="2:2" x14ac:dyDescent="0.25">
      <c r="B651" s="15"/>
    </row>
    <row r="652" spans="2:2" x14ac:dyDescent="0.25">
      <c r="B652" s="15"/>
    </row>
    <row r="653" spans="2:2" x14ac:dyDescent="0.25">
      <c r="B653" s="15"/>
    </row>
    <row r="654" spans="2:2" x14ac:dyDescent="0.25">
      <c r="B654" s="15"/>
    </row>
    <row r="655" spans="2:2" x14ac:dyDescent="0.25">
      <c r="B655" s="15"/>
    </row>
    <row r="656" spans="2:2" x14ac:dyDescent="0.25">
      <c r="B656" s="15"/>
    </row>
    <row r="657" spans="2:2" x14ac:dyDescent="0.25">
      <c r="B657" s="15"/>
    </row>
    <row r="658" spans="2:2" x14ac:dyDescent="0.25">
      <c r="B658" s="15"/>
    </row>
    <row r="659" spans="2:2" x14ac:dyDescent="0.25">
      <c r="B659" s="15"/>
    </row>
    <row r="660" spans="2:2" x14ac:dyDescent="0.25">
      <c r="B660" s="15"/>
    </row>
    <row r="661" spans="2:2" x14ac:dyDescent="0.25">
      <c r="B661" s="15"/>
    </row>
    <row r="662" spans="2:2" x14ac:dyDescent="0.25">
      <c r="B662" s="15"/>
    </row>
    <row r="663" spans="2:2" x14ac:dyDescent="0.25">
      <c r="B663" s="15"/>
    </row>
    <row r="664" spans="2:2" x14ac:dyDescent="0.25">
      <c r="B664" s="15"/>
    </row>
    <row r="665" spans="2:2" x14ac:dyDescent="0.25">
      <c r="B665" s="15"/>
    </row>
    <row r="666" spans="2:2" x14ac:dyDescent="0.25">
      <c r="B666" s="15"/>
    </row>
    <row r="667" spans="2:2" x14ac:dyDescent="0.25">
      <c r="B667" s="15"/>
    </row>
    <row r="668" spans="2:2" x14ac:dyDescent="0.25">
      <c r="B668" s="15"/>
    </row>
    <row r="669" spans="2:2" x14ac:dyDescent="0.25">
      <c r="B669" s="15"/>
    </row>
    <row r="670" spans="2:2" x14ac:dyDescent="0.25">
      <c r="B670" s="15"/>
    </row>
    <row r="671" spans="2:2" x14ac:dyDescent="0.25">
      <c r="B671" s="15"/>
    </row>
    <row r="672" spans="2:2" x14ac:dyDescent="0.25">
      <c r="B672" s="15"/>
    </row>
    <row r="673" spans="2:2" x14ac:dyDescent="0.25">
      <c r="B673" s="15"/>
    </row>
    <row r="674" spans="2:2" x14ac:dyDescent="0.25">
      <c r="B674" s="15"/>
    </row>
    <row r="675" spans="2:2" x14ac:dyDescent="0.25">
      <c r="B675" s="15"/>
    </row>
    <row r="676" spans="2:2" x14ac:dyDescent="0.25">
      <c r="B676" s="15"/>
    </row>
    <row r="677" spans="2:2" x14ac:dyDescent="0.25">
      <c r="B677" s="15"/>
    </row>
    <row r="678" spans="2:2" x14ac:dyDescent="0.25">
      <c r="B678" s="15"/>
    </row>
    <row r="679" spans="2:2" x14ac:dyDescent="0.25">
      <c r="B679" s="15"/>
    </row>
    <row r="680" spans="2:2" x14ac:dyDescent="0.25">
      <c r="B680" s="15"/>
    </row>
    <row r="681" spans="2:2" x14ac:dyDescent="0.25">
      <c r="B681" s="15"/>
    </row>
    <row r="682" spans="2:2" x14ac:dyDescent="0.25">
      <c r="B682" s="15"/>
    </row>
    <row r="683" spans="2:2" x14ac:dyDescent="0.25">
      <c r="B683" s="15"/>
    </row>
    <row r="684" spans="2:2" x14ac:dyDescent="0.25">
      <c r="B684" s="15"/>
    </row>
    <row r="685" spans="2:2" x14ac:dyDescent="0.25">
      <c r="B685" s="15"/>
    </row>
    <row r="686" spans="2:2" x14ac:dyDescent="0.25">
      <c r="B686" s="15"/>
    </row>
    <row r="687" spans="2:2" x14ac:dyDescent="0.25">
      <c r="B687" s="15"/>
    </row>
    <row r="688" spans="2:2" x14ac:dyDescent="0.25">
      <c r="B688" s="15"/>
    </row>
    <row r="689" spans="2:2" x14ac:dyDescent="0.25">
      <c r="B689" s="15"/>
    </row>
    <row r="690" spans="2:2" x14ac:dyDescent="0.25">
      <c r="B690" s="15"/>
    </row>
    <row r="691" spans="2:2" x14ac:dyDescent="0.25">
      <c r="B691" s="15"/>
    </row>
    <row r="692" spans="2:2" x14ac:dyDescent="0.25">
      <c r="B692" s="15"/>
    </row>
    <row r="693" spans="2:2" x14ac:dyDescent="0.25">
      <c r="B693" s="15"/>
    </row>
    <row r="694" spans="2:2" x14ac:dyDescent="0.25">
      <c r="B694" s="15"/>
    </row>
    <row r="695" spans="2:2" x14ac:dyDescent="0.25">
      <c r="B695" s="15"/>
    </row>
    <row r="696" spans="2:2" x14ac:dyDescent="0.25">
      <c r="B696" s="15"/>
    </row>
    <row r="697" spans="2:2" x14ac:dyDescent="0.25">
      <c r="B697" s="15"/>
    </row>
    <row r="698" spans="2:2" x14ac:dyDescent="0.25">
      <c r="B698" s="15"/>
    </row>
    <row r="699" spans="2:2" x14ac:dyDescent="0.25">
      <c r="B699" s="15"/>
    </row>
    <row r="700" spans="2:2" x14ac:dyDescent="0.25">
      <c r="B700" s="15"/>
    </row>
    <row r="701" spans="2:2" x14ac:dyDescent="0.25">
      <c r="B701" s="15"/>
    </row>
    <row r="702" spans="2:2" x14ac:dyDescent="0.25">
      <c r="B702" s="15"/>
    </row>
    <row r="703" spans="2:2" x14ac:dyDescent="0.25">
      <c r="B703" s="15"/>
    </row>
    <row r="704" spans="2:2" x14ac:dyDescent="0.25">
      <c r="B704" s="15"/>
    </row>
    <row r="705" spans="2:2" x14ac:dyDescent="0.25">
      <c r="B705" s="15"/>
    </row>
    <row r="706" spans="2:2" x14ac:dyDescent="0.25">
      <c r="B706" s="15"/>
    </row>
    <row r="707" spans="2:2" x14ac:dyDescent="0.25">
      <c r="B707" s="15"/>
    </row>
    <row r="708" spans="2:2" x14ac:dyDescent="0.25">
      <c r="B708" s="15"/>
    </row>
    <row r="709" spans="2:2" x14ac:dyDescent="0.25">
      <c r="B709" s="15"/>
    </row>
    <row r="710" spans="2:2" x14ac:dyDescent="0.25">
      <c r="B710" s="15"/>
    </row>
    <row r="711" spans="2:2" x14ac:dyDescent="0.25">
      <c r="B711" s="15"/>
    </row>
    <row r="712" spans="2:2" x14ac:dyDescent="0.25">
      <c r="B712" s="15"/>
    </row>
    <row r="713" spans="2:2" x14ac:dyDescent="0.25">
      <c r="B713" s="15"/>
    </row>
    <row r="714" spans="2:2" x14ac:dyDescent="0.25">
      <c r="B714" s="15"/>
    </row>
    <row r="715" spans="2:2" x14ac:dyDescent="0.25">
      <c r="B715" s="15"/>
    </row>
    <row r="716" spans="2:2" x14ac:dyDescent="0.25">
      <c r="B716" s="15"/>
    </row>
    <row r="717" spans="2:2" x14ac:dyDescent="0.25">
      <c r="B717" s="15"/>
    </row>
    <row r="718" spans="2:2" x14ac:dyDescent="0.25">
      <c r="B718" s="15"/>
    </row>
    <row r="719" spans="2:2" x14ac:dyDescent="0.25">
      <c r="B719" s="15"/>
    </row>
    <row r="720" spans="2:2" x14ac:dyDescent="0.25">
      <c r="B720" s="15"/>
    </row>
    <row r="721" spans="2:2" x14ac:dyDescent="0.25">
      <c r="B721" s="15"/>
    </row>
    <row r="722" spans="2:2" x14ac:dyDescent="0.25">
      <c r="B722" s="15"/>
    </row>
    <row r="723" spans="2:2" x14ac:dyDescent="0.25">
      <c r="B723" s="15"/>
    </row>
    <row r="724" spans="2:2" x14ac:dyDescent="0.25">
      <c r="B724" s="15"/>
    </row>
    <row r="725" spans="2:2" x14ac:dyDescent="0.25">
      <c r="B725" s="15"/>
    </row>
    <row r="726" spans="2:2" x14ac:dyDescent="0.25">
      <c r="B726" s="15"/>
    </row>
    <row r="727" spans="2:2" x14ac:dyDescent="0.25">
      <c r="B727" s="15"/>
    </row>
    <row r="728" spans="2:2" x14ac:dyDescent="0.25">
      <c r="B728" s="15"/>
    </row>
    <row r="729" spans="2:2" x14ac:dyDescent="0.25">
      <c r="B729" s="15"/>
    </row>
    <row r="730" spans="2:2" x14ac:dyDescent="0.25">
      <c r="B730" s="15"/>
    </row>
    <row r="731" spans="2:2" x14ac:dyDescent="0.25">
      <c r="B731" s="15"/>
    </row>
    <row r="732" spans="2:2" x14ac:dyDescent="0.25">
      <c r="B732" s="15"/>
    </row>
    <row r="733" spans="2:2" x14ac:dyDescent="0.25">
      <c r="B733" s="15"/>
    </row>
    <row r="734" spans="2:2" x14ac:dyDescent="0.25">
      <c r="B734" s="15"/>
    </row>
    <row r="735" spans="2:2" x14ac:dyDescent="0.25">
      <c r="B735" s="15"/>
    </row>
    <row r="736" spans="2:2" x14ac:dyDescent="0.25">
      <c r="B736" s="15"/>
    </row>
    <row r="737" spans="2:2" x14ac:dyDescent="0.25">
      <c r="B737" s="15"/>
    </row>
    <row r="738" spans="2:2" x14ac:dyDescent="0.25">
      <c r="B738" s="15"/>
    </row>
    <row r="739" spans="2:2" x14ac:dyDescent="0.25">
      <c r="B739" s="15"/>
    </row>
    <row r="740" spans="2:2" x14ac:dyDescent="0.25">
      <c r="B740" s="15"/>
    </row>
    <row r="741" spans="2:2" x14ac:dyDescent="0.25">
      <c r="B741" s="15"/>
    </row>
    <row r="742" spans="2:2" x14ac:dyDescent="0.25">
      <c r="B742" s="15"/>
    </row>
    <row r="743" spans="2:2" x14ac:dyDescent="0.25">
      <c r="B743" s="15"/>
    </row>
    <row r="744" spans="2:2" x14ac:dyDescent="0.25">
      <c r="B744" s="15"/>
    </row>
    <row r="745" spans="2:2" x14ac:dyDescent="0.25">
      <c r="B745" s="15"/>
    </row>
    <row r="746" spans="2:2" x14ac:dyDescent="0.25">
      <c r="B746" s="15"/>
    </row>
    <row r="747" spans="2:2" x14ac:dyDescent="0.25">
      <c r="B747" s="15"/>
    </row>
    <row r="748" spans="2:2" x14ac:dyDescent="0.25">
      <c r="B748" s="15"/>
    </row>
    <row r="749" spans="2:2" x14ac:dyDescent="0.25">
      <c r="B749" s="15"/>
    </row>
    <row r="750" spans="2:2" x14ac:dyDescent="0.25">
      <c r="B750" s="15"/>
    </row>
    <row r="751" spans="2:2" x14ac:dyDescent="0.25">
      <c r="B751" s="15"/>
    </row>
    <row r="752" spans="2:2" x14ac:dyDescent="0.25">
      <c r="B752" s="15"/>
    </row>
    <row r="753" spans="2:2" x14ac:dyDescent="0.25">
      <c r="B753" s="15"/>
    </row>
    <row r="754" spans="2:2" x14ac:dyDescent="0.25">
      <c r="B754" s="15"/>
    </row>
    <row r="755" spans="2:2" x14ac:dyDescent="0.25">
      <c r="B755" s="15"/>
    </row>
    <row r="756" spans="2:2" x14ac:dyDescent="0.25">
      <c r="B756" s="15"/>
    </row>
    <row r="757" spans="2:2" x14ac:dyDescent="0.25">
      <c r="B757" s="15"/>
    </row>
    <row r="758" spans="2:2" x14ac:dyDescent="0.25">
      <c r="B758" s="15"/>
    </row>
    <row r="759" spans="2:2" x14ac:dyDescent="0.25">
      <c r="B759" s="15"/>
    </row>
    <row r="760" spans="2:2" x14ac:dyDescent="0.25">
      <c r="B760" s="15"/>
    </row>
    <row r="761" spans="2:2" x14ac:dyDescent="0.25">
      <c r="B761" s="15"/>
    </row>
    <row r="762" spans="2:2" x14ac:dyDescent="0.25">
      <c r="B762" s="15"/>
    </row>
    <row r="763" spans="2:2" x14ac:dyDescent="0.25">
      <c r="B763" s="15"/>
    </row>
    <row r="764" spans="2:2" x14ac:dyDescent="0.25">
      <c r="B764" s="15"/>
    </row>
    <row r="765" spans="2:2" x14ac:dyDescent="0.25">
      <c r="B765" s="15"/>
    </row>
    <row r="766" spans="2:2" x14ac:dyDescent="0.25">
      <c r="B766" s="15"/>
    </row>
    <row r="767" spans="2:2" x14ac:dyDescent="0.25">
      <c r="B767" s="15"/>
    </row>
    <row r="768" spans="2:2" x14ac:dyDescent="0.25">
      <c r="B768" s="15"/>
    </row>
    <row r="769" spans="2:2" x14ac:dyDescent="0.25">
      <c r="B769" s="15"/>
    </row>
    <row r="770" spans="2:2" x14ac:dyDescent="0.25">
      <c r="B770" s="15"/>
    </row>
    <row r="771" spans="2:2" x14ac:dyDescent="0.25">
      <c r="B771" s="15"/>
    </row>
    <row r="772" spans="2:2" x14ac:dyDescent="0.25">
      <c r="B772" s="15"/>
    </row>
    <row r="773" spans="2:2" x14ac:dyDescent="0.25">
      <c r="B773" s="15"/>
    </row>
    <row r="774" spans="2:2" x14ac:dyDescent="0.25">
      <c r="B774" s="15"/>
    </row>
    <row r="775" spans="2:2" x14ac:dyDescent="0.25">
      <c r="B775" s="15"/>
    </row>
    <row r="776" spans="2:2" x14ac:dyDescent="0.25">
      <c r="B776" s="15"/>
    </row>
    <row r="777" spans="2:2" x14ac:dyDescent="0.25">
      <c r="B777" s="15"/>
    </row>
    <row r="778" spans="2:2" x14ac:dyDescent="0.25">
      <c r="B778" s="15"/>
    </row>
    <row r="779" spans="2:2" x14ac:dyDescent="0.25">
      <c r="B779" s="15"/>
    </row>
    <row r="780" spans="2:2" x14ac:dyDescent="0.25">
      <c r="B780" s="15"/>
    </row>
    <row r="781" spans="2:2" x14ac:dyDescent="0.25">
      <c r="B781" s="15"/>
    </row>
    <row r="782" spans="2:2" x14ac:dyDescent="0.25">
      <c r="B782" s="15"/>
    </row>
    <row r="783" spans="2:2" x14ac:dyDescent="0.25">
      <c r="B783" s="15"/>
    </row>
    <row r="784" spans="2:2" x14ac:dyDescent="0.25">
      <c r="B784" s="15"/>
    </row>
    <row r="785" spans="2:2" x14ac:dyDescent="0.25">
      <c r="B785" s="15"/>
    </row>
    <row r="786" spans="2:2" x14ac:dyDescent="0.25">
      <c r="B786" s="15"/>
    </row>
    <row r="787" spans="2:2" x14ac:dyDescent="0.25">
      <c r="B787" s="15"/>
    </row>
    <row r="788" spans="2:2" x14ac:dyDescent="0.25">
      <c r="B788" s="15"/>
    </row>
    <row r="789" spans="2:2" x14ac:dyDescent="0.25">
      <c r="B789" s="15"/>
    </row>
    <row r="790" spans="2:2" x14ac:dyDescent="0.25">
      <c r="B790" s="15"/>
    </row>
    <row r="791" spans="2:2" x14ac:dyDescent="0.25">
      <c r="B791" s="15"/>
    </row>
    <row r="792" spans="2:2" x14ac:dyDescent="0.25">
      <c r="B792" s="15"/>
    </row>
    <row r="793" spans="2:2" x14ac:dyDescent="0.25">
      <c r="B793" s="15"/>
    </row>
    <row r="794" spans="2:2" x14ac:dyDescent="0.25">
      <c r="B794" s="15"/>
    </row>
    <row r="795" spans="2:2" x14ac:dyDescent="0.25">
      <c r="B795" s="15"/>
    </row>
    <row r="796" spans="2:2" x14ac:dyDescent="0.25">
      <c r="B796" s="15"/>
    </row>
    <row r="797" spans="2:2" x14ac:dyDescent="0.25">
      <c r="B797" s="15"/>
    </row>
    <row r="798" spans="2:2" x14ac:dyDescent="0.25">
      <c r="B798" s="15"/>
    </row>
    <row r="799" spans="2:2" x14ac:dyDescent="0.25">
      <c r="B799" s="15"/>
    </row>
    <row r="800" spans="2:2" x14ac:dyDescent="0.25">
      <c r="B800" s="15"/>
    </row>
    <row r="801" spans="2:2" x14ac:dyDescent="0.25">
      <c r="B801" s="15"/>
    </row>
    <row r="802" spans="2:2" x14ac:dyDescent="0.25">
      <c r="B802" s="15"/>
    </row>
    <row r="803" spans="2:2" x14ac:dyDescent="0.25">
      <c r="B803" s="15"/>
    </row>
    <row r="804" spans="2:2" x14ac:dyDescent="0.25">
      <c r="B804" s="15"/>
    </row>
    <row r="805" spans="2:2" x14ac:dyDescent="0.25">
      <c r="B805" s="15"/>
    </row>
    <row r="806" spans="2:2" x14ac:dyDescent="0.25">
      <c r="B806" s="15"/>
    </row>
    <row r="807" spans="2:2" x14ac:dyDescent="0.25">
      <c r="B807" s="15"/>
    </row>
    <row r="808" spans="2:2" x14ac:dyDescent="0.25">
      <c r="B808" s="15"/>
    </row>
    <row r="809" spans="2:2" x14ac:dyDescent="0.25">
      <c r="B809" s="15"/>
    </row>
    <row r="810" spans="2:2" x14ac:dyDescent="0.25">
      <c r="B810" s="15"/>
    </row>
    <row r="811" spans="2:2" x14ac:dyDescent="0.25">
      <c r="B811" s="15"/>
    </row>
    <row r="812" spans="2:2" x14ac:dyDescent="0.25">
      <c r="B812" s="15"/>
    </row>
    <row r="813" spans="2:2" x14ac:dyDescent="0.25">
      <c r="B813" s="15"/>
    </row>
    <row r="814" spans="2:2" x14ac:dyDescent="0.25">
      <c r="B814" s="15"/>
    </row>
    <row r="815" spans="2:2" x14ac:dyDescent="0.25">
      <c r="B815" s="15"/>
    </row>
    <row r="816" spans="2:2" x14ac:dyDescent="0.25">
      <c r="B816" s="15"/>
    </row>
    <row r="817" spans="2:2" x14ac:dyDescent="0.25">
      <c r="B817" s="15"/>
    </row>
    <row r="818" spans="2:2" x14ac:dyDescent="0.25">
      <c r="B818" s="15"/>
    </row>
    <row r="819" spans="2:2" x14ac:dyDescent="0.25">
      <c r="B819" s="15"/>
    </row>
    <row r="820" spans="2:2" x14ac:dyDescent="0.25">
      <c r="B820" s="15"/>
    </row>
    <row r="821" spans="2:2" x14ac:dyDescent="0.25">
      <c r="B821" s="15"/>
    </row>
    <row r="822" spans="2:2" x14ac:dyDescent="0.25">
      <c r="B822" s="15"/>
    </row>
    <row r="823" spans="2:2" x14ac:dyDescent="0.25">
      <c r="B823" s="15"/>
    </row>
    <row r="824" spans="2:2" x14ac:dyDescent="0.25">
      <c r="B824" s="15"/>
    </row>
    <row r="825" spans="2:2" x14ac:dyDescent="0.25">
      <c r="B825" s="15"/>
    </row>
    <row r="826" spans="2:2" x14ac:dyDescent="0.25">
      <c r="B826" s="15"/>
    </row>
    <row r="827" spans="2:2" x14ac:dyDescent="0.25">
      <c r="B827" s="15"/>
    </row>
    <row r="828" spans="2:2" x14ac:dyDescent="0.25">
      <c r="B828" s="15"/>
    </row>
    <row r="829" spans="2:2" x14ac:dyDescent="0.25">
      <c r="B829" s="15"/>
    </row>
    <row r="830" spans="2:2" x14ac:dyDescent="0.25">
      <c r="B830" s="15"/>
    </row>
    <row r="831" spans="2:2" x14ac:dyDescent="0.25">
      <c r="B831" s="15"/>
    </row>
    <row r="832" spans="2:2" x14ac:dyDescent="0.25">
      <c r="B832" s="15"/>
    </row>
    <row r="833" spans="2:2" x14ac:dyDescent="0.25">
      <c r="B833" s="15"/>
    </row>
    <row r="834" spans="2:2" x14ac:dyDescent="0.25">
      <c r="B834" s="15"/>
    </row>
    <row r="835" spans="2:2" x14ac:dyDescent="0.25">
      <c r="B835" s="15"/>
    </row>
    <row r="836" spans="2:2" x14ac:dyDescent="0.25">
      <c r="B836" s="15"/>
    </row>
    <row r="837" spans="2:2" x14ac:dyDescent="0.25">
      <c r="B837" s="15"/>
    </row>
    <row r="838" spans="2:2" x14ac:dyDescent="0.25">
      <c r="B838" s="15"/>
    </row>
    <row r="839" spans="2:2" x14ac:dyDescent="0.25">
      <c r="B839" s="15"/>
    </row>
    <row r="840" spans="2:2" x14ac:dyDescent="0.25">
      <c r="B840" s="15"/>
    </row>
    <row r="841" spans="2:2" x14ac:dyDescent="0.25">
      <c r="B841" s="15"/>
    </row>
    <row r="842" spans="2:2" x14ac:dyDescent="0.25">
      <c r="B842" s="15"/>
    </row>
    <row r="843" spans="2:2" x14ac:dyDescent="0.25">
      <c r="B843" s="15"/>
    </row>
    <row r="844" spans="2:2" x14ac:dyDescent="0.25">
      <c r="B844" s="15"/>
    </row>
    <row r="845" spans="2:2" x14ac:dyDescent="0.25">
      <c r="B845" s="15"/>
    </row>
    <row r="846" spans="2:2" x14ac:dyDescent="0.25">
      <c r="B846" s="15"/>
    </row>
    <row r="847" spans="2:2" x14ac:dyDescent="0.25">
      <c r="B847" s="15"/>
    </row>
    <row r="848" spans="2:2" x14ac:dyDescent="0.25">
      <c r="B848" s="15"/>
    </row>
    <row r="849" spans="2:2" x14ac:dyDescent="0.25">
      <c r="B849" s="15"/>
    </row>
    <row r="850" spans="2:2" x14ac:dyDescent="0.25">
      <c r="B850" s="15"/>
    </row>
    <row r="851" spans="2:2" x14ac:dyDescent="0.25">
      <c r="B851" s="15"/>
    </row>
    <row r="852" spans="2:2" x14ac:dyDescent="0.25">
      <c r="B852" s="15"/>
    </row>
    <row r="853" spans="2:2" x14ac:dyDescent="0.25">
      <c r="B853" s="15"/>
    </row>
    <row r="854" spans="2:2" x14ac:dyDescent="0.25">
      <c r="B854" s="15"/>
    </row>
    <row r="855" spans="2:2" x14ac:dyDescent="0.25">
      <c r="B855" s="15"/>
    </row>
    <row r="856" spans="2:2" x14ac:dyDescent="0.25">
      <c r="B856" s="15"/>
    </row>
    <row r="857" spans="2:2" x14ac:dyDescent="0.25">
      <c r="B857" s="15"/>
    </row>
    <row r="858" spans="2:2" x14ac:dyDescent="0.25">
      <c r="B858" s="15"/>
    </row>
    <row r="859" spans="2:2" x14ac:dyDescent="0.25">
      <c r="B859" s="15"/>
    </row>
    <row r="860" spans="2:2" x14ac:dyDescent="0.25">
      <c r="B860" s="15"/>
    </row>
    <row r="861" spans="2:2" x14ac:dyDescent="0.25">
      <c r="B861" s="15"/>
    </row>
    <row r="862" spans="2:2" x14ac:dyDescent="0.25">
      <c r="B862" s="15"/>
    </row>
    <row r="863" spans="2:2" x14ac:dyDescent="0.25">
      <c r="B863" s="15"/>
    </row>
    <row r="864" spans="2:2" x14ac:dyDescent="0.25">
      <c r="B864" s="15"/>
    </row>
    <row r="865" spans="2:2" x14ac:dyDescent="0.25">
      <c r="B865" s="15"/>
    </row>
    <row r="866" spans="2:2" x14ac:dyDescent="0.25">
      <c r="B866" s="15"/>
    </row>
    <row r="867" spans="2:2" x14ac:dyDescent="0.25">
      <c r="B867" s="15"/>
    </row>
    <row r="868" spans="2:2" x14ac:dyDescent="0.25">
      <c r="B868" s="15"/>
    </row>
    <row r="869" spans="2:2" x14ac:dyDescent="0.25">
      <c r="B869" s="15"/>
    </row>
    <row r="870" spans="2:2" x14ac:dyDescent="0.25">
      <c r="B870" s="15"/>
    </row>
    <row r="871" spans="2:2" x14ac:dyDescent="0.25">
      <c r="B871" s="15"/>
    </row>
    <row r="872" spans="2:2" x14ac:dyDescent="0.25">
      <c r="B872" s="15"/>
    </row>
    <row r="873" spans="2:2" x14ac:dyDescent="0.25">
      <c r="B873" s="15"/>
    </row>
    <row r="874" spans="2:2" x14ac:dyDescent="0.25">
      <c r="B874" s="15"/>
    </row>
    <row r="875" spans="2:2" x14ac:dyDescent="0.25">
      <c r="B875" s="15"/>
    </row>
    <row r="876" spans="2:2" x14ac:dyDescent="0.25">
      <c r="B876" s="15"/>
    </row>
    <row r="877" spans="2:2" x14ac:dyDescent="0.25">
      <c r="B877" s="15"/>
    </row>
    <row r="878" spans="2:2" x14ac:dyDescent="0.25">
      <c r="B878" s="15"/>
    </row>
    <row r="879" spans="2:2" x14ac:dyDescent="0.25">
      <c r="B879" s="15"/>
    </row>
    <row r="880" spans="2:2" x14ac:dyDescent="0.25">
      <c r="B880" s="15"/>
    </row>
    <row r="881" spans="2:2" x14ac:dyDescent="0.25">
      <c r="B881" s="15"/>
    </row>
    <row r="882" spans="2:2" x14ac:dyDescent="0.25">
      <c r="B882" s="15"/>
    </row>
    <row r="883" spans="2:2" x14ac:dyDescent="0.25">
      <c r="B883" s="15"/>
    </row>
    <row r="884" spans="2:2" x14ac:dyDescent="0.25">
      <c r="B884" s="15"/>
    </row>
    <row r="885" spans="2:2" x14ac:dyDescent="0.25">
      <c r="B885" s="15"/>
    </row>
    <row r="886" spans="2:2" x14ac:dyDescent="0.25">
      <c r="B886" s="15"/>
    </row>
    <row r="887" spans="2:2" x14ac:dyDescent="0.25">
      <c r="B887" s="15"/>
    </row>
    <row r="888" spans="2:2" x14ac:dyDescent="0.25">
      <c r="B888" s="15"/>
    </row>
    <row r="889" spans="2:2" x14ac:dyDescent="0.25">
      <c r="B889" s="15"/>
    </row>
    <row r="890" spans="2:2" x14ac:dyDescent="0.25">
      <c r="B890" s="15"/>
    </row>
    <row r="891" spans="2:2" x14ac:dyDescent="0.25">
      <c r="B891" s="15"/>
    </row>
    <row r="892" spans="2:2" x14ac:dyDescent="0.25">
      <c r="B892" s="15"/>
    </row>
    <row r="893" spans="2:2" x14ac:dyDescent="0.25">
      <c r="B893" s="15"/>
    </row>
    <row r="894" spans="2:2" x14ac:dyDescent="0.25">
      <c r="B894" s="15"/>
    </row>
    <row r="895" spans="2:2" x14ac:dyDescent="0.25">
      <c r="B895" s="15"/>
    </row>
    <row r="896" spans="2:2" x14ac:dyDescent="0.25">
      <c r="B896" s="15"/>
    </row>
    <row r="897" spans="2:2" x14ac:dyDescent="0.25">
      <c r="B897" s="15"/>
    </row>
    <row r="898" spans="2:2" x14ac:dyDescent="0.25">
      <c r="B898" s="15"/>
    </row>
    <row r="899" spans="2:2" x14ac:dyDescent="0.25">
      <c r="B899" s="15"/>
    </row>
    <row r="900" spans="2:2" x14ac:dyDescent="0.25">
      <c r="B900" s="15"/>
    </row>
    <row r="901" spans="2:2" x14ac:dyDescent="0.25">
      <c r="B901" s="15"/>
    </row>
    <row r="902" spans="2:2" x14ac:dyDescent="0.25">
      <c r="B902" s="15"/>
    </row>
    <row r="903" spans="2:2" x14ac:dyDescent="0.25">
      <c r="B903" s="15"/>
    </row>
    <row r="904" spans="2:2" x14ac:dyDescent="0.25">
      <c r="B904" s="15"/>
    </row>
    <row r="905" spans="2:2" x14ac:dyDescent="0.25">
      <c r="B905" s="15"/>
    </row>
    <row r="906" spans="2:2" x14ac:dyDescent="0.25">
      <c r="B906" s="15"/>
    </row>
    <row r="907" spans="2:2" x14ac:dyDescent="0.25">
      <c r="B907" s="15"/>
    </row>
    <row r="908" spans="2:2" x14ac:dyDescent="0.25">
      <c r="B908" s="15"/>
    </row>
    <row r="909" spans="2:2" x14ac:dyDescent="0.25">
      <c r="B909" s="15"/>
    </row>
    <row r="910" spans="2:2" x14ac:dyDescent="0.25">
      <c r="B910" s="15"/>
    </row>
    <row r="911" spans="2:2" x14ac:dyDescent="0.25">
      <c r="B911" s="15"/>
    </row>
    <row r="912" spans="2:2" x14ac:dyDescent="0.25">
      <c r="B912" s="15"/>
    </row>
    <row r="913" spans="2:2" x14ac:dyDescent="0.25">
      <c r="B913" s="15"/>
    </row>
    <row r="914" spans="2:2" x14ac:dyDescent="0.25">
      <c r="B914" s="15"/>
    </row>
    <row r="915" spans="2:2" x14ac:dyDescent="0.25">
      <c r="B915" s="15"/>
    </row>
    <row r="916" spans="2:2" x14ac:dyDescent="0.25">
      <c r="B916" s="15"/>
    </row>
    <row r="917" spans="2:2" x14ac:dyDescent="0.25">
      <c r="B917" s="15"/>
    </row>
    <row r="918" spans="2:2" x14ac:dyDescent="0.25">
      <c r="B918" s="15"/>
    </row>
    <row r="919" spans="2:2" x14ac:dyDescent="0.25">
      <c r="B919" s="15"/>
    </row>
    <row r="920" spans="2:2" x14ac:dyDescent="0.25">
      <c r="B920" s="15"/>
    </row>
    <row r="921" spans="2:2" x14ac:dyDescent="0.25">
      <c r="B921" s="15"/>
    </row>
    <row r="922" spans="2:2" x14ac:dyDescent="0.25">
      <c r="B922" s="15"/>
    </row>
    <row r="923" spans="2:2" x14ac:dyDescent="0.25">
      <c r="B923" s="15"/>
    </row>
    <row r="924" spans="2:2" x14ac:dyDescent="0.25">
      <c r="B924" s="15"/>
    </row>
    <row r="925" spans="2:2" x14ac:dyDescent="0.25">
      <c r="B925" s="15"/>
    </row>
    <row r="926" spans="2:2" x14ac:dyDescent="0.25">
      <c r="B926" s="15"/>
    </row>
    <row r="927" spans="2:2" x14ac:dyDescent="0.25">
      <c r="B927" s="15"/>
    </row>
    <row r="928" spans="2:2" x14ac:dyDescent="0.25">
      <c r="B928" s="15"/>
    </row>
    <row r="929" spans="2:2" x14ac:dyDescent="0.25">
      <c r="B929" s="15"/>
    </row>
    <row r="930" spans="2:2" x14ac:dyDescent="0.25">
      <c r="B930" s="15"/>
    </row>
    <row r="931" spans="2:2" x14ac:dyDescent="0.25">
      <c r="B931" s="15"/>
    </row>
    <row r="932" spans="2:2" x14ac:dyDescent="0.25">
      <c r="B932" s="15"/>
    </row>
    <row r="933" spans="2:2" x14ac:dyDescent="0.25">
      <c r="B933" s="15"/>
    </row>
    <row r="934" spans="2:2" x14ac:dyDescent="0.25">
      <c r="B934" s="15"/>
    </row>
    <row r="935" spans="2:2" x14ac:dyDescent="0.25">
      <c r="B935" s="15"/>
    </row>
    <row r="936" spans="2:2" x14ac:dyDescent="0.25">
      <c r="B936" s="15"/>
    </row>
    <row r="937" spans="2:2" x14ac:dyDescent="0.25">
      <c r="B937" s="15"/>
    </row>
    <row r="938" spans="2:2" x14ac:dyDescent="0.25">
      <c r="B938" s="15"/>
    </row>
    <row r="939" spans="2:2" x14ac:dyDescent="0.25">
      <c r="B939" s="15"/>
    </row>
    <row r="940" spans="2:2" x14ac:dyDescent="0.25">
      <c r="B940" s="15"/>
    </row>
    <row r="941" spans="2:2" x14ac:dyDescent="0.25">
      <c r="B941" s="15"/>
    </row>
    <row r="942" spans="2:2" x14ac:dyDescent="0.25">
      <c r="B942" s="15"/>
    </row>
    <row r="943" spans="2:2" x14ac:dyDescent="0.25">
      <c r="B943" s="15"/>
    </row>
    <row r="944" spans="2:2" x14ac:dyDescent="0.25">
      <c r="B944" s="15"/>
    </row>
    <row r="945" spans="2:2" x14ac:dyDescent="0.25">
      <c r="B945" s="15"/>
    </row>
    <row r="946" spans="2:2" x14ac:dyDescent="0.25">
      <c r="B946" s="15"/>
    </row>
    <row r="947" spans="2:2" x14ac:dyDescent="0.25">
      <c r="B947" s="15"/>
    </row>
    <row r="948" spans="2:2" x14ac:dyDescent="0.25">
      <c r="B948" s="15"/>
    </row>
    <row r="949" spans="2:2" x14ac:dyDescent="0.25">
      <c r="B949" s="15"/>
    </row>
    <row r="950" spans="2:2" x14ac:dyDescent="0.25">
      <c r="B950" s="15"/>
    </row>
    <row r="951" spans="2:2" x14ac:dyDescent="0.25">
      <c r="B951" s="15"/>
    </row>
    <row r="952" spans="2:2" x14ac:dyDescent="0.25">
      <c r="B952" s="15"/>
    </row>
    <row r="953" spans="2:2" x14ac:dyDescent="0.25">
      <c r="B953" s="15"/>
    </row>
    <row r="954" spans="2:2" x14ac:dyDescent="0.25">
      <c r="B954" s="15"/>
    </row>
    <row r="955" spans="2:2" x14ac:dyDescent="0.25">
      <c r="B955" s="15"/>
    </row>
    <row r="956" spans="2:2" x14ac:dyDescent="0.25">
      <c r="B956" s="15"/>
    </row>
    <row r="957" spans="2:2" x14ac:dyDescent="0.25">
      <c r="B957" s="15"/>
    </row>
    <row r="958" spans="2:2" x14ac:dyDescent="0.25">
      <c r="B958" s="15"/>
    </row>
    <row r="959" spans="2:2" x14ac:dyDescent="0.25">
      <c r="B959" s="15"/>
    </row>
    <row r="960" spans="2:2" x14ac:dyDescent="0.25">
      <c r="B960" s="15"/>
    </row>
    <row r="961" spans="2:2" x14ac:dyDescent="0.25">
      <c r="B961" s="15"/>
    </row>
    <row r="962" spans="2:2" x14ac:dyDescent="0.25">
      <c r="B962" s="15"/>
    </row>
    <row r="963" spans="2:2" x14ac:dyDescent="0.25">
      <c r="B963" s="15"/>
    </row>
    <row r="964" spans="2:2" x14ac:dyDescent="0.25">
      <c r="B964" s="15"/>
    </row>
    <row r="965" spans="2:2" x14ac:dyDescent="0.25">
      <c r="B965" s="15"/>
    </row>
    <row r="966" spans="2:2" x14ac:dyDescent="0.25">
      <c r="B966" s="15"/>
    </row>
    <row r="967" spans="2:2" x14ac:dyDescent="0.25">
      <c r="B967" s="15"/>
    </row>
    <row r="968" spans="2:2" x14ac:dyDescent="0.25">
      <c r="B968" s="15"/>
    </row>
    <row r="969" spans="2:2" x14ac:dyDescent="0.25">
      <c r="B969" s="15"/>
    </row>
    <row r="970" spans="2:2" x14ac:dyDescent="0.25">
      <c r="B970" s="15"/>
    </row>
    <row r="971" spans="2:2" x14ac:dyDescent="0.25">
      <c r="B971" s="15"/>
    </row>
    <row r="972" spans="2:2" x14ac:dyDescent="0.25">
      <c r="B972" s="15"/>
    </row>
    <row r="973" spans="2:2" x14ac:dyDescent="0.25">
      <c r="B973" s="15"/>
    </row>
    <row r="974" spans="2:2" x14ac:dyDescent="0.25">
      <c r="B974" s="15"/>
    </row>
    <row r="975" spans="2:2" x14ac:dyDescent="0.25">
      <c r="B975" s="15"/>
    </row>
    <row r="976" spans="2:2" x14ac:dyDescent="0.25">
      <c r="B976" s="15"/>
    </row>
    <row r="977" spans="2:2" x14ac:dyDescent="0.25">
      <c r="B977" s="15"/>
    </row>
    <row r="978" spans="2:2" x14ac:dyDescent="0.25">
      <c r="B978" s="15"/>
    </row>
    <row r="979" spans="2:2" x14ac:dyDescent="0.25">
      <c r="B979" s="15"/>
    </row>
    <row r="980" spans="2:2" x14ac:dyDescent="0.25">
      <c r="B980" s="15"/>
    </row>
    <row r="981" spans="2:2" x14ac:dyDescent="0.25">
      <c r="B981" s="15"/>
    </row>
    <row r="982" spans="2:2" x14ac:dyDescent="0.25">
      <c r="B982" s="15"/>
    </row>
    <row r="983" spans="2:2" x14ac:dyDescent="0.25">
      <c r="B983" s="15"/>
    </row>
    <row r="984" spans="2:2" x14ac:dyDescent="0.25">
      <c r="B984" s="15"/>
    </row>
    <row r="985" spans="2:2" x14ac:dyDescent="0.25">
      <c r="B985" s="15"/>
    </row>
    <row r="986" spans="2:2" x14ac:dyDescent="0.25">
      <c r="B986" s="15"/>
    </row>
    <row r="987" spans="2:2" x14ac:dyDescent="0.25">
      <c r="B987" s="15"/>
    </row>
    <row r="988" spans="2:2" x14ac:dyDescent="0.25">
      <c r="B988" s="15"/>
    </row>
    <row r="989" spans="2:2" x14ac:dyDescent="0.25">
      <c r="B989" s="15"/>
    </row>
    <row r="990" spans="2:2" x14ac:dyDescent="0.25">
      <c r="B990" s="15"/>
    </row>
    <row r="991" spans="2:2" x14ac:dyDescent="0.25">
      <c r="B991" s="15"/>
    </row>
    <row r="992" spans="2:2" x14ac:dyDescent="0.25">
      <c r="B992" s="15"/>
    </row>
    <row r="993" spans="2:2" x14ac:dyDescent="0.25">
      <c r="B993" s="15"/>
    </row>
    <row r="994" spans="2:2" x14ac:dyDescent="0.25">
      <c r="B994" s="15"/>
    </row>
    <row r="995" spans="2:2" x14ac:dyDescent="0.25">
      <c r="B995" s="15"/>
    </row>
    <row r="996" spans="2:2" x14ac:dyDescent="0.25">
      <c r="B996" s="15"/>
    </row>
    <row r="997" spans="2:2" x14ac:dyDescent="0.25">
      <c r="B997" s="15"/>
    </row>
    <row r="998" spans="2:2" x14ac:dyDescent="0.25">
      <c r="B998" s="15"/>
    </row>
    <row r="999" spans="2:2" x14ac:dyDescent="0.25">
      <c r="B999" s="15"/>
    </row>
    <row r="1000" spans="2:2" x14ac:dyDescent="0.25">
      <c r="B1000" s="15"/>
    </row>
    <row r="1001" spans="2:2" x14ac:dyDescent="0.25">
      <c r="B1001" s="15"/>
    </row>
    <row r="1002" spans="2:2" x14ac:dyDescent="0.25">
      <c r="B1002" s="15"/>
    </row>
    <row r="1003" spans="2:2" x14ac:dyDescent="0.25">
      <c r="B1003" s="15"/>
    </row>
    <row r="1004" spans="2:2" x14ac:dyDescent="0.25">
      <c r="B1004" s="15"/>
    </row>
    <row r="1005" spans="2:2" x14ac:dyDescent="0.25">
      <c r="B1005" s="15"/>
    </row>
    <row r="1006" spans="2:2" x14ac:dyDescent="0.25">
      <c r="B1006" s="15"/>
    </row>
    <row r="1007" spans="2:2" x14ac:dyDescent="0.25">
      <c r="B1007" s="15"/>
    </row>
    <row r="1008" spans="2:2" x14ac:dyDescent="0.25">
      <c r="B1008" s="15"/>
    </row>
    <row r="1009" spans="2:2" x14ac:dyDescent="0.25">
      <c r="B1009" s="15"/>
    </row>
    <row r="1010" spans="2:2" x14ac:dyDescent="0.25">
      <c r="B1010" s="15"/>
    </row>
    <row r="1011" spans="2:2" x14ac:dyDescent="0.25">
      <c r="B1011" s="15"/>
    </row>
    <row r="1012" spans="2:2" x14ac:dyDescent="0.25">
      <c r="B1012" s="15"/>
    </row>
    <row r="1013" spans="2:2" x14ac:dyDescent="0.25">
      <c r="B1013" s="15"/>
    </row>
    <row r="1014" spans="2:2" x14ac:dyDescent="0.25">
      <c r="B1014" s="15"/>
    </row>
    <row r="1015" spans="2:2" x14ac:dyDescent="0.25">
      <c r="B1015" s="15"/>
    </row>
    <row r="1016" spans="2:2" x14ac:dyDescent="0.25">
      <c r="B1016" s="15"/>
    </row>
    <row r="1017" spans="2:2" x14ac:dyDescent="0.25">
      <c r="B1017" s="15"/>
    </row>
    <row r="1018" spans="2:2" x14ac:dyDescent="0.25">
      <c r="B1018" s="15"/>
    </row>
    <row r="1019" spans="2:2" x14ac:dyDescent="0.25">
      <c r="B1019" s="15"/>
    </row>
    <row r="1020" spans="2:2" x14ac:dyDescent="0.25">
      <c r="B1020" s="15"/>
    </row>
    <row r="1021" spans="2:2" x14ac:dyDescent="0.25">
      <c r="B1021" s="15"/>
    </row>
    <row r="1022" spans="2:2" x14ac:dyDescent="0.25">
      <c r="B1022" s="15"/>
    </row>
    <row r="1023" spans="2:2" x14ac:dyDescent="0.25">
      <c r="B1023" s="15"/>
    </row>
    <row r="1024" spans="2:2" x14ac:dyDescent="0.25">
      <c r="B1024" s="15"/>
    </row>
    <row r="1025" spans="2:2" x14ac:dyDescent="0.25">
      <c r="B1025" s="15"/>
    </row>
    <row r="1026" spans="2:2" x14ac:dyDescent="0.25">
      <c r="B1026" s="15"/>
    </row>
    <row r="1027" spans="2:2" x14ac:dyDescent="0.25">
      <c r="B1027" s="15"/>
    </row>
    <row r="1028" spans="2:2" x14ac:dyDescent="0.25">
      <c r="B1028" s="15"/>
    </row>
    <row r="1029" spans="2:2" x14ac:dyDescent="0.25">
      <c r="B1029" s="15"/>
    </row>
    <row r="1030" spans="2:2" x14ac:dyDescent="0.25">
      <c r="B1030" s="15"/>
    </row>
    <row r="1031" spans="2:2" x14ac:dyDescent="0.25">
      <c r="B1031" s="15"/>
    </row>
    <row r="1032" spans="2:2" x14ac:dyDescent="0.25">
      <c r="B1032" s="15"/>
    </row>
    <row r="1033" spans="2:2" x14ac:dyDescent="0.25">
      <c r="B1033" s="15"/>
    </row>
    <row r="1034" spans="2:2" x14ac:dyDescent="0.25">
      <c r="B1034" s="15"/>
    </row>
    <row r="1035" spans="2:2" x14ac:dyDescent="0.25">
      <c r="B1035" s="15"/>
    </row>
    <row r="1036" spans="2:2" x14ac:dyDescent="0.25">
      <c r="B1036" s="15"/>
    </row>
    <row r="1037" spans="2:2" x14ac:dyDescent="0.25">
      <c r="B1037" s="15"/>
    </row>
    <row r="1038" spans="2:2" x14ac:dyDescent="0.25">
      <c r="B1038" s="15"/>
    </row>
    <row r="1039" spans="2:2" x14ac:dyDescent="0.25">
      <c r="B1039" s="15"/>
    </row>
    <row r="1040" spans="2:2" x14ac:dyDescent="0.25">
      <c r="B1040" s="15"/>
    </row>
    <row r="1041" spans="2:2" x14ac:dyDescent="0.25">
      <c r="B1041" s="15"/>
    </row>
    <row r="1042" spans="2:2" x14ac:dyDescent="0.25">
      <c r="B1042" s="15"/>
    </row>
    <row r="1043" spans="2:2" x14ac:dyDescent="0.25">
      <c r="B1043" s="15"/>
    </row>
    <row r="1044" spans="2:2" x14ac:dyDescent="0.25">
      <c r="B1044" s="15"/>
    </row>
    <row r="1045" spans="2:2" x14ac:dyDescent="0.25">
      <c r="B1045" s="15"/>
    </row>
    <row r="1046" spans="2:2" x14ac:dyDescent="0.25">
      <c r="B1046" s="15"/>
    </row>
    <row r="1047" spans="2:2" x14ac:dyDescent="0.25">
      <c r="B1047" s="15"/>
    </row>
    <row r="1048" spans="2:2" x14ac:dyDescent="0.25">
      <c r="B1048" s="15"/>
    </row>
    <row r="1049" spans="2:2" x14ac:dyDescent="0.25">
      <c r="B1049" s="15"/>
    </row>
    <row r="1050" spans="2:2" x14ac:dyDescent="0.25">
      <c r="B1050" s="15"/>
    </row>
    <row r="1051" spans="2:2" x14ac:dyDescent="0.25">
      <c r="B1051" s="15"/>
    </row>
    <row r="1052" spans="2:2" x14ac:dyDescent="0.25">
      <c r="B1052" s="15"/>
    </row>
    <row r="1053" spans="2:2" x14ac:dyDescent="0.25">
      <c r="B1053" s="15"/>
    </row>
    <row r="1054" spans="2:2" x14ac:dyDescent="0.25">
      <c r="B1054" s="15"/>
    </row>
    <row r="1055" spans="2:2" x14ac:dyDescent="0.25">
      <c r="B1055" s="15"/>
    </row>
    <row r="1056" spans="2:2" x14ac:dyDescent="0.25">
      <c r="B1056" s="15"/>
    </row>
    <row r="1057" spans="2:2" x14ac:dyDescent="0.25">
      <c r="B1057" s="15"/>
    </row>
    <row r="1058" spans="2:2" x14ac:dyDescent="0.25">
      <c r="B1058" s="15"/>
    </row>
    <row r="1059" spans="2:2" x14ac:dyDescent="0.25">
      <c r="B1059" s="15"/>
    </row>
    <row r="1060" spans="2:2" x14ac:dyDescent="0.25">
      <c r="B1060" s="15"/>
    </row>
    <row r="1061" spans="2:2" x14ac:dyDescent="0.25">
      <c r="B1061" s="15"/>
    </row>
    <row r="1062" spans="2:2" x14ac:dyDescent="0.25">
      <c r="B1062" s="15"/>
    </row>
    <row r="1063" spans="2:2" x14ac:dyDescent="0.25">
      <c r="B1063" s="15"/>
    </row>
    <row r="1064" spans="2:2" x14ac:dyDescent="0.25">
      <c r="B1064" s="15"/>
    </row>
    <row r="1065" spans="2:2" x14ac:dyDescent="0.25">
      <c r="B1065" s="15"/>
    </row>
    <row r="1066" spans="2:2" x14ac:dyDescent="0.25">
      <c r="B1066" s="15"/>
    </row>
    <row r="1067" spans="2:2" x14ac:dyDescent="0.25">
      <c r="B1067" s="15"/>
    </row>
    <row r="1068" spans="2:2" x14ac:dyDescent="0.25">
      <c r="B1068" s="15"/>
    </row>
    <row r="1069" spans="2:2" x14ac:dyDescent="0.25">
      <c r="B1069" s="15"/>
    </row>
    <row r="1070" spans="2:2" x14ac:dyDescent="0.25">
      <c r="B1070" s="15"/>
    </row>
    <row r="1071" spans="2:2" x14ac:dyDescent="0.25">
      <c r="B1071" s="15"/>
    </row>
    <row r="1072" spans="2:2" x14ac:dyDescent="0.25">
      <c r="B1072" s="15"/>
    </row>
    <row r="1073" spans="2:2" x14ac:dyDescent="0.25">
      <c r="B1073" s="15"/>
    </row>
    <row r="1074" spans="2:2" x14ac:dyDescent="0.25">
      <c r="B1074" s="15"/>
    </row>
    <row r="1075" spans="2:2" x14ac:dyDescent="0.25">
      <c r="B1075" s="15"/>
    </row>
    <row r="1076" spans="2:2" x14ac:dyDescent="0.25">
      <c r="B1076" s="15"/>
    </row>
    <row r="1077" spans="2:2" x14ac:dyDescent="0.25">
      <c r="B1077" s="15"/>
    </row>
    <row r="1078" spans="2:2" x14ac:dyDescent="0.25">
      <c r="B1078" s="15"/>
    </row>
    <row r="1079" spans="2:2" x14ac:dyDescent="0.25">
      <c r="B1079" s="15"/>
    </row>
    <row r="1080" spans="2:2" x14ac:dyDescent="0.25">
      <c r="B1080" s="15"/>
    </row>
    <row r="1081" spans="2:2" x14ac:dyDescent="0.25">
      <c r="B1081" s="15"/>
    </row>
    <row r="1082" spans="2:2" x14ac:dyDescent="0.25">
      <c r="B1082" s="15"/>
    </row>
    <row r="1083" spans="2:2" x14ac:dyDescent="0.25">
      <c r="B1083" s="15"/>
    </row>
    <row r="1084" spans="2:2" x14ac:dyDescent="0.25">
      <c r="B1084" s="15"/>
    </row>
    <row r="1085" spans="2:2" x14ac:dyDescent="0.25">
      <c r="B1085" s="15"/>
    </row>
    <row r="1086" spans="2:2" x14ac:dyDescent="0.25">
      <c r="B1086" s="15"/>
    </row>
    <row r="1087" spans="2:2" x14ac:dyDescent="0.25">
      <c r="B1087" s="15"/>
    </row>
    <row r="1088" spans="2:2" x14ac:dyDescent="0.25">
      <c r="B1088" s="15"/>
    </row>
    <row r="1089" spans="2:2" x14ac:dyDescent="0.25">
      <c r="B1089" s="15"/>
    </row>
    <row r="1090" spans="2:2" x14ac:dyDescent="0.25">
      <c r="B1090" s="15"/>
    </row>
    <row r="1091" spans="2:2" x14ac:dyDescent="0.25">
      <c r="B1091" s="15"/>
    </row>
    <row r="1092" spans="2:2" x14ac:dyDescent="0.25">
      <c r="B1092" s="15"/>
    </row>
    <row r="1093" spans="2:2" x14ac:dyDescent="0.25">
      <c r="B1093" s="15"/>
    </row>
    <row r="1094" spans="2:2" x14ac:dyDescent="0.25">
      <c r="B1094" s="15"/>
    </row>
    <row r="1095" spans="2:2" x14ac:dyDescent="0.25">
      <c r="B1095" s="15"/>
    </row>
    <row r="1096" spans="2:2" x14ac:dyDescent="0.25">
      <c r="B1096" s="15"/>
    </row>
    <row r="1097" spans="2:2" x14ac:dyDescent="0.25">
      <c r="B1097" s="15"/>
    </row>
    <row r="1098" spans="2:2" x14ac:dyDescent="0.25">
      <c r="B1098" s="15"/>
    </row>
    <row r="1099" spans="2:2" x14ac:dyDescent="0.25">
      <c r="B1099" s="15"/>
    </row>
    <row r="1100" spans="2:2" x14ac:dyDescent="0.25">
      <c r="B1100" s="15"/>
    </row>
    <row r="1101" spans="2:2" x14ac:dyDescent="0.25">
      <c r="B1101" s="15"/>
    </row>
    <row r="1102" spans="2:2" x14ac:dyDescent="0.25">
      <c r="B1102" s="15"/>
    </row>
    <row r="1103" spans="2:2" x14ac:dyDescent="0.25">
      <c r="B1103" s="15"/>
    </row>
    <row r="1104" spans="2:2" x14ac:dyDescent="0.25">
      <c r="B1104" s="15"/>
    </row>
    <row r="1105" spans="2:2" x14ac:dyDescent="0.25">
      <c r="B1105" s="15"/>
    </row>
    <row r="1106" spans="2:2" x14ac:dyDescent="0.25">
      <c r="B1106" s="15"/>
    </row>
    <row r="1107" spans="2:2" x14ac:dyDescent="0.25">
      <c r="B1107" s="15"/>
    </row>
    <row r="1108" spans="2:2" x14ac:dyDescent="0.25">
      <c r="B1108" s="15"/>
    </row>
    <row r="1109" spans="2:2" x14ac:dyDescent="0.25">
      <c r="B1109" s="15"/>
    </row>
    <row r="1110" spans="2:2" x14ac:dyDescent="0.25">
      <c r="B1110" s="15"/>
    </row>
    <row r="1111" spans="2:2" x14ac:dyDescent="0.25">
      <c r="B1111" s="15"/>
    </row>
    <row r="1112" spans="2:2" x14ac:dyDescent="0.25">
      <c r="B1112" s="15"/>
    </row>
    <row r="1113" spans="2:2" x14ac:dyDescent="0.25">
      <c r="B1113" s="15"/>
    </row>
    <row r="1114" spans="2:2" x14ac:dyDescent="0.25">
      <c r="B1114" s="15"/>
    </row>
    <row r="1115" spans="2:2" x14ac:dyDescent="0.25">
      <c r="B1115" s="15"/>
    </row>
    <row r="1116" spans="2:2" x14ac:dyDescent="0.25">
      <c r="B1116" s="15"/>
    </row>
    <row r="1117" spans="2:2" x14ac:dyDescent="0.25">
      <c r="B1117" s="15"/>
    </row>
    <row r="1118" spans="2:2" x14ac:dyDescent="0.25">
      <c r="B1118" s="15"/>
    </row>
    <row r="1119" spans="2:2" x14ac:dyDescent="0.25">
      <c r="B1119" s="15"/>
    </row>
    <row r="1120" spans="2:2" x14ac:dyDescent="0.25">
      <c r="B1120" s="15"/>
    </row>
    <row r="1121" spans="2:2" x14ac:dyDescent="0.25">
      <c r="B1121" s="15"/>
    </row>
    <row r="1122" spans="2:2" x14ac:dyDescent="0.25">
      <c r="B1122" s="15"/>
    </row>
    <row r="1123" spans="2:2" x14ac:dyDescent="0.25">
      <c r="B1123" s="15"/>
    </row>
    <row r="1124" spans="2:2" x14ac:dyDescent="0.25">
      <c r="B1124" s="15"/>
    </row>
    <row r="1125" spans="2:2" x14ac:dyDescent="0.25">
      <c r="B1125" s="15"/>
    </row>
    <row r="1126" spans="2:2" x14ac:dyDescent="0.25">
      <c r="B1126" s="15"/>
    </row>
    <row r="1127" spans="2:2" x14ac:dyDescent="0.25">
      <c r="B1127" s="15"/>
    </row>
    <row r="1128" spans="2:2" x14ac:dyDescent="0.25">
      <c r="B1128" s="15"/>
    </row>
    <row r="1129" spans="2:2" x14ac:dyDescent="0.25">
      <c r="B1129" s="15"/>
    </row>
    <row r="1130" spans="2:2" x14ac:dyDescent="0.25">
      <c r="B1130" s="15"/>
    </row>
    <row r="1131" spans="2:2" x14ac:dyDescent="0.25">
      <c r="B1131" s="15"/>
    </row>
    <row r="1132" spans="2:2" x14ac:dyDescent="0.25">
      <c r="B1132" s="15"/>
    </row>
    <row r="1133" spans="2:2" x14ac:dyDescent="0.25">
      <c r="B1133" s="15"/>
    </row>
    <row r="1134" spans="2:2" x14ac:dyDescent="0.25">
      <c r="B1134" s="15"/>
    </row>
    <row r="1135" spans="2:2" x14ac:dyDescent="0.25">
      <c r="B1135" s="15"/>
    </row>
    <row r="1136" spans="2:2" x14ac:dyDescent="0.25">
      <c r="B1136" s="15"/>
    </row>
    <row r="1137" spans="2:2" x14ac:dyDescent="0.25">
      <c r="B1137" s="15"/>
    </row>
    <row r="1138" spans="2:2" x14ac:dyDescent="0.25">
      <c r="B1138" s="15"/>
    </row>
    <row r="1139" spans="2:2" x14ac:dyDescent="0.25">
      <c r="B1139" s="15"/>
    </row>
    <row r="1140" spans="2:2" x14ac:dyDescent="0.25">
      <c r="B1140" s="15"/>
    </row>
    <row r="1141" spans="2:2" x14ac:dyDescent="0.25">
      <c r="B1141" s="15"/>
    </row>
    <row r="1142" spans="2:2" x14ac:dyDescent="0.25">
      <c r="B1142" s="15"/>
    </row>
    <row r="1143" spans="2:2" x14ac:dyDescent="0.25">
      <c r="B1143" s="15"/>
    </row>
    <row r="1144" spans="2:2" x14ac:dyDescent="0.25">
      <c r="B1144" s="15"/>
    </row>
    <row r="1145" spans="2:2" x14ac:dyDescent="0.25">
      <c r="B1145" s="15"/>
    </row>
    <row r="1146" spans="2:2" x14ac:dyDescent="0.25">
      <c r="B1146" s="15"/>
    </row>
    <row r="1147" spans="2:2" x14ac:dyDescent="0.25">
      <c r="B1147" s="15"/>
    </row>
    <row r="1148" spans="2:2" x14ac:dyDescent="0.25">
      <c r="B1148" s="15"/>
    </row>
    <row r="1149" spans="2:2" x14ac:dyDescent="0.25">
      <c r="B1149" s="15"/>
    </row>
    <row r="1150" spans="2:2" x14ac:dyDescent="0.25">
      <c r="B1150" s="15"/>
    </row>
    <row r="1151" spans="2:2" x14ac:dyDescent="0.25">
      <c r="B1151" s="15"/>
    </row>
    <row r="1152" spans="2:2" x14ac:dyDescent="0.25">
      <c r="B1152" s="15"/>
    </row>
    <row r="1153" spans="2:2" x14ac:dyDescent="0.25">
      <c r="B1153" s="15"/>
    </row>
    <row r="1154" spans="2:2" x14ac:dyDescent="0.25">
      <c r="B1154" s="15"/>
    </row>
    <row r="1155" spans="2:2" x14ac:dyDescent="0.25">
      <c r="B1155" s="15"/>
    </row>
    <row r="1156" spans="2:2" x14ac:dyDescent="0.25">
      <c r="B1156" s="15"/>
    </row>
    <row r="1157" spans="2:2" x14ac:dyDescent="0.25">
      <c r="B1157" s="15"/>
    </row>
    <row r="1158" spans="2:2" x14ac:dyDescent="0.25">
      <c r="B1158" s="15"/>
    </row>
    <row r="1159" spans="2:2" x14ac:dyDescent="0.25">
      <c r="B1159" s="15"/>
    </row>
    <row r="1160" spans="2:2" x14ac:dyDescent="0.25">
      <c r="B1160" s="15"/>
    </row>
    <row r="1161" spans="2:2" x14ac:dyDescent="0.25">
      <c r="B1161" s="15"/>
    </row>
    <row r="1162" spans="2:2" x14ac:dyDescent="0.25">
      <c r="B1162" s="15"/>
    </row>
    <row r="1163" spans="2:2" x14ac:dyDescent="0.25">
      <c r="B1163" s="15"/>
    </row>
    <row r="1164" spans="2:2" x14ac:dyDescent="0.25">
      <c r="B1164" s="15"/>
    </row>
    <row r="1165" spans="2:2" x14ac:dyDescent="0.25">
      <c r="B1165" s="15"/>
    </row>
    <row r="1166" spans="2:2" x14ac:dyDescent="0.25">
      <c r="B1166" s="15"/>
    </row>
    <row r="1167" spans="2:2" x14ac:dyDescent="0.25">
      <c r="B1167" s="15"/>
    </row>
    <row r="1168" spans="2:2" x14ac:dyDescent="0.25">
      <c r="B1168" s="15"/>
    </row>
    <row r="1169" spans="2:2" x14ac:dyDescent="0.25">
      <c r="B1169" s="15"/>
    </row>
    <row r="1170" spans="2:2" x14ac:dyDescent="0.25">
      <c r="B1170" s="15"/>
    </row>
    <row r="1171" spans="2:2" x14ac:dyDescent="0.25">
      <c r="B1171" s="15"/>
    </row>
    <row r="1172" spans="2:2" x14ac:dyDescent="0.25">
      <c r="B1172" s="15"/>
    </row>
    <row r="1173" spans="2:2" x14ac:dyDescent="0.25">
      <c r="B1173" s="15"/>
    </row>
    <row r="1174" spans="2:2" x14ac:dyDescent="0.25">
      <c r="B1174" s="15"/>
    </row>
    <row r="1175" spans="2:2" x14ac:dyDescent="0.25">
      <c r="B1175" s="15"/>
    </row>
    <row r="1176" spans="2:2" x14ac:dyDescent="0.25">
      <c r="B1176" s="15"/>
    </row>
    <row r="1177" spans="2:2" x14ac:dyDescent="0.25">
      <c r="B1177" s="15"/>
    </row>
    <row r="1178" spans="2:2" x14ac:dyDescent="0.25">
      <c r="B1178" s="15"/>
    </row>
    <row r="1179" spans="2:2" x14ac:dyDescent="0.25">
      <c r="B1179" s="15"/>
    </row>
    <row r="1180" spans="2:2" x14ac:dyDescent="0.25">
      <c r="B1180" s="15"/>
    </row>
    <row r="1181" spans="2:2" x14ac:dyDescent="0.25">
      <c r="B1181" s="15"/>
    </row>
    <row r="1182" spans="2:2" x14ac:dyDescent="0.25">
      <c r="B1182" s="15"/>
    </row>
    <row r="1183" spans="2:2" x14ac:dyDescent="0.25">
      <c r="B1183" s="15"/>
    </row>
    <row r="1184" spans="2:2" x14ac:dyDescent="0.25">
      <c r="B1184" s="15"/>
    </row>
    <row r="1185" spans="2:2" x14ac:dyDescent="0.25">
      <c r="B1185" s="15"/>
    </row>
    <row r="1186" spans="2:2" x14ac:dyDescent="0.25">
      <c r="B1186" s="15"/>
    </row>
    <row r="1187" spans="2:2" x14ac:dyDescent="0.25">
      <c r="B1187" s="15"/>
    </row>
    <row r="1188" spans="2:2" x14ac:dyDescent="0.25">
      <c r="B1188" s="15"/>
    </row>
    <row r="1189" spans="2:2" x14ac:dyDescent="0.25">
      <c r="B1189" s="15"/>
    </row>
    <row r="1190" spans="2:2" x14ac:dyDescent="0.25">
      <c r="B1190" s="15"/>
    </row>
    <row r="1191" spans="2:2" x14ac:dyDescent="0.25">
      <c r="B1191" s="15"/>
    </row>
    <row r="1192" spans="2:2" x14ac:dyDescent="0.25">
      <c r="B1192" s="15"/>
    </row>
    <row r="1193" spans="2:2" x14ac:dyDescent="0.25">
      <c r="B1193" s="15"/>
    </row>
    <row r="1194" spans="2:2" x14ac:dyDescent="0.25">
      <c r="B1194" s="15"/>
    </row>
    <row r="1195" spans="2:2" x14ac:dyDescent="0.25">
      <c r="B1195" s="15"/>
    </row>
    <row r="1196" spans="2:2" x14ac:dyDescent="0.25">
      <c r="B1196" s="15"/>
    </row>
    <row r="1197" spans="2:2" x14ac:dyDescent="0.25">
      <c r="B1197" s="15"/>
    </row>
    <row r="1198" spans="2:2" x14ac:dyDescent="0.25">
      <c r="B1198" s="15"/>
    </row>
    <row r="1199" spans="2:2" x14ac:dyDescent="0.25">
      <c r="B1199" s="15"/>
    </row>
    <row r="1200" spans="2:2" x14ac:dyDescent="0.25">
      <c r="B1200" s="15"/>
    </row>
    <row r="1201" spans="2:2" x14ac:dyDescent="0.25">
      <c r="B1201" s="15"/>
    </row>
    <row r="1202" spans="2:2" x14ac:dyDescent="0.25">
      <c r="B1202" s="15"/>
    </row>
    <row r="1203" spans="2:2" x14ac:dyDescent="0.25">
      <c r="B1203" s="15"/>
    </row>
    <row r="1204" spans="2:2" x14ac:dyDescent="0.25">
      <c r="B1204" s="15"/>
    </row>
    <row r="1205" spans="2:2" x14ac:dyDescent="0.25">
      <c r="B1205" s="15"/>
    </row>
    <row r="1206" spans="2:2" x14ac:dyDescent="0.25">
      <c r="B1206" s="15"/>
    </row>
    <row r="1207" spans="2:2" x14ac:dyDescent="0.25">
      <c r="B1207" s="15"/>
    </row>
    <row r="1208" spans="2:2" x14ac:dyDescent="0.25">
      <c r="B1208" s="15"/>
    </row>
    <row r="1209" spans="2:2" x14ac:dyDescent="0.25">
      <c r="B1209" s="15"/>
    </row>
    <row r="1210" spans="2:2" x14ac:dyDescent="0.25">
      <c r="B1210" s="15"/>
    </row>
    <row r="1211" spans="2:2" x14ac:dyDescent="0.25">
      <c r="B1211" s="15"/>
    </row>
    <row r="1212" spans="2:2" x14ac:dyDescent="0.25">
      <c r="B1212" s="15"/>
    </row>
    <row r="1213" spans="2:2" x14ac:dyDescent="0.25">
      <c r="B1213" s="15"/>
    </row>
    <row r="1214" spans="2:2" x14ac:dyDescent="0.25">
      <c r="B1214" s="15"/>
    </row>
    <row r="1215" spans="2:2" x14ac:dyDescent="0.25">
      <c r="B1215" s="15"/>
    </row>
    <row r="1216" spans="2:2" x14ac:dyDescent="0.25">
      <c r="B1216" s="15"/>
    </row>
    <row r="1217" spans="2:2" x14ac:dyDescent="0.25">
      <c r="B1217" s="15"/>
    </row>
    <row r="1218" spans="2:2" x14ac:dyDescent="0.25">
      <c r="B1218" s="15"/>
    </row>
    <row r="1219" spans="2:2" x14ac:dyDescent="0.25">
      <c r="B1219" s="15"/>
    </row>
    <row r="1220" spans="2:2" x14ac:dyDescent="0.25">
      <c r="B1220" s="15"/>
    </row>
    <row r="1221" spans="2:2" x14ac:dyDescent="0.25">
      <c r="B1221" s="15"/>
    </row>
    <row r="1222" spans="2:2" x14ac:dyDescent="0.25">
      <c r="B1222" s="15"/>
    </row>
    <row r="1223" spans="2:2" x14ac:dyDescent="0.25">
      <c r="B1223" s="15"/>
    </row>
    <row r="1224" spans="2:2" x14ac:dyDescent="0.25">
      <c r="B1224" s="15"/>
    </row>
    <row r="1225" spans="2:2" x14ac:dyDescent="0.25">
      <c r="B1225" s="15"/>
    </row>
    <row r="1226" spans="2:2" x14ac:dyDescent="0.25">
      <c r="B1226" s="15"/>
    </row>
    <row r="1227" spans="2:2" x14ac:dyDescent="0.25">
      <c r="B1227" s="15"/>
    </row>
    <row r="1228" spans="2:2" x14ac:dyDescent="0.25">
      <c r="B1228" s="15"/>
    </row>
    <row r="1229" spans="2:2" x14ac:dyDescent="0.25">
      <c r="B1229" s="15"/>
    </row>
    <row r="1230" spans="2:2" x14ac:dyDescent="0.25">
      <c r="B1230" s="15"/>
    </row>
    <row r="1231" spans="2:2" x14ac:dyDescent="0.25">
      <c r="B1231" s="15"/>
    </row>
    <row r="1232" spans="2:2" x14ac:dyDescent="0.25">
      <c r="B1232" s="15"/>
    </row>
    <row r="1233" spans="2:2" x14ac:dyDescent="0.25">
      <c r="B1233" s="15"/>
    </row>
    <row r="1234" spans="2:2" x14ac:dyDescent="0.25">
      <c r="B1234" s="15"/>
    </row>
    <row r="1235" spans="2:2" x14ac:dyDescent="0.25">
      <c r="B1235" s="15"/>
    </row>
    <row r="1236" spans="2:2" x14ac:dyDescent="0.25">
      <c r="B1236" s="15"/>
    </row>
    <row r="1237" spans="2:2" x14ac:dyDescent="0.25">
      <c r="B1237" s="15"/>
    </row>
    <row r="1238" spans="2:2" x14ac:dyDescent="0.25">
      <c r="B1238" s="15"/>
    </row>
    <row r="1239" spans="2:2" x14ac:dyDescent="0.25">
      <c r="B1239" s="15"/>
    </row>
    <row r="1240" spans="2:2" x14ac:dyDescent="0.25">
      <c r="B1240" s="15"/>
    </row>
    <row r="1241" spans="2:2" x14ac:dyDescent="0.25">
      <c r="B1241" s="15"/>
    </row>
    <row r="1242" spans="2:2" x14ac:dyDescent="0.25">
      <c r="B1242" s="15"/>
    </row>
    <row r="1243" spans="2:2" x14ac:dyDescent="0.25">
      <c r="B1243" s="15"/>
    </row>
    <row r="1244" spans="2:2" x14ac:dyDescent="0.25">
      <c r="B1244" s="15"/>
    </row>
    <row r="1245" spans="2:2" x14ac:dyDescent="0.25">
      <c r="B1245" s="15"/>
    </row>
    <row r="1246" spans="2:2" x14ac:dyDescent="0.25">
      <c r="B1246" s="15"/>
    </row>
    <row r="1247" spans="2:2" x14ac:dyDescent="0.25">
      <c r="B1247" s="15"/>
    </row>
    <row r="1248" spans="2:2" x14ac:dyDescent="0.25">
      <c r="B1248" s="15"/>
    </row>
    <row r="1249" spans="2:2" x14ac:dyDescent="0.25">
      <c r="B1249" s="15"/>
    </row>
    <row r="1250" spans="2:2" x14ac:dyDescent="0.25">
      <c r="B1250" s="15"/>
    </row>
    <row r="1251" spans="2:2" x14ac:dyDescent="0.25">
      <c r="B1251" s="15"/>
    </row>
    <row r="1252" spans="2:2" x14ac:dyDescent="0.25">
      <c r="B1252" s="15"/>
    </row>
    <row r="1253" spans="2:2" x14ac:dyDescent="0.25">
      <c r="B1253" s="15"/>
    </row>
    <row r="1254" spans="2:2" x14ac:dyDescent="0.25">
      <c r="B1254" s="15"/>
    </row>
    <row r="1255" spans="2:2" x14ac:dyDescent="0.25">
      <c r="B1255" s="15"/>
    </row>
    <row r="1256" spans="2:2" x14ac:dyDescent="0.25">
      <c r="B1256" s="15"/>
    </row>
    <row r="1257" spans="2:2" x14ac:dyDescent="0.25">
      <c r="B1257" s="15"/>
    </row>
    <row r="1258" spans="2:2" x14ac:dyDescent="0.25">
      <c r="B1258" s="15"/>
    </row>
    <row r="1259" spans="2:2" x14ac:dyDescent="0.25">
      <c r="B1259" s="15"/>
    </row>
    <row r="1260" spans="2:2" x14ac:dyDescent="0.25">
      <c r="B1260" s="15"/>
    </row>
    <row r="1261" spans="2:2" x14ac:dyDescent="0.25">
      <c r="B1261" s="15"/>
    </row>
    <row r="1262" spans="2:2" x14ac:dyDescent="0.25">
      <c r="B1262" s="15"/>
    </row>
    <row r="1263" spans="2:2" x14ac:dyDescent="0.25">
      <c r="B1263" s="15"/>
    </row>
    <row r="1264" spans="2:2" x14ac:dyDescent="0.25">
      <c r="B1264" s="15"/>
    </row>
    <row r="1265" spans="2:2" x14ac:dyDescent="0.25">
      <c r="B1265" s="15"/>
    </row>
    <row r="1266" spans="2:2" x14ac:dyDescent="0.25">
      <c r="B1266" s="15"/>
    </row>
    <row r="1267" spans="2:2" x14ac:dyDescent="0.25">
      <c r="B1267" s="15"/>
    </row>
    <row r="1268" spans="2:2" x14ac:dyDescent="0.25">
      <c r="B1268" s="15"/>
    </row>
    <row r="1269" spans="2:2" x14ac:dyDescent="0.25">
      <c r="B1269" s="15"/>
    </row>
    <row r="1270" spans="2:2" x14ac:dyDescent="0.25">
      <c r="B1270" s="15"/>
    </row>
    <row r="1271" spans="2:2" x14ac:dyDescent="0.25">
      <c r="B1271" s="15"/>
    </row>
    <row r="1272" spans="2:2" x14ac:dyDescent="0.25">
      <c r="B1272" s="15"/>
    </row>
    <row r="1273" spans="2:2" x14ac:dyDescent="0.25">
      <c r="B1273" s="15"/>
    </row>
    <row r="1274" spans="2:2" x14ac:dyDescent="0.25">
      <c r="B1274" s="15"/>
    </row>
    <row r="1275" spans="2:2" x14ac:dyDescent="0.25">
      <c r="B1275" s="15"/>
    </row>
    <row r="1276" spans="2:2" x14ac:dyDescent="0.25">
      <c r="B1276" s="15"/>
    </row>
    <row r="1277" spans="2:2" x14ac:dyDescent="0.25">
      <c r="B1277" s="15"/>
    </row>
    <row r="1278" spans="2:2" x14ac:dyDescent="0.25">
      <c r="B1278" s="15"/>
    </row>
    <row r="1279" spans="2:2" x14ac:dyDescent="0.25">
      <c r="B1279" s="15"/>
    </row>
    <row r="1280" spans="2:2" x14ac:dyDescent="0.25">
      <c r="B1280" s="15"/>
    </row>
    <row r="1281" spans="2:2" x14ac:dyDescent="0.25">
      <c r="B1281" s="15"/>
    </row>
    <row r="1282" spans="2:2" x14ac:dyDescent="0.25">
      <c r="B1282" s="15"/>
    </row>
    <row r="1283" spans="2:2" x14ac:dyDescent="0.25">
      <c r="B1283" s="15"/>
    </row>
    <row r="1284" spans="2:2" x14ac:dyDescent="0.25">
      <c r="B1284" s="15"/>
    </row>
    <row r="1285" spans="2:2" x14ac:dyDescent="0.25">
      <c r="B1285" s="15"/>
    </row>
    <row r="1286" spans="2:2" x14ac:dyDescent="0.25">
      <c r="B1286" s="15"/>
    </row>
    <row r="1287" spans="2:2" x14ac:dyDescent="0.25">
      <c r="B1287" s="15"/>
    </row>
    <row r="1288" spans="2:2" x14ac:dyDescent="0.25">
      <c r="B1288" s="15"/>
    </row>
    <row r="1289" spans="2:2" x14ac:dyDescent="0.25">
      <c r="B1289" s="15"/>
    </row>
    <row r="1290" spans="2:2" x14ac:dyDescent="0.25">
      <c r="B1290" s="15"/>
    </row>
    <row r="1291" spans="2:2" x14ac:dyDescent="0.25">
      <c r="B1291" s="15"/>
    </row>
    <row r="1292" spans="2:2" x14ac:dyDescent="0.25">
      <c r="B1292" s="15"/>
    </row>
    <row r="1293" spans="2:2" x14ac:dyDescent="0.25">
      <c r="B1293" s="15"/>
    </row>
    <row r="1294" spans="2:2" x14ac:dyDescent="0.25">
      <c r="B1294" s="15"/>
    </row>
  </sheetData>
  <autoFilter ref="B8:O8" xr:uid="{27BFB164-E147-485A-80E4-E6AECB62BE25}"/>
  <conditionalFormatting sqref="E2">
    <cfRule type="cellIs" dxfId="58" priority="1" operator="equal">
      <formula>"INV"</formula>
    </cfRule>
    <cfRule type="cellIs" dxfId="57" priority="2" operator="equal">
      <formula>"ZERO"</formula>
    </cfRule>
  </conditionalFormatting>
  <dataValidations disablePrompts="1" count="2">
    <dataValidation type="list" allowBlank="1" showInputMessage="1" showErrorMessage="1" sqref="E2" xr:uid="{D4EE74FB-825C-40A3-966C-351F714B9C01}">
      <formula1>"INV,ZERO"</formula1>
    </dataValidation>
    <dataValidation type="list" allowBlank="1" showInputMessage="1" showErrorMessage="1" sqref="E4" xr:uid="{CD23F659-020B-4B7C-997C-E9515C6A18EA}">
      <formula1>",Date Inbound, Available Balance, Expiration date, Location"</formula1>
    </dataValidation>
  </dataValidations>
  <pageMargins left="0.7" right="0.7" top="0.75" bottom="0.75" header="0.3" footer="0.3"/>
  <pageSetup orientation="landscape" horizontalDpi="0" verticalDpi="0" r:id="rId1"/>
  <drawing r:id="rId2"/>
  <legacyDrawing r:id="rId3"/>
  <controls>
    <mc:AlternateContent xmlns:mc="http://schemas.openxmlformats.org/markup-compatibility/2006">
      <mc:Choice Requires="x14">
        <control shapeId="2049" r:id="rId4" name="TextBox1">
          <controlPr defaultSize="0" autoLine="0" linkedCell="A10" r:id="rId5">
            <anchor moveWithCells="1">
              <from>
                <xdr:col>2</xdr:col>
                <xdr:colOff>333375</xdr:colOff>
                <xdr:row>5</xdr:row>
                <xdr:rowOff>28575</xdr:rowOff>
              </from>
              <to>
                <xdr:col>2</xdr:col>
                <xdr:colOff>1933575</xdr:colOff>
                <xdr:row>5</xdr:row>
                <xdr:rowOff>276225</xdr:rowOff>
              </to>
            </anchor>
          </controlPr>
        </control>
      </mc:Choice>
      <mc:Fallback>
        <control shapeId="2049" r:id="rId4" name="TextBox1"/>
      </mc:Fallback>
    </mc:AlternateContent>
    <mc:AlternateContent xmlns:mc="http://schemas.openxmlformats.org/markup-compatibility/2006">
      <mc:Choice Requires="x14">
        <control shapeId="2055" r:id="rId6" name="TextBox2">
          <controlPr defaultSize="0" autoLine="0" autoPict="0" linkedCell="A12" r:id="rId7">
            <anchor moveWithCells="1">
              <from>
                <xdr:col>2</xdr:col>
                <xdr:colOff>314325</xdr:colOff>
                <xdr:row>1</xdr:row>
                <xdr:rowOff>38100</xdr:rowOff>
              </from>
              <to>
                <xdr:col>2</xdr:col>
                <xdr:colOff>1943100</xdr:colOff>
                <xdr:row>1</xdr:row>
                <xdr:rowOff>276225</xdr:rowOff>
              </to>
            </anchor>
          </controlPr>
        </control>
      </mc:Choice>
      <mc:Fallback>
        <control shapeId="2055" r:id="rId6" name="TextBox2"/>
      </mc:Fallback>
    </mc:AlternateContent>
    <mc:AlternateContent xmlns:mc="http://schemas.openxmlformats.org/markup-compatibility/2006">
      <mc:Choice Requires="x14">
        <control shapeId="2056" r:id="rId8" name="TextBox3">
          <controlPr defaultSize="0" autoLine="0" autoPict="0" linkedCell="A14" r:id="rId9">
            <anchor moveWithCells="1">
              <from>
                <xdr:col>2</xdr:col>
                <xdr:colOff>314325</xdr:colOff>
                <xdr:row>3</xdr:row>
                <xdr:rowOff>38100</xdr:rowOff>
              </from>
              <to>
                <xdr:col>2</xdr:col>
                <xdr:colOff>1914525</xdr:colOff>
                <xdr:row>3</xdr:row>
                <xdr:rowOff>276225</xdr:rowOff>
              </to>
            </anchor>
          </controlPr>
        </control>
      </mc:Choice>
      <mc:Fallback>
        <control shapeId="2056" r:id="rId8" name="TextBox3"/>
      </mc:Fallback>
    </mc:AlternateContent>
  </control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90FD4C-462A-457C-B21B-340BE497365A}">
  <sheetPr codeName="Sheet3">
    <tabColor rgb="FFC00000"/>
  </sheetPr>
  <dimension ref="A1:Q1480"/>
  <sheetViews>
    <sheetView showGridLines="0" topLeftCell="B1" zoomScale="115" zoomScaleNormal="115" workbookViewId="0">
      <pane ySplit="3" topLeftCell="A88" activePane="bottomLeft" state="frozen"/>
      <selection activeCell="B1" sqref="B1"/>
      <selection pane="bottomLeft" activeCell="C107" sqref="C107"/>
    </sheetView>
  </sheetViews>
  <sheetFormatPr defaultColWidth="9.140625" defaultRowHeight="15" x14ac:dyDescent="0.25"/>
  <cols>
    <col min="1" max="1" width="16.7109375" style="74" hidden="1" customWidth="1"/>
    <col min="2" max="2" width="17.85546875" style="74" customWidth="1"/>
    <col min="3" max="3" width="14" style="74" customWidth="1"/>
    <col min="4" max="4" width="20" style="74" customWidth="1"/>
    <col min="5" max="5" width="17.85546875" style="74" bestFit="1" customWidth="1"/>
    <col min="6" max="6" width="9.5703125" bestFit="1" customWidth="1"/>
    <col min="7" max="7" width="14.28515625" style="74" bestFit="1" customWidth="1"/>
    <col min="8" max="8" width="9.140625" style="75" customWidth="1"/>
    <col min="10" max="10" width="14" style="74" customWidth="1"/>
    <col min="11" max="11" width="10.7109375" style="74" customWidth="1"/>
    <col min="12" max="12" width="14.28515625" style="74" customWidth="1"/>
    <col min="13" max="13" width="11.5703125" style="74" customWidth="1"/>
    <col min="14" max="14" width="15.28515625" style="74" bestFit="1" customWidth="1"/>
    <col min="15" max="15" width="46.42578125" bestFit="1" customWidth="1"/>
    <col min="16" max="16" width="11.7109375" style="74" bestFit="1" customWidth="1"/>
    <col min="17" max="17" width="29" style="74" bestFit="1" customWidth="1"/>
    <col min="18" max="18" width="24.7109375" style="74" customWidth="1"/>
    <col min="19" max="19" width="33.140625" style="74" customWidth="1"/>
    <col min="20" max="20" width="28.7109375" style="74" bestFit="1" customWidth="1"/>
    <col min="21" max="16384" width="9.140625" style="74"/>
  </cols>
  <sheetData>
    <row r="1" spans="2:17" ht="34.5" customHeight="1" thickBot="1" x14ac:dyDescent="0.45">
      <c r="B1" s="90" t="s">
        <v>34</v>
      </c>
      <c r="C1" s="89"/>
      <c r="D1" s="89"/>
      <c r="E1" s="76"/>
      <c r="F1" s="76"/>
      <c r="G1" s="76"/>
      <c r="H1" s="76"/>
      <c r="I1" s="76"/>
      <c r="J1" s="76"/>
      <c r="K1" s="76"/>
      <c r="L1" s="76"/>
      <c r="M1" s="76"/>
      <c r="N1" s="76"/>
      <c r="O1" s="76"/>
      <c r="P1" s="76"/>
      <c r="Q1" s="76"/>
    </row>
    <row r="2" spans="2:17" ht="23.25" customHeight="1" thickTop="1" x14ac:dyDescent="0.25">
      <c r="B2" s="69"/>
      <c r="C2" s="69"/>
      <c r="D2" s="69"/>
      <c r="E2" s="69"/>
      <c r="F2" s="91">
        <f>SUBTOTAL(9,QTY_OUT)</f>
        <v>4582</v>
      </c>
      <c r="G2" s="91">
        <f>SUBTOTAL(9,KILOS_OUT)</f>
        <v>35281.184000000001</v>
      </c>
      <c r="H2" s="92">
        <f>SUBTOTAL(9,PALLET_OUT)</f>
        <v>106</v>
      </c>
      <c r="I2" s="93"/>
      <c r="J2" s="93"/>
      <c r="K2" s="93"/>
      <c r="L2" s="93"/>
      <c r="M2" s="70"/>
      <c r="N2" s="70"/>
      <c r="O2" s="70"/>
      <c r="P2" s="70"/>
      <c r="Q2" s="70"/>
    </row>
    <row r="3" spans="2:17" s="77" customFormat="1" ht="43.5" customHeight="1" x14ac:dyDescent="0.25">
      <c r="B3" s="105" t="s">
        <v>70</v>
      </c>
      <c r="C3" s="106" t="s">
        <v>61</v>
      </c>
      <c r="D3" s="106" t="s">
        <v>35</v>
      </c>
      <c r="E3" s="106" t="s">
        <v>59</v>
      </c>
      <c r="F3" s="107" t="s">
        <v>36</v>
      </c>
      <c r="G3" s="108" t="s">
        <v>58</v>
      </c>
      <c r="H3" s="107" t="s">
        <v>37</v>
      </c>
      <c r="I3" s="106" t="s">
        <v>38</v>
      </c>
      <c r="J3" s="106" t="s">
        <v>39</v>
      </c>
      <c r="K3" s="106" t="s">
        <v>0</v>
      </c>
      <c r="L3" s="106" t="s">
        <v>40</v>
      </c>
      <c r="M3" s="106" t="s">
        <v>117</v>
      </c>
      <c r="N3" s="104" t="s">
        <v>72</v>
      </c>
      <c r="O3" s="104" t="s">
        <v>68</v>
      </c>
      <c r="P3" s="104" t="s">
        <v>75</v>
      </c>
      <c r="Q3" s="104" t="s">
        <v>69</v>
      </c>
    </row>
    <row r="4" spans="2:17" x14ac:dyDescent="0.25">
      <c r="B4" s="71">
        <v>45912</v>
      </c>
      <c r="C4" s="65">
        <v>124175</v>
      </c>
      <c r="D4" s="55" t="s">
        <v>156</v>
      </c>
      <c r="E4" s="65" t="s">
        <v>152</v>
      </c>
      <c r="F4" s="166">
        <v>70</v>
      </c>
      <c r="G4" s="167">
        <v>262.08000000000004</v>
      </c>
      <c r="H4" s="166">
        <v>1</v>
      </c>
      <c r="I4" s="72">
        <v>87920</v>
      </c>
      <c r="J4" s="55" t="s">
        <v>140</v>
      </c>
      <c r="K4" s="72">
        <v>73339</v>
      </c>
      <c r="L4" s="55" t="s">
        <v>135</v>
      </c>
      <c r="M4" s="55"/>
      <c r="N4" s="73" t="str">
        <f>IF(ISBLANK(C4),"",_xlfn.IFNA(INDEX(inbound_data[],MATCH(Outbound_data[[#This Row],[STOCK CODE OUT]],Generated_Stockcode,0),10),""))</f>
        <v>DUO-00001A/6332</v>
      </c>
      <c r="O4" s="73" t="str">
        <f>IF(ISBLANK(C4),"",_xlfn.IFNA(INDEX(inbound_data[],MATCH(Outbound_data[[#This Row],[STOCK CODE OUT]],Generated_Stockcode,0),12),""))</f>
        <v>MINIS ASADO 6'S X12 (APRUB)</v>
      </c>
      <c r="P4" s="73" t="str">
        <f>IF(ISBLANK(C4),"",_xlfn.IFNA(INDEX(inbound_data[],MATCH(Outbound_data[[#This Row],[STOCK CODE OUT]],Generated_Stockcode,0),23),""))</f>
        <v>BXS</v>
      </c>
      <c r="Q4" s="73" t="str">
        <f>IF(ISBLANK(C4),"",_xlfn.IFNA(INDEX(inbound_data[],MATCH(Outbound_data[[#This Row],[STOCK CODE OUT]],Generated_Stockcode,0),13),""))</f>
        <v>LOCAL TRANSFER</v>
      </c>
    </row>
    <row r="5" spans="2:17" x14ac:dyDescent="0.25">
      <c r="B5" s="71">
        <v>45912</v>
      </c>
      <c r="C5" s="65">
        <v>124175</v>
      </c>
      <c r="D5" s="55" t="s">
        <v>156</v>
      </c>
      <c r="E5" s="65" t="s">
        <v>153</v>
      </c>
      <c r="F5" s="166">
        <v>70</v>
      </c>
      <c r="G5" s="167">
        <v>262.08000000000004</v>
      </c>
      <c r="H5" s="166">
        <v>1</v>
      </c>
      <c r="I5" s="72">
        <v>87920</v>
      </c>
      <c r="J5" s="55" t="s">
        <v>140</v>
      </c>
      <c r="K5" s="72">
        <v>73339</v>
      </c>
      <c r="L5" s="55" t="s">
        <v>135</v>
      </c>
      <c r="M5" s="55"/>
      <c r="N5" s="73" t="str">
        <f>IF(ISBLANK(C5),"",_xlfn.IFNA(INDEX(inbound_data[],MATCH(Outbound_data[[#This Row],[STOCK CODE OUT]],Generated_Stockcode,0),10),""))</f>
        <v>DUO-00002A/1543</v>
      </c>
      <c r="O5" s="73" t="str">
        <f>IF(ISBLANK(C5),"",_xlfn.IFNA(INDEX(inbound_data[],MATCH(Outbound_data[[#This Row],[STOCK CODE OUT]],Generated_Stockcode,0),12),""))</f>
        <v>MINIS ASADO 6'S X12 (APRUB)</v>
      </c>
      <c r="P5" s="73" t="str">
        <f>IF(ISBLANK(C5),"",_xlfn.IFNA(INDEX(inbound_data[],MATCH(Outbound_data[[#This Row],[STOCK CODE OUT]],Generated_Stockcode,0),23),""))</f>
        <v>BXS</v>
      </c>
      <c r="Q5" s="73" t="str">
        <f>IF(ISBLANK(C5),"",_xlfn.IFNA(INDEX(inbound_data[],MATCH(Outbound_data[[#This Row],[STOCK CODE OUT]],Generated_Stockcode,0),13),""))</f>
        <v>LOCAL TRANSFER</v>
      </c>
    </row>
    <row r="6" spans="2:17" x14ac:dyDescent="0.25">
      <c r="B6" s="71">
        <v>45912</v>
      </c>
      <c r="C6" s="65">
        <v>124175</v>
      </c>
      <c r="D6" s="55" t="s">
        <v>156</v>
      </c>
      <c r="E6" s="65" t="s">
        <v>154</v>
      </c>
      <c r="F6" s="166">
        <v>70</v>
      </c>
      <c r="G6" s="167">
        <v>262.08000000000004</v>
      </c>
      <c r="H6" s="166">
        <v>1</v>
      </c>
      <c r="I6" s="72">
        <v>87920</v>
      </c>
      <c r="J6" s="55" t="s">
        <v>140</v>
      </c>
      <c r="K6" s="72">
        <v>73339</v>
      </c>
      <c r="L6" s="55" t="s">
        <v>135</v>
      </c>
      <c r="M6" s="55"/>
      <c r="N6" s="73" t="str">
        <f>IF(ISBLANK(C6),"",_xlfn.IFNA(INDEX(inbound_data[],MATCH(Outbound_data[[#This Row],[STOCK CODE OUT]],Generated_Stockcode,0),10),""))</f>
        <v>DUO-00003A/5007</v>
      </c>
      <c r="O6" s="73" t="str">
        <f>IF(ISBLANK(C6),"",_xlfn.IFNA(INDEX(inbound_data[],MATCH(Outbound_data[[#This Row],[STOCK CODE OUT]],Generated_Stockcode,0),12),""))</f>
        <v>MINIS ASADO 6'S X12 (APRUB)</v>
      </c>
      <c r="P6" s="73" t="str">
        <f>IF(ISBLANK(C6),"",_xlfn.IFNA(INDEX(inbound_data[],MATCH(Outbound_data[[#This Row],[STOCK CODE OUT]],Generated_Stockcode,0),23),""))</f>
        <v>BXS</v>
      </c>
      <c r="Q6" s="73" t="str">
        <f>IF(ISBLANK(C6),"",_xlfn.IFNA(INDEX(inbound_data[],MATCH(Outbound_data[[#This Row],[STOCK CODE OUT]],Generated_Stockcode,0),13),""))</f>
        <v>LOCAL TRANSFER</v>
      </c>
    </row>
    <row r="7" spans="2:17" x14ac:dyDescent="0.25">
      <c r="B7" s="71">
        <v>45912</v>
      </c>
      <c r="C7" s="65">
        <v>124175</v>
      </c>
      <c r="D7" s="55" t="s">
        <v>156</v>
      </c>
      <c r="E7" s="65" t="s">
        <v>155</v>
      </c>
      <c r="F7" s="166">
        <v>41</v>
      </c>
      <c r="G7" s="167">
        <v>153.50400000000002</v>
      </c>
      <c r="H7" s="166">
        <v>1</v>
      </c>
      <c r="I7" s="72">
        <v>87920</v>
      </c>
      <c r="J7" s="55" t="s">
        <v>140</v>
      </c>
      <c r="K7" s="72">
        <v>73339</v>
      </c>
      <c r="L7" s="55" t="s">
        <v>135</v>
      </c>
      <c r="M7" s="55"/>
      <c r="N7" s="73" t="str">
        <f>IF(ISBLANK(C7),"",_xlfn.IFNA(INDEX(inbound_data[],MATCH(Outbound_data[[#This Row],[STOCK CODE OUT]],Generated_Stockcode,0),10),""))</f>
        <v>DUO-00010A/40921</v>
      </c>
      <c r="O7" s="73" t="str">
        <f>IF(ISBLANK(C7),"",_xlfn.IFNA(INDEX(inbound_data[],MATCH(Outbound_data[[#This Row],[STOCK CODE OUT]],Generated_Stockcode,0),12),""))</f>
        <v>MINIS ASADO 6'S X12 (APRUB)</v>
      </c>
      <c r="P7" s="73" t="str">
        <f>IF(ISBLANK(C7),"",_xlfn.IFNA(INDEX(inbound_data[],MATCH(Outbound_data[[#This Row],[STOCK CODE OUT]],Generated_Stockcode,0),23),""))</f>
        <v>BXS</v>
      </c>
      <c r="Q7" s="73" t="str">
        <f>IF(ISBLANK(C7),"",_xlfn.IFNA(INDEX(inbound_data[],MATCH(Outbound_data[[#This Row],[STOCK CODE OUT]],Generated_Stockcode,0),13),""))</f>
        <v>LOCAL TRANSFER</v>
      </c>
    </row>
    <row r="8" spans="2:17" x14ac:dyDescent="0.25">
      <c r="B8" s="71">
        <v>45913</v>
      </c>
      <c r="C8" s="65">
        <v>126076</v>
      </c>
      <c r="D8" s="55" t="s">
        <v>163</v>
      </c>
      <c r="E8" s="65" t="s">
        <v>159</v>
      </c>
      <c r="F8" s="166">
        <v>70</v>
      </c>
      <c r="G8" s="167">
        <v>262.08000000000004</v>
      </c>
      <c r="H8" s="166">
        <v>1</v>
      </c>
      <c r="I8" s="72">
        <v>91909</v>
      </c>
      <c r="J8" s="55" t="s">
        <v>140</v>
      </c>
      <c r="K8" s="72">
        <v>74571</v>
      </c>
      <c r="L8" s="55" t="s">
        <v>164</v>
      </c>
      <c r="M8" s="55"/>
      <c r="N8" s="73" t="str">
        <f>IF(ISBLANK(C8),"",_xlfn.IFNA(INDEX(inbound_data[],MATCH(Outbound_data[[#This Row],[STOCK CODE OUT]],Generated_Stockcode,0),10),""))</f>
        <v>DUO-00005A/41828</v>
      </c>
      <c r="O8" s="73" t="str">
        <f>IF(ISBLANK(C8),"",_xlfn.IFNA(INDEX(inbound_data[],MATCH(Outbound_data[[#This Row],[STOCK CODE OUT]],Generated_Stockcode,0),12),""))</f>
        <v>MINIS ASADO 6'S X12 (APRUB)</v>
      </c>
      <c r="P8" s="73" t="str">
        <f>IF(ISBLANK(C8),"",_xlfn.IFNA(INDEX(inbound_data[],MATCH(Outbound_data[[#This Row],[STOCK CODE OUT]],Generated_Stockcode,0),23),""))</f>
        <v>BXS</v>
      </c>
      <c r="Q8" s="73" t="str">
        <f>IF(ISBLANK(C8),"",_xlfn.IFNA(INDEX(inbound_data[],MATCH(Outbound_data[[#This Row],[STOCK CODE OUT]],Generated_Stockcode,0),13),""))</f>
        <v>LOCAL TRANSFER</v>
      </c>
    </row>
    <row r="9" spans="2:17" x14ac:dyDescent="0.25">
      <c r="B9" s="71">
        <v>45913</v>
      </c>
      <c r="C9" s="65">
        <v>126076</v>
      </c>
      <c r="D9" s="55" t="s">
        <v>163</v>
      </c>
      <c r="E9" s="65" t="s">
        <v>160</v>
      </c>
      <c r="F9" s="166">
        <v>70</v>
      </c>
      <c r="G9" s="167">
        <v>262.08000000000004</v>
      </c>
      <c r="H9" s="166">
        <v>1</v>
      </c>
      <c r="I9" s="72">
        <v>91909</v>
      </c>
      <c r="J9" s="55" t="s">
        <v>140</v>
      </c>
      <c r="K9" s="72">
        <v>74571</v>
      </c>
      <c r="L9" s="55" t="s">
        <v>164</v>
      </c>
      <c r="M9" s="55"/>
      <c r="N9" s="73" t="str">
        <f>IF(ISBLANK(C9),"",_xlfn.IFNA(INDEX(inbound_data[],MATCH(Outbound_data[[#This Row],[STOCK CODE OUT]],Generated_Stockcode,0),10),""))</f>
        <v>DUO-00004A/NP</v>
      </c>
      <c r="O9" s="73" t="str">
        <f>IF(ISBLANK(C9),"",_xlfn.IFNA(INDEX(inbound_data[],MATCH(Outbound_data[[#This Row],[STOCK CODE OUT]],Generated_Stockcode,0),12),""))</f>
        <v>MINIS ASADO 6'S X12 (APRUB)</v>
      </c>
      <c r="P9" s="73" t="str">
        <f>IF(ISBLANK(C9),"",_xlfn.IFNA(INDEX(inbound_data[],MATCH(Outbound_data[[#This Row],[STOCK CODE OUT]],Generated_Stockcode,0),23),""))</f>
        <v>BXS</v>
      </c>
      <c r="Q9" s="73" t="str">
        <f>IF(ISBLANK(C9),"",_xlfn.IFNA(INDEX(inbound_data[],MATCH(Outbound_data[[#This Row],[STOCK CODE OUT]],Generated_Stockcode,0),13),""))</f>
        <v>LOCAL TRANSFER</v>
      </c>
    </row>
    <row r="10" spans="2:17" x14ac:dyDescent="0.25">
      <c r="B10" s="71">
        <v>45913</v>
      </c>
      <c r="C10" s="65">
        <v>126076</v>
      </c>
      <c r="D10" s="55" t="s">
        <v>163</v>
      </c>
      <c r="E10" s="65" t="s">
        <v>161</v>
      </c>
      <c r="F10" s="166">
        <v>70</v>
      </c>
      <c r="G10" s="167">
        <v>262.08000000000004</v>
      </c>
      <c r="H10" s="166">
        <v>1</v>
      </c>
      <c r="I10" s="72">
        <v>91909</v>
      </c>
      <c r="J10" s="55" t="s">
        <v>140</v>
      </c>
      <c r="K10" s="72">
        <v>74571</v>
      </c>
      <c r="L10" s="55" t="s">
        <v>164</v>
      </c>
      <c r="M10" s="55"/>
      <c r="N10" s="73" t="str">
        <f>IF(ISBLANK(C10),"",_xlfn.IFNA(INDEX(inbound_data[],MATCH(Outbound_data[[#This Row],[STOCK CODE OUT]],Generated_Stockcode,0),10),""))</f>
        <v>DUO-00009A/40341</v>
      </c>
      <c r="O10" s="73" t="str">
        <f>IF(ISBLANK(C10),"",_xlfn.IFNA(INDEX(inbound_data[],MATCH(Outbound_data[[#This Row],[STOCK CODE OUT]],Generated_Stockcode,0),12),""))</f>
        <v>MINIS ASADO 6'S X12 (APRUB)</v>
      </c>
      <c r="P10" s="73" t="str">
        <f>IF(ISBLANK(C10),"",_xlfn.IFNA(INDEX(inbound_data[],MATCH(Outbound_data[[#This Row],[STOCK CODE OUT]],Generated_Stockcode,0),23),""))</f>
        <v>BXS</v>
      </c>
      <c r="Q10" s="73" t="str">
        <f>IF(ISBLANK(C10),"",_xlfn.IFNA(INDEX(inbound_data[],MATCH(Outbound_data[[#This Row],[STOCK CODE OUT]],Generated_Stockcode,0),13),""))</f>
        <v>LOCAL TRANSFER</v>
      </c>
    </row>
    <row r="11" spans="2:17" x14ac:dyDescent="0.25">
      <c r="B11" s="71">
        <v>45913</v>
      </c>
      <c r="C11" s="65">
        <v>126076</v>
      </c>
      <c r="D11" s="55" t="s">
        <v>163</v>
      </c>
      <c r="E11" s="65" t="s">
        <v>162</v>
      </c>
      <c r="F11" s="166">
        <v>70</v>
      </c>
      <c r="G11" s="167">
        <v>262.08000000000004</v>
      </c>
      <c r="H11" s="166">
        <v>1</v>
      </c>
      <c r="I11" s="72">
        <v>91909</v>
      </c>
      <c r="J11" s="55" t="s">
        <v>140</v>
      </c>
      <c r="K11" s="72">
        <v>74571</v>
      </c>
      <c r="L11" s="55" t="s">
        <v>164</v>
      </c>
      <c r="M11" s="55"/>
      <c r="N11" s="73" t="str">
        <f>IF(ISBLANK(C11),"",_xlfn.IFNA(INDEX(inbound_data[],MATCH(Outbound_data[[#This Row],[STOCK CODE OUT]],Generated_Stockcode,0),10),""))</f>
        <v>DUO-00007A/10645</v>
      </c>
      <c r="O11" s="73" t="str">
        <f>IF(ISBLANK(C11),"",_xlfn.IFNA(INDEX(inbound_data[],MATCH(Outbound_data[[#This Row],[STOCK CODE OUT]],Generated_Stockcode,0),12),""))</f>
        <v>MINIS ASADO 6'S X12 (APRUB)</v>
      </c>
      <c r="P11" s="73" t="str">
        <f>IF(ISBLANK(C11),"",_xlfn.IFNA(INDEX(inbound_data[],MATCH(Outbound_data[[#This Row],[STOCK CODE OUT]],Generated_Stockcode,0),23),""))</f>
        <v>BXS</v>
      </c>
      <c r="Q11" s="73" t="str">
        <f>IF(ISBLANK(C11),"",_xlfn.IFNA(INDEX(inbound_data[],MATCH(Outbound_data[[#This Row],[STOCK CODE OUT]],Generated_Stockcode,0),13),""))</f>
        <v>LOCAL TRANSFER</v>
      </c>
    </row>
    <row r="12" spans="2:17" x14ac:dyDescent="0.25">
      <c r="B12" s="71">
        <v>45918</v>
      </c>
      <c r="C12" s="65">
        <v>126677</v>
      </c>
      <c r="D12" s="55" t="s">
        <v>180</v>
      </c>
      <c r="E12" s="65" t="s">
        <v>174</v>
      </c>
      <c r="F12" s="166">
        <v>70</v>
      </c>
      <c r="G12" s="167">
        <v>262.08000000000004</v>
      </c>
      <c r="H12" s="166">
        <v>1</v>
      </c>
      <c r="I12" s="72">
        <v>92053</v>
      </c>
      <c r="J12" s="55" t="s">
        <v>173</v>
      </c>
      <c r="K12" s="72">
        <v>75186</v>
      </c>
      <c r="L12" s="55" t="s">
        <v>135</v>
      </c>
      <c r="M12" s="55"/>
      <c r="N12" s="73" t="str">
        <f>IF(ISBLANK(C12),"",_xlfn.IFNA(INDEX(inbound_data[],MATCH(Outbound_data[[#This Row],[STOCK CODE OUT]],Generated_Stockcode,0),10),""))</f>
        <v>DUO-00006A/1427</v>
      </c>
      <c r="O12" s="73" t="str">
        <f>IF(ISBLANK(C12),"",_xlfn.IFNA(INDEX(inbound_data[],MATCH(Outbound_data[[#This Row],[STOCK CODE OUT]],Generated_Stockcode,0),12),""))</f>
        <v>MINIS ASADO 6'S X12 (APRUB)</v>
      </c>
      <c r="P12" s="73" t="str">
        <f>IF(ISBLANK(C12),"",_xlfn.IFNA(INDEX(inbound_data[],MATCH(Outbound_data[[#This Row],[STOCK CODE OUT]],Generated_Stockcode,0),23),""))</f>
        <v>BXS</v>
      </c>
      <c r="Q12" s="73" t="str">
        <f>IF(ISBLANK(C12),"",_xlfn.IFNA(INDEX(inbound_data[],MATCH(Outbound_data[[#This Row],[STOCK CODE OUT]],Generated_Stockcode,0),13),""))</f>
        <v>LOCAL TRANSFER</v>
      </c>
    </row>
    <row r="13" spans="2:17" x14ac:dyDescent="0.25">
      <c r="B13" s="71">
        <v>45918</v>
      </c>
      <c r="C13" s="65">
        <v>126677</v>
      </c>
      <c r="D13" s="55" t="s">
        <v>180</v>
      </c>
      <c r="E13" s="65" t="s">
        <v>175</v>
      </c>
      <c r="F13" s="166">
        <v>70</v>
      </c>
      <c r="G13" s="167">
        <v>262.08000000000004</v>
      </c>
      <c r="H13" s="166">
        <v>1</v>
      </c>
      <c r="I13" s="72">
        <v>92053</v>
      </c>
      <c r="J13" s="55" t="s">
        <v>173</v>
      </c>
      <c r="K13" s="72">
        <v>75186</v>
      </c>
      <c r="L13" s="55" t="s">
        <v>135</v>
      </c>
      <c r="M13" s="55"/>
      <c r="N13" s="73" t="str">
        <f>IF(ISBLANK(C13),"",_xlfn.IFNA(INDEX(inbound_data[],MATCH(Outbound_data[[#This Row],[STOCK CODE OUT]],Generated_Stockcode,0),10),""))</f>
        <v>DUO-00008A/4496</v>
      </c>
      <c r="O13" s="73" t="str">
        <f>IF(ISBLANK(C13),"",_xlfn.IFNA(INDEX(inbound_data[],MATCH(Outbound_data[[#This Row],[STOCK CODE OUT]],Generated_Stockcode,0),12),""))</f>
        <v>MINIS ASADO 6'S X12 (APRUB)</v>
      </c>
      <c r="P13" s="73" t="str">
        <f>IF(ISBLANK(C13),"",_xlfn.IFNA(INDEX(inbound_data[],MATCH(Outbound_data[[#This Row],[STOCK CODE OUT]],Generated_Stockcode,0),23),""))</f>
        <v>BXS</v>
      </c>
      <c r="Q13" s="73" t="str">
        <f>IF(ISBLANK(C13),"",_xlfn.IFNA(INDEX(inbound_data[],MATCH(Outbound_data[[#This Row],[STOCK CODE OUT]],Generated_Stockcode,0),13),""))</f>
        <v>LOCAL TRANSFER</v>
      </c>
    </row>
    <row r="14" spans="2:17" x14ac:dyDescent="0.25">
      <c r="B14" s="71">
        <v>45918</v>
      </c>
      <c r="C14" s="65">
        <v>126677</v>
      </c>
      <c r="D14" s="55" t="s">
        <v>180</v>
      </c>
      <c r="E14" s="65" t="s">
        <v>176</v>
      </c>
      <c r="F14" s="166">
        <v>70</v>
      </c>
      <c r="G14" s="167">
        <v>262.08000000000004</v>
      </c>
      <c r="H14" s="166">
        <v>1</v>
      </c>
      <c r="I14" s="72">
        <v>92053</v>
      </c>
      <c r="J14" s="55" t="s">
        <v>173</v>
      </c>
      <c r="K14" s="72">
        <v>75186</v>
      </c>
      <c r="L14" s="55" t="s">
        <v>135</v>
      </c>
      <c r="M14" s="55"/>
      <c r="N14" s="73" t="str">
        <f>IF(ISBLANK(C14),"",_xlfn.IFNA(INDEX(inbound_data[],MATCH(Outbound_data[[#This Row],[STOCK CODE OUT]],Generated_Stockcode,0),10),""))</f>
        <v>DUO-00011A/4844</v>
      </c>
      <c r="O14" s="73" t="str">
        <f>IF(ISBLANK(C14),"",_xlfn.IFNA(INDEX(inbound_data[],MATCH(Outbound_data[[#This Row],[STOCK CODE OUT]],Generated_Stockcode,0),12),""))</f>
        <v>MINIS ASADO 6'S X12 (APRUB)</v>
      </c>
      <c r="P14" s="73" t="str">
        <f>IF(ISBLANK(C14),"",_xlfn.IFNA(INDEX(inbound_data[],MATCH(Outbound_data[[#This Row],[STOCK CODE OUT]],Generated_Stockcode,0),23),""))</f>
        <v>BXS</v>
      </c>
      <c r="Q14" s="73" t="str">
        <f>IF(ISBLANK(C14),"",_xlfn.IFNA(INDEX(inbound_data[],MATCH(Outbound_data[[#This Row],[STOCK CODE OUT]],Generated_Stockcode,0),13),""))</f>
        <v>LOCAL TRANSFER</v>
      </c>
    </row>
    <row r="15" spans="2:17" x14ac:dyDescent="0.25">
      <c r="B15" s="71">
        <v>45918</v>
      </c>
      <c r="C15" s="65">
        <v>126677</v>
      </c>
      <c r="D15" s="55" t="s">
        <v>180</v>
      </c>
      <c r="E15" s="65" t="s">
        <v>177</v>
      </c>
      <c r="F15" s="166">
        <v>70</v>
      </c>
      <c r="G15" s="167">
        <v>262.08000000000004</v>
      </c>
      <c r="H15" s="166">
        <v>1</v>
      </c>
      <c r="I15" s="72">
        <v>92053</v>
      </c>
      <c r="J15" s="55" t="s">
        <v>173</v>
      </c>
      <c r="K15" s="72">
        <v>75186</v>
      </c>
      <c r="L15" s="55" t="s">
        <v>135</v>
      </c>
      <c r="M15" s="55"/>
      <c r="N15" s="73" t="str">
        <f>IF(ISBLANK(C15),"",_xlfn.IFNA(INDEX(inbound_data[],MATCH(Outbound_data[[#This Row],[STOCK CODE OUT]],Generated_Stockcode,0),10),""))</f>
        <v>DUO-00012A/1694</v>
      </c>
      <c r="O15" s="73" t="str">
        <f>IF(ISBLANK(C15),"",_xlfn.IFNA(INDEX(inbound_data[],MATCH(Outbound_data[[#This Row],[STOCK CODE OUT]],Generated_Stockcode,0),12),""))</f>
        <v>MINIS ASADO 6'S X12 (APRUB)</v>
      </c>
      <c r="P15" s="73" t="str">
        <f>IF(ISBLANK(C15),"",_xlfn.IFNA(INDEX(inbound_data[],MATCH(Outbound_data[[#This Row],[STOCK CODE OUT]],Generated_Stockcode,0),23),""))</f>
        <v>BXS</v>
      </c>
      <c r="Q15" s="73" t="str">
        <f>IF(ISBLANK(C15),"",_xlfn.IFNA(INDEX(inbound_data[],MATCH(Outbound_data[[#This Row],[STOCK CODE OUT]],Generated_Stockcode,0),13),""))</f>
        <v>LOCAL TRANSFER</v>
      </c>
    </row>
    <row r="16" spans="2:17" x14ac:dyDescent="0.25">
      <c r="B16" s="71">
        <v>45918</v>
      </c>
      <c r="C16" s="65">
        <v>126677</v>
      </c>
      <c r="D16" s="55" t="s">
        <v>180</v>
      </c>
      <c r="E16" s="65" t="s">
        <v>178</v>
      </c>
      <c r="F16" s="166">
        <v>70</v>
      </c>
      <c r="G16" s="167">
        <v>262.08000000000004</v>
      </c>
      <c r="H16" s="166">
        <v>1</v>
      </c>
      <c r="I16" s="72">
        <v>92053</v>
      </c>
      <c r="J16" s="55" t="s">
        <v>173</v>
      </c>
      <c r="K16" s="72">
        <v>75186</v>
      </c>
      <c r="L16" s="55" t="s">
        <v>135</v>
      </c>
      <c r="M16" s="55"/>
      <c r="N16" s="73" t="str">
        <f>IF(ISBLANK(C16),"",_xlfn.IFNA(INDEX(inbound_data[],MATCH(Outbound_data[[#This Row],[STOCK CODE OUT]],Generated_Stockcode,0),10),""))</f>
        <v>DUO-00013A/3800</v>
      </c>
      <c r="O16" s="73" t="str">
        <f>IF(ISBLANK(C16),"",_xlfn.IFNA(INDEX(inbound_data[],MATCH(Outbound_data[[#This Row],[STOCK CODE OUT]],Generated_Stockcode,0),12),""))</f>
        <v>MINIS ASADO 6'S X12 (APRUB)</v>
      </c>
      <c r="P16" s="73" t="str">
        <f>IF(ISBLANK(C16),"",_xlfn.IFNA(INDEX(inbound_data[],MATCH(Outbound_data[[#This Row],[STOCK CODE OUT]],Generated_Stockcode,0),23),""))</f>
        <v>BXS</v>
      </c>
      <c r="Q16" s="73" t="str">
        <f>IF(ISBLANK(C16),"",_xlfn.IFNA(INDEX(inbound_data[],MATCH(Outbound_data[[#This Row],[STOCK CODE OUT]],Generated_Stockcode,0),13),""))</f>
        <v>LOCAL TRANSFER</v>
      </c>
    </row>
    <row r="17" spans="1:17" x14ac:dyDescent="0.25">
      <c r="B17" s="71">
        <v>45918</v>
      </c>
      <c r="C17" s="65">
        <v>126677</v>
      </c>
      <c r="D17" s="55" t="s">
        <v>180</v>
      </c>
      <c r="E17" s="65" t="s">
        <v>179</v>
      </c>
      <c r="F17" s="166">
        <v>70</v>
      </c>
      <c r="G17" s="167">
        <v>262.08000000000004</v>
      </c>
      <c r="H17" s="166">
        <v>1</v>
      </c>
      <c r="I17" s="72">
        <v>92053</v>
      </c>
      <c r="J17" s="55" t="s">
        <v>173</v>
      </c>
      <c r="K17" s="72">
        <v>75186</v>
      </c>
      <c r="L17" s="55" t="s">
        <v>135</v>
      </c>
      <c r="M17" s="55"/>
      <c r="N17" s="73" t="str">
        <f>IF(ISBLANK(C17),"",_xlfn.IFNA(INDEX(inbound_data[],MATCH(Outbound_data[[#This Row],[STOCK CODE OUT]],Generated_Stockcode,0),10),""))</f>
        <v>DUO-00014A/8543</v>
      </c>
      <c r="O17" s="73" t="str">
        <f>IF(ISBLANK(C17),"",_xlfn.IFNA(INDEX(inbound_data[],MATCH(Outbound_data[[#This Row],[STOCK CODE OUT]],Generated_Stockcode,0),12),""))</f>
        <v>MINIS ASADO 6'S X12 (APRUB)</v>
      </c>
      <c r="P17" s="73" t="str">
        <f>IF(ISBLANK(C17),"",_xlfn.IFNA(INDEX(inbound_data[],MATCH(Outbound_data[[#This Row],[STOCK CODE OUT]],Generated_Stockcode,0),23),""))</f>
        <v>BXS</v>
      </c>
      <c r="Q17" s="73" t="str">
        <f>IF(ISBLANK(C17),"",_xlfn.IFNA(INDEX(inbound_data[],MATCH(Outbound_data[[#This Row],[STOCK CODE OUT]],Generated_Stockcode,0),13),""))</f>
        <v>LOCAL TRANSFER</v>
      </c>
    </row>
    <row r="18" spans="1:17" x14ac:dyDescent="0.25">
      <c r="B18" s="71">
        <v>45920</v>
      </c>
      <c r="C18" s="65">
        <v>126714</v>
      </c>
      <c r="D18" s="55" t="s">
        <v>186</v>
      </c>
      <c r="E18" s="65" t="s">
        <v>181</v>
      </c>
      <c r="F18" s="166">
        <v>30</v>
      </c>
      <c r="G18" s="167">
        <v>312</v>
      </c>
      <c r="H18" s="166">
        <v>1</v>
      </c>
      <c r="I18" s="72">
        <v>92131</v>
      </c>
      <c r="J18" s="55" t="s">
        <v>173</v>
      </c>
      <c r="K18" s="72">
        <v>75718</v>
      </c>
      <c r="L18" s="55" t="s">
        <v>164</v>
      </c>
      <c r="M18" s="55"/>
      <c r="N18" s="73" t="str">
        <f>IF(ISBLANK(C18),"",_xlfn.IFNA(INDEX(inbound_data[],MATCH(Outbound_data[[#This Row],[STOCK CODE OUT]],Generated_Stockcode,0),10),""))</f>
        <v>DUO-00015A/10610</v>
      </c>
      <c r="O18" s="73" t="str">
        <f>IF(ISBLANK(C18),"",_xlfn.IFNA(INDEX(inbound_data[],MATCH(Outbound_data[[#This Row],[STOCK CODE OUT]],Generated_Stockcode,0),12),""))</f>
        <v>PORK ASADO SIOPAO 1.3 KG (CHIBAO)</v>
      </c>
      <c r="P18" s="73" t="str">
        <f>IF(ISBLANK(C18),"",_xlfn.IFNA(INDEX(inbound_data[],MATCH(Outbound_data[[#This Row],[STOCK CODE OUT]],Generated_Stockcode,0),23),""))</f>
        <v>BXS</v>
      </c>
      <c r="Q18" s="73" t="str">
        <f>IF(ISBLANK(C18),"",_xlfn.IFNA(INDEX(inbound_data[],MATCH(Outbound_data[[#This Row],[STOCK CODE OUT]],Generated_Stockcode,0),13),""))</f>
        <v>LOCAL TRANSFER</v>
      </c>
    </row>
    <row r="19" spans="1:17" x14ac:dyDescent="0.25">
      <c r="B19" s="71">
        <v>45920</v>
      </c>
      <c r="C19" s="65">
        <v>126714</v>
      </c>
      <c r="D19" s="55" t="s">
        <v>186</v>
      </c>
      <c r="E19" s="65" t="s">
        <v>182</v>
      </c>
      <c r="F19" s="166">
        <v>30</v>
      </c>
      <c r="G19" s="167">
        <v>312</v>
      </c>
      <c r="H19" s="166">
        <v>1</v>
      </c>
      <c r="I19" s="72">
        <v>92131</v>
      </c>
      <c r="J19" s="55" t="s">
        <v>173</v>
      </c>
      <c r="K19" s="72">
        <v>75718</v>
      </c>
      <c r="L19" s="55" t="s">
        <v>164</v>
      </c>
      <c r="M19" s="55"/>
      <c r="N19" s="73" t="str">
        <f>IF(ISBLANK(C19),"",_xlfn.IFNA(INDEX(inbound_data[],MATCH(Outbound_data[[#This Row],[STOCK CODE OUT]],Generated_Stockcode,0),10),""))</f>
        <v>DUO-00016A/3999</v>
      </c>
      <c r="O19" s="73" t="str">
        <f>IF(ISBLANK(C19),"",_xlfn.IFNA(INDEX(inbound_data[],MATCH(Outbound_data[[#This Row],[STOCK CODE OUT]],Generated_Stockcode,0),12),""))</f>
        <v>PORK ASADO SIOPAO 1.3 KG (CHIBAO)</v>
      </c>
      <c r="P19" s="73" t="str">
        <f>IF(ISBLANK(C19),"",_xlfn.IFNA(INDEX(inbound_data[],MATCH(Outbound_data[[#This Row],[STOCK CODE OUT]],Generated_Stockcode,0),23),""))</f>
        <v>BXS</v>
      </c>
      <c r="Q19" s="73" t="str">
        <f>IF(ISBLANK(C19),"",_xlfn.IFNA(INDEX(inbound_data[],MATCH(Outbound_data[[#This Row],[STOCK CODE OUT]],Generated_Stockcode,0),13),""))</f>
        <v>LOCAL TRANSFER</v>
      </c>
    </row>
    <row r="20" spans="1:17" x14ac:dyDescent="0.25">
      <c r="B20" s="71">
        <v>45920</v>
      </c>
      <c r="C20" s="65">
        <v>126714</v>
      </c>
      <c r="D20" s="55" t="s">
        <v>186</v>
      </c>
      <c r="E20" s="65" t="s">
        <v>183</v>
      </c>
      <c r="F20" s="166">
        <v>30</v>
      </c>
      <c r="G20" s="167">
        <v>312</v>
      </c>
      <c r="H20" s="166">
        <v>1</v>
      </c>
      <c r="I20" s="72">
        <v>92131</v>
      </c>
      <c r="J20" s="55" t="s">
        <v>173</v>
      </c>
      <c r="K20" s="72">
        <v>75718</v>
      </c>
      <c r="L20" s="55" t="s">
        <v>164</v>
      </c>
      <c r="M20" s="55"/>
      <c r="N20" s="73" t="str">
        <f>IF(ISBLANK(C20),"",_xlfn.IFNA(INDEX(inbound_data[],MATCH(Outbound_data[[#This Row],[STOCK CODE OUT]],Generated_Stockcode,0),10),""))</f>
        <v>DUO-00017A/8847</v>
      </c>
      <c r="O20" s="73" t="str">
        <f>IF(ISBLANK(C20),"",_xlfn.IFNA(INDEX(inbound_data[],MATCH(Outbound_data[[#This Row],[STOCK CODE OUT]],Generated_Stockcode,0),12),""))</f>
        <v>PORK ASADO SIOPAO 1.3 KG (CHIBAO)</v>
      </c>
      <c r="P20" s="73" t="str">
        <f>IF(ISBLANK(C20),"",_xlfn.IFNA(INDEX(inbound_data[],MATCH(Outbound_data[[#This Row],[STOCK CODE OUT]],Generated_Stockcode,0),23),""))</f>
        <v>BXS</v>
      </c>
      <c r="Q20" s="73" t="str">
        <f>IF(ISBLANK(C20),"",_xlfn.IFNA(INDEX(inbound_data[],MATCH(Outbound_data[[#This Row],[STOCK CODE OUT]],Generated_Stockcode,0),13),""))</f>
        <v>LOCAL TRANSFER</v>
      </c>
    </row>
    <row r="21" spans="1:17" x14ac:dyDescent="0.25">
      <c r="B21" s="71">
        <v>45920</v>
      </c>
      <c r="C21" s="65">
        <v>126714</v>
      </c>
      <c r="D21" s="55" t="s">
        <v>186</v>
      </c>
      <c r="E21" s="65" t="s">
        <v>184</v>
      </c>
      <c r="F21" s="166">
        <v>30</v>
      </c>
      <c r="G21" s="167">
        <v>312</v>
      </c>
      <c r="H21" s="166">
        <v>1</v>
      </c>
      <c r="I21" s="72">
        <v>92131</v>
      </c>
      <c r="J21" s="55" t="s">
        <v>173</v>
      </c>
      <c r="K21" s="72">
        <v>75718</v>
      </c>
      <c r="L21" s="55" t="s">
        <v>164</v>
      </c>
      <c r="M21" s="55"/>
      <c r="N21" s="73" t="str">
        <f>IF(ISBLANK(C21),"",_xlfn.IFNA(INDEX(inbound_data[],MATCH(Outbound_data[[#This Row],[STOCK CODE OUT]],Generated_Stockcode,0),10),""))</f>
        <v>DUO-00018A/4764</v>
      </c>
      <c r="O21" s="73" t="str">
        <f>IF(ISBLANK(C21),"",_xlfn.IFNA(INDEX(inbound_data[],MATCH(Outbound_data[[#This Row],[STOCK CODE OUT]],Generated_Stockcode,0),12),""))</f>
        <v>PORK ASADO SIOPAO 1.3 KG (CHIBAO)</v>
      </c>
      <c r="P21" s="73" t="str">
        <f>IF(ISBLANK(C21),"",_xlfn.IFNA(INDEX(inbound_data[],MATCH(Outbound_data[[#This Row],[STOCK CODE OUT]],Generated_Stockcode,0),23),""))</f>
        <v>BXS</v>
      </c>
      <c r="Q21" s="73" t="str">
        <f>IF(ISBLANK(C21),"",_xlfn.IFNA(INDEX(inbound_data[],MATCH(Outbound_data[[#This Row],[STOCK CODE OUT]],Generated_Stockcode,0),13),""))</f>
        <v>LOCAL TRANSFER</v>
      </c>
    </row>
    <row r="22" spans="1:17" x14ac:dyDescent="0.25">
      <c r="A22"/>
      <c r="B22" s="71">
        <v>45920</v>
      </c>
      <c r="C22" s="65">
        <v>126714</v>
      </c>
      <c r="D22" s="55" t="s">
        <v>186</v>
      </c>
      <c r="E22" s="65" t="s">
        <v>185</v>
      </c>
      <c r="F22" s="166">
        <v>30</v>
      </c>
      <c r="G22" s="167">
        <v>312</v>
      </c>
      <c r="H22" s="166">
        <v>1</v>
      </c>
      <c r="I22" s="72">
        <v>92131</v>
      </c>
      <c r="J22" s="55" t="s">
        <v>173</v>
      </c>
      <c r="K22" s="72">
        <v>75718</v>
      </c>
      <c r="L22" s="55" t="s">
        <v>164</v>
      </c>
      <c r="M22" s="55"/>
      <c r="N22" s="73" t="str">
        <f>IF(ISBLANK(C22),"",_xlfn.IFNA(INDEX(inbound_data[],MATCH(Outbound_data[[#This Row],[STOCK CODE OUT]],Generated_Stockcode,0),10),""))</f>
        <v>DUO-00019A/6105</v>
      </c>
      <c r="O22" s="73" t="str">
        <f>IF(ISBLANK(C22),"",_xlfn.IFNA(INDEX(inbound_data[],MATCH(Outbound_data[[#This Row],[STOCK CODE OUT]],Generated_Stockcode,0),12),""))</f>
        <v>PORK ASADO SIOPAO 1.3 KG (CHIBAO)</v>
      </c>
      <c r="P22" s="73" t="str">
        <f>IF(ISBLANK(C22),"",_xlfn.IFNA(INDEX(inbound_data[],MATCH(Outbound_data[[#This Row],[STOCK CODE OUT]],Generated_Stockcode,0),23),""))</f>
        <v>BXS</v>
      </c>
      <c r="Q22" s="73" t="str">
        <f>IF(ISBLANK(C22),"",_xlfn.IFNA(INDEX(inbound_data[],MATCH(Outbound_data[[#This Row],[STOCK CODE OUT]],Generated_Stockcode,0),13),""))</f>
        <v>LOCAL TRANSFER</v>
      </c>
    </row>
    <row r="23" spans="1:17" x14ac:dyDescent="0.25">
      <c r="B23" s="71">
        <v>45924</v>
      </c>
      <c r="C23" s="65">
        <v>127031</v>
      </c>
      <c r="D23" s="55" t="s">
        <v>189</v>
      </c>
      <c r="E23" s="65" t="s">
        <v>187</v>
      </c>
      <c r="F23" s="166">
        <v>30</v>
      </c>
      <c r="G23" s="167">
        <v>312</v>
      </c>
      <c r="H23" s="166">
        <v>1</v>
      </c>
      <c r="I23" s="72">
        <v>92864</v>
      </c>
      <c r="J23" s="55" t="s">
        <v>173</v>
      </c>
      <c r="K23" s="72">
        <v>76570</v>
      </c>
      <c r="L23" s="55" t="s">
        <v>135</v>
      </c>
      <c r="M23" s="55"/>
      <c r="N23" s="73" t="str">
        <f>IF(ISBLANK(C23),"",_xlfn.IFNA(INDEX(inbound_data[],MATCH(Outbound_data[[#This Row],[STOCK CODE OUT]],Generated_Stockcode,0),10),""))</f>
        <v>DUO-00020A/41554</v>
      </c>
      <c r="O23" s="73" t="str">
        <f>IF(ISBLANK(C23),"",_xlfn.IFNA(INDEX(inbound_data[],MATCH(Outbound_data[[#This Row],[STOCK CODE OUT]],Generated_Stockcode,0),12),""))</f>
        <v>PORK ASADO SIOPAO 1.3 KG (CHIBAO)</v>
      </c>
      <c r="P23" s="73" t="str">
        <f>IF(ISBLANK(C23),"",_xlfn.IFNA(INDEX(inbound_data[],MATCH(Outbound_data[[#This Row],[STOCK CODE OUT]],Generated_Stockcode,0),23),""))</f>
        <v>BXS</v>
      </c>
      <c r="Q23" s="73" t="str">
        <f>IF(ISBLANK(C23),"",_xlfn.IFNA(INDEX(inbound_data[],MATCH(Outbound_data[[#This Row],[STOCK CODE OUT]],Generated_Stockcode,0),13),""))</f>
        <v>LOCAL TRANSFER</v>
      </c>
    </row>
    <row r="24" spans="1:17" x14ac:dyDescent="0.25">
      <c r="B24" s="71">
        <v>45924</v>
      </c>
      <c r="C24" s="65">
        <v>127031</v>
      </c>
      <c r="D24" s="55" t="s">
        <v>189</v>
      </c>
      <c r="E24" s="65" t="s">
        <v>188</v>
      </c>
      <c r="F24" s="166">
        <v>30</v>
      </c>
      <c r="G24" s="167">
        <v>312</v>
      </c>
      <c r="H24" s="166">
        <v>1</v>
      </c>
      <c r="I24" s="72">
        <v>92864</v>
      </c>
      <c r="J24" s="55" t="s">
        <v>173</v>
      </c>
      <c r="K24" s="72">
        <v>76570</v>
      </c>
      <c r="L24" s="55" t="s">
        <v>135</v>
      </c>
      <c r="M24" s="55"/>
      <c r="N24" s="73" t="str">
        <f>IF(ISBLANK(C24),"",_xlfn.IFNA(INDEX(inbound_data[],MATCH(Outbound_data[[#This Row],[STOCK CODE OUT]],Generated_Stockcode,0),10),""))</f>
        <v>DUO-00021A/3080</v>
      </c>
      <c r="O24" s="73" t="str">
        <f>IF(ISBLANK(C24),"",_xlfn.IFNA(INDEX(inbound_data[],MATCH(Outbound_data[[#This Row],[STOCK CODE OUT]],Generated_Stockcode,0),12),""))</f>
        <v>PORK ASADO SIOPAO 1.3 KG (CHIBAO)</v>
      </c>
      <c r="P24" s="73" t="str">
        <f>IF(ISBLANK(C24),"",_xlfn.IFNA(INDEX(inbound_data[],MATCH(Outbound_data[[#This Row],[STOCK CODE OUT]],Generated_Stockcode,0),23),""))</f>
        <v>BXS</v>
      </c>
      <c r="Q24" s="73" t="str">
        <f>IF(ISBLANK(C24),"",_xlfn.IFNA(INDEX(inbound_data[],MATCH(Outbound_data[[#This Row],[STOCK CODE OUT]],Generated_Stockcode,0),13),""))</f>
        <v>LOCAL TRANSFER</v>
      </c>
    </row>
    <row r="25" spans="1:17" x14ac:dyDescent="0.25">
      <c r="B25" s="71">
        <v>45945</v>
      </c>
      <c r="C25" s="65">
        <v>129499</v>
      </c>
      <c r="D25" s="55" t="s">
        <v>189</v>
      </c>
      <c r="E25" s="65" t="s">
        <v>211</v>
      </c>
      <c r="F25" s="166">
        <v>30</v>
      </c>
      <c r="G25" s="167">
        <v>312</v>
      </c>
      <c r="H25" s="166">
        <v>1</v>
      </c>
      <c r="I25" s="72">
        <v>90068</v>
      </c>
      <c r="J25" s="55" t="s">
        <v>202</v>
      </c>
      <c r="K25" s="72">
        <v>78698</v>
      </c>
      <c r="L25" s="55" t="s">
        <v>164</v>
      </c>
      <c r="M25" s="55"/>
      <c r="N25" s="73" t="str">
        <f>IF(ISBLANK(C25),"",_xlfn.IFNA(INDEX(inbound_data[],MATCH(Outbound_data[[#This Row],[STOCK CODE OUT]],Generated_Stockcode,0),10),""))</f>
        <v>DUO-00024A/10033</v>
      </c>
      <c r="O25" s="73" t="str">
        <f>IF(ISBLANK(C25),"",_xlfn.IFNA(INDEX(inbound_data[],MATCH(Outbound_data[[#This Row],[STOCK CODE OUT]],Generated_Stockcode,0),12),""))</f>
        <v>ASADO SIOPAO 10'S (1.3 KG) (CHIBAO)</v>
      </c>
      <c r="P25" s="73" t="str">
        <f>IF(ISBLANK(C25),"",_xlfn.IFNA(INDEX(inbound_data[],MATCH(Outbound_data[[#This Row],[STOCK CODE OUT]],Generated_Stockcode,0),23),""))</f>
        <v>BXS</v>
      </c>
      <c r="Q25" s="73" t="str">
        <f>IF(ISBLANK(C25),"",_xlfn.IFNA(INDEX(inbound_data[],MATCH(Outbound_data[[#This Row],[STOCK CODE OUT]],Generated_Stockcode,0),13),""))</f>
        <v>LOCAL TRANSFER</v>
      </c>
    </row>
    <row r="26" spans="1:17" x14ac:dyDescent="0.25">
      <c r="B26" s="71">
        <v>45945</v>
      </c>
      <c r="C26" s="65">
        <v>129499</v>
      </c>
      <c r="D26" s="55" t="s">
        <v>189</v>
      </c>
      <c r="E26" s="65" t="s">
        <v>212</v>
      </c>
      <c r="F26" s="166">
        <v>30</v>
      </c>
      <c r="G26" s="167">
        <v>312</v>
      </c>
      <c r="H26" s="166">
        <v>1</v>
      </c>
      <c r="I26" s="72">
        <v>90068</v>
      </c>
      <c r="J26" s="55" t="s">
        <v>202</v>
      </c>
      <c r="K26" s="72">
        <v>78698</v>
      </c>
      <c r="L26" s="55" t="s">
        <v>164</v>
      </c>
      <c r="M26" s="55"/>
      <c r="N26" s="73" t="str">
        <f>IF(ISBLANK(C26),"",_xlfn.IFNA(INDEX(inbound_data[],MATCH(Outbound_data[[#This Row],[STOCK CODE OUT]],Generated_Stockcode,0),10),""))</f>
        <v>DUO-00025A/946</v>
      </c>
      <c r="O26" s="73" t="str">
        <f>IF(ISBLANK(C26),"",_xlfn.IFNA(INDEX(inbound_data[],MATCH(Outbound_data[[#This Row],[STOCK CODE OUT]],Generated_Stockcode,0),12),""))</f>
        <v>ASADO SIOPAO 10'S (1.3 KG) (CHIBAO)</v>
      </c>
      <c r="P26" s="73" t="str">
        <f>IF(ISBLANK(C26),"",_xlfn.IFNA(INDEX(inbound_data[],MATCH(Outbound_data[[#This Row],[STOCK CODE OUT]],Generated_Stockcode,0),23),""))</f>
        <v>BXS</v>
      </c>
      <c r="Q26" s="73" t="str">
        <f>IF(ISBLANK(C26),"",_xlfn.IFNA(INDEX(inbound_data[],MATCH(Outbound_data[[#This Row],[STOCK CODE OUT]],Generated_Stockcode,0),13),""))</f>
        <v>LOCAL TRANSFER</v>
      </c>
    </row>
    <row r="27" spans="1:17" x14ac:dyDescent="0.25">
      <c r="B27" s="71">
        <v>45945</v>
      </c>
      <c r="C27" s="65">
        <v>129499</v>
      </c>
      <c r="D27" s="55" t="s">
        <v>189</v>
      </c>
      <c r="E27" s="65" t="s">
        <v>213</v>
      </c>
      <c r="F27" s="166">
        <v>30</v>
      </c>
      <c r="G27" s="167">
        <v>312</v>
      </c>
      <c r="H27" s="166">
        <v>1</v>
      </c>
      <c r="I27" s="72">
        <v>90068</v>
      </c>
      <c r="J27" s="55" t="s">
        <v>202</v>
      </c>
      <c r="K27" s="72">
        <v>78698</v>
      </c>
      <c r="L27" s="55" t="s">
        <v>164</v>
      </c>
      <c r="M27" s="55"/>
      <c r="N27" s="73" t="str">
        <f>IF(ISBLANK(C27),"",_xlfn.IFNA(INDEX(inbound_data[],MATCH(Outbound_data[[#This Row],[STOCK CODE OUT]],Generated_Stockcode,0),10),""))</f>
        <v>DUO-00026A/7017</v>
      </c>
      <c r="O27" s="73" t="str">
        <f>IF(ISBLANK(C27),"",_xlfn.IFNA(INDEX(inbound_data[],MATCH(Outbound_data[[#This Row],[STOCK CODE OUT]],Generated_Stockcode,0),12),""))</f>
        <v>ASADO SIOPAO 10'S (1.3 KG) (CHIBAO)</v>
      </c>
      <c r="P27" s="73" t="str">
        <f>IF(ISBLANK(C27),"",_xlfn.IFNA(INDEX(inbound_data[],MATCH(Outbound_data[[#This Row],[STOCK CODE OUT]],Generated_Stockcode,0),23),""))</f>
        <v>BXS</v>
      </c>
      <c r="Q27" s="73" t="str">
        <f>IF(ISBLANK(C27),"",_xlfn.IFNA(INDEX(inbound_data[],MATCH(Outbound_data[[#This Row],[STOCK CODE OUT]],Generated_Stockcode,0),13),""))</f>
        <v>LOCAL TRANSFER</v>
      </c>
    </row>
    <row r="28" spans="1:17" x14ac:dyDescent="0.25">
      <c r="B28" s="71">
        <v>45945</v>
      </c>
      <c r="C28" s="65">
        <v>129499</v>
      </c>
      <c r="D28" s="55" t="s">
        <v>189</v>
      </c>
      <c r="E28" s="65" t="s">
        <v>214</v>
      </c>
      <c r="F28" s="166">
        <v>50</v>
      </c>
      <c r="G28" s="167">
        <v>600</v>
      </c>
      <c r="H28" s="166">
        <v>1</v>
      </c>
      <c r="I28" s="72">
        <v>90068</v>
      </c>
      <c r="J28" s="55" t="s">
        <v>202</v>
      </c>
      <c r="K28" s="72">
        <v>78698</v>
      </c>
      <c r="L28" s="55" t="s">
        <v>164</v>
      </c>
      <c r="M28" s="55"/>
      <c r="N28" s="73" t="str">
        <f>IF(ISBLANK(C28),"",_xlfn.IFNA(INDEX(inbound_data[],MATCH(Outbound_data[[#This Row],[STOCK CODE OUT]],Generated_Stockcode,0),10),""))</f>
        <v>DUO-00022A/NP</v>
      </c>
      <c r="O28" s="73" t="str">
        <f>IF(ISBLANK(C28),"",_xlfn.IFNA(INDEX(inbound_data[],MATCH(Outbound_data[[#This Row],[STOCK CODE OUT]],Generated_Stockcode,0),12),""))</f>
        <v>ASADO SIOPAO 30'S (500G) (CHIBAO)</v>
      </c>
      <c r="P28" s="73" t="str">
        <f>IF(ISBLANK(C28),"",_xlfn.IFNA(INDEX(inbound_data[],MATCH(Outbound_data[[#This Row],[STOCK CODE OUT]],Generated_Stockcode,0),23),""))</f>
        <v>BXS</v>
      </c>
      <c r="Q28" s="73" t="str">
        <f>IF(ISBLANK(C28),"",_xlfn.IFNA(INDEX(inbound_data[],MATCH(Outbound_data[[#This Row],[STOCK CODE OUT]],Generated_Stockcode,0),13),""))</f>
        <v>LOCAL TRANSFER</v>
      </c>
    </row>
    <row r="29" spans="1:17" x14ac:dyDescent="0.25">
      <c r="B29" s="71">
        <v>45945</v>
      </c>
      <c r="C29" s="65">
        <v>129499</v>
      </c>
      <c r="D29" s="55" t="s">
        <v>189</v>
      </c>
      <c r="E29" s="65" t="s">
        <v>215</v>
      </c>
      <c r="F29" s="166">
        <v>37</v>
      </c>
      <c r="G29" s="167">
        <v>444</v>
      </c>
      <c r="H29" s="166">
        <v>1</v>
      </c>
      <c r="I29" s="72">
        <v>90068</v>
      </c>
      <c r="J29" s="55" t="s">
        <v>202</v>
      </c>
      <c r="K29" s="72">
        <v>78698</v>
      </c>
      <c r="L29" s="55" t="s">
        <v>164</v>
      </c>
      <c r="M29" s="55"/>
      <c r="N29" s="73" t="str">
        <f>IF(ISBLANK(C29),"",_xlfn.IFNA(INDEX(inbound_data[],MATCH(Outbound_data[[#This Row],[STOCK CODE OUT]],Generated_Stockcode,0),10),""))</f>
        <v>DUO-00023A/1639</v>
      </c>
      <c r="O29" s="73" t="str">
        <f>IF(ISBLANK(C29),"",_xlfn.IFNA(INDEX(inbound_data[],MATCH(Outbound_data[[#This Row],[STOCK CODE OUT]],Generated_Stockcode,0),12),""))</f>
        <v>ASADO SIOPAO 30'S (500G) (CHIBAO)</v>
      </c>
      <c r="P29" s="73" t="str">
        <f>IF(ISBLANK(C29),"",_xlfn.IFNA(INDEX(inbound_data[],MATCH(Outbound_data[[#This Row],[STOCK CODE OUT]],Generated_Stockcode,0),23),""))</f>
        <v>BXS</v>
      </c>
      <c r="Q29" s="73" t="str">
        <f>IF(ISBLANK(C29),"",_xlfn.IFNA(INDEX(inbound_data[],MATCH(Outbound_data[[#This Row],[STOCK CODE OUT]],Generated_Stockcode,0),13),""))</f>
        <v>LOCAL TRANSFER</v>
      </c>
    </row>
    <row r="30" spans="1:17" x14ac:dyDescent="0.25">
      <c r="B30" s="71">
        <v>45946</v>
      </c>
      <c r="C30" s="65">
        <v>129565</v>
      </c>
      <c r="D30" s="55" t="s">
        <v>226</v>
      </c>
      <c r="E30" s="65" t="s">
        <v>221</v>
      </c>
      <c r="F30" s="166">
        <v>30</v>
      </c>
      <c r="G30" s="167">
        <v>312</v>
      </c>
      <c r="H30" s="166">
        <v>1</v>
      </c>
      <c r="I30" s="72">
        <v>90261</v>
      </c>
      <c r="J30" s="55" t="s">
        <v>140</v>
      </c>
      <c r="K30" s="72">
        <v>78716</v>
      </c>
      <c r="L30" s="55" t="s">
        <v>135</v>
      </c>
      <c r="M30" s="55"/>
      <c r="N30" s="73" t="str">
        <f>IF(ISBLANK(C30),"",_xlfn.IFNA(INDEX(inbound_data[],MATCH(Outbound_data[[#This Row],[STOCK CODE OUT]],Generated_Stockcode,0),10),""))</f>
        <v>DUO-00027A/6269</v>
      </c>
      <c r="O30" s="73" t="str">
        <f>IF(ISBLANK(C30),"",_xlfn.IFNA(INDEX(inbound_data[],MATCH(Outbound_data[[#This Row],[STOCK CODE OUT]],Generated_Stockcode,0),12),""))</f>
        <v>ASADO SIOPAO 10'S (1.3 KG) (CHIBAO)</v>
      </c>
      <c r="P30" s="73" t="str">
        <f>IF(ISBLANK(C30),"",_xlfn.IFNA(INDEX(inbound_data[],MATCH(Outbound_data[[#This Row],[STOCK CODE OUT]],Generated_Stockcode,0),23),""))</f>
        <v>BXS</v>
      </c>
      <c r="Q30" s="73" t="str">
        <f>IF(ISBLANK(C30),"",_xlfn.IFNA(INDEX(inbound_data[],MATCH(Outbound_data[[#This Row],[STOCK CODE OUT]],Generated_Stockcode,0),13),""))</f>
        <v>LOCAL TRANSFER</v>
      </c>
    </row>
    <row r="31" spans="1:17" x14ac:dyDescent="0.25">
      <c r="B31" s="71">
        <v>45946</v>
      </c>
      <c r="C31" s="65">
        <v>129565</v>
      </c>
      <c r="D31" s="55" t="s">
        <v>226</v>
      </c>
      <c r="E31" s="65" t="s">
        <v>222</v>
      </c>
      <c r="F31" s="166">
        <v>30</v>
      </c>
      <c r="G31" s="167">
        <v>312</v>
      </c>
      <c r="H31" s="166">
        <v>1</v>
      </c>
      <c r="I31" s="72">
        <v>90261</v>
      </c>
      <c r="J31" s="55" t="s">
        <v>140</v>
      </c>
      <c r="K31" s="72">
        <v>78716</v>
      </c>
      <c r="L31" s="55" t="s">
        <v>135</v>
      </c>
      <c r="M31" s="55"/>
      <c r="N31" s="73" t="str">
        <f>IF(ISBLANK(C31),"",_xlfn.IFNA(INDEX(inbound_data[],MATCH(Outbound_data[[#This Row],[STOCK CODE OUT]],Generated_Stockcode,0),10),""))</f>
        <v>DUO-00028A/478</v>
      </c>
      <c r="O31" s="73" t="str">
        <f>IF(ISBLANK(C31),"",_xlfn.IFNA(INDEX(inbound_data[],MATCH(Outbound_data[[#This Row],[STOCK CODE OUT]],Generated_Stockcode,0),12),""))</f>
        <v>ASADO SIOPAO 10'S (1.3 KG) (CHIBAO)</v>
      </c>
      <c r="P31" s="73" t="str">
        <f>IF(ISBLANK(C31),"",_xlfn.IFNA(INDEX(inbound_data[],MATCH(Outbound_data[[#This Row],[STOCK CODE OUT]],Generated_Stockcode,0),23),""))</f>
        <v>BXS</v>
      </c>
      <c r="Q31" s="73" t="str">
        <f>IF(ISBLANK(C31),"",_xlfn.IFNA(INDEX(inbound_data[],MATCH(Outbound_data[[#This Row],[STOCK CODE OUT]],Generated_Stockcode,0),13),""))</f>
        <v>LOCAL TRANSFER</v>
      </c>
    </row>
    <row r="32" spans="1:17" x14ac:dyDescent="0.25">
      <c r="B32" s="71">
        <v>45946</v>
      </c>
      <c r="C32" s="65">
        <v>129565</v>
      </c>
      <c r="D32" s="55" t="s">
        <v>226</v>
      </c>
      <c r="E32" s="65" t="s">
        <v>223</v>
      </c>
      <c r="F32" s="166">
        <v>30</v>
      </c>
      <c r="G32" s="167">
        <v>312</v>
      </c>
      <c r="H32" s="166">
        <v>1</v>
      </c>
      <c r="I32" s="72">
        <v>90261</v>
      </c>
      <c r="J32" s="55" t="s">
        <v>140</v>
      </c>
      <c r="K32" s="72">
        <v>78716</v>
      </c>
      <c r="L32" s="55" t="s">
        <v>135</v>
      </c>
      <c r="M32" s="55"/>
      <c r="N32" s="73" t="str">
        <f>IF(ISBLANK(C32),"",_xlfn.IFNA(INDEX(inbound_data[],MATCH(Outbound_data[[#This Row],[STOCK CODE OUT]],Generated_Stockcode,0),10),""))</f>
        <v>DUO-00029A/1620</v>
      </c>
      <c r="O32" s="73" t="str">
        <f>IF(ISBLANK(C32),"",_xlfn.IFNA(INDEX(inbound_data[],MATCH(Outbound_data[[#This Row],[STOCK CODE OUT]],Generated_Stockcode,0),12),""))</f>
        <v>ASADO SIOPAO 10'S (1.3 KG) (CHIBAO)</v>
      </c>
      <c r="P32" s="73" t="str">
        <f>IF(ISBLANK(C32),"",_xlfn.IFNA(INDEX(inbound_data[],MATCH(Outbound_data[[#This Row],[STOCK CODE OUT]],Generated_Stockcode,0),23),""))</f>
        <v>BXS</v>
      </c>
      <c r="Q32" s="73" t="str">
        <f>IF(ISBLANK(C32),"",_xlfn.IFNA(INDEX(inbound_data[],MATCH(Outbound_data[[#This Row],[STOCK CODE OUT]],Generated_Stockcode,0),13),""))</f>
        <v>LOCAL TRANSFER</v>
      </c>
    </row>
    <row r="33" spans="2:17" x14ac:dyDescent="0.25">
      <c r="B33" s="71">
        <v>45946</v>
      </c>
      <c r="C33" s="65">
        <v>129565</v>
      </c>
      <c r="D33" s="55" t="s">
        <v>226</v>
      </c>
      <c r="E33" s="65" t="s">
        <v>224</v>
      </c>
      <c r="F33" s="166">
        <v>30</v>
      </c>
      <c r="G33" s="167">
        <v>312</v>
      </c>
      <c r="H33" s="166">
        <v>1</v>
      </c>
      <c r="I33" s="72">
        <v>90261</v>
      </c>
      <c r="J33" s="55" t="s">
        <v>140</v>
      </c>
      <c r="K33" s="72">
        <v>78716</v>
      </c>
      <c r="L33" s="55" t="s">
        <v>135</v>
      </c>
      <c r="M33" s="55"/>
      <c r="N33" s="73" t="str">
        <f>IF(ISBLANK(C33),"",_xlfn.IFNA(INDEX(inbound_data[],MATCH(Outbound_data[[#This Row],[STOCK CODE OUT]],Generated_Stockcode,0),10),""))</f>
        <v>DUO-00030A/7620</v>
      </c>
      <c r="O33" s="73" t="str">
        <f>IF(ISBLANK(C33),"",_xlfn.IFNA(INDEX(inbound_data[],MATCH(Outbound_data[[#This Row],[STOCK CODE OUT]],Generated_Stockcode,0),12),""))</f>
        <v>ASADO SIOPAO 10'S (1.3 KG) (CHIBAO)</v>
      </c>
      <c r="P33" s="73" t="str">
        <f>IF(ISBLANK(C33),"",_xlfn.IFNA(INDEX(inbound_data[],MATCH(Outbound_data[[#This Row],[STOCK CODE OUT]],Generated_Stockcode,0),23),""))</f>
        <v>BXS</v>
      </c>
      <c r="Q33" s="73" t="str">
        <f>IF(ISBLANK(C33),"",_xlfn.IFNA(INDEX(inbound_data[],MATCH(Outbound_data[[#This Row],[STOCK CODE OUT]],Generated_Stockcode,0),13),""))</f>
        <v>LOCAL TRANSFER</v>
      </c>
    </row>
    <row r="34" spans="2:17" x14ac:dyDescent="0.25">
      <c r="B34" s="71">
        <v>45946</v>
      </c>
      <c r="C34" s="65">
        <v>129565</v>
      </c>
      <c r="D34" s="55" t="s">
        <v>226</v>
      </c>
      <c r="E34" s="65" t="s">
        <v>225</v>
      </c>
      <c r="F34" s="166">
        <v>30</v>
      </c>
      <c r="G34" s="167">
        <v>312</v>
      </c>
      <c r="H34" s="166">
        <v>1</v>
      </c>
      <c r="I34" s="72">
        <v>90261</v>
      </c>
      <c r="J34" s="55" t="s">
        <v>140</v>
      </c>
      <c r="K34" s="72">
        <v>78716</v>
      </c>
      <c r="L34" s="55" t="s">
        <v>135</v>
      </c>
      <c r="M34" s="55"/>
      <c r="N34" s="73" t="str">
        <f>IF(ISBLANK(C34),"",_xlfn.IFNA(INDEX(inbound_data[],MATCH(Outbound_data[[#This Row],[STOCK CODE OUT]],Generated_Stockcode,0),10),""))</f>
        <v>DUO-00031A/10568</v>
      </c>
      <c r="O34" s="73" t="str">
        <f>IF(ISBLANK(C34),"",_xlfn.IFNA(INDEX(inbound_data[],MATCH(Outbound_data[[#This Row],[STOCK CODE OUT]],Generated_Stockcode,0),12),""))</f>
        <v>ASADO SIOPAO 10'S (1.3 KG) (CHIBAO)</v>
      </c>
      <c r="P34" s="73" t="str">
        <f>IF(ISBLANK(C34),"",_xlfn.IFNA(INDEX(inbound_data[],MATCH(Outbound_data[[#This Row],[STOCK CODE OUT]],Generated_Stockcode,0),23),""))</f>
        <v>BXS</v>
      </c>
      <c r="Q34" s="73" t="str">
        <f>IF(ISBLANK(C34),"",_xlfn.IFNA(INDEX(inbound_data[],MATCH(Outbound_data[[#This Row],[STOCK CODE OUT]],Generated_Stockcode,0),13),""))</f>
        <v>LOCAL TRANSFER</v>
      </c>
    </row>
    <row r="35" spans="2:17" x14ac:dyDescent="0.25">
      <c r="B35" s="71">
        <v>45946</v>
      </c>
      <c r="C35" s="65">
        <v>129565</v>
      </c>
      <c r="D35" s="55" t="s">
        <v>226</v>
      </c>
      <c r="E35" s="65" t="s">
        <v>227</v>
      </c>
      <c r="F35" s="166">
        <v>30</v>
      </c>
      <c r="G35" s="167">
        <v>312</v>
      </c>
      <c r="H35" s="166">
        <v>1</v>
      </c>
      <c r="I35" s="72">
        <v>90261</v>
      </c>
      <c r="J35" s="55" t="s">
        <v>140</v>
      </c>
      <c r="K35" s="72">
        <v>78716</v>
      </c>
      <c r="L35" s="55" t="s">
        <v>135</v>
      </c>
      <c r="M35" s="55"/>
      <c r="N35" s="73" t="str">
        <f>IF(ISBLANK(C35),"",_xlfn.IFNA(INDEX(inbound_data[],MATCH(Outbound_data[[#This Row],[STOCK CODE OUT]],Generated_Stockcode,0),10),""))</f>
        <v>DUO-00032A/7926</v>
      </c>
      <c r="O35" s="73" t="str">
        <f>IF(ISBLANK(C35),"",_xlfn.IFNA(INDEX(inbound_data[],MATCH(Outbound_data[[#This Row],[STOCK CODE OUT]],Generated_Stockcode,0),12),""))</f>
        <v>CHIBAO ASADO SIOPAO 10'S (1.3 KG) (CHIBAO)</v>
      </c>
      <c r="P35" s="73" t="str">
        <f>IF(ISBLANK(C35),"",_xlfn.IFNA(INDEX(inbound_data[],MATCH(Outbound_data[[#This Row],[STOCK CODE OUT]],Generated_Stockcode,0),23),""))</f>
        <v>BXS</v>
      </c>
      <c r="Q35" s="73" t="str">
        <f>IF(ISBLANK(C35),"",_xlfn.IFNA(INDEX(inbound_data[],MATCH(Outbound_data[[#This Row],[STOCK CODE OUT]],Generated_Stockcode,0),13),""))</f>
        <v>LOCAL TRANSFER</v>
      </c>
    </row>
    <row r="36" spans="2:17" x14ac:dyDescent="0.25">
      <c r="B36" s="71">
        <v>45946</v>
      </c>
      <c r="C36" s="65">
        <v>129565</v>
      </c>
      <c r="D36" s="55" t="s">
        <v>226</v>
      </c>
      <c r="E36" s="65" t="s">
        <v>228</v>
      </c>
      <c r="F36" s="166">
        <v>30</v>
      </c>
      <c r="G36" s="167">
        <v>312</v>
      </c>
      <c r="H36" s="166">
        <v>1</v>
      </c>
      <c r="I36" s="72">
        <v>90261</v>
      </c>
      <c r="J36" s="55" t="s">
        <v>140</v>
      </c>
      <c r="K36" s="72">
        <v>78716</v>
      </c>
      <c r="L36" s="55" t="s">
        <v>135</v>
      </c>
      <c r="M36" s="55"/>
      <c r="N36" s="73" t="str">
        <f>IF(ISBLANK(C36),"",_xlfn.IFNA(INDEX(inbound_data[],MATCH(Outbound_data[[#This Row],[STOCK CODE OUT]],Generated_Stockcode,0),10),""))</f>
        <v>DUO-00033A/5935</v>
      </c>
      <c r="O36" s="73" t="str">
        <f>IF(ISBLANK(C36),"",_xlfn.IFNA(INDEX(inbound_data[],MATCH(Outbound_data[[#This Row],[STOCK CODE OUT]],Generated_Stockcode,0),12),""))</f>
        <v>CHIBAO ASADO SIOPAO 10'S (1.3 KG) (CHIBAO)</v>
      </c>
      <c r="P36" s="73" t="str">
        <f>IF(ISBLANK(C36),"",_xlfn.IFNA(INDEX(inbound_data[],MATCH(Outbound_data[[#This Row],[STOCK CODE OUT]],Generated_Stockcode,0),23),""))</f>
        <v>BXS</v>
      </c>
      <c r="Q36" s="73" t="str">
        <f>IF(ISBLANK(C36),"",_xlfn.IFNA(INDEX(inbound_data[],MATCH(Outbound_data[[#This Row],[STOCK CODE OUT]],Generated_Stockcode,0),13),""))</f>
        <v>LOCAL TRANSFER</v>
      </c>
    </row>
    <row r="37" spans="2:17" x14ac:dyDescent="0.25">
      <c r="B37" s="71">
        <v>45946</v>
      </c>
      <c r="C37" s="65">
        <v>129565</v>
      </c>
      <c r="D37" s="55" t="s">
        <v>226</v>
      </c>
      <c r="E37" s="65" t="s">
        <v>229</v>
      </c>
      <c r="F37" s="166">
        <v>30</v>
      </c>
      <c r="G37" s="167">
        <v>312</v>
      </c>
      <c r="H37" s="166">
        <v>1</v>
      </c>
      <c r="I37" s="72">
        <v>90261</v>
      </c>
      <c r="J37" s="55" t="s">
        <v>140</v>
      </c>
      <c r="K37" s="72">
        <v>78716</v>
      </c>
      <c r="L37" s="55" t="s">
        <v>135</v>
      </c>
      <c r="M37" s="55"/>
      <c r="N37" s="73" t="str">
        <f>IF(ISBLANK(C37),"",_xlfn.IFNA(INDEX(inbound_data[],MATCH(Outbound_data[[#This Row],[STOCK CODE OUT]],Generated_Stockcode,0),10),""))</f>
        <v>DUO-00034A/5898</v>
      </c>
      <c r="O37" s="73" t="str">
        <f>IF(ISBLANK(C37),"",_xlfn.IFNA(INDEX(inbound_data[],MATCH(Outbound_data[[#This Row],[STOCK CODE OUT]],Generated_Stockcode,0),12),""))</f>
        <v>CHIBAO ASADO SIOPAO 10'S (1.3 KG) (CHIBAO)</v>
      </c>
      <c r="P37" s="73" t="str">
        <f>IF(ISBLANK(C37),"",_xlfn.IFNA(INDEX(inbound_data[],MATCH(Outbound_data[[#This Row],[STOCK CODE OUT]],Generated_Stockcode,0),23),""))</f>
        <v>BXS</v>
      </c>
      <c r="Q37" s="73" t="str">
        <f>IF(ISBLANK(C37),"",_xlfn.IFNA(INDEX(inbound_data[],MATCH(Outbound_data[[#This Row],[STOCK CODE OUT]],Generated_Stockcode,0),13),""))</f>
        <v>LOCAL TRANSFER</v>
      </c>
    </row>
    <row r="38" spans="2:17" x14ac:dyDescent="0.25">
      <c r="B38" s="71">
        <v>45946</v>
      </c>
      <c r="C38" s="65">
        <v>129565</v>
      </c>
      <c r="D38" s="55" t="s">
        <v>226</v>
      </c>
      <c r="E38" s="65" t="s">
        <v>230</v>
      </c>
      <c r="F38" s="166">
        <v>30</v>
      </c>
      <c r="G38" s="167">
        <v>312</v>
      </c>
      <c r="H38" s="166">
        <v>1</v>
      </c>
      <c r="I38" s="72">
        <v>90261</v>
      </c>
      <c r="J38" s="55" t="s">
        <v>140</v>
      </c>
      <c r="K38" s="72">
        <v>78716</v>
      </c>
      <c r="L38" s="55" t="s">
        <v>135</v>
      </c>
      <c r="M38" s="55"/>
      <c r="N38" s="73" t="str">
        <f>IF(ISBLANK(C38),"",_xlfn.IFNA(INDEX(inbound_data[],MATCH(Outbound_data[[#This Row],[STOCK CODE OUT]],Generated_Stockcode,0),10),""))</f>
        <v>DUO-00035A/40422</v>
      </c>
      <c r="O38" s="73" t="str">
        <f>IF(ISBLANK(C38),"",_xlfn.IFNA(INDEX(inbound_data[],MATCH(Outbound_data[[#This Row],[STOCK CODE OUT]],Generated_Stockcode,0),12),""))</f>
        <v>CHIBAO ASADO SIOPAO 10'S (1.3 KG) (CHIBAO)</v>
      </c>
      <c r="P38" s="73" t="str">
        <f>IF(ISBLANK(C38),"",_xlfn.IFNA(INDEX(inbound_data[],MATCH(Outbound_data[[#This Row],[STOCK CODE OUT]],Generated_Stockcode,0),23),""))</f>
        <v>BXS</v>
      </c>
      <c r="Q38" s="73" t="str">
        <f>IF(ISBLANK(C38),"",_xlfn.IFNA(INDEX(inbound_data[],MATCH(Outbound_data[[#This Row],[STOCK CODE OUT]],Generated_Stockcode,0),13),""))</f>
        <v>LOCAL TRANSFER</v>
      </c>
    </row>
    <row r="39" spans="2:17" x14ac:dyDescent="0.25">
      <c r="B39" s="71">
        <v>45946</v>
      </c>
      <c r="C39" s="65">
        <v>129565</v>
      </c>
      <c r="D39" s="55" t="s">
        <v>226</v>
      </c>
      <c r="E39" s="65" t="s">
        <v>231</v>
      </c>
      <c r="F39" s="166">
        <v>50</v>
      </c>
      <c r="G39" s="167">
        <v>600</v>
      </c>
      <c r="H39" s="166">
        <v>1</v>
      </c>
      <c r="I39" s="72">
        <v>90261</v>
      </c>
      <c r="J39" s="55" t="s">
        <v>140</v>
      </c>
      <c r="K39" s="72">
        <v>78716</v>
      </c>
      <c r="L39" s="55" t="s">
        <v>135</v>
      </c>
      <c r="M39" s="55"/>
      <c r="N39" s="73" t="str">
        <f>IF(ISBLANK(C39),"",_xlfn.IFNA(INDEX(inbound_data[],MATCH(Outbound_data[[#This Row],[STOCK CODE OUT]],Generated_Stockcode,0),10),""))</f>
        <v>DUO-00036A/3309</v>
      </c>
      <c r="O39" s="73" t="str">
        <f>IF(ISBLANK(C39),"",_xlfn.IFNA(INDEX(inbound_data[],MATCH(Outbound_data[[#This Row],[STOCK CODE OUT]],Generated_Stockcode,0),12),""))</f>
        <v>CHIBAO ASADO SIOMAI 30'S (500G) (CHIBAO)</v>
      </c>
      <c r="P39" s="73" t="str">
        <f>IF(ISBLANK(C39),"",_xlfn.IFNA(INDEX(inbound_data[],MATCH(Outbound_data[[#This Row],[STOCK CODE OUT]],Generated_Stockcode,0),23),""))</f>
        <v>BXS</v>
      </c>
      <c r="Q39" s="73" t="str">
        <f>IF(ISBLANK(C39),"",_xlfn.IFNA(INDEX(inbound_data[],MATCH(Outbound_data[[#This Row],[STOCK CODE OUT]],Generated_Stockcode,0),13),""))</f>
        <v>LOCAL TRANSFER</v>
      </c>
    </row>
    <row r="40" spans="2:17" x14ac:dyDescent="0.25">
      <c r="B40" s="71">
        <v>45946</v>
      </c>
      <c r="C40" s="65">
        <v>129565</v>
      </c>
      <c r="D40" s="55" t="s">
        <v>226</v>
      </c>
      <c r="E40" s="65" t="s">
        <v>232</v>
      </c>
      <c r="F40" s="166">
        <v>41</v>
      </c>
      <c r="G40" s="167">
        <v>492</v>
      </c>
      <c r="H40" s="166">
        <v>1</v>
      </c>
      <c r="I40" s="72">
        <v>90261</v>
      </c>
      <c r="J40" s="55" t="s">
        <v>140</v>
      </c>
      <c r="K40" s="72">
        <v>78716</v>
      </c>
      <c r="L40" s="55" t="s">
        <v>135</v>
      </c>
      <c r="M40" s="55"/>
      <c r="N40" s="73" t="str">
        <f>IF(ISBLANK(C40),"",_xlfn.IFNA(INDEX(inbound_data[],MATCH(Outbound_data[[#This Row],[STOCK CODE OUT]],Generated_Stockcode,0),10),""))</f>
        <v>DUO-00037A/1381</v>
      </c>
      <c r="O40" s="73" t="str">
        <f>IF(ISBLANK(C40),"",_xlfn.IFNA(INDEX(inbound_data[],MATCH(Outbound_data[[#This Row],[STOCK CODE OUT]],Generated_Stockcode,0),12),""))</f>
        <v>CHIBAO ASADO SIOMAI 30'S (500G) (CHIBAO)</v>
      </c>
      <c r="P40" s="73" t="str">
        <f>IF(ISBLANK(C40),"",_xlfn.IFNA(INDEX(inbound_data[],MATCH(Outbound_data[[#This Row],[STOCK CODE OUT]],Generated_Stockcode,0),23),""))</f>
        <v>BXS</v>
      </c>
      <c r="Q40" s="73" t="str">
        <f>IF(ISBLANK(C40),"",_xlfn.IFNA(INDEX(inbound_data[],MATCH(Outbound_data[[#This Row],[STOCK CODE OUT]],Generated_Stockcode,0),13),""))</f>
        <v>LOCAL TRANSFER</v>
      </c>
    </row>
    <row r="41" spans="2:17" x14ac:dyDescent="0.25">
      <c r="B41" s="71">
        <v>45951</v>
      </c>
      <c r="C41" s="65">
        <v>130022</v>
      </c>
      <c r="D41" s="55" t="s">
        <v>236</v>
      </c>
      <c r="E41" s="65" t="s">
        <v>233</v>
      </c>
      <c r="F41" s="166">
        <v>30</v>
      </c>
      <c r="G41" s="167">
        <v>360</v>
      </c>
      <c r="H41" s="166">
        <v>1</v>
      </c>
      <c r="I41" s="72">
        <v>90393</v>
      </c>
      <c r="J41" s="55" t="s">
        <v>140</v>
      </c>
      <c r="K41" s="72">
        <v>79422</v>
      </c>
      <c r="L41" s="55" t="s">
        <v>164</v>
      </c>
      <c r="M41" s="55"/>
      <c r="N41" s="73" t="str">
        <f>IF(ISBLANK(C41),"",_xlfn.IFNA(INDEX(inbound_data[],MATCH(Outbound_data[[#This Row],[STOCK CODE OUT]],Generated_Stockcode,0),10),""))</f>
        <v>DUO-00038A/1834</v>
      </c>
      <c r="O41" s="73" t="str">
        <f>IF(ISBLANK(C41),"",_xlfn.IFNA(INDEX(inbound_data[],MATCH(Outbound_data[[#This Row],[STOCK CODE OUT]],Generated_Stockcode,0),12),""))</f>
        <v>CHIBAO ASADO SIOMAI 30'S (500G)</v>
      </c>
      <c r="P41" s="73" t="str">
        <f>IF(ISBLANK(C41),"",_xlfn.IFNA(INDEX(inbound_data[],MATCH(Outbound_data[[#This Row],[STOCK CODE OUT]],Generated_Stockcode,0),23),""))</f>
        <v>BXS</v>
      </c>
      <c r="Q41" s="73" t="str">
        <f>IF(ISBLANK(C41),"",_xlfn.IFNA(INDEX(inbound_data[],MATCH(Outbound_data[[#This Row],[STOCK CODE OUT]],Generated_Stockcode,0),13),""))</f>
        <v>LOCAL TRANSFER</v>
      </c>
    </row>
    <row r="42" spans="2:17" x14ac:dyDescent="0.25">
      <c r="B42" s="71">
        <v>45951</v>
      </c>
      <c r="C42" s="65">
        <v>130022</v>
      </c>
      <c r="D42" s="55" t="s">
        <v>236</v>
      </c>
      <c r="E42" s="65" t="s">
        <v>234</v>
      </c>
      <c r="F42" s="166">
        <v>30</v>
      </c>
      <c r="G42" s="167">
        <v>312</v>
      </c>
      <c r="H42" s="166">
        <v>1</v>
      </c>
      <c r="I42" s="72">
        <v>90393</v>
      </c>
      <c r="J42" s="55" t="s">
        <v>140</v>
      </c>
      <c r="K42" s="72">
        <v>79422</v>
      </c>
      <c r="L42" s="55" t="s">
        <v>164</v>
      </c>
      <c r="M42" s="55"/>
      <c r="N42" s="73" t="str">
        <f>IF(ISBLANK(C42),"",_xlfn.IFNA(INDEX(inbound_data[],MATCH(Outbound_data[[#This Row],[STOCK CODE OUT]],Generated_Stockcode,0),10),""))</f>
        <v>DUO-00039A/7487</v>
      </c>
      <c r="O42" s="73" t="str">
        <f>IF(ISBLANK(C42),"",_xlfn.IFNA(INDEX(inbound_data[],MATCH(Outbound_data[[#This Row],[STOCK CODE OUT]],Generated_Stockcode,0),12),""))</f>
        <v>CHIBAO ASADO SIOPAO 10'S (1.3 KG)</v>
      </c>
      <c r="P42" s="73" t="str">
        <f>IF(ISBLANK(C42),"",_xlfn.IFNA(INDEX(inbound_data[],MATCH(Outbound_data[[#This Row],[STOCK CODE OUT]],Generated_Stockcode,0),23),""))</f>
        <v>BXS</v>
      </c>
      <c r="Q42" s="73" t="str">
        <f>IF(ISBLANK(C42),"",_xlfn.IFNA(INDEX(inbound_data[],MATCH(Outbound_data[[#This Row],[STOCK CODE OUT]],Generated_Stockcode,0),13),""))</f>
        <v>LOCAL TRANSFER</v>
      </c>
    </row>
    <row r="43" spans="2:17" x14ac:dyDescent="0.25">
      <c r="B43" s="71">
        <v>45951</v>
      </c>
      <c r="C43" s="65">
        <v>130022</v>
      </c>
      <c r="D43" s="55" t="s">
        <v>236</v>
      </c>
      <c r="E43" s="65" t="s">
        <v>235</v>
      </c>
      <c r="F43" s="166">
        <v>25</v>
      </c>
      <c r="G43" s="167">
        <v>260</v>
      </c>
      <c r="H43" s="166">
        <v>1</v>
      </c>
      <c r="I43" s="72">
        <v>90393</v>
      </c>
      <c r="J43" s="55" t="s">
        <v>140</v>
      </c>
      <c r="K43" s="72">
        <v>79422</v>
      </c>
      <c r="L43" s="55" t="s">
        <v>164</v>
      </c>
      <c r="M43" s="174"/>
      <c r="N43" s="73" t="str">
        <f>IF(ISBLANK(C43),"",_xlfn.IFNA(INDEX(inbound_data[],MATCH(Outbound_data[[#This Row],[STOCK CODE OUT]],Generated_Stockcode,0),10),""))</f>
        <v>DUO-00040A/41118</v>
      </c>
      <c r="O43" s="73" t="str">
        <f>IF(ISBLANK(C43),"",_xlfn.IFNA(INDEX(inbound_data[],MATCH(Outbound_data[[#This Row],[STOCK CODE OUT]],Generated_Stockcode,0),12),""))</f>
        <v>CHIBAO ASADO SIOPAO 10'S (1.3 KG)</v>
      </c>
      <c r="P43" s="73" t="str">
        <f>IF(ISBLANK(C43),"",_xlfn.IFNA(INDEX(inbound_data[],MATCH(Outbound_data[[#This Row],[STOCK CODE OUT]],Generated_Stockcode,0),23),""))</f>
        <v>BXS</v>
      </c>
      <c r="Q43" s="73" t="str">
        <f>IF(ISBLANK(C43),"",_xlfn.IFNA(INDEX(inbound_data[],MATCH(Outbound_data[[#This Row],[STOCK CODE OUT]],Generated_Stockcode,0),13),""))</f>
        <v>LOCAL TRANSFER</v>
      </c>
    </row>
    <row r="44" spans="2:17" x14ac:dyDescent="0.25">
      <c r="B44" s="71">
        <v>45990</v>
      </c>
      <c r="C44" s="65">
        <v>134652</v>
      </c>
      <c r="D44" s="55" t="s">
        <v>186</v>
      </c>
      <c r="E44" s="65" t="s">
        <v>252</v>
      </c>
      <c r="F44" s="166">
        <v>30</v>
      </c>
      <c r="G44" s="167">
        <v>312</v>
      </c>
      <c r="H44" s="166">
        <v>1</v>
      </c>
      <c r="I44" s="72">
        <v>99607</v>
      </c>
      <c r="J44" s="55" t="s">
        <v>202</v>
      </c>
      <c r="K44" s="72">
        <v>83785</v>
      </c>
      <c r="L44" s="55" t="s">
        <v>164</v>
      </c>
      <c r="M44" s="174"/>
      <c r="N44" s="73" t="str">
        <f>IF(ISBLANK(C44),"",_xlfn.IFNA(INDEX(inbound_data[],MATCH(Outbound_data[[#This Row],[STOCK CODE OUT]],Generated_Stockcode,0),10),""))</f>
        <v>DUO-00042A/7671</v>
      </c>
      <c r="O44" s="73" t="str">
        <f>IF(ISBLANK(C44),"",_xlfn.IFNA(INDEX(inbound_data[],MATCH(Outbound_data[[#This Row],[STOCK CODE OUT]],Generated_Stockcode,0),12),""))</f>
        <v>PORK ASADO SIOPAO 1.3KG (CHIBAO)</v>
      </c>
      <c r="P44" s="73" t="str">
        <f>IF(ISBLANK(C44),"",_xlfn.IFNA(INDEX(inbound_data[],MATCH(Outbound_data[[#This Row],[STOCK CODE OUT]],Generated_Stockcode,0),23),""))</f>
        <v>BXS</v>
      </c>
      <c r="Q44" s="73" t="str">
        <f>IF(ISBLANK(C44),"",_xlfn.IFNA(INDEX(inbound_data[],MATCH(Outbound_data[[#This Row],[STOCK CODE OUT]],Generated_Stockcode,0),13),""))</f>
        <v>LOCAL TRANSFER</v>
      </c>
    </row>
    <row r="45" spans="2:17" x14ac:dyDescent="0.25">
      <c r="B45" s="71">
        <v>45990</v>
      </c>
      <c r="C45" s="65">
        <v>134652</v>
      </c>
      <c r="D45" s="55" t="s">
        <v>186</v>
      </c>
      <c r="E45" s="65" t="s">
        <v>253</v>
      </c>
      <c r="F45" s="166">
        <v>30</v>
      </c>
      <c r="G45" s="167">
        <v>312</v>
      </c>
      <c r="H45" s="166">
        <v>1</v>
      </c>
      <c r="I45" s="72">
        <v>99607</v>
      </c>
      <c r="J45" s="55" t="s">
        <v>202</v>
      </c>
      <c r="K45" s="72">
        <v>83785</v>
      </c>
      <c r="L45" s="55" t="s">
        <v>164</v>
      </c>
      <c r="M45" s="174"/>
      <c r="N45" s="73" t="str">
        <f>IF(ISBLANK(C45),"",_xlfn.IFNA(INDEX(inbound_data[],MATCH(Outbound_data[[#This Row],[STOCK CODE OUT]],Generated_Stockcode,0),10),""))</f>
        <v>DUO-00043A/1970</v>
      </c>
      <c r="O45" s="73" t="str">
        <f>IF(ISBLANK(C45),"",_xlfn.IFNA(INDEX(inbound_data[],MATCH(Outbound_data[[#This Row],[STOCK CODE OUT]],Generated_Stockcode,0),12),""))</f>
        <v>PORK ASADO SIOPAO 1.3KG (CHIBAO)</v>
      </c>
      <c r="P45" s="73" t="str">
        <f>IF(ISBLANK(C45),"",_xlfn.IFNA(INDEX(inbound_data[],MATCH(Outbound_data[[#This Row],[STOCK CODE OUT]],Generated_Stockcode,0),23),""))</f>
        <v>BXS</v>
      </c>
      <c r="Q45" s="73" t="str">
        <f>IF(ISBLANK(C45),"",_xlfn.IFNA(INDEX(inbound_data[],MATCH(Outbound_data[[#This Row],[STOCK CODE OUT]],Generated_Stockcode,0),13),""))</f>
        <v>LOCAL TRANSFER</v>
      </c>
    </row>
    <row r="46" spans="2:17" x14ac:dyDescent="0.25">
      <c r="B46" s="71">
        <v>45990</v>
      </c>
      <c r="C46" s="65">
        <v>134652</v>
      </c>
      <c r="D46" s="55" t="s">
        <v>186</v>
      </c>
      <c r="E46" s="65" t="s">
        <v>254</v>
      </c>
      <c r="F46" s="166">
        <v>50</v>
      </c>
      <c r="G46" s="167">
        <v>600</v>
      </c>
      <c r="H46" s="166">
        <v>1</v>
      </c>
      <c r="I46" s="72">
        <v>99607</v>
      </c>
      <c r="J46" s="55" t="s">
        <v>202</v>
      </c>
      <c r="K46" s="72">
        <v>83785</v>
      </c>
      <c r="L46" s="55" t="s">
        <v>164</v>
      </c>
      <c r="M46" s="174"/>
      <c r="N46" s="73" t="str">
        <f>IF(ISBLANK(C46),"",_xlfn.IFNA(INDEX(inbound_data[],MATCH(Outbound_data[[#This Row],[STOCK CODE OUT]],Generated_Stockcode,0),10),""))</f>
        <v>DUO-00040A/2595</v>
      </c>
      <c r="O46" s="73" t="str">
        <f>IF(ISBLANK(C46),"",_xlfn.IFNA(INDEX(inbound_data[],MATCH(Outbound_data[[#This Row],[STOCK CODE OUT]],Generated_Stockcode,0),12),""))</f>
        <v>PORK SIOMAI 500G (CHIBAO)</v>
      </c>
      <c r="P46" s="73" t="str">
        <f>IF(ISBLANK(C46),"",_xlfn.IFNA(INDEX(inbound_data[],MATCH(Outbound_data[[#This Row],[STOCK CODE OUT]],Generated_Stockcode,0),23),""))</f>
        <v>BXS</v>
      </c>
      <c r="Q46" s="73" t="str">
        <f>IF(ISBLANK(C46),"",_xlfn.IFNA(INDEX(inbound_data[],MATCH(Outbound_data[[#This Row],[STOCK CODE OUT]],Generated_Stockcode,0),13),""))</f>
        <v>LOCAL TRANSFER</v>
      </c>
    </row>
    <row r="47" spans="2:17" x14ac:dyDescent="0.25">
      <c r="B47" s="71">
        <v>45990</v>
      </c>
      <c r="C47" s="65">
        <v>134652</v>
      </c>
      <c r="D47" s="55" t="s">
        <v>186</v>
      </c>
      <c r="E47" s="65" t="s">
        <v>255</v>
      </c>
      <c r="F47" s="166">
        <v>50</v>
      </c>
      <c r="G47" s="167">
        <v>600</v>
      </c>
      <c r="H47" s="166">
        <v>1</v>
      </c>
      <c r="I47" s="72">
        <v>99607</v>
      </c>
      <c r="J47" s="55" t="s">
        <v>202</v>
      </c>
      <c r="K47" s="72">
        <v>83785</v>
      </c>
      <c r="L47" s="55" t="s">
        <v>164</v>
      </c>
      <c r="M47" s="174"/>
      <c r="N47" s="73" t="str">
        <f>IF(ISBLANK(C47),"",_xlfn.IFNA(INDEX(inbound_data[],MATCH(Outbound_data[[#This Row],[STOCK CODE OUT]],Generated_Stockcode,0),10),""))</f>
        <v>DUO-00041A/4538</v>
      </c>
      <c r="O47" s="73" t="str">
        <f>IF(ISBLANK(C47),"",_xlfn.IFNA(INDEX(inbound_data[],MATCH(Outbound_data[[#This Row],[STOCK CODE OUT]],Generated_Stockcode,0),12),""))</f>
        <v>PORK SIOMAI 500G (CHIBAO)</v>
      </c>
      <c r="P47" s="73" t="str">
        <f>IF(ISBLANK(C47),"",_xlfn.IFNA(INDEX(inbound_data[],MATCH(Outbound_data[[#This Row],[STOCK CODE OUT]],Generated_Stockcode,0),23),""))</f>
        <v>BXS</v>
      </c>
      <c r="Q47" s="73" t="str">
        <f>IF(ISBLANK(C47),"",_xlfn.IFNA(INDEX(inbound_data[],MATCH(Outbound_data[[#This Row],[STOCK CODE OUT]],Generated_Stockcode,0),13),""))</f>
        <v>LOCAL TRANSFER</v>
      </c>
    </row>
    <row r="48" spans="2:17" x14ac:dyDescent="0.25">
      <c r="B48" s="71">
        <v>45993</v>
      </c>
      <c r="C48" s="65">
        <v>134818</v>
      </c>
      <c r="D48" s="55" t="s">
        <v>263</v>
      </c>
      <c r="E48" s="65" t="s">
        <v>257</v>
      </c>
      <c r="F48" s="166">
        <v>30</v>
      </c>
      <c r="G48" s="167">
        <v>312</v>
      </c>
      <c r="H48" s="166">
        <v>1</v>
      </c>
      <c r="I48" s="72">
        <v>99747</v>
      </c>
      <c r="J48" s="55" t="s">
        <v>202</v>
      </c>
      <c r="K48" s="72">
        <v>83943</v>
      </c>
      <c r="L48" s="55" t="s">
        <v>135</v>
      </c>
      <c r="M48" s="174"/>
      <c r="N48" s="73" t="str">
        <f>IF(ISBLANK(C48),"",_xlfn.IFNA(INDEX(inbound_data[],MATCH(Outbound_data[[#This Row],[STOCK CODE OUT]],Generated_Stockcode,0),10),""))</f>
        <v>DUO-00047A/5784</v>
      </c>
      <c r="O48" s="73" t="str">
        <f>IF(ISBLANK(C48),"",_xlfn.IFNA(INDEX(inbound_data[],MATCH(Outbound_data[[#This Row],[STOCK CODE OUT]],Generated_Stockcode,0),12),""))</f>
        <v>PORK ASADO SIOPAO 1.3KG (CHIBAO)</v>
      </c>
      <c r="P48" s="73" t="str">
        <f>IF(ISBLANK(C48),"",_xlfn.IFNA(INDEX(inbound_data[],MATCH(Outbound_data[[#This Row],[STOCK CODE OUT]],Generated_Stockcode,0),23),""))</f>
        <v>BXS</v>
      </c>
      <c r="Q48" s="73" t="str">
        <f>IF(ISBLANK(C48),"",_xlfn.IFNA(INDEX(inbound_data[],MATCH(Outbound_data[[#This Row],[STOCK CODE OUT]],Generated_Stockcode,0),13),""))</f>
        <v>LOCAL TRANSFER</v>
      </c>
    </row>
    <row r="49" spans="2:17" x14ac:dyDescent="0.25">
      <c r="B49" s="71">
        <v>45993</v>
      </c>
      <c r="C49" s="65">
        <v>134818</v>
      </c>
      <c r="D49" s="55" t="s">
        <v>263</v>
      </c>
      <c r="E49" s="65" t="s">
        <v>258</v>
      </c>
      <c r="F49" s="166">
        <v>30</v>
      </c>
      <c r="G49" s="167">
        <v>312</v>
      </c>
      <c r="H49" s="166">
        <v>1</v>
      </c>
      <c r="I49" s="72">
        <v>99747</v>
      </c>
      <c r="J49" s="55" t="s">
        <v>202</v>
      </c>
      <c r="K49" s="72">
        <v>83943</v>
      </c>
      <c r="L49" s="55" t="s">
        <v>135</v>
      </c>
      <c r="M49" s="174"/>
      <c r="N49" s="73" t="str">
        <f>IF(ISBLANK(C49),"",_xlfn.IFNA(INDEX(inbound_data[],MATCH(Outbound_data[[#This Row],[STOCK CODE OUT]],Generated_Stockcode,0),10),""))</f>
        <v>DUO-00049A/933</v>
      </c>
      <c r="O49" s="73" t="str">
        <f>IF(ISBLANK(C49),"",_xlfn.IFNA(INDEX(inbound_data[],MATCH(Outbound_data[[#This Row],[STOCK CODE OUT]],Generated_Stockcode,0),12),""))</f>
        <v>PORK ASADO SIOPAO 1.3KG (CHIBAO)</v>
      </c>
      <c r="P49" s="73" t="str">
        <f>IF(ISBLANK(C49),"",_xlfn.IFNA(INDEX(inbound_data[],MATCH(Outbound_data[[#This Row],[STOCK CODE OUT]],Generated_Stockcode,0),23),""))</f>
        <v>BXS</v>
      </c>
      <c r="Q49" s="73" t="str">
        <f>IF(ISBLANK(C49),"",_xlfn.IFNA(INDEX(inbound_data[],MATCH(Outbound_data[[#This Row],[STOCK CODE OUT]],Generated_Stockcode,0),13),""))</f>
        <v>LOCAL TRANSFER</v>
      </c>
    </row>
    <row r="50" spans="2:17" x14ac:dyDescent="0.25">
      <c r="B50" s="71">
        <v>45993</v>
      </c>
      <c r="C50" s="65">
        <v>134818</v>
      </c>
      <c r="D50" s="55" t="s">
        <v>263</v>
      </c>
      <c r="E50" s="65" t="s">
        <v>259</v>
      </c>
      <c r="F50" s="166">
        <v>30</v>
      </c>
      <c r="G50" s="167">
        <v>312</v>
      </c>
      <c r="H50" s="166">
        <v>1</v>
      </c>
      <c r="I50" s="72">
        <v>99747</v>
      </c>
      <c r="J50" s="55" t="s">
        <v>202</v>
      </c>
      <c r="K50" s="72">
        <v>83943</v>
      </c>
      <c r="L50" s="55" t="s">
        <v>135</v>
      </c>
      <c r="M50" s="174"/>
      <c r="N50" s="73" t="str">
        <f>IF(ISBLANK(C50),"",_xlfn.IFNA(INDEX(inbound_data[],MATCH(Outbound_data[[#This Row],[STOCK CODE OUT]],Generated_Stockcode,0),10),""))</f>
        <v>DUO-00045A/4147</v>
      </c>
      <c r="O50" s="73" t="str">
        <f>IF(ISBLANK(C50),"",_xlfn.IFNA(INDEX(inbound_data[],MATCH(Outbound_data[[#This Row],[STOCK CODE OUT]],Generated_Stockcode,0),12),""))</f>
        <v>PORK ASADO SIOPAO 1.3KG (CHIBAO)</v>
      </c>
      <c r="P50" s="73" t="str">
        <f>IF(ISBLANK(C50),"",_xlfn.IFNA(INDEX(inbound_data[],MATCH(Outbound_data[[#This Row],[STOCK CODE OUT]],Generated_Stockcode,0),23),""))</f>
        <v>BXS</v>
      </c>
      <c r="Q50" s="73" t="str">
        <f>IF(ISBLANK(C50),"",_xlfn.IFNA(INDEX(inbound_data[],MATCH(Outbound_data[[#This Row],[STOCK CODE OUT]],Generated_Stockcode,0),13),""))</f>
        <v>LOCAL TRANSFER</v>
      </c>
    </row>
    <row r="51" spans="2:17" x14ac:dyDescent="0.25">
      <c r="B51" s="71">
        <v>45993</v>
      </c>
      <c r="C51" s="65">
        <v>134818</v>
      </c>
      <c r="D51" s="55" t="s">
        <v>263</v>
      </c>
      <c r="E51" s="65" t="s">
        <v>260</v>
      </c>
      <c r="F51" s="166">
        <v>30</v>
      </c>
      <c r="G51" s="167">
        <v>312</v>
      </c>
      <c r="H51" s="166">
        <v>1</v>
      </c>
      <c r="I51" s="72">
        <v>99747</v>
      </c>
      <c r="J51" s="55" t="s">
        <v>202</v>
      </c>
      <c r="K51" s="72">
        <v>83943</v>
      </c>
      <c r="L51" s="55" t="s">
        <v>135</v>
      </c>
      <c r="M51" s="174"/>
      <c r="N51" s="73" t="str">
        <f>IF(ISBLANK(C51),"",_xlfn.IFNA(INDEX(inbound_data[],MATCH(Outbound_data[[#This Row],[STOCK CODE OUT]],Generated_Stockcode,0),10),""))</f>
        <v>DUO-00048A/8818</v>
      </c>
      <c r="O51" s="73" t="str">
        <f>IF(ISBLANK(C51),"",_xlfn.IFNA(INDEX(inbound_data[],MATCH(Outbound_data[[#This Row],[STOCK CODE OUT]],Generated_Stockcode,0),12),""))</f>
        <v>PORK ASADO SIOPAO 1.3KG (CHIBAO)</v>
      </c>
      <c r="P51" s="73" t="str">
        <f>IF(ISBLANK(C51),"",_xlfn.IFNA(INDEX(inbound_data[],MATCH(Outbound_data[[#This Row],[STOCK CODE OUT]],Generated_Stockcode,0),23),""))</f>
        <v>BXS</v>
      </c>
      <c r="Q51" s="73" t="str">
        <f>IF(ISBLANK(C51),"",_xlfn.IFNA(INDEX(inbound_data[],MATCH(Outbound_data[[#This Row],[STOCK CODE OUT]],Generated_Stockcode,0),13),""))</f>
        <v>LOCAL TRANSFER</v>
      </c>
    </row>
    <row r="52" spans="2:17" x14ac:dyDescent="0.25">
      <c r="B52" s="71">
        <v>45993</v>
      </c>
      <c r="C52" s="65">
        <v>134818</v>
      </c>
      <c r="D52" s="55" t="s">
        <v>263</v>
      </c>
      <c r="E52" s="65" t="s">
        <v>261</v>
      </c>
      <c r="F52" s="166">
        <v>30</v>
      </c>
      <c r="G52" s="167">
        <v>312</v>
      </c>
      <c r="H52" s="166">
        <v>1</v>
      </c>
      <c r="I52" s="72">
        <v>99747</v>
      </c>
      <c r="J52" s="55" t="s">
        <v>202</v>
      </c>
      <c r="K52" s="72">
        <v>83943</v>
      </c>
      <c r="L52" s="55" t="s">
        <v>135</v>
      </c>
      <c r="M52" s="174"/>
      <c r="N52" s="73" t="str">
        <f>IF(ISBLANK(C52),"",_xlfn.IFNA(INDEX(inbound_data[],MATCH(Outbound_data[[#This Row],[STOCK CODE OUT]],Generated_Stockcode,0),10),""))</f>
        <v>DUO-00044A/1556</v>
      </c>
      <c r="O52" s="73" t="str">
        <f>IF(ISBLANK(C52),"",_xlfn.IFNA(INDEX(inbound_data[],MATCH(Outbound_data[[#This Row],[STOCK CODE OUT]],Generated_Stockcode,0),12),""))</f>
        <v>PORK ASADO SIOPAO 1.3KG (CHIBAO)</v>
      </c>
      <c r="P52" s="73" t="str">
        <f>IF(ISBLANK(C52),"",_xlfn.IFNA(INDEX(inbound_data[],MATCH(Outbound_data[[#This Row],[STOCK CODE OUT]],Generated_Stockcode,0),23),""))</f>
        <v>BXS</v>
      </c>
      <c r="Q52" s="73" t="str">
        <f>IF(ISBLANK(C52),"",_xlfn.IFNA(INDEX(inbound_data[],MATCH(Outbound_data[[#This Row],[STOCK CODE OUT]],Generated_Stockcode,0),13),""))</f>
        <v>LOCAL TRANSFER</v>
      </c>
    </row>
    <row r="53" spans="2:17" x14ac:dyDescent="0.25">
      <c r="B53" s="71">
        <v>45993</v>
      </c>
      <c r="C53" s="65">
        <v>134818</v>
      </c>
      <c r="D53" s="55" t="s">
        <v>263</v>
      </c>
      <c r="E53" s="65" t="s">
        <v>262</v>
      </c>
      <c r="F53" s="166">
        <v>30</v>
      </c>
      <c r="G53" s="167">
        <v>312</v>
      </c>
      <c r="H53" s="166">
        <v>1</v>
      </c>
      <c r="I53" s="72">
        <v>99747</v>
      </c>
      <c r="J53" s="55" t="s">
        <v>202</v>
      </c>
      <c r="K53" s="72">
        <v>83943</v>
      </c>
      <c r="L53" s="55" t="s">
        <v>135</v>
      </c>
      <c r="M53" s="174"/>
      <c r="N53" s="73" t="str">
        <f>IF(ISBLANK(C53),"",_xlfn.IFNA(INDEX(inbound_data[],MATCH(Outbound_data[[#This Row],[STOCK CODE OUT]],Generated_Stockcode,0),10),""))</f>
        <v>DUO-00046A/1410</v>
      </c>
      <c r="O53" s="73" t="str">
        <f>IF(ISBLANK(C53),"",_xlfn.IFNA(INDEX(inbound_data[],MATCH(Outbound_data[[#This Row],[STOCK CODE OUT]],Generated_Stockcode,0),12),""))</f>
        <v>PORK ASADO SIOPAO 1.3KG (CHIBAO)</v>
      </c>
      <c r="P53" s="73" t="str">
        <f>IF(ISBLANK(C53),"",_xlfn.IFNA(INDEX(inbound_data[],MATCH(Outbound_data[[#This Row],[STOCK CODE OUT]],Generated_Stockcode,0),23),""))</f>
        <v>BXS</v>
      </c>
      <c r="Q53" s="73" t="str">
        <f>IF(ISBLANK(C53),"",_xlfn.IFNA(INDEX(inbound_data[],MATCH(Outbound_data[[#This Row],[STOCK CODE OUT]],Generated_Stockcode,0),13),""))</f>
        <v>LOCAL TRANSFER</v>
      </c>
    </row>
    <row r="54" spans="2:17" x14ac:dyDescent="0.25">
      <c r="B54" s="71">
        <v>46002</v>
      </c>
      <c r="C54" s="65">
        <v>136422</v>
      </c>
      <c r="D54" s="55" t="s">
        <v>263</v>
      </c>
      <c r="E54" s="65" t="s">
        <v>271</v>
      </c>
      <c r="F54" s="166">
        <v>30</v>
      </c>
      <c r="G54" s="167">
        <v>312</v>
      </c>
      <c r="H54" s="166">
        <v>1</v>
      </c>
      <c r="I54" s="72">
        <v>98485</v>
      </c>
      <c r="J54" s="55" t="s">
        <v>140</v>
      </c>
      <c r="K54" s="72">
        <v>86465</v>
      </c>
      <c r="L54" s="55" t="s">
        <v>135</v>
      </c>
      <c r="M54" s="174"/>
      <c r="N54" s="73" t="str">
        <f>IF(ISBLANK(C54),"",_xlfn.IFNA(INDEX(inbound_data[],MATCH(Outbound_data[[#This Row],[STOCK CODE OUT]],Generated_Stockcode,0),10),""))</f>
        <v>DUO-00050A/NP</v>
      </c>
      <c r="O54" s="73" t="str">
        <f>IF(ISBLANK(C54),"",_xlfn.IFNA(INDEX(inbound_data[],MATCH(Outbound_data[[#This Row],[STOCK CODE OUT]],Generated_Stockcode,0),12),""))</f>
        <v>PORK ASADO SIOPAO 1.3KG (CHIBAO)</v>
      </c>
      <c r="P54" s="73" t="str">
        <f>IF(ISBLANK(C54),"",_xlfn.IFNA(INDEX(inbound_data[],MATCH(Outbound_data[[#This Row],[STOCK CODE OUT]],Generated_Stockcode,0),23),""))</f>
        <v>BXS</v>
      </c>
      <c r="Q54" s="73" t="str">
        <f>IF(ISBLANK(C54),"",_xlfn.IFNA(INDEX(inbound_data[],MATCH(Outbound_data[[#This Row],[STOCK CODE OUT]],Generated_Stockcode,0),13),""))</f>
        <v>LOCAL TRANSFER</v>
      </c>
    </row>
    <row r="55" spans="2:17" x14ac:dyDescent="0.25">
      <c r="B55" s="71">
        <v>46002</v>
      </c>
      <c r="C55" s="65">
        <v>136422</v>
      </c>
      <c r="D55" s="55" t="s">
        <v>263</v>
      </c>
      <c r="E55" s="65" t="s">
        <v>272</v>
      </c>
      <c r="F55" s="166">
        <v>30</v>
      </c>
      <c r="G55" s="167">
        <v>312</v>
      </c>
      <c r="H55" s="166">
        <v>1</v>
      </c>
      <c r="I55" s="72">
        <v>98485</v>
      </c>
      <c r="J55" s="55" t="s">
        <v>140</v>
      </c>
      <c r="K55" s="72">
        <v>86465</v>
      </c>
      <c r="L55" s="55" t="s">
        <v>135</v>
      </c>
      <c r="M55" s="174"/>
      <c r="N55" s="73" t="str">
        <f>IF(ISBLANK(C55),"",_xlfn.IFNA(INDEX(inbound_data[],MATCH(Outbound_data[[#This Row],[STOCK CODE OUT]],Generated_Stockcode,0),10),""))</f>
        <v>DUO-00051A/8574</v>
      </c>
      <c r="O55" s="73" t="str">
        <f>IF(ISBLANK(C55),"",_xlfn.IFNA(INDEX(inbound_data[],MATCH(Outbound_data[[#This Row],[STOCK CODE OUT]],Generated_Stockcode,0),12),""))</f>
        <v>PORK ASADO SIOPAO 1.3KG (CHIBAO)</v>
      </c>
      <c r="P55" s="73" t="str">
        <f>IF(ISBLANK(C55),"",_xlfn.IFNA(INDEX(inbound_data[],MATCH(Outbound_data[[#This Row],[STOCK CODE OUT]],Generated_Stockcode,0),23),""))</f>
        <v>BXS</v>
      </c>
      <c r="Q55" s="73" t="str">
        <f>IF(ISBLANK(C55),"",_xlfn.IFNA(INDEX(inbound_data[],MATCH(Outbound_data[[#This Row],[STOCK CODE OUT]],Generated_Stockcode,0),13),""))</f>
        <v>LOCAL TRANSFER</v>
      </c>
    </row>
    <row r="56" spans="2:17" x14ac:dyDescent="0.25">
      <c r="B56" s="71">
        <v>46002</v>
      </c>
      <c r="C56" s="65">
        <v>136422</v>
      </c>
      <c r="D56" s="55" t="s">
        <v>263</v>
      </c>
      <c r="E56" s="65" t="s">
        <v>273</v>
      </c>
      <c r="F56" s="166">
        <v>30</v>
      </c>
      <c r="G56" s="167">
        <v>312</v>
      </c>
      <c r="H56" s="166">
        <v>1</v>
      </c>
      <c r="I56" s="72">
        <v>98485</v>
      </c>
      <c r="J56" s="55" t="s">
        <v>140</v>
      </c>
      <c r="K56" s="72">
        <v>86465</v>
      </c>
      <c r="L56" s="55" t="s">
        <v>135</v>
      </c>
      <c r="M56" s="174"/>
      <c r="N56" s="73" t="str">
        <f>IF(ISBLANK(C56),"",_xlfn.IFNA(INDEX(inbound_data[],MATCH(Outbound_data[[#This Row],[STOCK CODE OUT]],Generated_Stockcode,0),10),""))</f>
        <v>DUO-00052A/1711</v>
      </c>
      <c r="O56" s="73" t="str">
        <f>IF(ISBLANK(C56),"",_xlfn.IFNA(INDEX(inbound_data[],MATCH(Outbound_data[[#This Row],[STOCK CODE OUT]],Generated_Stockcode,0),12),""))</f>
        <v>PORK ASADO SIOPAO 1.3KG (CHIBAO)</v>
      </c>
      <c r="P56" s="73" t="str">
        <f>IF(ISBLANK(C56),"",_xlfn.IFNA(INDEX(inbound_data[],MATCH(Outbound_data[[#This Row],[STOCK CODE OUT]],Generated_Stockcode,0),23),""))</f>
        <v>BXS</v>
      </c>
      <c r="Q56" s="73" t="str">
        <f>IF(ISBLANK(C56),"",_xlfn.IFNA(INDEX(inbound_data[],MATCH(Outbound_data[[#This Row],[STOCK CODE OUT]],Generated_Stockcode,0),13),""))</f>
        <v>LOCAL TRANSFER</v>
      </c>
    </row>
    <row r="57" spans="2:17" x14ac:dyDescent="0.25">
      <c r="B57" s="71">
        <v>46002</v>
      </c>
      <c r="C57" s="65">
        <v>136422</v>
      </c>
      <c r="D57" s="55" t="s">
        <v>263</v>
      </c>
      <c r="E57" s="65" t="s">
        <v>274</v>
      </c>
      <c r="F57" s="166">
        <v>30</v>
      </c>
      <c r="G57" s="167">
        <v>312</v>
      </c>
      <c r="H57" s="166">
        <v>1</v>
      </c>
      <c r="I57" s="72">
        <v>98485</v>
      </c>
      <c r="J57" s="55" t="s">
        <v>140</v>
      </c>
      <c r="K57" s="72">
        <v>86465</v>
      </c>
      <c r="L57" s="55" t="s">
        <v>135</v>
      </c>
      <c r="M57" s="174"/>
      <c r="N57" s="73" t="str">
        <f>IF(ISBLANK(C57),"",_xlfn.IFNA(INDEX(inbound_data[],MATCH(Outbound_data[[#This Row],[STOCK CODE OUT]],Generated_Stockcode,0),10),""))</f>
        <v>DUO-00053A/4901</v>
      </c>
      <c r="O57" s="73" t="str">
        <f>IF(ISBLANK(C57),"",_xlfn.IFNA(INDEX(inbound_data[],MATCH(Outbound_data[[#This Row],[STOCK CODE OUT]],Generated_Stockcode,0),12),""))</f>
        <v>PORK ASADO SIOPAO 1.3KG (CHIBAO)</v>
      </c>
      <c r="P57" s="73" t="str">
        <f>IF(ISBLANK(C57),"",_xlfn.IFNA(INDEX(inbound_data[],MATCH(Outbound_data[[#This Row],[STOCK CODE OUT]],Generated_Stockcode,0),23),""))</f>
        <v>BXS</v>
      </c>
      <c r="Q57" s="73" t="str">
        <f>IF(ISBLANK(C57),"",_xlfn.IFNA(INDEX(inbound_data[],MATCH(Outbound_data[[#This Row],[STOCK CODE OUT]],Generated_Stockcode,0),13),""))</f>
        <v>LOCAL TRANSFER</v>
      </c>
    </row>
    <row r="58" spans="2:17" x14ac:dyDescent="0.25">
      <c r="B58" s="71">
        <v>46002</v>
      </c>
      <c r="C58" s="65">
        <v>136422</v>
      </c>
      <c r="D58" s="55" t="s">
        <v>263</v>
      </c>
      <c r="E58" s="65" t="s">
        <v>275</v>
      </c>
      <c r="F58" s="166">
        <v>30</v>
      </c>
      <c r="G58" s="167">
        <v>312</v>
      </c>
      <c r="H58" s="166">
        <v>1</v>
      </c>
      <c r="I58" s="72">
        <v>98485</v>
      </c>
      <c r="J58" s="55" t="s">
        <v>140</v>
      </c>
      <c r="K58" s="72">
        <v>86465</v>
      </c>
      <c r="L58" s="55" t="s">
        <v>135</v>
      </c>
      <c r="M58" s="174"/>
      <c r="N58" s="73" t="str">
        <f>IF(ISBLANK(C58),"",_xlfn.IFNA(INDEX(inbound_data[],MATCH(Outbound_data[[#This Row],[STOCK CODE OUT]],Generated_Stockcode,0),10),""))</f>
        <v>DUO-00054A/5284</v>
      </c>
      <c r="O58" s="73" t="str">
        <f>IF(ISBLANK(C58),"",_xlfn.IFNA(INDEX(inbound_data[],MATCH(Outbound_data[[#This Row],[STOCK CODE OUT]],Generated_Stockcode,0),12),""))</f>
        <v>PORK ASADO SIOPAO 1.3KG (CHIBAO)</v>
      </c>
      <c r="P58" s="73" t="str">
        <f>IF(ISBLANK(C58),"",_xlfn.IFNA(INDEX(inbound_data[],MATCH(Outbound_data[[#This Row],[STOCK CODE OUT]],Generated_Stockcode,0),23),""))</f>
        <v>BXS</v>
      </c>
      <c r="Q58" s="73" t="str">
        <f>IF(ISBLANK(C58),"",_xlfn.IFNA(INDEX(inbound_data[],MATCH(Outbound_data[[#This Row],[STOCK CODE OUT]],Generated_Stockcode,0),13),""))</f>
        <v>LOCAL TRANSFER</v>
      </c>
    </row>
    <row r="59" spans="2:17" x14ac:dyDescent="0.25">
      <c r="B59" s="71">
        <v>46002</v>
      </c>
      <c r="C59" s="65">
        <v>136422</v>
      </c>
      <c r="D59" s="55" t="s">
        <v>263</v>
      </c>
      <c r="E59" s="65" t="s">
        <v>276</v>
      </c>
      <c r="F59" s="166">
        <v>30</v>
      </c>
      <c r="G59" s="167">
        <v>312</v>
      </c>
      <c r="H59" s="166">
        <v>1</v>
      </c>
      <c r="I59" s="72">
        <v>98485</v>
      </c>
      <c r="J59" s="55" t="s">
        <v>140</v>
      </c>
      <c r="K59" s="72">
        <v>86465</v>
      </c>
      <c r="L59" s="55" t="s">
        <v>135</v>
      </c>
      <c r="M59" s="174"/>
      <c r="N59" s="73" t="str">
        <f>IF(ISBLANK(C59),"",_xlfn.IFNA(INDEX(inbound_data[],MATCH(Outbound_data[[#This Row],[STOCK CODE OUT]],Generated_Stockcode,0),10),""))</f>
        <v>DUO-00055A/496</v>
      </c>
      <c r="O59" s="73" t="str">
        <f>IF(ISBLANK(C59),"",_xlfn.IFNA(INDEX(inbound_data[],MATCH(Outbound_data[[#This Row],[STOCK CODE OUT]],Generated_Stockcode,0),12),""))</f>
        <v>PORK ASADO SIOPAO 1.3KG (CHIBAO)</v>
      </c>
      <c r="P59" s="73" t="str">
        <f>IF(ISBLANK(C59),"",_xlfn.IFNA(INDEX(inbound_data[],MATCH(Outbound_data[[#This Row],[STOCK CODE OUT]],Generated_Stockcode,0),23),""))</f>
        <v>BXS</v>
      </c>
      <c r="Q59" s="73" t="str">
        <f>IF(ISBLANK(C59),"",_xlfn.IFNA(INDEX(inbound_data[],MATCH(Outbound_data[[#This Row],[STOCK CODE OUT]],Generated_Stockcode,0),13),""))</f>
        <v>LOCAL TRANSFER</v>
      </c>
    </row>
    <row r="60" spans="2:17" x14ac:dyDescent="0.25">
      <c r="B60" s="71">
        <v>46003</v>
      </c>
      <c r="C60" s="65">
        <v>136450</v>
      </c>
      <c r="D60" s="55" t="s">
        <v>263</v>
      </c>
      <c r="E60" s="65" t="s">
        <v>289</v>
      </c>
      <c r="F60" s="166">
        <v>30</v>
      </c>
      <c r="G60" s="167">
        <v>312</v>
      </c>
      <c r="H60" s="166">
        <v>1</v>
      </c>
      <c r="I60" s="72">
        <v>101556</v>
      </c>
      <c r="J60" s="55" t="s">
        <v>202</v>
      </c>
      <c r="K60" s="72">
        <v>86956</v>
      </c>
      <c r="L60" s="55" t="s">
        <v>135</v>
      </c>
      <c r="M60" s="174"/>
      <c r="N60" s="73" t="str">
        <f>IF(ISBLANK(C60),"",_xlfn.IFNA(INDEX(inbound_data[],MATCH(Outbound_data[[#This Row],[STOCK CODE OUT]],Generated_Stockcode,0),10),""))</f>
        <v>DUO-00056A/4592</v>
      </c>
      <c r="O60" s="73" t="str">
        <f>IF(ISBLANK(C60),"",_xlfn.IFNA(INDEX(inbound_data[],MATCH(Outbound_data[[#This Row],[STOCK CODE OUT]],Generated_Stockcode,0),12),""))</f>
        <v>PORK ASADO SIOPAO 1.3KG (CHIBAO)</v>
      </c>
      <c r="P60" s="73" t="str">
        <f>IF(ISBLANK(C60),"",_xlfn.IFNA(INDEX(inbound_data[],MATCH(Outbound_data[[#This Row],[STOCK CODE OUT]],Generated_Stockcode,0),23),""))</f>
        <v>BXS</v>
      </c>
      <c r="Q60" s="73" t="str">
        <f>IF(ISBLANK(C60),"",_xlfn.IFNA(INDEX(inbound_data[],MATCH(Outbound_data[[#This Row],[STOCK CODE OUT]],Generated_Stockcode,0),13),""))</f>
        <v>LOCAL TRANSFER</v>
      </c>
    </row>
    <row r="61" spans="2:17" x14ac:dyDescent="0.25">
      <c r="B61" s="71">
        <v>46003</v>
      </c>
      <c r="C61" s="65">
        <v>136450</v>
      </c>
      <c r="D61" s="55" t="s">
        <v>263</v>
      </c>
      <c r="E61" s="65" t="s">
        <v>290</v>
      </c>
      <c r="F61" s="166">
        <v>30</v>
      </c>
      <c r="G61" s="167">
        <v>312</v>
      </c>
      <c r="H61" s="166">
        <v>1</v>
      </c>
      <c r="I61" s="72">
        <v>101556</v>
      </c>
      <c r="J61" s="55" t="s">
        <v>202</v>
      </c>
      <c r="K61" s="72">
        <v>86956</v>
      </c>
      <c r="L61" s="55" t="s">
        <v>135</v>
      </c>
      <c r="M61" s="174"/>
      <c r="N61" s="73" t="str">
        <f>IF(ISBLANK(C61),"",_xlfn.IFNA(INDEX(inbound_data[],MATCH(Outbound_data[[#This Row],[STOCK CODE OUT]],Generated_Stockcode,0),10),""))</f>
        <v>DUO-00057A/NP</v>
      </c>
      <c r="O61" s="73" t="str">
        <f>IF(ISBLANK(C61),"",_xlfn.IFNA(INDEX(inbound_data[],MATCH(Outbound_data[[#This Row],[STOCK CODE OUT]],Generated_Stockcode,0),12),""))</f>
        <v>PORK ASADO SIOPAO 1.3KG (CHIBAO)</v>
      </c>
      <c r="P61" s="73" t="str">
        <f>IF(ISBLANK(C61),"",_xlfn.IFNA(INDEX(inbound_data[],MATCH(Outbound_data[[#This Row],[STOCK CODE OUT]],Generated_Stockcode,0),23),""))</f>
        <v>BXS</v>
      </c>
      <c r="Q61" s="73" t="str">
        <f>IF(ISBLANK(C61),"",_xlfn.IFNA(INDEX(inbound_data[],MATCH(Outbound_data[[#This Row],[STOCK CODE OUT]],Generated_Stockcode,0),13),""))</f>
        <v>LOCAL TRANSFER</v>
      </c>
    </row>
    <row r="62" spans="2:17" x14ac:dyDescent="0.25">
      <c r="B62" s="71">
        <v>46003</v>
      </c>
      <c r="C62" s="65">
        <v>136450</v>
      </c>
      <c r="D62" s="55" t="s">
        <v>263</v>
      </c>
      <c r="E62" s="65" t="s">
        <v>291</v>
      </c>
      <c r="F62" s="166">
        <v>30</v>
      </c>
      <c r="G62" s="167">
        <v>312</v>
      </c>
      <c r="H62" s="166">
        <v>1</v>
      </c>
      <c r="I62" s="72">
        <v>101556</v>
      </c>
      <c r="J62" s="55" t="s">
        <v>202</v>
      </c>
      <c r="K62" s="72">
        <v>86956</v>
      </c>
      <c r="L62" s="55" t="s">
        <v>135</v>
      </c>
      <c r="M62" s="174"/>
      <c r="N62" s="73" t="str">
        <f>IF(ISBLANK(C62),"",_xlfn.IFNA(INDEX(inbound_data[],MATCH(Outbound_data[[#This Row],[STOCK CODE OUT]],Generated_Stockcode,0),10),""))</f>
        <v>DUO-00058A/006</v>
      </c>
      <c r="O62" s="73" t="str">
        <f>IF(ISBLANK(C62),"",_xlfn.IFNA(INDEX(inbound_data[],MATCH(Outbound_data[[#This Row],[STOCK CODE OUT]],Generated_Stockcode,0),12),""))</f>
        <v>PORK ASADO SIOPAO 1.3KG (CHIBAO)</v>
      </c>
      <c r="P62" s="73" t="str">
        <f>IF(ISBLANK(C62),"",_xlfn.IFNA(INDEX(inbound_data[],MATCH(Outbound_data[[#This Row],[STOCK CODE OUT]],Generated_Stockcode,0),23),""))</f>
        <v>BXS</v>
      </c>
      <c r="Q62" s="73" t="str">
        <f>IF(ISBLANK(C62),"",_xlfn.IFNA(INDEX(inbound_data[],MATCH(Outbound_data[[#This Row],[STOCK CODE OUT]],Generated_Stockcode,0),13),""))</f>
        <v>LOCAL TRANSFER</v>
      </c>
    </row>
    <row r="63" spans="2:17" x14ac:dyDescent="0.25">
      <c r="B63" s="71">
        <v>46003</v>
      </c>
      <c r="C63" s="65">
        <v>136450</v>
      </c>
      <c r="D63" s="55" t="s">
        <v>263</v>
      </c>
      <c r="E63" s="65" t="s">
        <v>292</v>
      </c>
      <c r="F63" s="166">
        <v>30</v>
      </c>
      <c r="G63" s="167">
        <v>312</v>
      </c>
      <c r="H63" s="166">
        <v>1</v>
      </c>
      <c r="I63" s="72">
        <v>101556</v>
      </c>
      <c r="J63" s="55" t="s">
        <v>202</v>
      </c>
      <c r="K63" s="72">
        <v>86956</v>
      </c>
      <c r="L63" s="55" t="s">
        <v>135</v>
      </c>
      <c r="M63" s="174"/>
      <c r="N63" s="73" t="str">
        <f>IF(ISBLANK(C63),"",_xlfn.IFNA(INDEX(inbound_data[],MATCH(Outbound_data[[#This Row],[STOCK CODE OUT]],Generated_Stockcode,0),10),""))</f>
        <v>DUO-00059A/2973</v>
      </c>
      <c r="O63" s="73" t="str">
        <f>IF(ISBLANK(C63),"",_xlfn.IFNA(INDEX(inbound_data[],MATCH(Outbound_data[[#This Row],[STOCK CODE OUT]],Generated_Stockcode,0),12),""))</f>
        <v>PORK ASADO SIOPAO 1.3KG (CHIBAO)</v>
      </c>
      <c r="P63" s="73" t="str">
        <f>IF(ISBLANK(C63),"",_xlfn.IFNA(INDEX(inbound_data[],MATCH(Outbound_data[[#This Row],[STOCK CODE OUT]],Generated_Stockcode,0),23),""))</f>
        <v>BXS</v>
      </c>
      <c r="Q63" s="73" t="str">
        <f>IF(ISBLANK(C63),"",_xlfn.IFNA(INDEX(inbound_data[],MATCH(Outbound_data[[#This Row],[STOCK CODE OUT]],Generated_Stockcode,0),13),""))</f>
        <v>LOCAL TRANSFER</v>
      </c>
    </row>
    <row r="64" spans="2:17" x14ac:dyDescent="0.25">
      <c r="B64" s="71">
        <v>46003</v>
      </c>
      <c r="C64" s="65">
        <v>136450</v>
      </c>
      <c r="D64" s="55" t="s">
        <v>263</v>
      </c>
      <c r="E64" s="65" t="s">
        <v>293</v>
      </c>
      <c r="F64" s="166">
        <v>30</v>
      </c>
      <c r="G64" s="167">
        <v>312</v>
      </c>
      <c r="H64" s="166">
        <v>1</v>
      </c>
      <c r="I64" s="72">
        <v>101556</v>
      </c>
      <c r="J64" s="55" t="s">
        <v>202</v>
      </c>
      <c r="K64" s="72">
        <v>86956</v>
      </c>
      <c r="L64" s="55" t="s">
        <v>135</v>
      </c>
      <c r="M64" s="174"/>
      <c r="N64" s="73" t="str">
        <f>IF(ISBLANK(C64),"",_xlfn.IFNA(INDEX(inbound_data[],MATCH(Outbound_data[[#This Row],[STOCK CODE OUT]],Generated_Stockcode,0),10),""))</f>
        <v>DUO-00060A/41115</v>
      </c>
      <c r="O64" s="73" t="str">
        <f>IF(ISBLANK(C64),"",_xlfn.IFNA(INDEX(inbound_data[],MATCH(Outbound_data[[#This Row],[STOCK CODE OUT]],Generated_Stockcode,0),12),""))</f>
        <v>PORK ASADO SIOPAO 1.3KG (CHIBAO)</v>
      </c>
      <c r="P64" s="73" t="str">
        <f>IF(ISBLANK(C64),"",_xlfn.IFNA(INDEX(inbound_data[],MATCH(Outbound_data[[#This Row],[STOCK CODE OUT]],Generated_Stockcode,0),23),""))</f>
        <v>BXS</v>
      </c>
      <c r="Q64" s="73" t="str">
        <f>IF(ISBLANK(C64),"",_xlfn.IFNA(INDEX(inbound_data[],MATCH(Outbound_data[[#This Row],[STOCK CODE OUT]],Generated_Stockcode,0),13),""))</f>
        <v>LOCAL TRANSFER</v>
      </c>
    </row>
    <row r="65" spans="2:17" x14ac:dyDescent="0.25">
      <c r="B65" s="71">
        <v>46003</v>
      </c>
      <c r="C65" s="65">
        <v>136450</v>
      </c>
      <c r="D65" s="55" t="s">
        <v>263</v>
      </c>
      <c r="E65" s="65" t="s">
        <v>294</v>
      </c>
      <c r="F65" s="166">
        <v>30</v>
      </c>
      <c r="G65" s="167">
        <v>312</v>
      </c>
      <c r="H65" s="166">
        <v>1</v>
      </c>
      <c r="I65" s="72">
        <v>101556</v>
      </c>
      <c r="J65" s="55" t="s">
        <v>202</v>
      </c>
      <c r="K65" s="72">
        <v>86956</v>
      </c>
      <c r="L65" s="55" t="s">
        <v>135</v>
      </c>
      <c r="M65" s="174"/>
      <c r="N65" s="73" t="str">
        <f>IF(ISBLANK(C65),"",_xlfn.IFNA(INDEX(inbound_data[],MATCH(Outbound_data[[#This Row],[STOCK CODE OUT]],Generated_Stockcode,0),10),""))</f>
        <v>DUO-00061A/4252</v>
      </c>
      <c r="O65" s="73" t="str">
        <f>IF(ISBLANK(C65),"",_xlfn.IFNA(INDEX(inbound_data[],MATCH(Outbound_data[[#This Row],[STOCK CODE OUT]],Generated_Stockcode,0),12),""))</f>
        <v>PORK ASADO SIOPAO 1.3KG (CHIBAO)</v>
      </c>
      <c r="P65" s="73" t="str">
        <f>IF(ISBLANK(C65),"",_xlfn.IFNA(INDEX(inbound_data[],MATCH(Outbound_data[[#This Row],[STOCK CODE OUT]],Generated_Stockcode,0),23),""))</f>
        <v>BXS</v>
      </c>
      <c r="Q65" s="73" t="str">
        <f>IF(ISBLANK(C65),"",_xlfn.IFNA(INDEX(inbound_data[],MATCH(Outbound_data[[#This Row],[STOCK CODE OUT]],Generated_Stockcode,0),13),""))</f>
        <v>LOCAL TRANSFER</v>
      </c>
    </row>
    <row r="66" spans="2:17" x14ac:dyDescent="0.25">
      <c r="B66" s="71">
        <v>46003</v>
      </c>
      <c r="C66" s="65">
        <v>136450</v>
      </c>
      <c r="D66" s="55" t="s">
        <v>263</v>
      </c>
      <c r="E66" s="65" t="s">
        <v>295</v>
      </c>
      <c r="F66" s="166">
        <v>30</v>
      </c>
      <c r="G66" s="167">
        <v>312</v>
      </c>
      <c r="H66" s="166">
        <v>1</v>
      </c>
      <c r="I66" s="72">
        <v>101556</v>
      </c>
      <c r="J66" s="55" t="s">
        <v>202</v>
      </c>
      <c r="K66" s="72">
        <v>86956</v>
      </c>
      <c r="L66" s="55" t="s">
        <v>135</v>
      </c>
      <c r="M66" s="174"/>
      <c r="N66" s="73" t="str">
        <f>IF(ISBLANK(C66),"",_xlfn.IFNA(INDEX(inbound_data[],MATCH(Outbound_data[[#This Row],[STOCK CODE OUT]],Generated_Stockcode,0),10),""))</f>
        <v>DUO-00062A/6185</v>
      </c>
      <c r="O66" s="73" t="str">
        <f>IF(ISBLANK(C66),"",_xlfn.IFNA(INDEX(inbound_data[],MATCH(Outbound_data[[#This Row],[STOCK CODE OUT]],Generated_Stockcode,0),12),""))</f>
        <v>PORK ASADO SIOPAO 1.3KG (CHIBAO)</v>
      </c>
      <c r="P66" s="73" t="str">
        <f>IF(ISBLANK(C66),"",_xlfn.IFNA(INDEX(inbound_data[],MATCH(Outbound_data[[#This Row],[STOCK CODE OUT]],Generated_Stockcode,0),23),""))</f>
        <v>BXS</v>
      </c>
      <c r="Q66" s="73" t="str">
        <f>IF(ISBLANK(C66),"",_xlfn.IFNA(INDEX(inbound_data[],MATCH(Outbound_data[[#This Row],[STOCK CODE OUT]],Generated_Stockcode,0),13),""))</f>
        <v>LOCAL TRANSFER</v>
      </c>
    </row>
    <row r="67" spans="2:17" x14ac:dyDescent="0.25">
      <c r="B67" s="71">
        <v>46003</v>
      </c>
      <c r="C67" s="65">
        <v>136450</v>
      </c>
      <c r="D67" s="55" t="s">
        <v>263</v>
      </c>
      <c r="E67" s="65" t="s">
        <v>296</v>
      </c>
      <c r="F67" s="166">
        <v>30</v>
      </c>
      <c r="G67" s="167">
        <v>312</v>
      </c>
      <c r="H67" s="166">
        <v>1</v>
      </c>
      <c r="I67" s="72">
        <v>101556</v>
      </c>
      <c r="J67" s="55" t="s">
        <v>202</v>
      </c>
      <c r="K67" s="72">
        <v>86956</v>
      </c>
      <c r="L67" s="55" t="s">
        <v>135</v>
      </c>
      <c r="M67" s="174"/>
      <c r="N67" s="73" t="str">
        <f>IF(ISBLANK(C67),"",_xlfn.IFNA(INDEX(inbound_data[],MATCH(Outbound_data[[#This Row],[STOCK CODE OUT]],Generated_Stockcode,0),10),""))</f>
        <v>DUO-00063A/3501</v>
      </c>
      <c r="O67" s="73" t="str">
        <f>IF(ISBLANK(C67),"",_xlfn.IFNA(INDEX(inbound_data[],MATCH(Outbound_data[[#This Row],[STOCK CODE OUT]],Generated_Stockcode,0),12),""))</f>
        <v>PORK ASADO SIOPAO 1.3KG (CHIBAO)</v>
      </c>
      <c r="P67" s="73" t="str">
        <f>IF(ISBLANK(C67),"",_xlfn.IFNA(INDEX(inbound_data[],MATCH(Outbound_data[[#This Row],[STOCK CODE OUT]],Generated_Stockcode,0),23),""))</f>
        <v>BXS</v>
      </c>
      <c r="Q67" s="73" t="str">
        <f>IF(ISBLANK(C67),"",_xlfn.IFNA(INDEX(inbound_data[],MATCH(Outbound_data[[#This Row],[STOCK CODE OUT]],Generated_Stockcode,0),13),""))</f>
        <v>LOCAL TRANSFER</v>
      </c>
    </row>
    <row r="68" spans="2:17" x14ac:dyDescent="0.25">
      <c r="B68" s="71">
        <v>46003</v>
      </c>
      <c r="C68" s="65">
        <v>136450</v>
      </c>
      <c r="D68" s="55" t="s">
        <v>263</v>
      </c>
      <c r="E68" s="65" t="s">
        <v>297</v>
      </c>
      <c r="F68" s="166">
        <v>30</v>
      </c>
      <c r="G68" s="167">
        <v>312</v>
      </c>
      <c r="H68" s="166">
        <v>1</v>
      </c>
      <c r="I68" s="72">
        <v>101556</v>
      </c>
      <c r="J68" s="55" t="s">
        <v>202</v>
      </c>
      <c r="K68" s="72">
        <v>86956</v>
      </c>
      <c r="L68" s="55" t="s">
        <v>135</v>
      </c>
      <c r="M68" s="174"/>
      <c r="N68" s="73" t="str">
        <f>IF(ISBLANK(C68),"",_xlfn.IFNA(INDEX(inbound_data[],MATCH(Outbound_data[[#This Row],[STOCK CODE OUT]],Generated_Stockcode,0),10),""))</f>
        <v>DUO-00064A/583</v>
      </c>
      <c r="O68" s="73" t="str">
        <f>IF(ISBLANK(C68),"",_xlfn.IFNA(INDEX(inbound_data[],MATCH(Outbound_data[[#This Row],[STOCK CODE OUT]],Generated_Stockcode,0),12),""))</f>
        <v>PORK ASADO SIOPAO 1.3KG (CHIBAO)</v>
      </c>
      <c r="P68" s="73" t="str">
        <f>IF(ISBLANK(C68),"",_xlfn.IFNA(INDEX(inbound_data[],MATCH(Outbound_data[[#This Row],[STOCK CODE OUT]],Generated_Stockcode,0),23),""))</f>
        <v>BXS</v>
      </c>
      <c r="Q68" s="73" t="str">
        <f>IF(ISBLANK(C68),"",_xlfn.IFNA(INDEX(inbound_data[],MATCH(Outbound_data[[#This Row],[STOCK CODE OUT]],Generated_Stockcode,0),13),""))</f>
        <v>LOCAL TRANSFER</v>
      </c>
    </row>
    <row r="69" spans="2:17" x14ac:dyDescent="0.25">
      <c r="B69" s="71">
        <v>46003</v>
      </c>
      <c r="C69" s="65">
        <v>136450</v>
      </c>
      <c r="D69" s="55" t="s">
        <v>263</v>
      </c>
      <c r="E69" s="65" t="s">
        <v>298</v>
      </c>
      <c r="F69" s="166">
        <v>30</v>
      </c>
      <c r="G69" s="167">
        <v>312</v>
      </c>
      <c r="H69" s="166">
        <v>1</v>
      </c>
      <c r="I69" s="72">
        <v>101556</v>
      </c>
      <c r="J69" s="55" t="s">
        <v>202</v>
      </c>
      <c r="K69" s="72">
        <v>86956</v>
      </c>
      <c r="L69" s="55" t="s">
        <v>135</v>
      </c>
      <c r="M69" s="174"/>
      <c r="N69" s="73" t="str">
        <f>IF(ISBLANK(C69),"",_xlfn.IFNA(INDEX(inbound_data[],MATCH(Outbound_data[[#This Row],[STOCK CODE OUT]],Generated_Stockcode,0),10),""))</f>
        <v>DUO-00065A/411</v>
      </c>
      <c r="O69" s="73" t="str">
        <f>IF(ISBLANK(C69),"",_xlfn.IFNA(INDEX(inbound_data[],MATCH(Outbound_data[[#This Row],[STOCK CODE OUT]],Generated_Stockcode,0),12),""))</f>
        <v>PORK ASADO SIOPAO 1.3KG (CHIBAO)</v>
      </c>
      <c r="P69" s="73" t="str">
        <f>IF(ISBLANK(C69),"",_xlfn.IFNA(INDEX(inbound_data[],MATCH(Outbound_data[[#This Row],[STOCK CODE OUT]],Generated_Stockcode,0),23),""))</f>
        <v>BXS</v>
      </c>
      <c r="Q69" s="73" t="str">
        <f>IF(ISBLANK(C69),"",_xlfn.IFNA(INDEX(inbound_data[],MATCH(Outbound_data[[#This Row],[STOCK CODE OUT]],Generated_Stockcode,0),13),""))</f>
        <v>LOCAL TRANSFER</v>
      </c>
    </row>
    <row r="70" spans="2:17" x14ac:dyDescent="0.25">
      <c r="B70" s="71">
        <v>46003</v>
      </c>
      <c r="C70" s="65">
        <v>136450</v>
      </c>
      <c r="D70" s="55" t="s">
        <v>263</v>
      </c>
      <c r="E70" s="65" t="s">
        <v>299</v>
      </c>
      <c r="F70" s="166">
        <v>30</v>
      </c>
      <c r="G70" s="167">
        <v>312</v>
      </c>
      <c r="H70" s="166">
        <v>1</v>
      </c>
      <c r="I70" s="72">
        <v>101556</v>
      </c>
      <c r="J70" s="55" t="s">
        <v>202</v>
      </c>
      <c r="K70" s="72">
        <v>86956</v>
      </c>
      <c r="L70" s="55" t="s">
        <v>135</v>
      </c>
      <c r="M70" s="174"/>
      <c r="N70" s="73" t="str">
        <f>IF(ISBLANK(C70),"",_xlfn.IFNA(INDEX(inbound_data[],MATCH(Outbound_data[[#This Row],[STOCK CODE OUT]],Generated_Stockcode,0),10),""))</f>
        <v>DUO-00066A/1434</v>
      </c>
      <c r="O70" s="73" t="str">
        <f>IF(ISBLANK(C70),"",_xlfn.IFNA(INDEX(inbound_data[],MATCH(Outbound_data[[#This Row],[STOCK CODE OUT]],Generated_Stockcode,0),12),""))</f>
        <v>PORK ASADO SIOPAO 1.3KG (CHIBAO)</v>
      </c>
      <c r="P70" s="73" t="str">
        <f>IF(ISBLANK(C70),"",_xlfn.IFNA(INDEX(inbound_data[],MATCH(Outbound_data[[#This Row],[STOCK CODE OUT]],Generated_Stockcode,0),23),""))</f>
        <v>BXS</v>
      </c>
      <c r="Q70" s="73" t="str">
        <f>IF(ISBLANK(C70),"",_xlfn.IFNA(INDEX(inbound_data[],MATCH(Outbound_data[[#This Row],[STOCK CODE OUT]],Generated_Stockcode,0),13),""))</f>
        <v>LOCAL TRANSFER</v>
      </c>
    </row>
    <row r="71" spans="2:17" x14ac:dyDescent="0.25">
      <c r="B71" s="71">
        <v>46003</v>
      </c>
      <c r="C71" s="65">
        <v>136450</v>
      </c>
      <c r="D71" s="55" t="s">
        <v>263</v>
      </c>
      <c r="E71" s="65" t="s">
        <v>300</v>
      </c>
      <c r="F71" s="166">
        <v>25</v>
      </c>
      <c r="G71" s="167">
        <v>260</v>
      </c>
      <c r="H71" s="166">
        <v>1</v>
      </c>
      <c r="I71" s="72">
        <v>101556</v>
      </c>
      <c r="J71" s="55" t="s">
        <v>202</v>
      </c>
      <c r="K71" s="72">
        <v>86956</v>
      </c>
      <c r="L71" s="55" t="s">
        <v>135</v>
      </c>
      <c r="M71" s="174"/>
      <c r="N71" s="73" t="str">
        <f>IF(ISBLANK(C71),"",_xlfn.IFNA(INDEX(inbound_data[],MATCH(Outbound_data[[#This Row],[STOCK CODE OUT]],Generated_Stockcode,0),10),""))</f>
        <v>DUO-00067A/6416</v>
      </c>
      <c r="O71" s="73" t="str">
        <f>IF(ISBLANK(C71),"",_xlfn.IFNA(INDEX(inbound_data[],MATCH(Outbound_data[[#This Row],[STOCK CODE OUT]],Generated_Stockcode,0),12),""))</f>
        <v>PORK ASADO SIOPAO 1.3KG (CHIBAO)</v>
      </c>
      <c r="P71" s="73" t="str">
        <f>IF(ISBLANK(C71),"",_xlfn.IFNA(INDEX(inbound_data[],MATCH(Outbound_data[[#This Row],[STOCK CODE OUT]],Generated_Stockcode,0),23),""))</f>
        <v>BXS</v>
      </c>
      <c r="Q71" s="73" t="str">
        <f>IF(ISBLANK(C71),"",_xlfn.IFNA(INDEX(inbound_data[],MATCH(Outbound_data[[#This Row],[STOCK CODE OUT]],Generated_Stockcode,0),13),""))</f>
        <v>LOCAL TRANSFER</v>
      </c>
    </row>
    <row r="72" spans="2:17" x14ac:dyDescent="0.25">
      <c r="B72" s="71">
        <v>46024</v>
      </c>
      <c r="C72" s="65">
        <v>138958</v>
      </c>
      <c r="D72" s="55" t="s">
        <v>263</v>
      </c>
      <c r="E72" s="65" t="s">
        <v>319</v>
      </c>
      <c r="F72" s="166">
        <v>77</v>
      </c>
      <c r="G72" s="167">
        <v>462</v>
      </c>
      <c r="H72" s="166">
        <v>1</v>
      </c>
      <c r="I72" s="72">
        <v>100321</v>
      </c>
      <c r="J72" s="55" t="s">
        <v>335</v>
      </c>
      <c r="K72" s="72">
        <v>86434</v>
      </c>
      <c r="L72" s="55" t="s">
        <v>135</v>
      </c>
      <c r="M72" s="174"/>
      <c r="N72" s="73" t="str">
        <f>IF(ISBLANK(C72),"",_xlfn.IFNA(INDEX(inbound_data[],MATCH(Outbound_data[[#This Row],[STOCK CODE OUT]],Generated_Stockcode,0),10),""))</f>
        <v>DUO-00068A/7662</v>
      </c>
      <c r="O72" s="73" t="str">
        <f>IF(ISBLANK(C72),"",_xlfn.IFNA(INDEX(inbound_data[],MATCH(Outbound_data[[#This Row],[STOCK CODE OUT]],Generated_Stockcode,0),12),""))</f>
        <v>SHRIMP SIOMAI 500G (APRUB)</v>
      </c>
      <c r="P72" s="73" t="str">
        <f>IF(ISBLANK(C72),"",_xlfn.IFNA(INDEX(inbound_data[],MATCH(Outbound_data[[#This Row],[STOCK CODE OUT]],Generated_Stockcode,0),23),""))</f>
        <v>BXS</v>
      </c>
      <c r="Q72" s="73" t="str">
        <f>IF(ISBLANK(C72),"",_xlfn.IFNA(INDEX(inbound_data[],MATCH(Outbound_data[[#This Row],[STOCK CODE OUT]],Generated_Stockcode,0),13),""))</f>
        <v>LOCAL TRANSFER</v>
      </c>
    </row>
    <row r="73" spans="2:17" x14ac:dyDescent="0.25">
      <c r="B73" s="71">
        <v>46024</v>
      </c>
      <c r="C73" s="65">
        <v>138958</v>
      </c>
      <c r="D73" s="55" t="s">
        <v>263</v>
      </c>
      <c r="E73" s="65" t="s">
        <v>320</v>
      </c>
      <c r="F73" s="166">
        <v>77</v>
      </c>
      <c r="G73" s="167">
        <v>462</v>
      </c>
      <c r="H73" s="166">
        <v>1</v>
      </c>
      <c r="I73" s="72">
        <v>100321</v>
      </c>
      <c r="J73" s="55" t="s">
        <v>335</v>
      </c>
      <c r="K73" s="72">
        <v>86434</v>
      </c>
      <c r="L73" s="55" t="s">
        <v>135</v>
      </c>
      <c r="M73" s="174"/>
      <c r="N73" s="73" t="str">
        <f>IF(ISBLANK(C73),"",_xlfn.IFNA(INDEX(inbound_data[],MATCH(Outbound_data[[#This Row],[STOCK CODE OUT]],Generated_Stockcode,0),10),""))</f>
        <v>DUO-00069A/7269</v>
      </c>
      <c r="O73" s="73" t="str">
        <f>IF(ISBLANK(C73),"",_xlfn.IFNA(INDEX(inbound_data[],MATCH(Outbound_data[[#This Row],[STOCK CODE OUT]],Generated_Stockcode,0),12),""))</f>
        <v>SHRIMP SIOMAI 500G (APRUB)</v>
      </c>
      <c r="P73" s="73" t="str">
        <f>IF(ISBLANK(C73),"",_xlfn.IFNA(INDEX(inbound_data[],MATCH(Outbound_data[[#This Row],[STOCK CODE OUT]],Generated_Stockcode,0),23),""))</f>
        <v>BXS</v>
      </c>
      <c r="Q73" s="73" t="str">
        <f>IF(ISBLANK(C73),"",_xlfn.IFNA(INDEX(inbound_data[],MATCH(Outbound_data[[#This Row],[STOCK CODE OUT]],Generated_Stockcode,0),13),""))</f>
        <v>LOCAL TRANSFER</v>
      </c>
    </row>
    <row r="74" spans="2:17" x14ac:dyDescent="0.25">
      <c r="B74" s="71">
        <v>46024</v>
      </c>
      <c r="C74" s="65">
        <v>138958</v>
      </c>
      <c r="D74" s="55" t="s">
        <v>263</v>
      </c>
      <c r="E74" s="65" t="s">
        <v>321</v>
      </c>
      <c r="F74" s="166">
        <v>77</v>
      </c>
      <c r="G74" s="167">
        <v>462</v>
      </c>
      <c r="H74" s="166">
        <v>1</v>
      </c>
      <c r="I74" s="72">
        <v>100321</v>
      </c>
      <c r="J74" s="55" t="s">
        <v>335</v>
      </c>
      <c r="K74" s="72">
        <v>86434</v>
      </c>
      <c r="L74" s="55" t="s">
        <v>135</v>
      </c>
      <c r="M74" s="174"/>
      <c r="N74" s="73" t="str">
        <f>IF(ISBLANK(C74),"",_xlfn.IFNA(INDEX(inbound_data[],MATCH(Outbound_data[[#This Row],[STOCK CODE OUT]],Generated_Stockcode,0),10),""))</f>
        <v>DUO-00070A/4782</v>
      </c>
      <c r="O74" s="73" t="str">
        <f>IF(ISBLANK(C74),"",_xlfn.IFNA(INDEX(inbound_data[],MATCH(Outbound_data[[#This Row],[STOCK CODE OUT]],Generated_Stockcode,0),12),""))</f>
        <v>SHRIMP SIOMAI 500G (APRUB)</v>
      </c>
      <c r="P74" s="73" t="str">
        <f>IF(ISBLANK(C74),"",_xlfn.IFNA(INDEX(inbound_data[],MATCH(Outbound_data[[#This Row],[STOCK CODE OUT]],Generated_Stockcode,0),23),""))</f>
        <v>BXS</v>
      </c>
      <c r="Q74" s="73" t="str">
        <f>IF(ISBLANK(C74),"",_xlfn.IFNA(INDEX(inbound_data[],MATCH(Outbound_data[[#This Row],[STOCK CODE OUT]],Generated_Stockcode,0),13),""))</f>
        <v>LOCAL TRANSFER</v>
      </c>
    </row>
    <row r="75" spans="2:17" x14ac:dyDescent="0.25">
      <c r="B75" s="71">
        <v>46024</v>
      </c>
      <c r="C75" s="65">
        <v>138958</v>
      </c>
      <c r="D75" s="55" t="s">
        <v>263</v>
      </c>
      <c r="E75" s="65" t="s">
        <v>322</v>
      </c>
      <c r="F75" s="166">
        <v>77</v>
      </c>
      <c r="G75" s="167">
        <v>462</v>
      </c>
      <c r="H75" s="166">
        <v>1</v>
      </c>
      <c r="I75" s="72">
        <v>100321</v>
      </c>
      <c r="J75" s="55" t="s">
        <v>335</v>
      </c>
      <c r="K75" s="72">
        <v>86434</v>
      </c>
      <c r="L75" s="55" t="s">
        <v>135</v>
      </c>
      <c r="M75" s="174"/>
      <c r="N75" s="73" t="str">
        <f>IF(ISBLANK(C75),"",_xlfn.IFNA(INDEX(inbound_data[],MATCH(Outbound_data[[#This Row],[STOCK CODE OUT]],Generated_Stockcode,0),10),""))</f>
        <v>DUO-00071A/2230</v>
      </c>
      <c r="O75" s="73" t="str">
        <f>IF(ISBLANK(C75),"",_xlfn.IFNA(INDEX(inbound_data[],MATCH(Outbound_data[[#This Row],[STOCK CODE OUT]],Generated_Stockcode,0),12),""))</f>
        <v>SHRIMP SIOMAI 500G (APRUB)</v>
      </c>
      <c r="P75" s="73" t="str">
        <f>IF(ISBLANK(C75),"",_xlfn.IFNA(INDEX(inbound_data[],MATCH(Outbound_data[[#This Row],[STOCK CODE OUT]],Generated_Stockcode,0),23),""))</f>
        <v>BXS</v>
      </c>
      <c r="Q75" s="73" t="str">
        <f>IF(ISBLANK(C75),"",_xlfn.IFNA(INDEX(inbound_data[],MATCH(Outbound_data[[#This Row],[STOCK CODE OUT]],Generated_Stockcode,0),13),""))</f>
        <v>LOCAL TRANSFER</v>
      </c>
    </row>
    <row r="76" spans="2:17" x14ac:dyDescent="0.25">
      <c r="B76" s="71">
        <v>46024</v>
      </c>
      <c r="C76" s="65">
        <v>138958</v>
      </c>
      <c r="D76" s="55" t="s">
        <v>263</v>
      </c>
      <c r="E76" s="65" t="s">
        <v>323</v>
      </c>
      <c r="F76" s="166">
        <v>60</v>
      </c>
      <c r="G76" s="167">
        <v>360</v>
      </c>
      <c r="H76" s="166">
        <v>1</v>
      </c>
      <c r="I76" s="72">
        <v>100321</v>
      </c>
      <c r="J76" s="55" t="s">
        <v>335</v>
      </c>
      <c r="K76" s="72">
        <v>86434</v>
      </c>
      <c r="L76" s="55" t="s">
        <v>135</v>
      </c>
      <c r="M76" s="174"/>
      <c r="N76" s="73" t="str">
        <f>IF(ISBLANK(C76),"",_xlfn.IFNA(INDEX(inbound_data[],MATCH(Outbound_data[[#This Row],[STOCK CODE OUT]],Generated_Stockcode,0),10),""))</f>
        <v>DUO-00072A/6874</v>
      </c>
      <c r="O76" s="73" t="str">
        <f>IF(ISBLANK(C76),"",_xlfn.IFNA(INDEX(inbound_data[],MATCH(Outbound_data[[#This Row],[STOCK CODE OUT]],Generated_Stockcode,0),12),""))</f>
        <v>SHRIMP SIOMAI 500G (APRUB)</v>
      </c>
      <c r="P76" s="73" t="str">
        <f>IF(ISBLANK(C76),"",_xlfn.IFNA(INDEX(inbound_data[],MATCH(Outbound_data[[#This Row],[STOCK CODE OUT]],Generated_Stockcode,0),23),""))</f>
        <v>BXS</v>
      </c>
      <c r="Q76" s="73" t="str">
        <f>IF(ISBLANK(C76),"",_xlfn.IFNA(INDEX(inbound_data[],MATCH(Outbound_data[[#This Row],[STOCK CODE OUT]],Generated_Stockcode,0),13),""))</f>
        <v>LOCAL TRANSFER</v>
      </c>
    </row>
    <row r="77" spans="2:17" x14ac:dyDescent="0.25">
      <c r="B77" s="71">
        <v>46024</v>
      </c>
      <c r="C77" s="65">
        <v>138958</v>
      </c>
      <c r="D77" s="55" t="s">
        <v>263</v>
      </c>
      <c r="E77" s="65" t="s">
        <v>324</v>
      </c>
      <c r="F77" s="166">
        <v>60</v>
      </c>
      <c r="G77" s="167">
        <v>360</v>
      </c>
      <c r="H77" s="166">
        <v>1</v>
      </c>
      <c r="I77" s="72">
        <v>100321</v>
      </c>
      <c r="J77" s="55" t="s">
        <v>335</v>
      </c>
      <c r="K77" s="72">
        <v>86434</v>
      </c>
      <c r="L77" s="55" t="s">
        <v>135</v>
      </c>
      <c r="M77" s="174"/>
      <c r="N77" s="73" t="str">
        <f>IF(ISBLANK(C77),"",_xlfn.IFNA(INDEX(inbound_data[],MATCH(Outbound_data[[#This Row],[STOCK CODE OUT]],Generated_Stockcode,0),10),""))</f>
        <v>DUO-00073A/3369</v>
      </c>
      <c r="O77" s="73" t="str">
        <f>IF(ISBLANK(C77),"",_xlfn.IFNA(INDEX(inbound_data[],MATCH(Outbound_data[[#This Row],[STOCK CODE OUT]],Generated_Stockcode,0),12),""))</f>
        <v>SHRIMP SIOMAI 500G (APRUB)</v>
      </c>
      <c r="P77" s="73" t="str">
        <f>IF(ISBLANK(C77),"",_xlfn.IFNA(INDEX(inbound_data[],MATCH(Outbound_data[[#This Row],[STOCK CODE OUT]],Generated_Stockcode,0),23),""))</f>
        <v>BXS</v>
      </c>
      <c r="Q77" s="73" t="str">
        <f>IF(ISBLANK(C77),"",_xlfn.IFNA(INDEX(inbound_data[],MATCH(Outbound_data[[#This Row],[STOCK CODE OUT]],Generated_Stockcode,0),13),""))</f>
        <v>LOCAL TRANSFER</v>
      </c>
    </row>
    <row r="78" spans="2:17" x14ac:dyDescent="0.25">
      <c r="B78" s="71">
        <v>46024</v>
      </c>
      <c r="C78" s="65">
        <v>138958</v>
      </c>
      <c r="D78" s="55" t="s">
        <v>263</v>
      </c>
      <c r="E78" s="65" t="s">
        <v>325</v>
      </c>
      <c r="F78" s="166">
        <v>60</v>
      </c>
      <c r="G78" s="167">
        <v>360</v>
      </c>
      <c r="H78" s="166">
        <v>1</v>
      </c>
      <c r="I78" s="72">
        <v>100321</v>
      </c>
      <c r="J78" s="55" t="s">
        <v>335</v>
      </c>
      <c r="K78" s="72">
        <v>86434</v>
      </c>
      <c r="L78" s="55" t="s">
        <v>135</v>
      </c>
      <c r="M78" s="174"/>
      <c r="N78" s="73" t="str">
        <f>IF(ISBLANK(C78),"",_xlfn.IFNA(INDEX(inbound_data[],MATCH(Outbound_data[[#This Row],[STOCK CODE OUT]],Generated_Stockcode,0),10),""))</f>
        <v>DUO-00074A/4268</v>
      </c>
      <c r="O78" s="73" t="str">
        <f>IF(ISBLANK(C78),"",_xlfn.IFNA(INDEX(inbound_data[],MATCH(Outbound_data[[#This Row],[STOCK CODE OUT]],Generated_Stockcode,0),12),""))</f>
        <v>SHRIMP SIOMAI 500G (APRUB)</v>
      </c>
      <c r="P78" s="73" t="str">
        <f>IF(ISBLANK(C78),"",_xlfn.IFNA(INDEX(inbound_data[],MATCH(Outbound_data[[#This Row],[STOCK CODE OUT]],Generated_Stockcode,0),23),""))</f>
        <v>BXS</v>
      </c>
      <c r="Q78" s="73" t="str">
        <f>IF(ISBLANK(C78),"",_xlfn.IFNA(INDEX(inbound_data[],MATCH(Outbound_data[[#This Row],[STOCK CODE OUT]],Generated_Stockcode,0),13),""))</f>
        <v>LOCAL TRANSFER</v>
      </c>
    </row>
    <row r="79" spans="2:17" x14ac:dyDescent="0.25">
      <c r="B79" s="71">
        <v>46024</v>
      </c>
      <c r="C79" s="65">
        <v>138958</v>
      </c>
      <c r="D79" s="55" t="s">
        <v>263</v>
      </c>
      <c r="E79" s="65" t="s">
        <v>326</v>
      </c>
      <c r="F79" s="166">
        <v>60</v>
      </c>
      <c r="G79" s="167">
        <v>360</v>
      </c>
      <c r="H79" s="166">
        <v>1</v>
      </c>
      <c r="I79" s="72">
        <v>100321</v>
      </c>
      <c r="J79" s="55" t="s">
        <v>335</v>
      </c>
      <c r="K79" s="72">
        <v>86434</v>
      </c>
      <c r="L79" s="55" t="s">
        <v>135</v>
      </c>
      <c r="M79" s="174"/>
      <c r="N79" s="73" t="str">
        <f>IF(ISBLANK(C79),"",_xlfn.IFNA(INDEX(inbound_data[],MATCH(Outbound_data[[#This Row],[STOCK CODE OUT]],Generated_Stockcode,0),10),""))</f>
        <v>DUO-00075A/6636</v>
      </c>
      <c r="O79" s="73" t="str">
        <f>IF(ISBLANK(C79),"",_xlfn.IFNA(INDEX(inbound_data[],MATCH(Outbound_data[[#This Row],[STOCK CODE OUT]],Generated_Stockcode,0),12),""))</f>
        <v>SHRIMP SIOMAI 500G (APRUB)</v>
      </c>
      <c r="P79" s="73" t="str">
        <f>IF(ISBLANK(C79),"",_xlfn.IFNA(INDEX(inbound_data[],MATCH(Outbound_data[[#This Row],[STOCK CODE OUT]],Generated_Stockcode,0),23),""))</f>
        <v>BXS</v>
      </c>
      <c r="Q79" s="73" t="str">
        <f>IF(ISBLANK(C79),"",_xlfn.IFNA(INDEX(inbound_data[],MATCH(Outbound_data[[#This Row],[STOCK CODE OUT]],Generated_Stockcode,0),13),""))</f>
        <v>LOCAL TRANSFER</v>
      </c>
    </row>
    <row r="80" spans="2:17" x14ac:dyDescent="0.25">
      <c r="B80" s="71">
        <v>46024</v>
      </c>
      <c r="C80" s="65">
        <v>138958</v>
      </c>
      <c r="D80" s="55" t="s">
        <v>263</v>
      </c>
      <c r="E80" s="65" t="s">
        <v>327</v>
      </c>
      <c r="F80" s="166">
        <v>51</v>
      </c>
      <c r="G80" s="167">
        <v>306</v>
      </c>
      <c r="H80" s="166">
        <v>1</v>
      </c>
      <c r="I80" s="72">
        <v>100321</v>
      </c>
      <c r="J80" s="55" t="s">
        <v>335</v>
      </c>
      <c r="K80" s="72">
        <v>86434</v>
      </c>
      <c r="L80" s="55" t="s">
        <v>135</v>
      </c>
      <c r="M80" s="174"/>
      <c r="N80" s="73" t="str">
        <f>IF(ISBLANK(C80),"",_xlfn.IFNA(INDEX(inbound_data[],MATCH(Outbound_data[[#This Row],[STOCK CODE OUT]],Generated_Stockcode,0),10),""))</f>
        <v>DUO-00076A/40042</v>
      </c>
      <c r="O80" s="73" t="str">
        <f>IF(ISBLANK(C80),"",_xlfn.IFNA(INDEX(inbound_data[],MATCH(Outbound_data[[#This Row],[STOCK CODE OUT]],Generated_Stockcode,0),12),""))</f>
        <v>SHRIMP SIOMAI 500G (APRUB)</v>
      </c>
      <c r="P80" s="73" t="str">
        <f>IF(ISBLANK(C80),"",_xlfn.IFNA(INDEX(inbound_data[],MATCH(Outbound_data[[#This Row],[STOCK CODE OUT]],Generated_Stockcode,0),23),""))</f>
        <v>BXS</v>
      </c>
      <c r="Q80" s="73" t="str">
        <f>IF(ISBLANK(C80),"",_xlfn.IFNA(INDEX(inbound_data[],MATCH(Outbound_data[[#This Row],[STOCK CODE OUT]],Generated_Stockcode,0),13),""))</f>
        <v>LOCAL TRANSFER</v>
      </c>
    </row>
    <row r="81" spans="2:17" x14ac:dyDescent="0.25">
      <c r="B81" s="71">
        <v>46024</v>
      </c>
      <c r="C81" s="65">
        <v>138958</v>
      </c>
      <c r="D81" s="55" t="s">
        <v>263</v>
      </c>
      <c r="E81" s="65" t="s">
        <v>328</v>
      </c>
      <c r="F81" s="166">
        <v>50</v>
      </c>
      <c r="G81" s="167">
        <v>300</v>
      </c>
      <c r="H81" s="166">
        <v>1</v>
      </c>
      <c r="I81" s="72">
        <v>100321</v>
      </c>
      <c r="J81" s="55" t="s">
        <v>335</v>
      </c>
      <c r="K81" s="72">
        <v>86434</v>
      </c>
      <c r="L81" s="55" t="s">
        <v>135</v>
      </c>
      <c r="M81" s="174"/>
      <c r="N81" s="73" t="str">
        <f>IF(ISBLANK(C81),"",_xlfn.IFNA(INDEX(inbound_data[],MATCH(Outbound_data[[#This Row],[STOCK CODE OUT]],Generated_Stockcode,0),10),""))</f>
        <v>DUO-00077A/4553</v>
      </c>
      <c r="O81" s="73" t="str">
        <f>IF(ISBLANK(C81),"",_xlfn.IFNA(INDEX(inbound_data[],MATCH(Outbound_data[[#This Row],[STOCK CODE OUT]],Generated_Stockcode,0),12),""))</f>
        <v>SHRIMP SIOMAI 500G (APRUB)</v>
      </c>
      <c r="P81" s="73" t="str">
        <f>IF(ISBLANK(C81),"",_xlfn.IFNA(INDEX(inbound_data[],MATCH(Outbound_data[[#This Row],[STOCK CODE OUT]],Generated_Stockcode,0),23),""))</f>
        <v>BXS</v>
      </c>
      <c r="Q81" s="73" t="str">
        <f>IF(ISBLANK(C81),"",_xlfn.IFNA(INDEX(inbound_data[],MATCH(Outbound_data[[#This Row],[STOCK CODE OUT]],Generated_Stockcode,0),13),""))</f>
        <v>LOCAL TRANSFER</v>
      </c>
    </row>
    <row r="82" spans="2:17" x14ac:dyDescent="0.25">
      <c r="B82" s="71">
        <v>46024</v>
      </c>
      <c r="C82" s="65">
        <v>138958</v>
      </c>
      <c r="D82" s="55" t="s">
        <v>263</v>
      </c>
      <c r="E82" s="65" t="s">
        <v>329</v>
      </c>
      <c r="F82" s="166">
        <v>66</v>
      </c>
      <c r="G82" s="167">
        <v>396</v>
      </c>
      <c r="H82" s="166">
        <v>1</v>
      </c>
      <c r="I82" s="72">
        <v>100321</v>
      </c>
      <c r="J82" s="55" t="s">
        <v>335</v>
      </c>
      <c r="K82" s="72">
        <v>86434</v>
      </c>
      <c r="L82" s="55" t="s">
        <v>135</v>
      </c>
      <c r="M82" s="174"/>
      <c r="N82" s="73" t="str">
        <f>IF(ISBLANK(C82),"",_xlfn.IFNA(INDEX(inbound_data[],MATCH(Outbound_data[[#This Row],[STOCK CODE OUT]],Generated_Stockcode,0),10),""))</f>
        <v>DUO-00078A/41401</v>
      </c>
      <c r="O82" s="73" t="str">
        <f>IF(ISBLANK(C82),"",_xlfn.IFNA(INDEX(inbound_data[],MATCH(Outbound_data[[#This Row],[STOCK CODE OUT]],Generated_Stockcode,0),12),""))</f>
        <v>SHRIMP SIOMAI 500G (APRUB)</v>
      </c>
      <c r="P82" s="73" t="str">
        <f>IF(ISBLANK(C82),"",_xlfn.IFNA(INDEX(inbound_data[],MATCH(Outbound_data[[#This Row],[STOCK CODE OUT]],Generated_Stockcode,0),23),""))</f>
        <v>BXS</v>
      </c>
      <c r="Q82" s="73" t="str">
        <f>IF(ISBLANK(C82),"",_xlfn.IFNA(INDEX(inbound_data[],MATCH(Outbound_data[[#This Row],[STOCK CODE OUT]],Generated_Stockcode,0),13),""))</f>
        <v>LOCAL TRANSFER</v>
      </c>
    </row>
    <row r="83" spans="2:17" x14ac:dyDescent="0.25">
      <c r="B83" s="71">
        <v>46024</v>
      </c>
      <c r="C83" s="65">
        <v>138958</v>
      </c>
      <c r="D83" s="55" t="s">
        <v>263</v>
      </c>
      <c r="E83" s="65" t="s">
        <v>330</v>
      </c>
      <c r="F83" s="166">
        <v>66</v>
      </c>
      <c r="G83" s="167">
        <v>396</v>
      </c>
      <c r="H83" s="166">
        <v>1</v>
      </c>
      <c r="I83" s="72">
        <v>100321</v>
      </c>
      <c r="J83" s="55" t="s">
        <v>335</v>
      </c>
      <c r="K83" s="72">
        <v>86434</v>
      </c>
      <c r="L83" s="55" t="s">
        <v>135</v>
      </c>
      <c r="M83" s="174"/>
      <c r="N83" s="73" t="str">
        <f>IF(ISBLANK(C83),"",_xlfn.IFNA(INDEX(inbound_data[],MATCH(Outbound_data[[#This Row],[STOCK CODE OUT]],Generated_Stockcode,0),10),""))</f>
        <v>DUO-00079A/968</v>
      </c>
      <c r="O83" s="73" t="str">
        <f>IF(ISBLANK(C83),"",_xlfn.IFNA(INDEX(inbound_data[],MATCH(Outbound_data[[#This Row],[STOCK CODE OUT]],Generated_Stockcode,0),12),""))</f>
        <v>SHRIMP SIOMAI 500G (APRUB)</v>
      </c>
      <c r="P83" s="73" t="str">
        <f>IF(ISBLANK(C83),"",_xlfn.IFNA(INDEX(inbound_data[],MATCH(Outbound_data[[#This Row],[STOCK CODE OUT]],Generated_Stockcode,0),23),""))</f>
        <v>BXS</v>
      </c>
      <c r="Q83" s="73" t="str">
        <f>IF(ISBLANK(C83),"",_xlfn.IFNA(INDEX(inbound_data[],MATCH(Outbound_data[[#This Row],[STOCK CODE OUT]],Generated_Stockcode,0),13),""))</f>
        <v>LOCAL TRANSFER</v>
      </c>
    </row>
    <row r="84" spans="2:17" x14ac:dyDescent="0.25">
      <c r="B84" s="71">
        <v>46024</v>
      </c>
      <c r="C84" s="65">
        <v>138958</v>
      </c>
      <c r="D84" s="55" t="s">
        <v>263</v>
      </c>
      <c r="E84" s="65" t="s">
        <v>331</v>
      </c>
      <c r="F84" s="166">
        <v>66</v>
      </c>
      <c r="G84" s="167">
        <v>396</v>
      </c>
      <c r="H84" s="166">
        <v>1</v>
      </c>
      <c r="I84" s="72">
        <v>100321</v>
      </c>
      <c r="J84" s="55" t="s">
        <v>335</v>
      </c>
      <c r="K84" s="72">
        <v>86434</v>
      </c>
      <c r="L84" s="55" t="s">
        <v>135</v>
      </c>
      <c r="M84" s="174"/>
      <c r="N84" s="73" t="str">
        <f>IF(ISBLANK(C84),"",_xlfn.IFNA(INDEX(inbound_data[],MATCH(Outbound_data[[#This Row],[STOCK CODE OUT]],Generated_Stockcode,0),10),""))</f>
        <v>DUO-00080A/NP</v>
      </c>
      <c r="O84" s="73" t="str">
        <f>IF(ISBLANK(C84),"",_xlfn.IFNA(INDEX(inbound_data[],MATCH(Outbound_data[[#This Row],[STOCK CODE OUT]],Generated_Stockcode,0),12),""))</f>
        <v>SHRIMP SIOMAI 500G (APRUB)</v>
      </c>
      <c r="P84" s="73" t="str">
        <f>IF(ISBLANK(C84),"",_xlfn.IFNA(INDEX(inbound_data[],MATCH(Outbound_data[[#This Row],[STOCK CODE OUT]],Generated_Stockcode,0),23),""))</f>
        <v>BXS</v>
      </c>
      <c r="Q84" s="73" t="str">
        <f>IF(ISBLANK(C84),"",_xlfn.IFNA(INDEX(inbound_data[],MATCH(Outbound_data[[#This Row],[STOCK CODE OUT]],Generated_Stockcode,0),13),""))</f>
        <v>LOCAL TRANSFER</v>
      </c>
    </row>
    <row r="85" spans="2:17" x14ac:dyDescent="0.25">
      <c r="B85" s="71">
        <v>46024</v>
      </c>
      <c r="C85" s="65">
        <v>138958</v>
      </c>
      <c r="D85" s="55" t="s">
        <v>263</v>
      </c>
      <c r="E85" s="65" t="s">
        <v>332</v>
      </c>
      <c r="F85" s="166">
        <v>66</v>
      </c>
      <c r="G85" s="167">
        <v>396</v>
      </c>
      <c r="H85" s="166">
        <v>1</v>
      </c>
      <c r="I85" s="72">
        <v>100321</v>
      </c>
      <c r="J85" s="55" t="s">
        <v>335</v>
      </c>
      <c r="K85" s="72">
        <v>86434</v>
      </c>
      <c r="L85" s="55" t="s">
        <v>135</v>
      </c>
      <c r="M85" s="174"/>
      <c r="N85" s="73" t="str">
        <f>IF(ISBLANK(C85),"",_xlfn.IFNA(INDEX(inbound_data[],MATCH(Outbound_data[[#This Row],[STOCK CODE OUT]],Generated_Stockcode,0),10),""))</f>
        <v>DUO-00081A/3011</v>
      </c>
      <c r="O85" s="73" t="str">
        <f>IF(ISBLANK(C85),"",_xlfn.IFNA(INDEX(inbound_data[],MATCH(Outbound_data[[#This Row],[STOCK CODE OUT]],Generated_Stockcode,0),12),""))</f>
        <v>SHRIMP SIOMAI 500G (APRUB)</v>
      </c>
      <c r="P85" s="73" t="str">
        <f>IF(ISBLANK(C85),"",_xlfn.IFNA(INDEX(inbound_data[],MATCH(Outbound_data[[#This Row],[STOCK CODE OUT]],Generated_Stockcode,0),23),""))</f>
        <v>BXS</v>
      </c>
      <c r="Q85" s="73" t="str">
        <f>IF(ISBLANK(C85),"",_xlfn.IFNA(INDEX(inbound_data[],MATCH(Outbound_data[[#This Row],[STOCK CODE OUT]],Generated_Stockcode,0),13),""))</f>
        <v>LOCAL TRANSFER</v>
      </c>
    </row>
    <row r="86" spans="2:17" x14ac:dyDescent="0.25">
      <c r="B86" s="71">
        <v>46024</v>
      </c>
      <c r="C86" s="65">
        <v>138958</v>
      </c>
      <c r="D86" s="55" t="s">
        <v>263</v>
      </c>
      <c r="E86" s="65" t="s">
        <v>333</v>
      </c>
      <c r="F86" s="166">
        <v>66</v>
      </c>
      <c r="G86" s="167">
        <v>396</v>
      </c>
      <c r="H86" s="166">
        <v>1</v>
      </c>
      <c r="I86" s="72">
        <v>100321</v>
      </c>
      <c r="J86" s="55" t="s">
        <v>335</v>
      </c>
      <c r="K86" s="72">
        <v>86434</v>
      </c>
      <c r="L86" s="55" t="s">
        <v>135</v>
      </c>
      <c r="M86" s="174"/>
      <c r="N86" s="73" t="str">
        <f>IF(ISBLANK(C86),"",_xlfn.IFNA(INDEX(inbound_data[],MATCH(Outbound_data[[#This Row],[STOCK CODE OUT]],Generated_Stockcode,0),10),""))</f>
        <v>DUO-00082A/2167</v>
      </c>
      <c r="O86" s="73" t="str">
        <f>IF(ISBLANK(C86),"",_xlfn.IFNA(INDEX(inbound_data[],MATCH(Outbound_data[[#This Row],[STOCK CODE OUT]],Generated_Stockcode,0),12),""))</f>
        <v>SHRIMP SIOMAI 500G (APRUB)</v>
      </c>
      <c r="P86" s="73" t="str">
        <f>IF(ISBLANK(C86),"",_xlfn.IFNA(INDEX(inbound_data[],MATCH(Outbound_data[[#This Row],[STOCK CODE OUT]],Generated_Stockcode,0),23),""))</f>
        <v>BXS</v>
      </c>
      <c r="Q86" s="73" t="str">
        <f>IF(ISBLANK(C86),"",_xlfn.IFNA(INDEX(inbound_data[],MATCH(Outbound_data[[#This Row],[STOCK CODE OUT]],Generated_Stockcode,0),13),""))</f>
        <v>LOCAL TRANSFER</v>
      </c>
    </row>
    <row r="87" spans="2:17" x14ac:dyDescent="0.25">
      <c r="B87" s="71">
        <v>46024</v>
      </c>
      <c r="C87" s="65">
        <v>138958</v>
      </c>
      <c r="D87" s="55" t="s">
        <v>263</v>
      </c>
      <c r="E87" s="65" t="s">
        <v>334</v>
      </c>
      <c r="F87" s="166">
        <v>71</v>
      </c>
      <c r="G87" s="167">
        <v>426</v>
      </c>
      <c r="H87" s="166">
        <v>1</v>
      </c>
      <c r="I87" s="72">
        <v>100321</v>
      </c>
      <c r="J87" s="55" t="s">
        <v>335</v>
      </c>
      <c r="K87" s="72">
        <v>86434</v>
      </c>
      <c r="L87" s="55" t="s">
        <v>135</v>
      </c>
      <c r="M87" s="174"/>
      <c r="N87" s="73" t="str">
        <f>IF(ISBLANK(C87),"",_xlfn.IFNA(INDEX(inbound_data[],MATCH(Outbound_data[[#This Row],[STOCK CODE OUT]],Generated_Stockcode,0),10),""))</f>
        <v>DUO-00083A/4628</v>
      </c>
      <c r="O87" s="73" t="str">
        <f>IF(ISBLANK(C87),"",_xlfn.IFNA(INDEX(inbound_data[],MATCH(Outbound_data[[#This Row],[STOCK CODE OUT]],Generated_Stockcode,0),12),""))</f>
        <v>SHRIMP SIOMAI 500G (APRUB)</v>
      </c>
      <c r="P87" s="73" t="str">
        <f>IF(ISBLANK(C87),"",_xlfn.IFNA(INDEX(inbound_data[],MATCH(Outbound_data[[#This Row],[STOCK CODE OUT]],Generated_Stockcode,0),23),""))</f>
        <v>BXS</v>
      </c>
      <c r="Q87" s="73" t="str">
        <f>IF(ISBLANK(C87),"",_xlfn.IFNA(INDEX(inbound_data[],MATCH(Outbound_data[[#This Row],[STOCK CODE OUT]],Generated_Stockcode,0),13),""))</f>
        <v>LOCAL TRANSFER</v>
      </c>
    </row>
    <row r="88" spans="2:17" x14ac:dyDescent="0.25">
      <c r="B88" s="71">
        <v>46049</v>
      </c>
      <c r="C88" s="65">
        <v>141691</v>
      </c>
      <c r="D88" s="55" t="s">
        <v>189</v>
      </c>
      <c r="E88" s="65" t="s">
        <v>356</v>
      </c>
      <c r="F88" s="166">
        <v>30</v>
      </c>
      <c r="G88" s="167">
        <v>312</v>
      </c>
      <c r="H88" s="166">
        <v>1</v>
      </c>
      <c r="I88" s="72">
        <v>105539</v>
      </c>
      <c r="J88" s="55" t="s">
        <v>335</v>
      </c>
      <c r="K88" s="72">
        <v>92036</v>
      </c>
      <c r="L88" s="55" t="s">
        <v>135</v>
      </c>
      <c r="M88" s="174"/>
      <c r="N88" s="73" t="str">
        <f>IF(ISBLANK(C88),"",_xlfn.IFNA(INDEX(inbound_data[],MATCH(Outbound_data[[#This Row],[STOCK CODE OUT]],Generated_Stockcode,0),10),""))</f>
        <v>DUO-00084A/594</v>
      </c>
      <c r="O88" s="73" t="str">
        <f>IF(ISBLANK(C88),"",_xlfn.IFNA(INDEX(inbound_data[],MATCH(Outbound_data[[#This Row],[STOCK CODE OUT]],Generated_Stockcode,0),12),""))</f>
        <v>SIOPAO PORK ASADO 1.3KG (CHIBAO)</v>
      </c>
      <c r="P88" s="73" t="str">
        <f>IF(ISBLANK(C88),"",_xlfn.IFNA(INDEX(inbound_data[],MATCH(Outbound_data[[#This Row],[STOCK CODE OUT]],Generated_Stockcode,0),23),""))</f>
        <v>BXS</v>
      </c>
      <c r="Q88" s="73" t="str">
        <f>IF(ISBLANK(C88),"",_xlfn.IFNA(INDEX(inbound_data[],MATCH(Outbound_data[[#This Row],[STOCK CODE OUT]],Generated_Stockcode,0),13),""))</f>
        <v>LOCAL TRANSFER</v>
      </c>
    </row>
    <row r="89" spans="2:17" x14ac:dyDescent="0.25">
      <c r="B89" s="71">
        <v>46049</v>
      </c>
      <c r="C89" s="65">
        <v>141691</v>
      </c>
      <c r="D89" s="55" t="s">
        <v>189</v>
      </c>
      <c r="E89" s="65" t="s">
        <v>357</v>
      </c>
      <c r="F89" s="166">
        <v>30</v>
      </c>
      <c r="G89" s="167">
        <v>312</v>
      </c>
      <c r="H89" s="166">
        <v>1</v>
      </c>
      <c r="I89" s="72">
        <v>105539</v>
      </c>
      <c r="J89" s="55" t="s">
        <v>335</v>
      </c>
      <c r="K89" s="72">
        <v>92036</v>
      </c>
      <c r="L89" s="55" t="s">
        <v>135</v>
      </c>
      <c r="M89" s="174"/>
      <c r="N89" s="73" t="str">
        <f>IF(ISBLANK(C89),"",_xlfn.IFNA(INDEX(inbound_data[],MATCH(Outbound_data[[#This Row],[STOCK CODE OUT]],Generated_Stockcode,0),10),""))</f>
        <v>DUO-00085A/7022</v>
      </c>
      <c r="O89" s="73" t="str">
        <f>IF(ISBLANK(C89),"",_xlfn.IFNA(INDEX(inbound_data[],MATCH(Outbound_data[[#This Row],[STOCK CODE OUT]],Generated_Stockcode,0),12),""))</f>
        <v>SIOPAO PORK ASADO 1.3KG (CHIBAO)</v>
      </c>
      <c r="P89" s="73" t="str">
        <f>IF(ISBLANK(C89),"",_xlfn.IFNA(INDEX(inbound_data[],MATCH(Outbound_data[[#This Row],[STOCK CODE OUT]],Generated_Stockcode,0),23),""))</f>
        <v>BXS</v>
      </c>
      <c r="Q89" s="73" t="str">
        <f>IF(ISBLANK(C89),"",_xlfn.IFNA(INDEX(inbound_data[],MATCH(Outbound_data[[#This Row],[STOCK CODE OUT]],Generated_Stockcode,0),13),""))</f>
        <v>LOCAL TRANSFER</v>
      </c>
    </row>
    <row r="90" spans="2:17" x14ac:dyDescent="0.25">
      <c r="B90" s="71">
        <v>46049</v>
      </c>
      <c r="C90" s="65">
        <v>141691</v>
      </c>
      <c r="D90" s="55" t="s">
        <v>189</v>
      </c>
      <c r="E90" s="65" t="s">
        <v>358</v>
      </c>
      <c r="F90" s="166">
        <v>30</v>
      </c>
      <c r="G90" s="167">
        <v>312</v>
      </c>
      <c r="H90" s="166">
        <v>1</v>
      </c>
      <c r="I90" s="72">
        <v>105539</v>
      </c>
      <c r="J90" s="55" t="s">
        <v>335</v>
      </c>
      <c r="K90" s="72">
        <v>92036</v>
      </c>
      <c r="L90" s="55" t="s">
        <v>135</v>
      </c>
      <c r="M90" s="174"/>
      <c r="N90" s="73" t="str">
        <f>IF(ISBLANK(C90),"",_xlfn.IFNA(INDEX(inbound_data[],MATCH(Outbound_data[[#This Row],[STOCK CODE OUT]],Generated_Stockcode,0),10),""))</f>
        <v>DUO-00086A/2927</v>
      </c>
      <c r="O90" s="73" t="str">
        <f>IF(ISBLANK(C90),"",_xlfn.IFNA(INDEX(inbound_data[],MATCH(Outbound_data[[#This Row],[STOCK CODE OUT]],Generated_Stockcode,0),12),""))</f>
        <v>SIOPAO PORK ASADO 1.3KG (CHIBAO)</v>
      </c>
      <c r="P90" s="73" t="str">
        <f>IF(ISBLANK(C90),"",_xlfn.IFNA(INDEX(inbound_data[],MATCH(Outbound_data[[#This Row],[STOCK CODE OUT]],Generated_Stockcode,0),23),""))</f>
        <v>BXS</v>
      </c>
      <c r="Q90" s="73" t="str">
        <f>IF(ISBLANK(C90),"",_xlfn.IFNA(INDEX(inbound_data[],MATCH(Outbound_data[[#This Row],[STOCK CODE OUT]],Generated_Stockcode,0),13),""))</f>
        <v>LOCAL TRANSFER</v>
      </c>
    </row>
    <row r="91" spans="2:17" x14ac:dyDescent="0.25">
      <c r="B91" s="71">
        <v>46049</v>
      </c>
      <c r="C91" s="65">
        <v>141691</v>
      </c>
      <c r="D91" s="55" t="s">
        <v>189</v>
      </c>
      <c r="E91" s="65" t="s">
        <v>359</v>
      </c>
      <c r="F91" s="166">
        <v>30</v>
      </c>
      <c r="G91" s="167">
        <v>312</v>
      </c>
      <c r="H91" s="166">
        <v>1</v>
      </c>
      <c r="I91" s="72">
        <v>105539</v>
      </c>
      <c r="J91" s="55" t="s">
        <v>335</v>
      </c>
      <c r="K91" s="72">
        <v>92036</v>
      </c>
      <c r="L91" s="55" t="s">
        <v>135</v>
      </c>
      <c r="M91" s="174"/>
      <c r="N91" s="73" t="str">
        <f>IF(ISBLANK(C91),"",_xlfn.IFNA(INDEX(inbound_data[],MATCH(Outbound_data[[#This Row],[STOCK CODE OUT]],Generated_Stockcode,0),10),""))</f>
        <v>DUO-00087A/332</v>
      </c>
      <c r="O91" s="73" t="str">
        <f>IF(ISBLANK(C91),"",_xlfn.IFNA(INDEX(inbound_data[],MATCH(Outbound_data[[#This Row],[STOCK CODE OUT]],Generated_Stockcode,0),12),""))</f>
        <v>SIOPAO PORK ASADO 1.3KG (CHIBAO)</v>
      </c>
      <c r="P91" s="73" t="str">
        <f>IF(ISBLANK(C91),"",_xlfn.IFNA(INDEX(inbound_data[],MATCH(Outbound_data[[#This Row],[STOCK CODE OUT]],Generated_Stockcode,0),23),""))</f>
        <v>BXS</v>
      </c>
      <c r="Q91" s="73" t="str">
        <f>IF(ISBLANK(C91),"",_xlfn.IFNA(INDEX(inbound_data[],MATCH(Outbound_data[[#This Row],[STOCK CODE OUT]],Generated_Stockcode,0),13),""))</f>
        <v>LOCAL TRANSFER</v>
      </c>
    </row>
    <row r="92" spans="2:17" x14ac:dyDescent="0.25">
      <c r="B92" s="71">
        <v>46049</v>
      </c>
      <c r="C92" s="65">
        <v>141691</v>
      </c>
      <c r="D92" s="55" t="s">
        <v>189</v>
      </c>
      <c r="E92" s="65" t="s">
        <v>360</v>
      </c>
      <c r="F92" s="166">
        <v>30</v>
      </c>
      <c r="G92" s="167">
        <v>312</v>
      </c>
      <c r="H92" s="166">
        <v>1</v>
      </c>
      <c r="I92" s="72">
        <v>105539</v>
      </c>
      <c r="J92" s="55" t="s">
        <v>335</v>
      </c>
      <c r="K92" s="72">
        <v>92036</v>
      </c>
      <c r="L92" s="55" t="s">
        <v>135</v>
      </c>
      <c r="M92" s="174"/>
      <c r="N92" s="73" t="str">
        <f>IF(ISBLANK(C92),"",_xlfn.IFNA(INDEX(inbound_data[],MATCH(Outbound_data[[#This Row],[STOCK CODE OUT]],Generated_Stockcode,0),10),""))</f>
        <v>DUO-00088A/NP</v>
      </c>
      <c r="O92" s="73" t="str">
        <f>IF(ISBLANK(C92),"",_xlfn.IFNA(INDEX(inbound_data[],MATCH(Outbound_data[[#This Row],[STOCK CODE OUT]],Generated_Stockcode,0),12),""))</f>
        <v>SIOPAO PORK ASADO 1.3KG (CHIBAO)</v>
      </c>
      <c r="P92" s="73" t="str">
        <f>IF(ISBLANK(C92),"",_xlfn.IFNA(INDEX(inbound_data[],MATCH(Outbound_data[[#This Row],[STOCK CODE OUT]],Generated_Stockcode,0),23),""))</f>
        <v>BXS</v>
      </c>
      <c r="Q92" s="73" t="str">
        <f>IF(ISBLANK(C92),"",_xlfn.IFNA(INDEX(inbound_data[],MATCH(Outbound_data[[#This Row],[STOCK CODE OUT]],Generated_Stockcode,0),13),""))</f>
        <v>LOCAL TRANSFER</v>
      </c>
    </row>
    <row r="93" spans="2:17" x14ac:dyDescent="0.25">
      <c r="B93" s="71">
        <v>46049</v>
      </c>
      <c r="C93" s="65">
        <v>141691</v>
      </c>
      <c r="D93" s="55" t="s">
        <v>189</v>
      </c>
      <c r="E93" s="65" t="s">
        <v>361</v>
      </c>
      <c r="F93" s="166">
        <v>30</v>
      </c>
      <c r="G93" s="167">
        <v>312</v>
      </c>
      <c r="H93" s="166">
        <v>1</v>
      </c>
      <c r="I93" s="72">
        <v>105539</v>
      </c>
      <c r="J93" s="55" t="s">
        <v>335</v>
      </c>
      <c r="K93" s="72">
        <v>92036</v>
      </c>
      <c r="L93" s="55" t="s">
        <v>135</v>
      </c>
      <c r="M93" s="174"/>
      <c r="N93" s="73" t="str">
        <f>IF(ISBLANK(C93),"",_xlfn.IFNA(INDEX(inbound_data[],MATCH(Outbound_data[[#This Row],[STOCK CODE OUT]],Generated_Stockcode,0),10),""))</f>
        <v>DUO-00089A/40602</v>
      </c>
      <c r="O93" s="73" t="str">
        <f>IF(ISBLANK(C93),"",_xlfn.IFNA(INDEX(inbound_data[],MATCH(Outbound_data[[#This Row],[STOCK CODE OUT]],Generated_Stockcode,0),12),""))</f>
        <v>SIOPAO PORK ASADO 1.3KG (CHIBAO)</v>
      </c>
      <c r="P93" s="73" t="str">
        <f>IF(ISBLANK(C93),"",_xlfn.IFNA(INDEX(inbound_data[],MATCH(Outbound_data[[#This Row],[STOCK CODE OUT]],Generated_Stockcode,0),23),""))</f>
        <v>BXS</v>
      </c>
      <c r="Q93" s="73" t="str">
        <f>IF(ISBLANK(C93),"",_xlfn.IFNA(INDEX(inbound_data[],MATCH(Outbound_data[[#This Row],[STOCK CODE OUT]],Generated_Stockcode,0),13),""))</f>
        <v>LOCAL TRANSFER</v>
      </c>
    </row>
    <row r="94" spans="2:17" x14ac:dyDescent="0.25">
      <c r="B94" s="71">
        <v>46049</v>
      </c>
      <c r="C94" s="65">
        <v>141691</v>
      </c>
      <c r="D94" s="55" t="s">
        <v>189</v>
      </c>
      <c r="E94" s="65" t="s">
        <v>362</v>
      </c>
      <c r="F94" s="166">
        <v>30</v>
      </c>
      <c r="G94" s="167">
        <v>312</v>
      </c>
      <c r="H94" s="166">
        <v>1</v>
      </c>
      <c r="I94" s="72">
        <v>105539</v>
      </c>
      <c r="J94" s="55" t="s">
        <v>335</v>
      </c>
      <c r="K94" s="72">
        <v>92036</v>
      </c>
      <c r="L94" s="55" t="s">
        <v>135</v>
      </c>
      <c r="M94" s="174"/>
      <c r="N94" s="73" t="str">
        <f>IF(ISBLANK(C94),"",_xlfn.IFNA(INDEX(inbound_data[],MATCH(Outbound_data[[#This Row],[STOCK CODE OUT]],Generated_Stockcode,0),10),""))</f>
        <v>DUO-00090A/9426</v>
      </c>
      <c r="O94" s="73" t="str">
        <f>IF(ISBLANK(C94),"",_xlfn.IFNA(INDEX(inbound_data[],MATCH(Outbound_data[[#This Row],[STOCK CODE OUT]],Generated_Stockcode,0),12),""))</f>
        <v>SIOPAO PORK ASADO 1.3KG (CHIBAO)</v>
      </c>
      <c r="P94" s="73" t="str">
        <f>IF(ISBLANK(C94),"",_xlfn.IFNA(INDEX(inbound_data[],MATCH(Outbound_data[[#This Row],[STOCK CODE OUT]],Generated_Stockcode,0),23),""))</f>
        <v>BXS</v>
      </c>
      <c r="Q94" s="73" t="str">
        <f>IF(ISBLANK(C94),"",_xlfn.IFNA(INDEX(inbound_data[],MATCH(Outbound_data[[#This Row],[STOCK CODE OUT]],Generated_Stockcode,0),13),""))</f>
        <v>LOCAL TRANSFER</v>
      </c>
    </row>
    <row r="95" spans="2:17" x14ac:dyDescent="0.25">
      <c r="B95" s="71">
        <v>46049</v>
      </c>
      <c r="C95" s="65">
        <v>141691</v>
      </c>
      <c r="D95" s="55" t="s">
        <v>189</v>
      </c>
      <c r="E95" s="65" t="s">
        <v>363</v>
      </c>
      <c r="F95" s="166">
        <v>60</v>
      </c>
      <c r="G95" s="167">
        <v>224.64000000000001</v>
      </c>
      <c r="H95" s="166">
        <v>1</v>
      </c>
      <c r="I95" s="72">
        <v>105539</v>
      </c>
      <c r="J95" s="55" t="s">
        <v>335</v>
      </c>
      <c r="K95" s="72">
        <v>92036</v>
      </c>
      <c r="L95" s="55" t="s">
        <v>135</v>
      </c>
      <c r="M95" s="174"/>
      <c r="N95" s="73" t="str">
        <f>IF(ISBLANK(C95),"",_xlfn.IFNA(INDEX(inbound_data[],MATCH(Outbound_data[[#This Row],[STOCK CODE OUT]],Generated_Stockcode,0),10),""))</f>
        <v>DUO-00091A/3639</v>
      </c>
      <c r="O95" s="73" t="str">
        <f>IF(ISBLANK(C95),"",_xlfn.IFNA(INDEX(inbound_data[],MATCH(Outbound_data[[#This Row],[STOCK CODE OUT]],Generated_Stockcode,0),12),""))</f>
        <v>UBE PAO 312G (CHIBAO)</v>
      </c>
      <c r="P95" s="73" t="str">
        <f>IF(ISBLANK(C95),"",_xlfn.IFNA(INDEX(inbound_data[],MATCH(Outbound_data[[#This Row],[STOCK CODE OUT]],Generated_Stockcode,0),23),""))</f>
        <v>BXS</v>
      </c>
      <c r="Q95" s="73" t="str">
        <f>IF(ISBLANK(C95),"",_xlfn.IFNA(INDEX(inbound_data[],MATCH(Outbound_data[[#This Row],[STOCK CODE OUT]],Generated_Stockcode,0),13),""))</f>
        <v>LOCAL TRANSFER</v>
      </c>
    </row>
    <row r="96" spans="2:17" x14ac:dyDescent="0.25">
      <c r="B96" s="71">
        <v>46049</v>
      </c>
      <c r="C96" s="65">
        <v>141691</v>
      </c>
      <c r="D96" s="55" t="s">
        <v>189</v>
      </c>
      <c r="E96" s="65" t="s">
        <v>364</v>
      </c>
      <c r="F96" s="166">
        <v>60</v>
      </c>
      <c r="G96" s="167">
        <v>224.64000000000001</v>
      </c>
      <c r="H96" s="166">
        <v>1</v>
      </c>
      <c r="I96" s="72">
        <v>105539</v>
      </c>
      <c r="J96" s="55" t="s">
        <v>335</v>
      </c>
      <c r="K96" s="72">
        <v>92036</v>
      </c>
      <c r="L96" s="55" t="s">
        <v>135</v>
      </c>
      <c r="M96" s="174"/>
      <c r="N96" s="73" t="str">
        <f>IF(ISBLANK(C96),"",_xlfn.IFNA(INDEX(inbound_data[],MATCH(Outbound_data[[#This Row],[STOCK CODE OUT]],Generated_Stockcode,0),10),""))</f>
        <v>DUO-00092A/354</v>
      </c>
      <c r="O96" s="73" t="str">
        <f>IF(ISBLANK(C96),"",_xlfn.IFNA(INDEX(inbound_data[],MATCH(Outbound_data[[#This Row],[STOCK CODE OUT]],Generated_Stockcode,0),12),""))</f>
        <v>UBE PAO 312G (CHIBAO)</v>
      </c>
      <c r="P96" s="73" t="str">
        <f>IF(ISBLANK(C96),"",_xlfn.IFNA(INDEX(inbound_data[],MATCH(Outbound_data[[#This Row],[STOCK CODE OUT]],Generated_Stockcode,0),23),""))</f>
        <v>BXS</v>
      </c>
      <c r="Q96" s="73" t="str">
        <f>IF(ISBLANK(C96),"",_xlfn.IFNA(INDEX(inbound_data[],MATCH(Outbound_data[[#This Row],[STOCK CODE OUT]],Generated_Stockcode,0),13),""))</f>
        <v>LOCAL TRANSFER</v>
      </c>
    </row>
    <row r="97" spans="2:17" x14ac:dyDescent="0.25">
      <c r="B97" s="71">
        <v>46049</v>
      </c>
      <c r="C97" s="65">
        <v>141691</v>
      </c>
      <c r="D97" s="55" t="s">
        <v>189</v>
      </c>
      <c r="E97" s="65" t="s">
        <v>365</v>
      </c>
      <c r="F97" s="166">
        <v>30</v>
      </c>
      <c r="G97" s="167">
        <v>312</v>
      </c>
      <c r="H97" s="166">
        <v>1</v>
      </c>
      <c r="I97" s="72">
        <v>105539</v>
      </c>
      <c r="J97" s="55" t="s">
        <v>335</v>
      </c>
      <c r="K97" s="72">
        <v>92036</v>
      </c>
      <c r="L97" s="55" t="s">
        <v>135</v>
      </c>
      <c r="M97" s="174"/>
      <c r="N97" s="73" t="str">
        <f>IF(ISBLANK(C97),"",_xlfn.IFNA(INDEX(inbound_data[],MATCH(Outbound_data[[#This Row],[STOCK CODE OUT]],Generated_Stockcode,0),10),""))</f>
        <v>DUO-00093A/3384</v>
      </c>
      <c r="O97" s="73" t="str">
        <f>IF(ISBLANK(C97),"",_xlfn.IFNA(INDEX(inbound_data[],MATCH(Outbound_data[[#This Row],[STOCK CODE OUT]],Generated_Stockcode,0),12),""))</f>
        <v>SIOPAO PORK ASADO 1.3KG (CHIBAO)</v>
      </c>
      <c r="P97" s="73" t="str">
        <f>IF(ISBLANK(C97),"",_xlfn.IFNA(INDEX(inbound_data[],MATCH(Outbound_data[[#This Row],[STOCK CODE OUT]],Generated_Stockcode,0),23),""))</f>
        <v>BXS</v>
      </c>
      <c r="Q97" s="73" t="str">
        <f>IF(ISBLANK(C97),"",_xlfn.IFNA(INDEX(inbound_data[],MATCH(Outbound_data[[#This Row],[STOCK CODE OUT]],Generated_Stockcode,0),13),""))</f>
        <v>LOCAL TRANSFER</v>
      </c>
    </row>
    <row r="98" spans="2:17" x14ac:dyDescent="0.25">
      <c r="B98" s="71">
        <v>46049</v>
      </c>
      <c r="C98" s="65">
        <v>141691</v>
      </c>
      <c r="D98" s="55" t="s">
        <v>189</v>
      </c>
      <c r="E98" s="65" t="s">
        <v>366</v>
      </c>
      <c r="F98" s="166">
        <v>30</v>
      </c>
      <c r="G98" s="167">
        <v>312</v>
      </c>
      <c r="H98" s="166">
        <v>1</v>
      </c>
      <c r="I98" s="72">
        <v>105539</v>
      </c>
      <c r="J98" s="55" t="s">
        <v>335</v>
      </c>
      <c r="K98" s="72">
        <v>92036</v>
      </c>
      <c r="L98" s="55" t="s">
        <v>135</v>
      </c>
      <c r="M98" s="174"/>
      <c r="N98" s="73" t="str">
        <f>IF(ISBLANK(C98),"",_xlfn.IFNA(INDEX(inbound_data[],MATCH(Outbound_data[[#This Row],[STOCK CODE OUT]],Generated_Stockcode,0),10),""))</f>
        <v>DUO-00094A/2489</v>
      </c>
      <c r="O98" s="73" t="str">
        <f>IF(ISBLANK(C98),"",_xlfn.IFNA(INDEX(inbound_data[],MATCH(Outbound_data[[#This Row],[STOCK CODE OUT]],Generated_Stockcode,0),12),""))</f>
        <v>SIOPAO PORK ASADO 1.3KG (CHIBAO)</v>
      </c>
      <c r="P98" s="73" t="str">
        <f>IF(ISBLANK(C98),"",_xlfn.IFNA(INDEX(inbound_data[],MATCH(Outbound_data[[#This Row],[STOCK CODE OUT]],Generated_Stockcode,0),23),""))</f>
        <v>BXS</v>
      </c>
      <c r="Q98" s="73" t="str">
        <f>IF(ISBLANK(C98),"",_xlfn.IFNA(INDEX(inbound_data[],MATCH(Outbound_data[[#This Row],[STOCK CODE OUT]],Generated_Stockcode,0),13),""))</f>
        <v>LOCAL TRANSFER</v>
      </c>
    </row>
    <row r="99" spans="2:17" x14ac:dyDescent="0.25">
      <c r="B99" s="71">
        <v>46049</v>
      </c>
      <c r="C99" s="65">
        <v>141691</v>
      </c>
      <c r="D99" s="55" t="s">
        <v>189</v>
      </c>
      <c r="E99" s="65" t="s">
        <v>367</v>
      </c>
      <c r="F99" s="166">
        <v>30</v>
      </c>
      <c r="G99" s="167">
        <v>312</v>
      </c>
      <c r="H99" s="166">
        <v>1</v>
      </c>
      <c r="I99" s="72">
        <v>105539</v>
      </c>
      <c r="J99" s="55" t="s">
        <v>335</v>
      </c>
      <c r="K99" s="72">
        <v>92036</v>
      </c>
      <c r="L99" s="55" t="s">
        <v>135</v>
      </c>
      <c r="M99" s="174"/>
      <c r="N99" s="73" t="str">
        <f>IF(ISBLANK(C99),"",_xlfn.IFNA(INDEX(inbound_data[],MATCH(Outbound_data[[#This Row],[STOCK CODE OUT]],Generated_Stockcode,0),10),""))</f>
        <v>DUO-00095A/4944</v>
      </c>
      <c r="O99" s="73" t="str">
        <f>IF(ISBLANK(C99),"",_xlfn.IFNA(INDEX(inbound_data[],MATCH(Outbound_data[[#This Row],[STOCK CODE OUT]],Generated_Stockcode,0),12),""))</f>
        <v>SIOPAO PORK ASADO 1.3KG (CHIBAO)</v>
      </c>
      <c r="P99" s="73" t="str">
        <f>IF(ISBLANK(C99),"",_xlfn.IFNA(INDEX(inbound_data[],MATCH(Outbound_data[[#This Row],[STOCK CODE OUT]],Generated_Stockcode,0),23),""))</f>
        <v>BXS</v>
      </c>
      <c r="Q99" s="73" t="str">
        <f>IF(ISBLANK(C99),"",_xlfn.IFNA(INDEX(inbound_data[],MATCH(Outbound_data[[#This Row],[STOCK CODE OUT]],Generated_Stockcode,0),13),""))</f>
        <v>LOCAL TRANSFER</v>
      </c>
    </row>
    <row r="100" spans="2:17" x14ac:dyDescent="0.25">
      <c r="B100" s="71">
        <v>46049</v>
      </c>
      <c r="C100" s="65">
        <v>141691</v>
      </c>
      <c r="D100" s="55" t="s">
        <v>189</v>
      </c>
      <c r="E100" s="65" t="s">
        <v>368</v>
      </c>
      <c r="F100" s="166">
        <v>30</v>
      </c>
      <c r="G100" s="167">
        <v>312</v>
      </c>
      <c r="H100" s="166">
        <v>1</v>
      </c>
      <c r="I100" s="72">
        <v>105539</v>
      </c>
      <c r="J100" s="55" t="s">
        <v>335</v>
      </c>
      <c r="K100" s="72">
        <v>92036</v>
      </c>
      <c r="L100" s="55" t="s">
        <v>135</v>
      </c>
      <c r="M100" s="174"/>
      <c r="N100" s="73" t="str">
        <f>IF(ISBLANK(C100),"",_xlfn.IFNA(INDEX(inbound_data[],MATCH(Outbound_data[[#This Row],[STOCK CODE OUT]],Generated_Stockcode,0),10),""))</f>
        <v>DUO-00096A/7355</v>
      </c>
      <c r="O100" s="73" t="str">
        <f>IF(ISBLANK(C100),"",_xlfn.IFNA(INDEX(inbound_data[],MATCH(Outbound_data[[#This Row],[STOCK CODE OUT]],Generated_Stockcode,0),12),""))</f>
        <v>SIOPAO PORK ASADO 1.3KG (CHIBAO)</v>
      </c>
      <c r="P100" s="73" t="str">
        <f>IF(ISBLANK(C100),"",_xlfn.IFNA(INDEX(inbound_data[],MATCH(Outbound_data[[#This Row],[STOCK CODE OUT]],Generated_Stockcode,0),23),""))</f>
        <v>BXS</v>
      </c>
      <c r="Q100" s="73" t="str">
        <f>IF(ISBLANK(C100),"",_xlfn.IFNA(INDEX(inbound_data[],MATCH(Outbound_data[[#This Row],[STOCK CODE OUT]],Generated_Stockcode,0),13),""))</f>
        <v>LOCAL TRANSFER</v>
      </c>
    </row>
    <row r="101" spans="2:17" x14ac:dyDescent="0.25">
      <c r="B101" s="71">
        <v>46049</v>
      </c>
      <c r="C101" s="65">
        <v>141691</v>
      </c>
      <c r="D101" s="55" t="s">
        <v>189</v>
      </c>
      <c r="E101" s="65" t="s">
        <v>369</v>
      </c>
      <c r="F101" s="166">
        <v>20</v>
      </c>
      <c r="G101" s="167">
        <v>208</v>
      </c>
      <c r="H101" s="166">
        <v>1</v>
      </c>
      <c r="I101" s="72">
        <v>105539</v>
      </c>
      <c r="J101" s="55" t="s">
        <v>335</v>
      </c>
      <c r="K101" s="72">
        <v>92036</v>
      </c>
      <c r="L101" s="55" t="s">
        <v>135</v>
      </c>
      <c r="M101" s="174"/>
      <c r="N101" s="73" t="str">
        <f>IF(ISBLANK(C101),"",_xlfn.IFNA(INDEX(inbound_data[],MATCH(Outbound_data[[#This Row],[STOCK CODE OUT]],Generated_Stockcode,0),10),""))</f>
        <v>DUO-00097A/5798</v>
      </c>
      <c r="O101" s="73" t="str">
        <f>IF(ISBLANK(C101),"",_xlfn.IFNA(INDEX(inbound_data[],MATCH(Outbound_data[[#This Row],[STOCK CODE OUT]],Generated_Stockcode,0),12),""))</f>
        <v>SIOPAO PORK ASADO 1.3KG (CHIBAO)</v>
      </c>
      <c r="P101" s="73" t="str">
        <f>IF(ISBLANK(C101),"",_xlfn.IFNA(INDEX(inbound_data[],MATCH(Outbound_data[[#This Row],[STOCK CODE OUT]],Generated_Stockcode,0),23),""))</f>
        <v>BXS</v>
      </c>
      <c r="Q101" s="73" t="str">
        <f>IF(ISBLANK(C101),"",_xlfn.IFNA(INDEX(inbound_data[],MATCH(Outbound_data[[#This Row],[STOCK CODE OUT]],Generated_Stockcode,0),13),""))</f>
        <v>LOCAL TRANSFER</v>
      </c>
    </row>
    <row r="102" spans="2:17" x14ac:dyDescent="0.25">
      <c r="B102" s="71">
        <v>46049</v>
      </c>
      <c r="C102" s="65">
        <v>141691</v>
      </c>
      <c r="D102" s="55" t="s">
        <v>189</v>
      </c>
      <c r="E102" s="65" t="s">
        <v>370</v>
      </c>
      <c r="F102" s="166">
        <v>60</v>
      </c>
      <c r="G102" s="167">
        <v>224.64000000000001</v>
      </c>
      <c r="H102" s="166">
        <v>1</v>
      </c>
      <c r="I102" s="72">
        <v>105539</v>
      </c>
      <c r="J102" s="55" t="s">
        <v>335</v>
      </c>
      <c r="K102" s="72">
        <v>92036</v>
      </c>
      <c r="L102" s="55" t="s">
        <v>135</v>
      </c>
      <c r="M102" s="174"/>
      <c r="N102" s="73" t="str">
        <f>IF(ISBLANK(C102),"",_xlfn.IFNA(INDEX(inbound_data[],MATCH(Outbound_data[[#This Row],[STOCK CODE OUT]],Generated_Stockcode,0),10),""))</f>
        <v>DUO-00098A/3437</v>
      </c>
      <c r="O102" s="73" t="str">
        <f>IF(ISBLANK(C102),"",_xlfn.IFNA(INDEX(inbound_data[],MATCH(Outbound_data[[#This Row],[STOCK CODE OUT]],Generated_Stockcode,0),12),""))</f>
        <v>UBE PAO 312G (CHIBAO)</v>
      </c>
      <c r="P102" s="73" t="str">
        <f>IF(ISBLANK(C102),"",_xlfn.IFNA(INDEX(inbound_data[],MATCH(Outbound_data[[#This Row],[STOCK CODE OUT]],Generated_Stockcode,0),23),""))</f>
        <v>BXS</v>
      </c>
      <c r="Q102" s="73" t="str">
        <f>IF(ISBLANK(C102),"",_xlfn.IFNA(INDEX(inbound_data[],MATCH(Outbound_data[[#This Row],[STOCK CODE OUT]],Generated_Stockcode,0),13),""))</f>
        <v>LOCAL TRANSFER</v>
      </c>
    </row>
    <row r="103" spans="2:17" x14ac:dyDescent="0.25">
      <c r="B103" s="71">
        <v>46049</v>
      </c>
      <c r="C103" s="65">
        <v>141691</v>
      </c>
      <c r="D103" s="55" t="s">
        <v>189</v>
      </c>
      <c r="E103" s="65" t="s">
        <v>371</v>
      </c>
      <c r="F103" s="166">
        <v>60</v>
      </c>
      <c r="G103" s="167">
        <v>224.64000000000001</v>
      </c>
      <c r="H103" s="166">
        <v>1</v>
      </c>
      <c r="I103" s="72">
        <v>105539</v>
      </c>
      <c r="J103" s="55" t="s">
        <v>335</v>
      </c>
      <c r="K103" s="72">
        <v>92036</v>
      </c>
      <c r="L103" s="55" t="s">
        <v>135</v>
      </c>
      <c r="M103" s="174"/>
      <c r="N103" s="73" t="str">
        <f>IF(ISBLANK(C103),"",_xlfn.IFNA(INDEX(inbound_data[],MATCH(Outbound_data[[#This Row],[STOCK CODE OUT]],Generated_Stockcode,0),10),""))</f>
        <v>DUO-00099A/8833</v>
      </c>
      <c r="O103" s="73" t="str">
        <f>IF(ISBLANK(C103),"",_xlfn.IFNA(INDEX(inbound_data[],MATCH(Outbound_data[[#This Row],[STOCK CODE OUT]],Generated_Stockcode,0),12),""))</f>
        <v>UBE PAO 312G (CHIBAO)</v>
      </c>
      <c r="P103" s="73" t="str">
        <f>IF(ISBLANK(C103),"",_xlfn.IFNA(INDEX(inbound_data[],MATCH(Outbound_data[[#This Row],[STOCK CODE OUT]],Generated_Stockcode,0),23),""))</f>
        <v>BXS</v>
      </c>
      <c r="Q103" s="73" t="str">
        <f>IF(ISBLANK(C103),"",_xlfn.IFNA(INDEX(inbound_data[],MATCH(Outbound_data[[#This Row],[STOCK CODE OUT]],Generated_Stockcode,0),13),""))</f>
        <v>LOCAL TRANSFER</v>
      </c>
    </row>
    <row r="104" spans="2:17" x14ac:dyDescent="0.25">
      <c r="B104" s="71">
        <v>46049</v>
      </c>
      <c r="C104" s="65">
        <v>141691</v>
      </c>
      <c r="D104" s="55" t="s">
        <v>189</v>
      </c>
      <c r="E104" s="65" t="s">
        <v>372</v>
      </c>
      <c r="F104" s="166">
        <v>70</v>
      </c>
      <c r="G104" s="167">
        <v>262.08000000000004</v>
      </c>
      <c r="H104" s="166">
        <v>1</v>
      </c>
      <c r="I104" s="72">
        <v>105539</v>
      </c>
      <c r="J104" s="55" t="s">
        <v>335</v>
      </c>
      <c r="K104" s="72">
        <v>92036</v>
      </c>
      <c r="L104" s="55" t="s">
        <v>135</v>
      </c>
      <c r="M104" s="174"/>
      <c r="N104" s="73" t="str">
        <f>IF(ISBLANK(C104),"",_xlfn.IFNA(INDEX(inbound_data[],MATCH(Outbound_data[[#This Row],[STOCK CODE OUT]],Generated_Stockcode,0),10),""))</f>
        <v>DUO-00100A/40777</v>
      </c>
      <c r="O104" s="73" t="str">
        <f>IF(ISBLANK(C104),"",_xlfn.IFNA(INDEX(inbound_data[],MATCH(Outbound_data[[#This Row],[STOCK CODE OUT]],Generated_Stockcode,0),12),""))</f>
        <v>UBE PAO 312G (CHIBAO)</v>
      </c>
      <c r="P104" s="73" t="str">
        <f>IF(ISBLANK(C104),"",_xlfn.IFNA(INDEX(inbound_data[],MATCH(Outbound_data[[#This Row],[STOCK CODE OUT]],Generated_Stockcode,0),23),""))</f>
        <v>BXS</v>
      </c>
      <c r="Q104" s="73" t="str">
        <f>IF(ISBLANK(C104),"",_xlfn.IFNA(INDEX(inbound_data[],MATCH(Outbound_data[[#This Row],[STOCK CODE OUT]],Generated_Stockcode,0),13),""))</f>
        <v>LOCAL TRANSFER</v>
      </c>
    </row>
    <row r="105" spans="2:17" x14ac:dyDescent="0.25">
      <c r="B105" s="71">
        <v>46049</v>
      </c>
      <c r="C105" s="65">
        <v>141691</v>
      </c>
      <c r="D105" s="55" t="s">
        <v>189</v>
      </c>
      <c r="E105" s="65" t="s">
        <v>373</v>
      </c>
      <c r="F105" s="166">
        <v>23</v>
      </c>
      <c r="G105" s="167">
        <v>276</v>
      </c>
      <c r="H105" s="166">
        <v>1</v>
      </c>
      <c r="I105" s="72">
        <v>105539</v>
      </c>
      <c r="J105" s="55" t="s">
        <v>335</v>
      </c>
      <c r="K105" s="72">
        <v>92036</v>
      </c>
      <c r="L105" s="55" t="s">
        <v>135</v>
      </c>
      <c r="M105" s="174"/>
      <c r="N105" s="73" t="str">
        <f>IF(ISBLANK(C105),"",_xlfn.IFNA(INDEX(inbound_data[],MATCH(Outbound_data[[#This Row],[STOCK CODE OUT]],Generated_Stockcode,0),10),""))</f>
        <v>DUO-00101A/355</v>
      </c>
      <c r="O105" s="73" t="str">
        <f>IF(ISBLANK(C105),"",_xlfn.IFNA(INDEX(inbound_data[],MATCH(Outbound_data[[#This Row],[STOCK CODE OUT]],Generated_Stockcode,0),12),""))</f>
        <v>PORK SIOMAI 500G (CHIBAO)</v>
      </c>
      <c r="P105" s="73" t="str">
        <f>IF(ISBLANK(C105),"",_xlfn.IFNA(INDEX(inbound_data[],MATCH(Outbound_data[[#This Row],[STOCK CODE OUT]],Generated_Stockcode,0),23),""))</f>
        <v>BXS</v>
      </c>
      <c r="Q105" s="73" t="str">
        <f>IF(ISBLANK(C105),"",_xlfn.IFNA(INDEX(inbound_data[],MATCH(Outbound_data[[#This Row],[STOCK CODE OUT]],Generated_Stockcode,0),13),""))</f>
        <v>LOCAL TRANSFER</v>
      </c>
    </row>
    <row r="106" spans="2:17" x14ac:dyDescent="0.25">
      <c r="B106" s="71">
        <v>46106</v>
      </c>
      <c r="C106" s="65">
        <v>149652</v>
      </c>
      <c r="D106" s="55" t="s">
        <v>425</v>
      </c>
      <c r="E106" s="65" t="s">
        <v>421</v>
      </c>
      <c r="F106" s="166">
        <v>25</v>
      </c>
      <c r="G106" s="167">
        <v>204</v>
      </c>
      <c r="H106" s="166">
        <v>1</v>
      </c>
      <c r="I106" s="72">
        <v>114001</v>
      </c>
      <c r="J106" s="55" t="s">
        <v>395</v>
      </c>
      <c r="K106" s="72">
        <v>98309</v>
      </c>
      <c r="L106" s="55" t="s">
        <v>426</v>
      </c>
      <c r="M106" s="174"/>
      <c r="N106" s="73" t="str">
        <f>IF(ISBLANK(C106),"",_xlfn.IFNA(INDEX(inbound_data[],MATCH(Outbound_data[[#This Row],[STOCK CODE OUT]],Generated_Stockcode,0),10),""))</f>
        <v>DUO-00106A/1457</v>
      </c>
      <c r="O106" s="73" t="str">
        <f>IF(ISBLANK(C106),"",_xlfn.IFNA(INDEX(inbound_data[],MATCH(Outbound_data[[#This Row],[STOCK CODE OUT]],Generated_Stockcode,0),12),""))</f>
        <v>RED BEAN PAO MINI (APRUB)</v>
      </c>
      <c r="P106" s="73" t="str">
        <f>IF(ISBLANK(C106),"",_xlfn.IFNA(INDEX(inbound_data[],MATCH(Outbound_data[[#This Row],[STOCK CODE OUT]],Generated_Stockcode,0),23),""))</f>
        <v>BXS</v>
      </c>
      <c r="Q106" s="73" t="str">
        <f>IF(ISBLANK(C106),"",_xlfn.IFNA(INDEX(inbound_data[],MATCH(Outbound_data[[#This Row],[STOCK CODE OUT]],Generated_Stockcode,0),13),""))</f>
        <v>LOCAL TRANSFER</v>
      </c>
    </row>
    <row r="107" spans="2:17" x14ac:dyDescent="0.25">
      <c r="B107" s="71">
        <v>46106</v>
      </c>
      <c r="C107" s="65">
        <v>149652</v>
      </c>
      <c r="D107" s="55" t="s">
        <v>425</v>
      </c>
      <c r="E107" s="65" t="s">
        <v>422</v>
      </c>
      <c r="F107" s="166">
        <v>25</v>
      </c>
      <c r="G107" s="167">
        <v>204</v>
      </c>
      <c r="H107" s="166">
        <v>1</v>
      </c>
      <c r="I107" s="72">
        <v>114001</v>
      </c>
      <c r="J107" s="55" t="s">
        <v>395</v>
      </c>
      <c r="K107" s="72">
        <v>98309</v>
      </c>
      <c r="L107" s="55" t="s">
        <v>426</v>
      </c>
      <c r="M107" s="174"/>
      <c r="N107" s="73" t="str">
        <f>IF(ISBLANK(C107),"",_xlfn.IFNA(INDEX(inbound_data[],MATCH(Outbound_data[[#This Row],[STOCK CODE OUT]],Generated_Stockcode,0),10),""))</f>
        <v>DUO-00110A/4941</v>
      </c>
      <c r="O107" s="73" t="str">
        <f>IF(ISBLANK(C107),"",_xlfn.IFNA(INDEX(inbound_data[],MATCH(Outbound_data[[#This Row],[STOCK CODE OUT]],Generated_Stockcode,0),12),""))</f>
        <v>CHOCO PAO MINI (APRUB)</v>
      </c>
      <c r="P107" s="73" t="str">
        <f>IF(ISBLANK(C107),"",_xlfn.IFNA(INDEX(inbound_data[],MATCH(Outbound_data[[#This Row],[STOCK CODE OUT]],Generated_Stockcode,0),23),""))</f>
        <v>BXS</v>
      </c>
      <c r="Q107" s="73" t="str">
        <f>IF(ISBLANK(C107),"",_xlfn.IFNA(INDEX(inbound_data[],MATCH(Outbound_data[[#This Row],[STOCK CODE OUT]],Generated_Stockcode,0),13),""))</f>
        <v>LOCAL TRANSFER</v>
      </c>
    </row>
    <row r="108" spans="2:17" x14ac:dyDescent="0.25">
      <c r="B108" s="71">
        <v>46106</v>
      </c>
      <c r="C108" s="65">
        <v>149652</v>
      </c>
      <c r="D108" s="55" t="s">
        <v>425</v>
      </c>
      <c r="E108" s="65" t="s">
        <v>423</v>
      </c>
      <c r="F108" s="166">
        <v>70</v>
      </c>
      <c r="G108" s="167">
        <v>840</v>
      </c>
      <c r="H108" s="166">
        <v>1</v>
      </c>
      <c r="I108" s="72">
        <v>114001</v>
      </c>
      <c r="J108" s="55" t="s">
        <v>395</v>
      </c>
      <c r="K108" s="72">
        <v>98309</v>
      </c>
      <c r="L108" s="55" t="s">
        <v>426</v>
      </c>
      <c r="M108" s="174"/>
      <c r="N108" s="73" t="str">
        <f>IF(ISBLANK(C108),"",_xlfn.IFNA(INDEX(inbound_data[],MATCH(Outbound_data[[#This Row],[STOCK CODE OUT]],Generated_Stockcode,0),10),""))</f>
        <v>DUO-00103A/5636</v>
      </c>
      <c r="O108" s="73" t="str">
        <f>IF(ISBLANK(C108),"",_xlfn.IFNA(INDEX(inbound_data[],MATCH(Outbound_data[[#This Row],[STOCK CODE OUT]],Generated_Stockcode,0),12),""))</f>
        <v>PORK/CHICKEN/BEEF/SHRIMP SIOMAI 30'S 500G (APRUB)</v>
      </c>
      <c r="P108" s="73" t="str">
        <f>IF(ISBLANK(C108),"",_xlfn.IFNA(INDEX(inbound_data[],MATCH(Outbound_data[[#This Row],[STOCK CODE OUT]],Generated_Stockcode,0),23),""))</f>
        <v>BXS</v>
      </c>
      <c r="Q108" s="73" t="str">
        <f>IF(ISBLANK(C108),"",_xlfn.IFNA(INDEX(inbound_data[],MATCH(Outbound_data[[#This Row],[STOCK CODE OUT]],Generated_Stockcode,0),13),""))</f>
        <v>LOCAL TRANSFER</v>
      </c>
    </row>
    <row r="109" spans="2:17" x14ac:dyDescent="0.25">
      <c r="B109" s="71">
        <v>46106</v>
      </c>
      <c r="C109" s="65">
        <v>149652</v>
      </c>
      <c r="D109" s="55" t="s">
        <v>425</v>
      </c>
      <c r="E109" s="65" t="s">
        <v>424</v>
      </c>
      <c r="F109" s="166">
        <v>70</v>
      </c>
      <c r="G109" s="167">
        <v>840</v>
      </c>
      <c r="H109" s="166">
        <v>1</v>
      </c>
      <c r="I109" s="72">
        <v>114001</v>
      </c>
      <c r="J109" s="55" t="s">
        <v>395</v>
      </c>
      <c r="K109" s="72">
        <v>98309</v>
      </c>
      <c r="L109" s="55" t="s">
        <v>426</v>
      </c>
      <c r="M109" s="174"/>
      <c r="N109" s="73" t="str">
        <f>IF(ISBLANK(C109),"",_xlfn.IFNA(INDEX(inbound_data[],MATCH(Outbound_data[[#This Row],[STOCK CODE OUT]],Generated_Stockcode,0),10),""))</f>
        <v>DUO-00102A/3830</v>
      </c>
      <c r="O109" s="73" t="str">
        <f>IF(ISBLANK(C109),"",_xlfn.IFNA(INDEX(inbound_data[],MATCH(Outbound_data[[#This Row],[STOCK CODE OUT]],Generated_Stockcode,0),12),""))</f>
        <v>PORK/CHICKEN/BEEF/SHRIMP SIOMAI 30'S 500G (APRUB)</v>
      </c>
      <c r="P109" s="73" t="str">
        <f>IF(ISBLANK(C109),"",_xlfn.IFNA(INDEX(inbound_data[],MATCH(Outbound_data[[#This Row],[STOCK CODE OUT]],Generated_Stockcode,0),23),""))</f>
        <v>BXS</v>
      </c>
      <c r="Q109" s="73" t="str">
        <f>IF(ISBLANK(C109),"",_xlfn.IFNA(INDEX(inbound_data[],MATCH(Outbound_data[[#This Row],[STOCK CODE OUT]],Generated_Stockcode,0),13),""))</f>
        <v>LOCAL TRANSFER</v>
      </c>
    </row>
    <row r="110" spans="2:17" x14ac:dyDescent="0.25">
      <c r="B110" s="71"/>
      <c r="C110" s="65"/>
      <c r="D110" s="55"/>
      <c r="E110" s="65"/>
      <c r="F110" s="166"/>
      <c r="G110" s="167"/>
      <c r="H110" s="166"/>
      <c r="I110" s="72"/>
      <c r="J110" s="55"/>
      <c r="K110" s="72"/>
      <c r="L110" s="55"/>
      <c r="M110" s="174"/>
      <c r="N110" s="73" t="str">
        <f>IF(ISBLANK(C110),"",_xlfn.IFNA(INDEX(inbound_data[],MATCH(Outbound_data[[#This Row],[STOCK CODE OUT]],Generated_Stockcode,0),10),""))</f>
        <v/>
      </c>
      <c r="O110" s="73" t="str">
        <f>IF(ISBLANK(C110),"",_xlfn.IFNA(INDEX(inbound_data[],MATCH(Outbound_data[[#This Row],[STOCK CODE OUT]],Generated_Stockcode,0),12),""))</f>
        <v/>
      </c>
      <c r="P110" s="73" t="str">
        <f>IF(ISBLANK(C110),"",_xlfn.IFNA(INDEX(inbound_data[],MATCH(Outbound_data[[#This Row],[STOCK CODE OUT]],Generated_Stockcode,0),23),""))</f>
        <v/>
      </c>
      <c r="Q110" s="73" t="str">
        <f>IF(ISBLANK(C110),"",_xlfn.IFNA(INDEX(inbound_data[],MATCH(Outbound_data[[#This Row],[STOCK CODE OUT]],Generated_Stockcode,0),13),""))</f>
        <v/>
      </c>
    </row>
    <row r="111" spans="2:17" x14ac:dyDescent="0.25">
      <c r="B111" s="71"/>
      <c r="C111" s="65"/>
      <c r="D111" s="55"/>
      <c r="E111" s="65"/>
      <c r="F111" s="166"/>
      <c r="G111" s="167"/>
      <c r="H111" s="166"/>
      <c r="I111" s="72"/>
      <c r="J111" s="55"/>
      <c r="K111" s="72"/>
      <c r="L111" s="55"/>
      <c r="M111" s="174"/>
      <c r="N111" s="73" t="str">
        <f>IF(ISBLANK(C111),"",_xlfn.IFNA(INDEX(inbound_data[],MATCH(Outbound_data[[#This Row],[STOCK CODE OUT]],Generated_Stockcode,0),10),""))</f>
        <v/>
      </c>
      <c r="O111" s="73" t="str">
        <f>IF(ISBLANK(C111),"",_xlfn.IFNA(INDEX(inbound_data[],MATCH(Outbound_data[[#This Row],[STOCK CODE OUT]],Generated_Stockcode,0),12),""))</f>
        <v/>
      </c>
      <c r="P111" s="73" t="str">
        <f>IF(ISBLANK(C111),"",_xlfn.IFNA(INDEX(inbound_data[],MATCH(Outbound_data[[#This Row],[STOCK CODE OUT]],Generated_Stockcode,0),23),""))</f>
        <v/>
      </c>
      <c r="Q111" s="73" t="str">
        <f>IF(ISBLANK(C111),"",_xlfn.IFNA(INDEX(inbound_data[],MATCH(Outbound_data[[#This Row],[STOCK CODE OUT]],Generated_Stockcode,0),13),""))</f>
        <v/>
      </c>
    </row>
    <row r="112" spans="2:17" x14ac:dyDescent="0.25">
      <c r="B112" s="71"/>
      <c r="C112" s="65"/>
      <c r="D112" s="55"/>
      <c r="E112" s="65"/>
      <c r="F112" s="166"/>
      <c r="G112" s="167"/>
      <c r="H112" s="166"/>
      <c r="I112" s="72"/>
      <c r="J112" s="55"/>
      <c r="K112" s="72"/>
      <c r="L112" s="55"/>
      <c r="M112" s="174"/>
      <c r="N112" s="73" t="str">
        <f>IF(ISBLANK(C112),"",_xlfn.IFNA(INDEX(inbound_data[],MATCH(Outbound_data[[#This Row],[STOCK CODE OUT]],Generated_Stockcode,0),10),""))</f>
        <v/>
      </c>
      <c r="O112" s="73" t="str">
        <f>IF(ISBLANK(C112),"",_xlfn.IFNA(INDEX(inbound_data[],MATCH(Outbound_data[[#This Row],[STOCK CODE OUT]],Generated_Stockcode,0),12),""))</f>
        <v/>
      </c>
      <c r="P112" s="73" t="str">
        <f>IF(ISBLANK(C112),"",_xlfn.IFNA(INDEX(inbound_data[],MATCH(Outbound_data[[#This Row],[STOCK CODE OUT]],Generated_Stockcode,0),23),""))</f>
        <v/>
      </c>
      <c r="Q112" s="73" t="str">
        <f>IF(ISBLANK(C112),"",_xlfn.IFNA(INDEX(inbound_data[],MATCH(Outbound_data[[#This Row],[STOCK CODE OUT]],Generated_Stockcode,0),13),""))</f>
        <v/>
      </c>
    </row>
    <row r="113" spans="2:17" x14ac:dyDescent="0.25">
      <c r="B113" s="71"/>
      <c r="C113" s="65"/>
      <c r="D113" s="55"/>
      <c r="E113" s="65"/>
      <c r="F113" s="166"/>
      <c r="G113" s="167"/>
      <c r="H113" s="166"/>
      <c r="I113" s="72"/>
      <c r="J113" s="55"/>
      <c r="K113" s="72"/>
      <c r="L113" s="55"/>
      <c r="M113" s="174"/>
      <c r="N113" s="73" t="str">
        <f>IF(ISBLANK(C113),"",_xlfn.IFNA(INDEX(inbound_data[],MATCH(Outbound_data[[#This Row],[STOCK CODE OUT]],Generated_Stockcode,0),10),""))</f>
        <v/>
      </c>
      <c r="O113" s="73" t="str">
        <f>IF(ISBLANK(C113),"",_xlfn.IFNA(INDEX(inbound_data[],MATCH(Outbound_data[[#This Row],[STOCK CODE OUT]],Generated_Stockcode,0),12),""))</f>
        <v/>
      </c>
      <c r="P113" s="73" t="str">
        <f>IF(ISBLANK(C113),"",_xlfn.IFNA(INDEX(inbound_data[],MATCH(Outbound_data[[#This Row],[STOCK CODE OUT]],Generated_Stockcode,0),23),""))</f>
        <v/>
      </c>
      <c r="Q113" s="73" t="str">
        <f>IF(ISBLANK(C113),"",_xlfn.IFNA(INDEX(inbound_data[],MATCH(Outbound_data[[#This Row],[STOCK CODE OUT]],Generated_Stockcode,0),13),""))</f>
        <v/>
      </c>
    </row>
    <row r="114" spans="2:17" x14ac:dyDescent="0.25">
      <c r="B114" s="71"/>
      <c r="C114" s="65"/>
      <c r="D114" s="55"/>
      <c r="E114" s="65"/>
      <c r="F114" s="166"/>
      <c r="G114" s="167"/>
      <c r="H114" s="166"/>
      <c r="I114" s="72"/>
      <c r="J114" s="55"/>
      <c r="K114" s="72"/>
      <c r="L114" s="55"/>
      <c r="M114" s="174"/>
      <c r="N114" s="73" t="str">
        <f>IF(ISBLANK(C114),"",_xlfn.IFNA(INDEX(inbound_data[],MATCH(Outbound_data[[#This Row],[STOCK CODE OUT]],Generated_Stockcode,0),10),""))</f>
        <v/>
      </c>
      <c r="O114" s="73" t="str">
        <f>IF(ISBLANK(C114),"",_xlfn.IFNA(INDEX(inbound_data[],MATCH(Outbound_data[[#This Row],[STOCK CODE OUT]],Generated_Stockcode,0),12),""))</f>
        <v/>
      </c>
      <c r="P114" s="73" t="str">
        <f>IF(ISBLANK(C114),"",_xlfn.IFNA(INDEX(inbound_data[],MATCH(Outbound_data[[#This Row],[STOCK CODE OUT]],Generated_Stockcode,0),23),""))</f>
        <v/>
      </c>
      <c r="Q114" s="73" t="str">
        <f>IF(ISBLANK(C114),"",_xlfn.IFNA(INDEX(inbound_data[],MATCH(Outbound_data[[#This Row],[STOCK CODE OUT]],Generated_Stockcode,0),13),""))</f>
        <v/>
      </c>
    </row>
    <row r="115" spans="2:17" x14ac:dyDescent="0.25">
      <c r="B115" s="71"/>
      <c r="C115" s="65"/>
      <c r="D115" s="55"/>
      <c r="E115" s="65"/>
      <c r="F115" s="166"/>
      <c r="G115" s="167"/>
      <c r="H115" s="166"/>
      <c r="I115" s="72"/>
      <c r="J115" s="55"/>
      <c r="K115" s="72"/>
      <c r="L115" s="55"/>
      <c r="M115" s="174"/>
      <c r="N115" s="73" t="str">
        <f>IF(ISBLANK(C115),"",_xlfn.IFNA(INDEX(inbound_data[],MATCH(Outbound_data[[#This Row],[STOCK CODE OUT]],Generated_Stockcode,0),10),""))</f>
        <v/>
      </c>
      <c r="O115" s="73" t="str">
        <f>IF(ISBLANK(C115),"",_xlfn.IFNA(INDEX(inbound_data[],MATCH(Outbound_data[[#This Row],[STOCK CODE OUT]],Generated_Stockcode,0),12),""))</f>
        <v/>
      </c>
      <c r="P115" s="73" t="str">
        <f>IF(ISBLANK(C115),"",_xlfn.IFNA(INDEX(inbound_data[],MATCH(Outbound_data[[#This Row],[STOCK CODE OUT]],Generated_Stockcode,0),23),""))</f>
        <v/>
      </c>
      <c r="Q115" s="73" t="str">
        <f>IF(ISBLANK(C115),"",_xlfn.IFNA(INDEX(inbound_data[],MATCH(Outbound_data[[#This Row],[STOCK CODE OUT]],Generated_Stockcode,0),13),""))</f>
        <v/>
      </c>
    </row>
    <row r="116" spans="2:17" x14ac:dyDescent="0.25">
      <c r="B116" s="71"/>
      <c r="C116" s="65"/>
      <c r="D116" s="55"/>
      <c r="E116" s="65"/>
      <c r="F116" s="166"/>
      <c r="G116" s="167"/>
      <c r="H116" s="166"/>
      <c r="I116" s="72"/>
      <c r="J116" s="55"/>
      <c r="K116" s="72"/>
      <c r="L116" s="55"/>
      <c r="M116" s="174"/>
      <c r="N116" s="73" t="str">
        <f>IF(ISBLANK(C116),"",_xlfn.IFNA(INDEX(inbound_data[],MATCH(Outbound_data[[#This Row],[STOCK CODE OUT]],Generated_Stockcode,0),10),""))</f>
        <v/>
      </c>
      <c r="O116" s="73" t="str">
        <f>IF(ISBLANK(C116),"",_xlfn.IFNA(INDEX(inbound_data[],MATCH(Outbound_data[[#This Row],[STOCK CODE OUT]],Generated_Stockcode,0),12),""))</f>
        <v/>
      </c>
      <c r="P116" s="73" t="str">
        <f>IF(ISBLANK(C116),"",_xlfn.IFNA(INDEX(inbound_data[],MATCH(Outbound_data[[#This Row],[STOCK CODE OUT]],Generated_Stockcode,0),23),""))</f>
        <v/>
      </c>
      <c r="Q116" s="73" t="str">
        <f>IF(ISBLANK(C116),"",_xlfn.IFNA(INDEX(inbound_data[],MATCH(Outbound_data[[#This Row],[STOCK CODE OUT]],Generated_Stockcode,0),13),""))</f>
        <v/>
      </c>
    </row>
    <row r="117" spans="2:17" x14ac:dyDescent="0.25">
      <c r="B117" s="71"/>
      <c r="C117" s="65"/>
      <c r="D117" s="55"/>
      <c r="E117" s="65"/>
      <c r="F117" s="166"/>
      <c r="G117" s="167"/>
      <c r="H117" s="166"/>
      <c r="I117" s="72"/>
      <c r="J117" s="55"/>
      <c r="K117" s="72"/>
      <c r="L117" s="55"/>
      <c r="M117" s="174"/>
      <c r="N117" s="73" t="str">
        <f>IF(ISBLANK(C117),"",_xlfn.IFNA(INDEX(inbound_data[],MATCH(Outbound_data[[#This Row],[STOCK CODE OUT]],Generated_Stockcode,0),10),""))</f>
        <v/>
      </c>
      <c r="O117" s="73" t="str">
        <f>IF(ISBLANK(C117),"",_xlfn.IFNA(INDEX(inbound_data[],MATCH(Outbound_data[[#This Row],[STOCK CODE OUT]],Generated_Stockcode,0),12),""))</f>
        <v/>
      </c>
      <c r="P117" s="73" t="str">
        <f>IF(ISBLANK(C117),"",_xlfn.IFNA(INDEX(inbound_data[],MATCH(Outbound_data[[#This Row],[STOCK CODE OUT]],Generated_Stockcode,0),23),""))</f>
        <v/>
      </c>
      <c r="Q117" s="73" t="str">
        <f>IF(ISBLANK(C117),"",_xlfn.IFNA(INDEX(inbound_data[],MATCH(Outbound_data[[#This Row],[STOCK CODE OUT]],Generated_Stockcode,0),13),""))</f>
        <v/>
      </c>
    </row>
    <row r="118" spans="2:17" x14ac:dyDescent="0.25">
      <c r="B118" s="71"/>
      <c r="C118" s="65"/>
      <c r="D118" s="55"/>
      <c r="E118" s="65"/>
      <c r="F118" s="166"/>
      <c r="G118" s="167"/>
      <c r="H118" s="166"/>
      <c r="I118" s="72"/>
      <c r="J118" s="55"/>
      <c r="K118" s="72"/>
      <c r="L118" s="55"/>
      <c r="M118" s="174"/>
      <c r="N118" s="73" t="str">
        <f>IF(ISBLANK(C118),"",_xlfn.IFNA(INDEX(inbound_data[],MATCH(Outbound_data[[#This Row],[STOCK CODE OUT]],Generated_Stockcode,0),10),""))</f>
        <v/>
      </c>
      <c r="O118" s="73" t="str">
        <f>IF(ISBLANK(C118),"",_xlfn.IFNA(INDEX(inbound_data[],MATCH(Outbound_data[[#This Row],[STOCK CODE OUT]],Generated_Stockcode,0),12),""))</f>
        <v/>
      </c>
      <c r="P118" s="73" t="str">
        <f>IF(ISBLANK(C118),"",_xlfn.IFNA(INDEX(inbound_data[],MATCH(Outbound_data[[#This Row],[STOCK CODE OUT]],Generated_Stockcode,0),23),""))</f>
        <v/>
      </c>
      <c r="Q118" s="73" t="str">
        <f>IF(ISBLANK(C118),"",_xlfn.IFNA(INDEX(inbound_data[],MATCH(Outbound_data[[#This Row],[STOCK CODE OUT]],Generated_Stockcode,0),13),""))</f>
        <v/>
      </c>
    </row>
    <row r="119" spans="2:17" x14ac:dyDescent="0.25">
      <c r="B119" s="71"/>
      <c r="C119" s="65"/>
      <c r="D119" s="55"/>
      <c r="E119" s="65"/>
      <c r="F119" s="166"/>
      <c r="G119" s="167"/>
      <c r="H119" s="166"/>
      <c r="I119" s="72"/>
      <c r="J119" s="55"/>
      <c r="K119" s="72"/>
      <c r="L119" s="55"/>
      <c r="M119" s="174"/>
      <c r="N119" s="73" t="str">
        <f>IF(ISBLANK(C119),"",_xlfn.IFNA(INDEX(inbound_data[],MATCH(Outbound_data[[#This Row],[STOCK CODE OUT]],Generated_Stockcode,0),10),""))</f>
        <v/>
      </c>
      <c r="O119" s="73" t="str">
        <f>IF(ISBLANK(C119),"",_xlfn.IFNA(INDEX(inbound_data[],MATCH(Outbound_data[[#This Row],[STOCK CODE OUT]],Generated_Stockcode,0),12),""))</f>
        <v/>
      </c>
      <c r="P119" s="73" t="str">
        <f>IF(ISBLANK(C119),"",_xlfn.IFNA(INDEX(inbound_data[],MATCH(Outbound_data[[#This Row],[STOCK CODE OUT]],Generated_Stockcode,0),23),""))</f>
        <v/>
      </c>
      <c r="Q119" s="73" t="str">
        <f>IF(ISBLANK(C119),"",_xlfn.IFNA(INDEX(inbound_data[],MATCH(Outbound_data[[#This Row],[STOCK CODE OUT]],Generated_Stockcode,0),13),""))</f>
        <v/>
      </c>
    </row>
    <row r="120" spans="2:17" x14ac:dyDescent="0.25">
      <c r="B120" s="71"/>
      <c r="C120" s="65"/>
      <c r="D120" s="55"/>
      <c r="E120" s="65"/>
      <c r="F120" s="166"/>
      <c r="G120" s="167"/>
      <c r="H120" s="166"/>
      <c r="I120" s="72"/>
      <c r="J120" s="55"/>
      <c r="K120" s="72"/>
      <c r="L120" s="55"/>
      <c r="M120" s="174"/>
      <c r="N120" s="73" t="str">
        <f>IF(ISBLANK(C120),"",_xlfn.IFNA(INDEX(inbound_data[],MATCH(Outbound_data[[#This Row],[STOCK CODE OUT]],Generated_Stockcode,0),10),""))</f>
        <v/>
      </c>
      <c r="O120" s="73" t="str">
        <f>IF(ISBLANK(C120),"",_xlfn.IFNA(INDEX(inbound_data[],MATCH(Outbound_data[[#This Row],[STOCK CODE OUT]],Generated_Stockcode,0),12),""))</f>
        <v/>
      </c>
      <c r="P120" s="73" t="str">
        <f>IF(ISBLANK(C120),"",_xlfn.IFNA(INDEX(inbound_data[],MATCH(Outbound_data[[#This Row],[STOCK CODE OUT]],Generated_Stockcode,0),23),""))</f>
        <v/>
      </c>
      <c r="Q120" s="73" t="str">
        <f>IF(ISBLANK(C120),"",_xlfn.IFNA(INDEX(inbound_data[],MATCH(Outbound_data[[#This Row],[STOCK CODE OUT]],Generated_Stockcode,0),13),""))</f>
        <v/>
      </c>
    </row>
    <row r="121" spans="2:17" x14ac:dyDescent="0.25">
      <c r="B121" s="71"/>
      <c r="C121" s="65"/>
      <c r="D121" s="55"/>
      <c r="E121" s="65"/>
      <c r="F121" s="166"/>
      <c r="G121" s="167"/>
      <c r="H121" s="166"/>
      <c r="I121" s="72"/>
      <c r="J121" s="55"/>
      <c r="K121" s="72"/>
      <c r="L121" s="55"/>
      <c r="M121" s="174"/>
      <c r="N121" s="73" t="str">
        <f>IF(ISBLANK(C121),"",_xlfn.IFNA(INDEX(inbound_data[],MATCH(Outbound_data[[#This Row],[STOCK CODE OUT]],Generated_Stockcode,0),10),""))</f>
        <v/>
      </c>
      <c r="O121" s="73" t="str">
        <f>IF(ISBLANK(C121),"",_xlfn.IFNA(INDEX(inbound_data[],MATCH(Outbound_data[[#This Row],[STOCK CODE OUT]],Generated_Stockcode,0),12),""))</f>
        <v/>
      </c>
      <c r="P121" s="73" t="str">
        <f>IF(ISBLANK(C121),"",_xlfn.IFNA(INDEX(inbound_data[],MATCH(Outbound_data[[#This Row],[STOCK CODE OUT]],Generated_Stockcode,0),23),""))</f>
        <v/>
      </c>
      <c r="Q121" s="73" t="str">
        <f>IF(ISBLANK(C121),"",_xlfn.IFNA(INDEX(inbound_data[],MATCH(Outbound_data[[#This Row],[STOCK CODE OUT]],Generated_Stockcode,0),13),""))</f>
        <v/>
      </c>
    </row>
    <row r="122" spans="2:17" x14ac:dyDescent="0.25">
      <c r="B122" s="71"/>
      <c r="C122" s="65"/>
      <c r="D122" s="55"/>
      <c r="E122" s="65"/>
      <c r="F122" s="166"/>
      <c r="G122" s="167"/>
      <c r="H122" s="166"/>
      <c r="I122" s="72"/>
      <c r="J122" s="55"/>
      <c r="K122" s="72"/>
      <c r="L122" s="55"/>
      <c r="M122" s="174"/>
      <c r="N122" s="73" t="str">
        <f>IF(ISBLANK(C122),"",_xlfn.IFNA(INDEX(inbound_data[],MATCH(Outbound_data[[#This Row],[STOCK CODE OUT]],Generated_Stockcode,0),10),""))</f>
        <v/>
      </c>
      <c r="O122" s="73" t="str">
        <f>IF(ISBLANK(C122),"",_xlfn.IFNA(INDEX(inbound_data[],MATCH(Outbound_data[[#This Row],[STOCK CODE OUT]],Generated_Stockcode,0),12),""))</f>
        <v/>
      </c>
      <c r="P122" s="73" t="str">
        <f>IF(ISBLANK(C122),"",_xlfn.IFNA(INDEX(inbound_data[],MATCH(Outbound_data[[#This Row],[STOCK CODE OUT]],Generated_Stockcode,0),23),""))</f>
        <v/>
      </c>
      <c r="Q122" s="73" t="str">
        <f>IF(ISBLANK(C122),"",_xlfn.IFNA(INDEX(inbound_data[],MATCH(Outbound_data[[#This Row],[STOCK CODE OUT]],Generated_Stockcode,0),13),""))</f>
        <v/>
      </c>
    </row>
    <row r="123" spans="2:17" x14ac:dyDescent="0.25">
      <c r="B123" s="71"/>
      <c r="C123" s="65"/>
      <c r="D123" s="55"/>
      <c r="E123" s="65"/>
      <c r="F123" s="166"/>
      <c r="G123" s="167"/>
      <c r="H123" s="166"/>
      <c r="I123" s="72"/>
      <c r="J123" s="55"/>
      <c r="K123" s="72"/>
      <c r="L123" s="55"/>
      <c r="M123" s="174"/>
      <c r="N123" s="73" t="str">
        <f>IF(ISBLANK(C123),"",_xlfn.IFNA(INDEX(inbound_data[],MATCH(Outbound_data[[#This Row],[STOCK CODE OUT]],Generated_Stockcode,0),10),""))</f>
        <v/>
      </c>
      <c r="O123" s="73" t="str">
        <f>IF(ISBLANK(C123),"",_xlfn.IFNA(INDEX(inbound_data[],MATCH(Outbound_data[[#This Row],[STOCK CODE OUT]],Generated_Stockcode,0),12),""))</f>
        <v/>
      </c>
      <c r="P123" s="73" t="str">
        <f>IF(ISBLANK(C123),"",_xlfn.IFNA(INDEX(inbound_data[],MATCH(Outbound_data[[#This Row],[STOCK CODE OUT]],Generated_Stockcode,0),23),""))</f>
        <v/>
      </c>
      <c r="Q123" s="73" t="str">
        <f>IF(ISBLANK(C123),"",_xlfn.IFNA(INDEX(inbound_data[],MATCH(Outbound_data[[#This Row],[STOCK CODE OUT]],Generated_Stockcode,0),13),""))</f>
        <v/>
      </c>
    </row>
    <row r="124" spans="2:17" x14ac:dyDescent="0.25">
      <c r="B124" s="71"/>
      <c r="C124" s="65"/>
      <c r="D124" s="55"/>
      <c r="E124" s="65"/>
      <c r="F124" s="166"/>
      <c r="G124" s="167"/>
      <c r="H124" s="166"/>
      <c r="I124" s="72"/>
      <c r="J124" s="55"/>
      <c r="K124" s="72"/>
      <c r="L124" s="55"/>
      <c r="M124" s="174"/>
      <c r="N124" s="73" t="str">
        <f>IF(ISBLANK(C124),"",_xlfn.IFNA(INDEX(inbound_data[],MATCH(Outbound_data[[#This Row],[STOCK CODE OUT]],Generated_Stockcode,0),10),""))</f>
        <v/>
      </c>
      <c r="O124" s="73" t="str">
        <f>IF(ISBLANK(C124),"",_xlfn.IFNA(INDEX(inbound_data[],MATCH(Outbound_data[[#This Row],[STOCK CODE OUT]],Generated_Stockcode,0),12),""))</f>
        <v/>
      </c>
      <c r="P124" s="73" t="str">
        <f>IF(ISBLANK(C124),"",_xlfn.IFNA(INDEX(inbound_data[],MATCH(Outbound_data[[#This Row],[STOCK CODE OUT]],Generated_Stockcode,0),23),""))</f>
        <v/>
      </c>
      <c r="Q124" s="73" t="str">
        <f>IF(ISBLANK(C124),"",_xlfn.IFNA(INDEX(inbound_data[],MATCH(Outbound_data[[#This Row],[STOCK CODE OUT]],Generated_Stockcode,0),13),""))</f>
        <v/>
      </c>
    </row>
    <row r="125" spans="2:17" x14ac:dyDescent="0.25">
      <c r="B125" s="71"/>
      <c r="C125" s="65"/>
      <c r="D125" s="55"/>
      <c r="E125" s="65"/>
      <c r="F125" s="166"/>
      <c r="G125" s="167"/>
      <c r="H125" s="166"/>
      <c r="I125" s="72"/>
      <c r="J125" s="55"/>
      <c r="K125" s="72"/>
      <c r="L125" s="55"/>
      <c r="M125" s="174"/>
      <c r="N125" s="73" t="str">
        <f>IF(ISBLANK(C125),"",_xlfn.IFNA(INDEX(inbound_data[],MATCH(Outbound_data[[#This Row],[STOCK CODE OUT]],Generated_Stockcode,0),10),""))</f>
        <v/>
      </c>
      <c r="O125" s="73" t="str">
        <f>IF(ISBLANK(C125),"",_xlfn.IFNA(INDEX(inbound_data[],MATCH(Outbound_data[[#This Row],[STOCK CODE OUT]],Generated_Stockcode,0),12),""))</f>
        <v/>
      </c>
      <c r="P125" s="73" t="str">
        <f>IF(ISBLANK(C125),"",_xlfn.IFNA(INDEX(inbound_data[],MATCH(Outbound_data[[#This Row],[STOCK CODE OUT]],Generated_Stockcode,0),23),""))</f>
        <v/>
      </c>
      <c r="Q125" s="73" t="str">
        <f>IF(ISBLANK(C125),"",_xlfn.IFNA(INDEX(inbound_data[],MATCH(Outbound_data[[#This Row],[STOCK CODE OUT]],Generated_Stockcode,0),13),""))</f>
        <v/>
      </c>
    </row>
    <row r="126" spans="2:17" x14ac:dyDescent="0.25">
      <c r="B126" s="71"/>
      <c r="C126" s="65"/>
      <c r="D126" s="55"/>
      <c r="E126" s="65"/>
      <c r="F126" s="166"/>
      <c r="G126" s="167"/>
      <c r="H126" s="166"/>
      <c r="I126" s="72"/>
      <c r="J126" s="55"/>
      <c r="K126" s="72"/>
      <c r="L126" s="55"/>
      <c r="M126" s="174"/>
      <c r="N126" s="73" t="str">
        <f>IF(ISBLANK(C126),"",_xlfn.IFNA(INDEX(inbound_data[],MATCH(Outbound_data[[#This Row],[STOCK CODE OUT]],Generated_Stockcode,0),10),""))</f>
        <v/>
      </c>
      <c r="O126" s="73" t="str">
        <f>IF(ISBLANK(C126),"",_xlfn.IFNA(INDEX(inbound_data[],MATCH(Outbound_data[[#This Row],[STOCK CODE OUT]],Generated_Stockcode,0),12),""))</f>
        <v/>
      </c>
      <c r="P126" s="73" t="str">
        <f>IF(ISBLANK(C126),"",_xlfn.IFNA(INDEX(inbound_data[],MATCH(Outbound_data[[#This Row],[STOCK CODE OUT]],Generated_Stockcode,0),23),""))</f>
        <v/>
      </c>
      <c r="Q126" s="73" t="str">
        <f>IF(ISBLANK(C126),"",_xlfn.IFNA(INDEX(inbound_data[],MATCH(Outbound_data[[#This Row],[STOCK CODE OUT]],Generated_Stockcode,0),13),""))</f>
        <v/>
      </c>
    </row>
    <row r="127" spans="2:17" x14ac:dyDescent="0.25">
      <c r="B127" s="71"/>
      <c r="C127" s="65"/>
      <c r="D127" s="55"/>
      <c r="E127" s="65"/>
      <c r="F127" s="166"/>
      <c r="G127" s="167"/>
      <c r="H127" s="166"/>
      <c r="I127" s="72"/>
      <c r="J127" s="55"/>
      <c r="K127" s="72"/>
      <c r="L127" s="55"/>
      <c r="M127" s="174"/>
      <c r="N127" s="73" t="str">
        <f>IF(ISBLANK(C127),"",_xlfn.IFNA(INDEX(inbound_data[],MATCH(Outbound_data[[#This Row],[STOCK CODE OUT]],Generated_Stockcode,0),10),""))</f>
        <v/>
      </c>
      <c r="O127" s="73" t="str">
        <f>IF(ISBLANK(C127),"",_xlfn.IFNA(INDEX(inbound_data[],MATCH(Outbound_data[[#This Row],[STOCK CODE OUT]],Generated_Stockcode,0),12),""))</f>
        <v/>
      </c>
      <c r="P127" s="73" t="str">
        <f>IF(ISBLANK(C127),"",_xlfn.IFNA(INDEX(inbound_data[],MATCH(Outbound_data[[#This Row],[STOCK CODE OUT]],Generated_Stockcode,0),23),""))</f>
        <v/>
      </c>
      <c r="Q127" s="73" t="str">
        <f>IF(ISBLANK(C127),"",_xlfn.IFNA(INDEX(inbound_data[],MATCH(Outbound_data[[#This Row],[STOCK CODE OUT]],Generated_Stockcode,0),13),""))</f>
        <v/>
      </c>
    </row>
    <row r="128" spans="2:17" x14ac:dyDescent="0.25">
      <c r="B128" s="71"/>
      <c r="C128" s="65"/>
      <c r="D128" s="55"/>
      <c r="E128" s="65"/>
      <c r="F128" s="166"/>
      <c r="G128" s="167"/>
      <c r="H128" s="166"/>
      <c r="I128" s="72"/>
      <c r="J128" s="55"/>
      <c r="K128" s="72"/>
      <c r="L128" s="55"/>
      <c r="M128" s="174"/>
      <c r="N128" s="73" t="str">
        <f>IF(ISBLANK(C128),"",_xlfn.IFNA(INDEX(inbound_data[],MATCH(Outbound_data[[#This Row],[STOCK CODE OUT]],Generated_Stockcode,0),10),""))</f>
        <v/>
      </c>
      <c r="O128" s="73" t="str">
        <f>IF(ISBLANK(C128),"",_xlfn.IFNA(INDEX(inbound_data[],MATCH(Outbound_data[[#This Row],[STOCK CODE OUT]],Generated_Stockcode,0),12),""))</f>
        <v/>
      </c>
      <c r="P128" s="73" t="str">
        <f>IF(ISBLANK(C128),"",_xlfn.IFNA(INDEX(inbound_data[],MATCH(Outbound_data[[#This Row],[STOCK CODE OUT]],Generated_Stockcode,0),23),""))</f>
        <v/>
      </c>
      <c r="Q128" s="73" t="str">
        <f>IF(ISBLANK(C128),"",_xlfn.IFNA(INDEX(inbound_data[],MATCH(Outbound_data[[#This Row],[STOCK CODE OUT]],Generated_Stockcode,0),13),""))</f>
        <v/>
      </c>
    </row>
    <row r="129" spans="2:17" x14ac:dyDescent="0.25">
      <c r="B129" s="71"/>
      <c r="C129" s="65"/>
      <c r="D129" s="55"/>
      <c r="E129" s="65"/>
      <c r="F129" s="166"/>
      <c r="G129" s="167"/>
      <c r="H129" s="166"/>
      <c r="I129" s="72"/>
      <c r="J129" s="55"/>
      <c r="K129" s="72"/>
      <c r="L129" s="55"/>
      <c r="M129" s="174"/>
      <c r="N129" s="73" t="str">
        <f>IF(ISBLANK(C129),"",_xlfn.IFNA(INDEX(inbound_data[],MATCH(Outbound_data[[#This Row],[STOCK CODE OUT]],Generated_Stockcode,0),10),""))</f>
        <v/>
      </c>
      <c r="O129" s="73" t="str">
        <f>IF(ISBLANK(C129),"",_xlfn.IFNA(INDEX(inbound_data[],MATCH(Outbound_data[[#This Row],[STOCK CODE OUT]],Generated_Stockcode,0),12),""))</f>
        <v/>
      </c>
      <c r="P129" s="73" t="str">
        <f>IF(ISBLANK(C129),"",_xlfn.IFNA(INDEX(inbound_data[],MATCH(Outbound_data[[#This Row],[STOCK CODE OUT]],Generated_Stockcode,0),23),""))</f>
        <v/>
      </c>
      <c r="Q129" s="73" t="str">
        <f>IF(ISBLANK(C129),"",_xlfn.IFNA(INDEX(inbound_data[],MATCH(Outbound_data[[#This Row],[STOCK CODE OUT]],Generated_Stockcode,0),13),""))</f>
        <v/>
      </c>
    </row>
    <row r="130" spans="2:17" x14ac:dyDescent="0.25">
      <c r="B130" s="71"/>
      <c r="C130" s="65"/>
      <c r="D130" s="55"/>
      <c r="E130" s="65"/>
      <c r="F130" s="166"/>
      <c r="G130" s="167"/>
      <c r="H130" s="166"/>
      <c r="I130" s="72"/>
      <c r="J130" s="55"/>
      <c r="K130" s="72"/>
      <c r="L130" s="55"/>
      <c r="M130" s="174"/>
      <c r="N130" s="73" t="str">
        <f>IF(ISBLANK(C130),"",_xlfn.IFNA(INDEX(inbound_data[],MATCH(Outbound_data[[#This Row],[STOCK CODE OUT]],Generated_Stockcode,0),10),""))</f>
        <v/>
      </c>
      <c r="O130" s="73" t="str">
        <f>IF(ISBLANK(C130),"",_xlfn.IFNA(INDEX(inbound_data[],MATCH(Outbound_data[[#This Row],[STOCK CODE OUT]],Generated_Stockcode,0),12),""))</f>
        <v/>
      </c>
      <c r="P130" s="73" t="str">
        <f>IF(ISBLANK(C130),"",_xlfn.IFNA(INDEX(inbound_data[],MATCH(Outbound_data[[#This Row],[STOCK CODE OUT]],Generated_Stockcode,0),23),""))</f>
        <v/>
      </c>
      <c r="Q130" s="73" t="str">
        <f>IF(ISBLANK(C130),"",_xlfn.IFNA(INDEX(inbound_data[],MATCH(Outbound_data[[#This Row],[STOCK CODE OUT]],Generated_Stockcode,0),13),""))</f>
        <v/>
      </c>
    </row>
    <row r="131" spans="2:17" x14ac:dyDescent="0.25">
      <c r="B131" s="71"/>
      <c r="C131" s="65"/>
      <c r="D131" s="55"/>
      <c r="E131" s="65"/>
      <c r="F131" s="166"/>
      <c r="G131" s="167"/>
      <c r="H131" s="166"/>
      <c r="I131" s="72"/>
      <c r="J131" s="55"/>
      <c r="K131" s="72"/>
      <c r="L131" s="55"/>
      <c r="M131" s="174"/>
      <c r="N131" s="73" t="str">
        <f>IF(ISBLANK(C131),"",_xlfn.IFNA(INDEX(inbound_data[],MATCH(Outbound_data[[#This Row],[STOCK CODE OUT]],Generated_Stockcode,0),10),""))</f>
        <v/>
      </c>
      <c r="O131" s="73" t="str">
        <f>IF(ISBLANK(C131),"",_xlfn.IFNA(INDEX(inbound_data[],MATCH(Outbound_data[[#This Row],[STOCK CODE OUT]],Generated_Stockcode,0),12),""))</f>
        <v/>
      </c>
      <c r="P131" s="73" t="str">
        <f>IF(ISBLANK(C131),"",_xlfn.IFNA(INDEX(inbound_data[],MATCH(Outbound_data[[#This Row],[STOCK CODE OUT]],Generated_Stockcode,0),23),""))</f>
        <v/>
      </c>
      <c r="Q131" s="73" t="str">
        <f>IF(ISBLANK(C131),"",_xlfn.IFNA(INDEX(inbound_data[],MATCH(Outbound_data[[#This Row],[STOCK CODE OUT]],Generated_Stockcode,0),13),""))</f>
        <v/>
      </c>
    </row>
    <row r="132" spans="2:17" x14ac:dyDescent="0.25">
      <c r="B132" s="71"/>
      <c r="C132" s="65"/>
      <c r="D132" s="55"/>
      <c r="E132" s="65"/>
      <c r="F132" s="166"/>
      <c r="G132" s="167"/>
      <c r="H132" s="166"/>
      <c r="I132" s="72"/>
      <c r="J132" s="55"/>
      <c r="K132" s="72"/>
      <c r="L132" s="55"/>
      <c r="M132" s="174"/>
      <c r="N132" s="73" t="str">
        <f>IF(ISBLANK(C132),"",_xlfn.IFNA(INDEX(inbound_data[],MATCH(Outbound_data[[#This Row],[STOCK CODE OUT]],Generated_Stockcode,0),10),""))</f>
        <v/>
      </c>
      <c r="O132" s="73" t="str">
        <f>IF(ISBLANK(C132),"",_xlfn.IFNA(INDEX(inbound_data[],MATCH(Outbound_data[[#This Row],[STOCK CODE OUT]],Generated_Stockcode,0),12),""))</f>
        <v/>
      </c>
      <c r="P132" s="73" t="str">
        <f>IF(ISBLANK(C132),"",_xlfn.IFNA(INDEX(inbound_data[],MATCH(Outbound_data[[#This Row],[STOCK CODE OUT]],Generated_Stockcode,0),23),""))</f>
        <v/>
      </c>
      <c r="Q132" s="73" t="str">
        <f>IF(ISBLANK(C132),"",_xlfn.IFNA(INDEX(inbound_data[],MATCH(Outbound_data[[#This Row],[STOCK CODE OUT]],Generated_Stockcode,0),13),""))</f>
        <v/>
      </c>
    </row>
    <row r="133" spans="2:17" x14ac:dyDescent="0.25">
      <c r="B133" s="71"/>
      <c r="C133" s="65"/>
      <c r="D133" s="55"/>
      <c r="E133" s="65"/>
      <c r="F133" s="166"/>
      <c r="G133" s="167"/>
      <c r="H133" s="166"/>
      <c r="I133" s="72"/>
      <c r="J133" s="55"/>
      <c r="K133" s="72"/>
      <c r="L133" s="55"/>
      <c r="M133" s="174"/>
      <c r="N133" s="73" t="str">
        <f>IF(ISBLANK(C133),"",_xlfn.IFNA(INDEX(inbound_data[],MATCH(Outbound_data[[#This Row],[STOCK CODE OUT]],Generated_Stockcode,0),10),""))</f>
        <v/>
      </c>
      <c r="O133" s="73" t="str">
        <f>IF(ISBLANK(C133),"",_xlfn.IFNA(INDEX(inbound_data[],MATCH(Outbound_data[[#This Row],[STOCK CODE OUT]],Generated_Stockcode,0),12),""))</f>
        <v/>
      </c>
      <c r="P133" s="73" t="str">
        <f>IF(ISBLANK(C133),"",_xlfn.IFNA(INDEX(inbound_data[],MATCH(Outbound_data[[#This Row],[STOCK CODE OUT]],Generated_Stockcode,0),23),""))</f>
        <v/>
      </c>
      <c r="Q133" s="73" t="str">
        <f>IF(ISBLANK(C133),"",_xlfn.IFNA(INDEX(inbound_data[],MATCH(Outbound_data[[#This Row],[STOCK CODE OUT]],Generated_Stockcode,0),13),""))</f>
        <v/>
      </c>
    </row>
    <row r="134" spans="2:17" x14ac:dyDescent="0.25">
      <c r="B134" s="71"/>
      <c r="C134" s="65"/>
      <c r="D134" s="55"/>
      <c r="E134" s="65"/>
      <c r="F134" s="166"/>
      <c r="G134" s="167"/>
      <c r="H134" s="166"/>
      <c r="I134" s="72"/>
      <c r="J134" s="55"/>
      <c r="K134" s="72"/>
      <c r="L134" s="55"/>
      <c r="M134" s="174"/>
      <c r="N134" s="73" t="str">
        <f>IF(ISBLANK(C134),"",_xlfn.IFNA(INDEX(inbound_data[],MATCH(Outbound_data[[#This Row],[STOCK CODE OUT]],Generated_Stockcode,0),10),""))</f>
        <v/>
      </c>
      <c r="O134" s="73" t="str">
        <f>IF(ISBLANK(C134),"",_xlfn.IFNA(INDEX(inbound_data[],MATCH(Outbound_data[[#This Row],[STOCK CODE OUT]],Generated_Stockcode,0),12),""))</f>
        <v/>
      </c>
      <c r="P134" s="73" t="str">
        <f>IF(ISBLANK(C134),"",_xlfn.IFNA(INDEX(inbound_data[],MATCH(Outbound_data[[#This Row],[STOCK CODE OUT]],Generated_Stockcode,0),23),""))</f>
        <v/>
      </c>
      <c r="Q134" s="73" t="str">
        <f>IF(ISBLANK(C134),"",_xlfn.IFNA(INDEX(inbound_data[],MATCH(Outbound_data[[#This Row],[STOCK CODE OUT]],Generated_Stockcode,0),13),""))</f>
        <v/>
      </c>
    </row>
    <row r="135" spans="2:17" x14ac:dyDescent="0.25">
      <c r="B135" s="71"/>
      <c r="C135" s="65"/>
      <c r="D135" s="55"/>
      <c r="E135" s="65"/>
      <c r="F135" s="166"/>
      <c r="G135" s="167"/>
      <c r="H135" s="166"/>
      <c r="I135" s="72"/>
      <c r="J135" s="55"/>
      <c r="K135" s="72"/>
      <c r="L135" s="55"/>
      <c r="M135" s="174"/>
      <c r="N135" s="73" t="str">
        <f>IF(ISBLANK(C135),"",_xlfn.IFNA(INDEX(inbound_data[],MATCH(Outbound_data[[#This Row],[STOCK CODE OUT]],Generated_Stockcode,0),10),""))</f>
        <v/>
      </c>
      <c r="O135" s="73" t="str">
        <f>IF(ISBLANK(C135),"",_xlfn.IFNA(INDEX(inbound_data[],MATCH(Outbound_data[[#This Row],[STOCK CODE OUT]],Generated_Stockcode,0),12),""))</f>
        <v/>
      </c>
      <c r="P135" s="73" t="str">
        <f>IF(ISBLANK(C135),"",_xlfn.IFNA(INDEX(inbound_data[],MATCH(Outbound_data[[#This Row],[STOCK CODE OUT]],Generated_Stockcode,0),23),""))</f>
        <v/>
      </c>
      <c r="Q135" s="73" t="str">
        <f>IF(ISBLANK(C135),"",_xlfn.IFNA(INDEX(inbound_data[],MATCH(Outbound_data[[#This Row],[STOCK CODE OUT]],Generated_Stockcode,0),13),""))</f>
        <v/>
      </c>
    </row>
    <row r="136" spans="2:17" x14ac:dyDescent="0.25">
      <c r="B136" s="71"/>
      <c r="C136" s="65"/>
      <c r="D136" s="55"/>
      <c r="E136" s="65"/>
      <c r="F136" s="166"/>
      <c r="G136" s="167"/>
      <c r="H136" s="166"/>
      <c r="I136" s="72"/>
      <c r="J136" s="55"/>
      <c r="K136" s="72"/>
      <c r="L136" s="55"/>
      <c r="M136" s="174"/>
      <c r="N136" s="73" t="str">
        <f>IF(ISBLANK(C136),"",_xlfn.IFNA(INDEX(inbound_data[],MATCH(Outbound_data[[#This Row],[STOCK CODE OUT]],Generated_Stockcode,0),10),""))</f>
        <v/>
      </c>
      <c r="O136" s="73" t="str">
        <f>IF(ISBLANK(C136),"",_xlfn.IFNA(INDEX(inbound_data[],MATCH(Outbound_data[[#This Row],[STOCK CODE OUT]],Generated_Stockcode,0),12),""))</f>
        <v/>
      </c>
      <c r="P136" s="73" t="str">
        <f>IF(ISBLANK(C136),"",_xlfn.IFNA(INDEX(inbound_data[],MATCH(Outbound_data[[#This Row],[STOCK CODE OUT]],Generated_Stockcode,0),23),""))</f>
        <v/>
      </c>
      <c r="Q136" s="73" t="str">
        <f>IF(ISBLANK(C136),"",_xlfn.IFNA(INDEX(inbound_data[],MATCH(Outbound_data[[#This Row],[STOCK CODE OUT]],Generated_Stockcode,0),13),""))</f>
        <v/>
      </c>
    </row>
    <row r="137" spans="2:17" x14ac:dyDescent="0.25">
      <c r="B137" s="71"/>
      <c r="C137" s="65"/>
      <c r="D137" s="55"/>
      <c r="E137" s="65"/>
      <c r="F137" s="166"/>
      <c r="G137" s="167"/>
      <c r="H137" s="166"/>
      <c r="I137" s="72"/>
      <c r="J137" s="55"/>
      <c r="K137" s="72"/>
      <c r="L137" s="55"/>
      <c r="M137" s="174"/>
      <c r="N137" s="73" t="str">
        <f>IF(ISBLANK(C137),"",_xlfn.IFNA(INDEX(inbound_data[],MATCH(Outbound_data[[#This Row],[STOCK CODE OUT]],Generated_Stockcode,0),10),""))</f>
        <v/>
      </c>
      <c r="O137" s="73" t="str">
        <f>IF(ISBLANK(C137),"",_xlfn.IFNA(INDEX(inbound_data[],MATCH(Outbound_data[[#This Row],[STOCK CODE OUT]],Generated_Stockcode,0),12),""))</f>
        <v/>
      </c>
      <c r="P137" s="73" t="str">
        <f>IF(ISBLANK(C137),"",_xlfn.IFNA(INDEX(inbound_data[],MATCH(Outbound_data[[#This Row],[STOCK CODE OUT]],Generated_Stockcode,0),23),""))</f>
        <v/>
      </c>
      <c r="Q137" s="73" t="str">
        <f>IF(ISBLANK(C137),"",_xlfn.IFNA(INDEX(inbound_data[],MATCH(Outbound_data[[#This Row],[STOCK CODE OUT]],Generated_Stockcode,0),13),""))</f>
        <v/>
      </c>
    </row>
    <row r="138" spans="2:17" x14ac:dyDescent="0.25">
      <c r="B138" s="71"/>
      <c r="C138" s="65"/>
      <c r="D138" s="55"/>
      <c r="E138" s="65"/>
      <c r="F138" s="166"/>
      <c r="G138" s="167"/>
      <c r="H138" s="166"/>
      <c r="I138" s="72"/>
      <c r="J138" s="55"/>
      <c r="K138" s="72"/>
      <c r="L138" s="55"/>
      <c r="M138" s="174"/>
      <c r="N138" s="73" t="str">
        <f>IF(ISBLANK(C138),"",_xlfn.IFNA(INDEX(inbound_data[],MATCH(Outbound_data[[#This Row],[STOCK CODE OUT]],Generated_Stockcode,0),10),""))</f>
        <v/>
      </c>
      <c r="O138" s="73" t="str">
        <f>IF(ISBLANK(C138),"",_xlfn.IFNA(INDEX(inbound_data[],MATCH(Outbound_data[[#This Row],[STOCK CODE OUT]],Generated_Stockcode,0),12),""))</f>
        <v/>
      </c>
      <c r="P138" s="73" t="str">
        <f>IF(ISBLANK(C138),"",_xlfn.IFNA(INDEX(inbound_data[],MATCH(Outbound_data[[#This Row],[STOCK CODE OUT]],Generated_Stockcode,0),23),""))</f>
        <v/>
      </c>
      <c r="Q138" s="73" t="str">
        <f>IF(ISBLANK(C138),"",_xlfn.IFNA(INDEX(inbound_data[],MATCH(Outbound_data[[#This Row],[STOCK CODE OUT]],Generated_Stockcode,0),13),""))</f>
        <v/>
      </c>
    </row>
    <row r="139" spans="2:17" x14ac:dyDescent="0.25">
      <c r="B139" s="71"/>
      <c r="C139" s="65"/>
      <c r="D139" s="55"/>
      <c r="E139" s="65"/>
      <c r="F139" s="166"/>
      <c r="G139" s="167"/>
      <c r="H139" s="166"/>
      <c r="I139" s="72"/>
      <c r="J139" s="55"/>
      <c r="K139" s="72"/>
      <c r="L139" s="55"/>
      <c r="M139" s="174"/>
      <c r="N139" s="73" t="str">
        <f>IF(ISBLANK(C139),"",_xlfn.IFNA(INDEX(inbound_data[],MATCH(Outbound_data[[#This Row],[STOCK CODE OUT]],Generated_Stockcode,0),10),""))</f>
        <v/>
      </c>
      <c r="O139" s="73" t="str">
        <f>IF(ISBLANK(C139),"",_xlfn.IFNA(INDEX(inbound_data[],MATCH(Outbound_data[[#This Row],[STOCK CODE OUT]],Generated_Stockcode,0),12),""))</f>
        <v/>
      </c>
      <c r="P139" s="73" t="str">
        <f>IF(ISBLANK(C139),"",_xlfn.IFNA(INDEX(inbound_data[],MATCH(Outbound_data[[#This Row],[STOCK CODE OUT]],Generated_Stockcode,0),23),""))</f>
        <v/>
      </c>
      <c r="Q139" s="73" t="str">
        <f>IF(ISBLANK(C139),"",_xlfn.IFNA(INDEX(inbound_data[],MATCH(Outbound_data[[#This Row],[STOCK CODE OUT]],Generated_Stockcode,0),13),""))</f>
        <v/>
      </c>
    </row>
    <row r="140" spans="2:17" x14ac:dyDescent="0.25">
      <c r="B140" s="71"/>
      <c r="C140" s="65"/>
      <c r="D140" s="55"/>
      <c r="E140" s="65"/>
      <c r="F140" s="166"/>
      <c r="G140" s="167"/>
      <c r="H140" s="166"/>
      <c r="I140" s="72"/>
      <c r="J140" s="55"/>
      <c r="K140" s="72"/>
      <c r="L140" s="55"/>
      <c r="M140" s="174"/>
      <c r="N140" s="73" t="str">
        <f>IF(ISBLANK(C140),"",_xlfn.IFNA(INDEX(inbound_data[],MATCH(Outbound_data[[#This Row],[STOCK CODE OUT]],Generated_Stockcode,0),10),""))</f>
        <v/>
      </c>
      <c r="O140" s="73" t="str">
        <f>IF(ISBLANK(C140),"",_xlfn.IFNA(INDEX(inbound_data[],MATCH(Outbound_data[[#This Row],[STOCK CODE OUT]],Generated_Stockcode,0),12),""))</f>
        <v/>
      </c>
      <c r="P140" s="73" t="str">
        <f>IF(ISBLANK(C140),"",_xlfn.IFNA(INDEX(inbound_data[],MATCH(Outbound_data[[#This Row],[STOCK CODE OUT]],Generated_Stockcode,0),23),""))</f>
        <v/>
      </c>
      <c r="Q140" s="73" t="str">
        <f>IF(ISBLANK(C140),"",_xlfn.IFNA(INDEX(inbound_data[],MATCH(Outbound_data[[#This Row],[STOCK CODE OUT]],Generated_Stockcode,0),13),""))</f>
        <v/>
      </c>
    </row>
    <row r="141" spans="2:17" x14ac:dyDescent="0.25">
      <c r="B141" s="71"/>
      <c r="C141" s="65"/>
      <c r="D141" s="55"/>
      <c r="E141" s="65"/>
      <c r="F141" s="166"/>
      <c r="G141" s="167"/>
      <c r="H141" s="166"/>
      <c r="I141" s="72"/>
      <c r="J141" s="55"/>
      <c r="K141" s="72"/>
      <c r="L141" s="55"/>
      <c r="M141" s="174"/>
      <c r="N141" s="73" t="str">
        <f>IF(ISBLANK(C141),"",_xlfn.IFNA(INDEX(inbound_data[],MATCH(Outbound_data[[#This Row],[STOCK CODE OUT]],Generated_Stockcode,0),10),""))</f>
        <v/>
      </c>
      <c r="O141" s="73" t="str">
        <f>IF(ISBLANK(C141),"",_xlfn.IFNA(INDEX(inbound_data[],MATCH(Outbound_data[[#This Row],[STOCK CODE OUT]],Generated_Stockcode,0),12),""))</f>
        <v/>
      </c>
      <c r="P141" s="73" t="str">
        <f>IF(ISBLANK(C141),"",_xlfn.IFNA(INDEX(inbound_data[],MATCH(Outbound_data[[#This Row],[STOCK CODE OUT]],Generated_Stockcode,0),23),""))</f>
        <v/>
      </c>
      <c r="Q141" s="73" t="str">
        <f>IF(ISBLANK(C141),"",_xlfn.IFNA(INDEX(inbound_data[],MATCH(Outbound_data[[#This Row],[STOCK CODE OUT]],Generated_Stockcode,0),13),""))</f>
        <v/>
      </c>
    </row>
    <row r="142" spans="2:17" x14ac:dyDescent="0.25">
      <c r="B142" s="71"/>
      <c r="C142" s="65"/>
      <c r="D142" s="55"/>
      <c r="E142" s="65"/>
      <c r="F142" s="166"/>
      <c r="G142" s="167"/>
      <c r="H142" s="166"/>
      <c r="I142" s="72"/>
      <c r="J142" s="55"/>
      <c r="K142" s="72"/>
      <c r="L142" s="55"/>
      <c r="M142" s="174"/>
      <c r="N142" s="73" t="str">
        <f>IF(ISBLANK(C142),"",_xlfn.IFNA(INDEX(inbound_data[],MATCH(Outbound_data[[#This Row],[STOCK CODE OUT]],Generated_Stockcode,0),10),""))</f>
        <v/>
      </c>
      <c r="O142" s="73" t="str">
        <f>IF(ISBLANK(C142),"",_xlfn.IFNA(INDEX(inbound_data[],MATCH(Outbound_data[[#This Row],[STOCK CODE OUT]],Generated_Stockcode,0),12),""))</f>
        <v/>
      </c>
      <c r="P142" s="73" t="str">
        <f>IF(ISBLANK(C142),"",_xlfn.IFNA(INDEX(inbound_data[],MATCH(Outbound_data[[#This Row],[STOCK CODE OUT]],Generated_Stockcode,0),23),""))</f>
        <v/>
      </c>
      <c r="Q142" s="73" t="str">
        <f>IF(ISBLANK(C142),"",_xlfn.IFNA(INDEX(inbound_data[],MATCH(Outbound_data[[#This Row],[STOCK CODE OUT]],Generated_Stockcode,0),13),""))</f>
        <v/>
      </c>
    </row>
    <row r="143" spans="2:17" x14ac:dyDescent="0.25">
      <c r="B143" s="71"/>
      <c r="C143" s="65"/>
      <c r="D143" s="55"/>
      <c r="E143" s="65"/>
      <c r="F143" s="166"/>
      <c r="G143" s="167"/>
      <c r="H143" s="166"/>
      <c r="I143" s="72"/>
      <c r="J143" s="55"/>
      <c r="K143" s="72"/>
      <c r="L143" s="55"/>
      <c r="M143" s="174"/>
      <c r="N143" s="73" t="str">
        <f>IF(ISBLANK(C143),"",_xlfn.IFNA(INDEX(inbound_data[],MATCH(Outbound_data[[#This Row],[STOCK CODE OUT]],Generated_Stockcode,0),10),""))</f>
        <v/>
      </c>
      <c r="O143" s="73" t="str">
        <f>IF(ISBLANK(C143),"",_xlfn.IFNA(INDEX(inbound_data[],MATCH(Outbound_data[[#This Row],[STOCK CODE OUT]],Generated_Stockcode,0),12),""))</f>
        <v/>
      </c>
      <c r="P143" s="73" t="str">
        <f>IF(ISBLANK(C143),"",_xlfn.IFNA(INDEX(inbound_data[],MATCH(Outbound_data[[#This Row],[STOCK CODE OUT]],Generated_Stockcode,0),23),""))</f>
        <v/>
      </c>
      <c r="Q143" s="73" t="str">
        <f>IF(ISBLANK(C143),"",_xlfn.IFNA(INDEX(inbound_data[],MATCH(Outbound_data[[#This Row],[STOCK CODE OUT]],Generated_Stockcode,0),13),""))</f>
        <v/>
      </c>
    </row>
    <row r="144" spans="2:17" x14ac:dyDescent="0.25">
      <c r="B144" s="71"/>
      <c r="C144" s="65"/>
      <c r="D144" s="55"/>
      <c r="E144" s="65"/>
      <c r="F144" s="166"/>
      <c r="G144" s="167"/>
      <c r="H144" s="166"/>
      <c r="I144" s="72"/>
      <c r="J144" s="55"/>
      <c r="K144" s="72"/>
      <c r="L144" s="55"/>
      <c r="M144" s="174"/>
      <c r="N144" s="73" t="str">
        <f>IF(ISBLANK(C144),"",_xlfn.IFNA(INDEX(inbound_data[],MATCH(Outbound_data[[#This Row],[STOCK CODE OUT]],Generated_Stockcode,0),10),""))</f>
        <v/>
      </c>
      <c r="O144" s="73" t="str">
        <f>IF(ISBLANK(C144),"",_xlfn.IFNA(INDEX(inbound_data[],MATCH(Outbound_data[[#This Row],[STOCK CODE OUT]],Generated_Stockcode,0),12),""))</f>
        <v/>
      </c>
      <c r="P144" s="73" t="str">
        <f>IF(ISBLANK(C144),"",_xlfn.IFNA(INDEX(inbound_data[],MATCH(Outbound_data[[#This Row],[STOCK CODE OUT]],Generated_Stockcode,0),23),""))</f>
        <v/>
      </c>
      <c r="Q144" s="73" t="str">
        <f>IF(ISBLANK(C144),"",_xlfn.IFNA(INDEX(inbound_data[],MATCH(Outbound_data[[#This Row],[STOCK CODE OUT]],Generated_Stockcode,0),13),""))</f>
        <v/>
      </c>
    </row>
    <row r="145" spans="2:17" x14ac:dyDescent="0.25">
      <c r="B145" s="71"/>
      <c r="C145" s="65"/>
      <c r="D145" s="55"/>
      <c r="E145" s="65"/>
      <c r="F145" s="166"/>
      <c r="G145" s="167"/>
      <c r="H145" s="166"/>
      <c r="I145" s="72"/>
      <c r="J145" s="55"/>
      <c r="K145" s="72"/>
      <c r="L145" s="55"/>
      <c r="M145" s="174"/>
      <c r="N145" s="73" t="str">
        <f>IF(ISBLANK(C145),"",_xlfn.IFNA(INDEX(inbound_data[],MATCH(Outbound_data[[#This Row],[STOCK CODE OUT]],Generated_Stockcode,0),10),""))</f>
        <v/>
      </c>
      <c r="O145" s="73" t="str">
        <f>IF(ISBLANK(C145),"",_xlfn.IFNA(INDEX(inbound_data[],MATCH(Outbound_data[[#This Row],[STOCK CODE OUT]],Generated_Stockcode,0),12),""))</f>
        <v/>
      </c>
      <c r="P145" s="73" t="str">
        <f>IF(ISBLANK(C145),"",_xlfn.IFNA(INDEX(inbound_data[],MATCH(Outbound_data[[#This Row],[STOCK CODE OUT]],Generated_Stockcode,0),23),""))</f>
        <v/>
      </c>
      <c r="Q145" s="73" t="str">
        <f>IF(ISBLANK(C145),"",_xlfn.IFNA(INDEX(inbound_data[],MATCH(Outbound_data[[#This Row],[STOCK CODE OUT]],Generated_Stockcode,0),13),""))</f>
        <v/>
      </c>
    </row>
    <row r="146" spans="2:17" x14ac:dyDescent="0.25">
      <c r="B146" s="71"/>
      <c r="C146" s="65"/>
      <c r="D146" s="55"/>
      <c r="E146" s="65"/>
      <c r="F146" s="166"/>
      <c r="G146" s="167"/>
      <c r="H146" s="166"/>
      <c r="I146" s="72"/>
      <c r="J146" s="55"/>
      <c r="K146" s="72"/>
      <c r="L146" s="55"/>
      <c r="M146" s="174"/>
      <c r="N146" s="73" t="str">
        <f>IF(ISBLANK(C146),"",_xlfn.IFNA(INDEX(inbound_data[],MATCH(Outbound_data[[#This Row],[STOCK CODE OUT]],Generated_Stockcode,0),10),""))</f>
        <v/>
      </c>
      <c r="O146" s="73" t="str">
        <f>IF(ISBLANK(C146),"",_xlfn.IFNA(INDEX(inbound_data[],MATCH(Outbound_data[[#This Row],[STOCK CODE OUT]],Generated_Stockcode,0),12),""))</f>
        <v/>
      </c>
      <c r="P146" s="73" t="str">
        <f>IF(ISBLANK(C146),"",_xlfn.IFNA(INDEX(inbound_data[],MATCH(Outbound_data[[#This Row],[STOCK CODE OUT]],Generated_Stockcode,0),23),""))</f>
        <v/>
      </c>
      <c r="Q146" s="73" t="str">
        <f>IF(ISBLANK(C146),"",_xlfn.IFNA(INDEX(inbound_data[],MATCH(Outbound_data[[#This Row],[STOCK CODE OUT]],Generated_Stockcode,0),13),""))</f>
        <v/>
      </c>
    </row>
    <row r="147" spans="2:17" x14ac:dyDescent="0.25">
      <c r="B147" s="71"/>
      <c r="C147" s="65"/>
      <c r="D147" s="55"/>
      <c r="E147" s="65"/>
      <c r="F147" s="166"/>
      <c r="G147" s="167"/>
      <c r="H147" s="166"/>
      <c r="I147" s="72"/>
      <c r="J147" s="55"/>
      <c r="K147" s="72"/>
      <c r="L147" s="55"/>
      <c r="M147" s="174"/>
      <c r="N147" s="73" t="str">
        <f>IF(ISBLANK(C147),"",_xlfn.IFNA(INDEX(inbound_data[],MATCH(Outbound_data[[#This Row],[STOCK CODE OUT]],Generated_Stockcode,0),10),""))</f>
        <v/>
      </c>
      <c r="O147" s="73" t="str">
        <f>IF(ISBLANK(C147),"",_xlfn.IFNA(INDEX(inbound_data[],MATCH(Outbound_data[[#This Row],[STOCK CODE OUT]],Generated_Stockcode,0),12),""))</f>
        <v/>
      </c>
      <c r="P147" s="73" t="str">
        <f>IF(ISBLANK(C147),"",_xlfn.IFNA(INDEX(inbound_data[],MATCH(Outbound_data[[#This Row],[STOCK CODE OUT]],Generated_Stockcode,0),23),""))</f>
        <v/>
      </c>
      <c r="Q147" s="73" t="str">
        <f>IF(ISBLANK(C147),"",_xlfn.IFNA(INDEX(inbound_data[],MATCH(Outbound_data[[#This Row],[STOCK CODE OUT]],Generated_Stockcode,0),13),""))</f>
        <v/>
      </c>
    </row>
    <row r="148" spans="2:17" x14ac:dyDescent="0.25">
      <c r="B148" s="71"/>
      <c r="C148" s="65"/>
      <c r="D148" s="55"/>
      <c r="E148" s="65"/>
      <c r="F148" s="166"/>
      <c r="G148" s="167"/>
      <c r="H148" s="166"/>
      <c r="I148" s="72"/>
      <c r="J148" s="55"/>
      <c r="K148" s="72"/>
      <c r="L148" s="55"/>
      <c r="M148" s="174"/>
      <c r="N148" s="73" t="str">
        <f>IF(ISBLANK(C148),"",_xlfn.IFNA(INDEX(inbound_data[],MATCH(Outbound_data[[#This Row],[STOCK CODE OUT]],Generated_Stockcode,0),10),""))</f>
        <v/>
      </c>
      <c r="O148" s="73" t="str">
        <f>IF(ISBLANK(C148),"",_xlfn.IFNA(INDEX(inbound_data[],MATCH(Outbound_data[[#This Row],[STOCK CODE OUT]],Generated_Stockcode,0),12),""))</f>
        <v/>
      </c>
      <c r="P148" s="73" t="str">
        <f>IF(ISBLANK(C148),"",_xlfn.IFNA(INDEX(inbound_data[],MATCH(Outbound_data[[#This Row],[STOCK CODE OUT]],Generated_Stockcode,0),23),""))</f>
        <v/>
      </c>
      <c r="Q148" s="73" t="str">
        <f>IF(ISBLANK(C148),"",_xlfn.IFNA(INDEX(inbound_data[],MATCH(Outbound_data[[#This Row],[STOCK CODE OUT]],Generated_Stockcode,0),13),""))</f>
        <v/>
      </c>
    </row>
    <row r="149" spans="2:17" x14ac:dyDescent="0.25">
      <c r="B149" s="71"/>
      <c r="C149" s="65"/>
      <c r="D149" s="55"/>
      <c r="E149" s="65"/>
      <c r="F149" s="166"/>
      <c r="G149" s="167"/>
      <c r="H149" s="166"/>
      <c r="I149" s="72"/>
      <c r="J149" s="55"/>
      <c r="K149" s="72"/>
      <c r="L149" s="55"/>
      <c r="M149" s="174"/>
      <c r="N149" s="73" t="str">
        <f>IF(ISBLANK(C149),"",_xlfn.IFNA(INDEX(inbound_data[],MATCH(Outbound_data[[#This Row],[STOCK CODE OUT]],Generated_Stockcode,0),10),""))</f>
        <v/>
      </c>
      <c r="O149" s="73" t="str">
        <f>IF(ISBLANK(C149),"",_xlfn.IFNA(INDEX(inbound_data[],MATCH(Outbound_data[[#This Row],[STOCK CODE OUT]],Generated_Stockcode,0),12),""))</f>
        <v/>
      </c>
      <c r="P149" s="73" t="str">
        <f>IF(ISBLANK(C149),"",_xlfn.IFNA(INDEX(inbound_data[],MATCH(Outbound_data[[#This Row],[STOCK CODE OUT]],Generated_Stockcode,0),23),""))</f>
        <v/>
      </c>
      <c r="Q149" s="73" t="str">
        <f>IF(ISBLANK(C149),"",_xlfn.IFNA(INDEX(inbound_data[],MATCH(Outbound_data[[#This Row],[STOCK CODE OUT]],Generated_Stockcode,0),13),""))</f>
        <v/>
      </c>
    </row>
    <row r="150" spans="2:17" x14ac:dyDescent="0.25">
      <c r="B150" s="71"/>
      <c r="C150" s="65"/>
      <c r="D150" s="55"/>
      <c r="E150" s="65"/>
      <c r="F150" s="166"/>
      <c r="G150" s="167"/>
      <c r="H150" s="166"/>
      <c r="I150" s="72"/>
      <c r="J150" s="55"/>
      <c r="K150" s="72"/>
      <c r="L150" s="55"/>
      <c r="M150" s="174"/>
      <c r="N150" s="73" t="str">
        <f>IF(ISBLANK(C150),"",_xlfn.IFNA(INDEX(inbound_data[],MATCH(Outbound_data[[#This Row],[STOCK CODE OUT]],Generated_Stockcode,0),10),""))</f>
        <v/>
      </c>
      <c r="O150" s="73" t="str">
        <f>IF(ISBLANK(C150),"",_xlfn.IFNA(INDEX(inbound_data[],MATCH(Outbound_data[[#This Row],[STOCK CODE OUT]],Generated_Stockcode,0),12),""))</f>
        <v/>
      </c>
      <c r="P150" s="73" t="str">
        <f>IF(ISBLANK(C150),"",_xlfn.IFNA(INDEX(inbound_data[],MATCH(Outbound_data[[#This Row],[STOCK CODE OUT]],Generated_Stockcode,0),23),""))</f>
        <v/>
      </c>
      <c r="Q150" s="73" t="str">
        <f>IF(ISBLANK(C150),"",_xlfn.IFNA(INDEX(inbound_data[],MATCH(Outbound_data[[#This Row],[STOCK CODE OUT]],Generated_Stockcode,0),13),""))</f>
        <v/>
      </c>
    </row>
    <row r="151" spans="2:17" x14ac:dyDescent="0.25">
      <c r="B151" s="71"/>
      <c r="C151" s="65"/>
      <c r="D151" s="55"/>
      <c r="E151" s="65"/>
      <c r="F151" s="166"/>
      <c r="G151" s="167"/>
      <c r="H151" s="166"/>
      <c r="I151" s="72"/>
      <c r="J151" s="55"/>
      <c r="K151" s="72"/>
      <c r="L151" s="55"/>
      <c r="M151" s="174"/>
      <c r="N151" s="73" t="str">
        <f>IF(ISBLANK(C151),"",_xlfn.IFNA(INDEX(inbound_data[],MATCH(Outbound_data[[#This Row],[STOCK CODE OUT]],Generated_Stockcode,0),10),""))</f>
        <v/>
      </c>
      <c r="O151" s="73" t="str">
        <f>IF(ISBLANK(C151),"",_xlfn.IFNA(INDEX(inbound_data[],MATCH(Outbound_data[[#This Row],[STOCK CODE OUT]],Generated_Stockcode,0),12),""))</f>
        <v/>
      </c>
      <c r="P151" s="73" t="str">
        <f>IF(ISBLANK(C151),"",_xlfn.IFNA(INDEX(inbound_data[],MATCH(Outbound_data[[#This Row],[STOCK CODE OUT]],Generated_Stockcode,0),23),""))</f>
        <v/>
      </c>
      <c r="Q151" s="73" t="str">
        <f>IF(ISBLANK(C151),"",_xlfn.IFNA(INDEX(inbound_data[],MATCH(Outbound_data[[#This Row],[STOCK CODE OUT]],Generated_Stockcode,0),13),""))</f>
        <v/>
      </c>
    </row>
    <row r="152" spans="2:17" x14ac:dyDescent="0.25">
      <c r="B152" s="71"/>
      <c r="C152" s="65"/>
      <c r="D152" s="55"/>
      <c r="E152" s="65"/>
      <c r="F152" s="166"/>
      <c r="G152" s="167"/>
      <c r="H152" s="166"/>
      <c r="I152" s="72"/>
      <c r="J152" s="55"/>
      <c r="K152" s="72"/>
      <c r="L152" s="55"/>
      <c r="M152" s="174"/>
      <c r="N152" s="73" t="str">
        <f>IF(ISBLANK(C152),"",_xlfn.IFNA(INDEX(inbound_data[],MATCH(Outbound_data[[#This Row],[STOCK CODE OUT]],Generated_Stockcode,0),10),""))</f>
        <v/>
      </c>
      <c r="O152" s="73" t="str">
        <f>IF(ISBLANK(C152),"",_xlfn.IFNA(INDEX(inbound_data[],MATCH(Outbound_data[[#This Row],[STOCK CODE OUT]],Generated_Stockcode,0),12),""))</f>
        <v/>
      </c>
      <c r="P152" s="73" t="str">
        <f>IF(ISBLANK(C152),"",_xlfn.IFNA(INDEX(inbound_data[],MATCH(Outbound_data[[#This Row],[STOCK CODE OUT]],Generated_Stockcode,0),23),""))</f>
        <v/>
      </c>
      <c r="Q152" s="73" t="str">
        <f>IF(ISBLANK(C152),"",_xlfn.IFNA(INDEX(inbound_data[],MATCH(Outbound_data[[#This Row],[STOCK CODE OUT]],Generated_Stockcode,0),13),""))</f>
        <v/>
      </c>
    </row>
    <row r="153" spans="2:17" x14ac:dyDescent="0.25">
      <c r="B153" s="71"/>
      <c r="C153" s="65"/>
      <c r="D153" s="55"/>
      <c r="E153" s="65"/>
      <c r="F153" s="166"/>
      <c r="G153" s="167"/>
      <c r="H153" s="166"/>
      <c r="I153" s="72"/>
      <c r="J153" s="55"/>
      <c r="K153" s="72"/>
      <c r="L153" s="55"/>
      <c r="M153" s="174"/>
      <c r="N153" s="73" t="str">
        <f>IF(ISBLANK(C153),"",_xlfn.IFNA(INDEX(inbound_data[],MATCH(Outbound_data[[#This Row],[STOCK CODE OUT]],Generated_Stockcode,0),10),""))</f>
        <v/>
      </c>
      <c r="O153" s="73" t="str">
        <f>IF(ISBLANK(C153),"",_xlfn.IFNA(INDEX(inbound_data[],MATCH(Outbound_data[[#This Row],[STOCK CODE OUT]],Generated_Stockcode,0),12),""))</f>
        <v/>
      </c>
      <c r="P153" s="73" t="str">
        <f>IF(ISBLANK(C153),"",_xlfn.IFNA(INDEX(inbound_data[],MATCH(Outbound_data[[#This Row],[STOCK CODE OUT]],Generated_Stockcode,0),23),""))</f>
        <v/>
      </c>
      <c r="Q153" s="73" t="str">
        <f>IF(ISBLANK(C153),"",_xlfn.IFNA(INDEX(inbound_data[],MATCH(Outbound_data[[#This Row],[STOCK CODE OUT]],Generated_Stockcode,0),13),""))</f>
        <v/>
      </c>
    </row>
    <row r="154" spans="2:17" x14ac:dyDescent="0.25">
      <c r="B154" s="71"/>
      <c r="C154" s="65"/>
      <c r="D154" s="55"/>
      <c r="E154" s="65"/>
      <c r="F154" s="166"/>
      <c r="G154" s="167"/>
      <c r="H154" s="166"/>
      <c r="I154" s="72"/>
      <c r="J154" s="55"/>
      <c r="K154" s="72"/>
      <c r="L154" s="55"/>
      <c r="M154" s="174"/>
      <c r="N154" s="73" t="str">
        <f>IF(ISBLANK(C154),"",_xlfn.IFNA(INDEX(inbound_data[],MATCH(Outbound_data[[#This Row],[STOCK CODE OUT]],Generated_Stockcode,0),10),""))</f>
        <v/>
      </c>
      <c r="O154" s="73" t="str">
        <f>IF(ISBLANK(C154),"",_xlfn.IFNA(INDEX(inbound_data[],MATCH(Outbound_data[[#This Row],[STOCK CODE OUT]],Generated_Stockcode,0),12),""))</f>
        <v/>
      </c>
      <c r="P154" s="73" t="str">
        <f>IF(ISBLANK(C154),"",_xlfn.IFNA(INDEX(inbound_data[],MATCH(Outbound_data[[#This Row],[STOCK CODE OUT]],Generated_Stockcode,0),23),""))</f>
        <v/>
      </c>
      <c r="Q154" s="73" t="str">
        <f>IF(ISBLANK(C154),"",_xlfn.IFNA(INDEX(inbound_data[],MATCH(Outbound_data[[#This Row],[STOCK CODE OUT]],Generated_Stockcode,0),13),""))</f>
        <v/>
      </c>
    </row>
    <row r="155" spans="2:17" x14ac:dyDescent="0.25">
      <c r="B155" s="71"/>
      <c r="C155" s="65"/>
      <c r="D155" s="55"/>
      <c r="E155" s="65"/>
      <c r="F155" s="166"/>
      <c r="G155" s="167"/>
      <c r="H155" s="166"/>
      <c r="I155" s="72"/>
      <c r="J155" s="55"/>
      <c r="K155" s="72"/>
      <c r="L155" s="55"/>
      <c r="M155" s="174"/>
      <c r="N155" s="73" t="str">
        <f>IF(ISBLANK(C155),"",_xlfn.IFNA(INDEX(inbound_data[],MATCH(Outbound_data[[#This Row],[STOCK CODE OUT]],Generated_Stockcode,0),10),""))</f>
        <v/>
      </c>
      <c r="O155" s="73" t="str">
        <f>IF(ISBLANK(C155),"",_xlfn.IFNA(INDEX(inbound_data[],MATCH(Outbound_data[[#This Row],[STOCK CODE OUT]],Generated_Stockcode,0),12),""))</f>
        <v/>
      </c>
      <c r="P155" s="73" t="str">
        <f>IF(ISBLANK(C155),"",_xlfn.IFNA(INDEX(inbound_data[],MATCH(Outbound_data[[#This Row],[STOCK CODE OUT]],Generated_Stockcode,0),23),""))</f>
        <v/>
      </c>
      <c r="Q155" s="73" t="str">
        <f>IF(ISBLANK(C155),"",_xlfn.IFNA(INDEX(inbound_data[],MATCH(Outbound_data[[#This Row],[STOCK CODE OUT]],Generated_Stockcode,0),13),""))</f>
        <v/>
      </c>
    </row>
    <row r="156" spans="2:17" x14ac:dyDescent="0.25">
      <c r="B156" s="71"/>
      <c r="C156" s="65"/>
      <c r="D156" s="55"/>
      <c r="E156" s="65"/>
      <c r="F156" s="166"/>
      <c r="G156" s="167"/>
      <c r="H156" s="166"/>
      <c r="I156" s="72"/>
      <c r="J156" s="55"/>
      <c r="K156" s="72"/>
      <c r="L156" s="55"/>
      <c r="M156" s="174"/>
      <c r="N156" s="73" t="str">
        <f>IF(ISBLANK(C156),"",_xlfn.IFNA(INDEX(inbound_data[],MATCH(Outbound_data[[#This Row],[STOCK CODE OUT]],Generated_Stockcode,0),10),""))</f>
        <v/>
      </c>
      <c r="O156" s="73" t="str">
        <f>IF(ISBLANK(C156),"",_xlfn.IFNA(INDEX(inbound_data[],MATCH(Outbound_data[[#This Row],[STOCK CODE OUT]],Generated_Stockcode,0),12),""))</f>
        <v/>
      </c>
      <c r="P156" s="73" t="str">
        <f>IF(ISBLANK(C156),"",_xlfn.IFNA(INDEX(inbound_data[],MATCH(Outbound_data[[#This Row],[STOCK CODE OUT]],Generated_Stockcode,0),23),""))</f>
        <v/>
      </c>
      <c r="Q156" s="73" t="str">
        <f>IF(ISBLANK(C156),"",_xlfn.IFNA(INDEX(inbound_data[],MATCH(Outbound_data[[#This Row],[STOCK CODE OUT]],Generated_Stockcode,0),13),""))</f>
        <v/>
      </c>
    </row>
    <row r="157" spans="2:17" x14ac:dyDescent="0.25">
      <c r="B157" s="71"/>
      <c r="C157" s="65"/>
      <c r="D157" s="55"/>
      <c r="E157" s="65"/>
      <c r="F157" s="166"/>
      <c r="G157" s="167"/>
      <c r="H157" s="166"/>
      <c r="I157" s="72"/>
      <c r="J157" s="55"/>
      <c r="K157" s="72"/>
      <c r="L157" s="55"/>
      <c r="M157" s="174"/>
      <c r="N157" s="73" t="str">
        <f>IF(ISBLANK(C157),"",_xlfn.IFNA(INDEX(inbound_data[],MATCH(Outbound_data[[#This Row],[STOCK CODE OUT]],Generated_Stockcode,0),10),""))</f>
        <v/>
      </c>
      <c r="O157" s="73" t="str">
        <f>IF(ISBLANK(C157),"",_xlfn.IFNA(INDEX(inbound_data[],MATCH(Outbound_data[[#This Row],[STOCK CODE OUT]],Generated_Stockcode,0),12),""))</f>
        <v/>
      </c>
      <c r="P157" s="73" t="str">
        <f>IF(ISBLANK(C157),"",_xlfn.IFNA(INDEX(inbound_data[],MATCH(Outbound_data[[#This Row],[STOCK CODE OUT]],Generated_Stockcode,0),23),""))</f>
        <v/>
      </c>
      <c r="Q157" s="73" t="str">
        <f>IF(ISBLANK(C157),"",_xlfn.IFNA(INDEX(inbound_data[],MATCH(Outbound_data[[#This Row],[STOCK CODE OUT]],Generated_Stockcode,0),13),""))</f>
        <v/>
      </c>
    </row>
    <row r="158" spans="2:17" x14ac:dyDescent="0.25">
      <c r="B158" s="71"/>
      <c r="C158" s="65"/>
      <c r="D158" s="55"/>
      <c r="E158" s="65"/>
      <c r="F158" s="166"/>
      <c r="G158" s="167"/>
      <c r="H158" s="166"/>
      <c r="I158" s="72"/>
      <c r="J158" s="55"/>
      <c r="K158" s="72"/>
      <c r="L158" s="55"/>
      <c r="M158" s="174"/>
      <c r="N158" s="73" t="str">
        <f>IF(ISBLANK(C158),"",_xlfn.IFNA(INDEX(inbound_data[],MATCH(Outbound_data[[#This Row],[STOCK CODE OUT]],Generated_Stockcode,0),10),""))</f>
        <v/>
      </c>
      <c r="O158" s="73" t="str">
        <f>IF(ISBLANK(C158),"",_xlfn.IFNA(INDEX(inbound_data[],MATCH(Outbound_data[[#This Row],[STOCK CODE OUT]],Generated_Stockcode,0),12),""))</f>
        <v/>
      </c>
      <c r="P158" s="73" t="str">
        <f>IF(ISBLANK(C158),"",_xlfn.IFNA(INDEX(inbound_data[],MATCH(Outbound_data[[#This Row],[STOCK CODE OUT]],Generated_Stockcode,0),23),""))</f>
        <v/>
      </c>
      <c r="Q158" s="73" t="str">
        <f>IF(ISBLANK(C158),"",_xlfn.IFNA(INDEX(inbound_data[],MATCH(Outbound_data[[#This Row],[STOCK CODE OUT]],Generated_Stockcode,0),13),""))</f>
        <v/>
      </c>
    </row>
    <row r="159" spans="2:17" x14ac:dyDescent="0.25">
      <c r="B159" s="71"/>
      <c r="C159" s="65"/>
      <c r="D159" s="55"/>
      <c r="E159" s="65"/>
      <c r="F159" s="166"/>
      <c r="G159" s="167"/>
      <c r="H159" s="166"/>
      <c r="I159" s="72"/>
      <c r="J159" s="55"/>
      <c r="K159" s="72"/>
      <c r="L159" s="55"/>
      <c r="M159" s="174"/>
      <c r="N159" s="73" t="str">
        <f>IF(ISBLANK(C159),"",_xlfn.IFNA(INDEX(inbound_data[],MATCH(Outbound_data[[#This Row],[STOCK CODE OUT]],Generated_Stockcode,0),10),""))</f>
        <v/>
      </c>
      <c r="O159" s="73" t="str">
        <f>IF(ISBLANK(C159),"",_xlfn.IFNA(INDEX(inbound_data[],MATCH(Outbound_data[[#This Row],[STOCK CODE OUT]],Generated_Stockcode,0),12),""))</f>
        <v/>
      </c>
      <c r="P159" s="73" t="str">
        <f>IF(ISBLANK(C159),"",_xlfn.IFNA(INDEX(inbound_data[],MATCH(Outbound_data[[#This Row],[STOCK CODE OUT]],Generated_Stockcode,0),23),""))</f>
        <v/>
      </c>
      <c r="Q159" s="73" t="str">
        <f>IF(ISBLANK(C159),"",_xlfn.IFNA(INDEX(inbound_data[],MATCH(Outbound_data[[#This Row],[STOCK CODE OUT]],Generated_Stockcode,0),13),""))</f>
        <v/>
      </c>
    </row>
    <row r="160" spans="2:17" x14ac:dyDescent="0.25">
      <c r="B160" s="71"/>
      <c r="C160" s="65"/>
      <c r="D160" s="55"/>
      <c r="E160" s="65"/>
      <c r="F160" s="166"/>
      <c r="G160" s="167"/>
      <c r="H160" s="166"/>
      <c r="I160" s="72"/>
      <c r="J160" s="55"/>
      <c r="K160" s="72"/>
      <c r="L160" s="55"/>
      <c r="M160" s="174"/>
      <c r="N160" s="73" t="str">
        <f>IF(ISBLANK(C160),"",_xlfn.IFNA(INDEX(inbound_data[],MATCH(Outbound_data[[#This Row],[STOCK CODE OUT]],Generated_Stockcode,0),10),""))</f>
        <v/>
      </c>
      <c r="O160" s="73" t="str">
        <f>IF(ISBLANK(C160),"",_xlfn.IFNA(INDEX(inbound_data[],MATCH(Outbound_data[[#This Row],[STOCK CODE OUT]],Generated_Stockcode,0),12),""))</f>
        <v/>
      </c>
      <c r="P160" s="73" t="str">
        <f>IF(ISBLANK(C160),"",_xlfn.IFNA(INDEX(inbound_data[],MATCH(Outbound_data[[#This Row],[STOCK CODE OUT]],Generated_Stockcode,0),23),""))</f>
        <v/>
      </c>
      <c r="Q160" s="73" t="str">
        <f>IF(ISBLANK(C160),"",_xlfn.IFNA(INDEX(inbound_data[],MATCH(Outbound_data[[#This Row],[STOCK CODE OUT]],Generated_Stockcode,0),13),""))</f>
        <v/>
      </c>
    </row>
    <row r="161" spans="2:17" x14ac:dyDescent="0.25">
      <c r="B161" s="71"/>
      <c r="C161" s="65"/>
      <c r="D161" s="55"/>
      <c r="E161" s="65"/>
      <c r="F161" s="166"/>
      <c r="G161" s="167"/>
      <c r="H161" s="166"/>
      <c r="I161" s="72"/>
      <c r="J161" s="55"/>
      <c r="K161" s="72"/>
      <c r="L161" s="55"/>
      <c r="M161" s="174"/>
      <c r="N161" s="73" t="str">
        <f>IF(ISBLANK(C161),"",_xlfn.IFNA(INDEX(inbound_data[],MATCH(Outbound_data[[#This Row],[STOCK CODE OUT]],Generated_Stockcode,0),10),""))</f>
        <v/>
      </c>
      <c r="O161" s="73" t="str">
        <f>IF(ISBLANK(C161),"",_xlfn.IFNA(INDEX(inbound_data[],MATCH(Outbound_data[[#This Row],[STOCK CODE OUT]],Generated_Stockcode,0),12),""))</f>
        <v/>
      </c>
      <c r="P161" s="73" t="str">
        <f>IF(ISBLANK(C161),"",_xlfn.IFNA(INDEX(inbound_data[],MATCH(Outbound_data[[#This Row],[STOCK CODE OUT]],Generated_Stockcode,0),23),""))</f>
        <v/>
      </c>
      <c r="Q161" s="73" t="str">
        <f>IF(ISBLANK(C161),"",_xlfn.IFNA(INDEX(inbound_data[],MATCH(Outbound_data[[#This Row],[STOCK CODE OUT]],Generated_Stockcode,0),13),""))</f>
        <v/>
      </c>
    </row>
    <row r="162" spans="2:17" x14ac:dyDescent="0.25">
      <c r="B162" s="71"/>
      <c r="C162" s="65"/>
      <c r="D162" s="55"/>
      <c r="E162" s="65"/>
      <c r="F162" s="166"/>
      <c r="G162" s="167"/>
      <c r="H162" s="166"/>
      <c r="I162" s="72"/>
      <c r="J162" s="55"/>
      <c r="K162" s="72"/>
      <c r="L162" s="55"/>
      <c r="M162" s="174"/>
      <c r="N162" s="73" t="str">
        <f>IF(ISBLANK(C162),"",_xlfn.IFNA(INDEX(inbound_data[],MATCH(Outbound_data[[#This Row],[STOCK CODE OUT]],Generated_Stockcode,0),10),""))</f>
        <v/>
      </c>
      <c r="O162" s="73" t="str">
        <f>IF(ISBLANK(C162),"",_xlfn.IFNA(INDEX(inbound_data[],MATCH(Outbound_data[[#This Row],[STOCK CODE OUT]],Generated_Stockcode,0),12),""))</f>
        <v/>
      </c>
      <c r="P162" s="73" t="str">
        <f>IF(ISBLANK(C162),"",_xlfn.IFNA(INDEX(inbound_data[],MATCH(Outbound_data[[#This Row],[STOCK CODE OUT]],Generated_Stockcode,0),23),""))</f>
        <v/>
      </c>
      <c r="Q162" s="73" t="str">
        <f>IF(ISBLANK(C162),"",_xlfn.IFNA(INDEX(inbound_data[],MATCH(Outbound_data[[#This Row],[STOCK CODE OUT]],Generated_Stockcode,0),13),""))</f>
        <v/>
      </c>
    </row>
    <row r="163" spans="2:17" x14ac:dyDescent="0.25">
      <c r="B163" s="71"/>
      <c r="C163" s="65"/>
      <c r="D163" s="55"/>
      <c r="E163" s="65"/>
      <c r="F163" s="166"/>
      <c r="G163" s="167"/>
      <c r="H163" s="166"/>
      <c r="I163" s="72"/>
      <c r="J163" s="55"/>
      <c r="K163" s="72"/>
      <c r="L163" s="55"/>
      <c r="M163" s="174"/>
      <c r="N163" s="73" t="str">
        <f>IF(ISBLANK(C163),"",_xlfn.IFNA(INDEX(inbound_data[],MATCH(Outbound_data[[#This Row],[STOCK CODE OUT]],Generated_Stockcode,0),10),""))</f>
        <v/>
      </c>
      <c r="O163" s="73" t="str">
        <f>IF(ISBLANK(C163),"",_xlfn.IFNA(INDEX(inbound_data[],MATCH(Outbound_data[[#This Row],[STOCK CODE OUT]],Generated_Stockcode,0),12),""))</f>
        <v/>
      </c>
      <c r="P163" s="73" t="str">
        <f>IF(ISBLANK(C163),"",_xlfn.IFNA(INDEX(inbound_data[],MATCH(Outbound_data[[#This Row],[STOCK CODE OUT]],Generated_Stockcode,0),23),""))</f>
        <v/>
      </c>
      <c r="Q163" s="73" t="str">
        <f>IF(ISBLANK(C163),"",_xlfn.IFNA(INDEX(inbound_data[],MATCH(Outbound_data[[#This Row],[STOCK CODE OUT]],Generated_Stockcode,0),13),""))</f>
        <v/>
      </c>
    </row>
    <row r="164" spans="2:17" x14ac:dyDescent="0.25">
      <c r="B164" s="71"/>
      <c r="C164" s="65"/>
      <c r="D164" s="55"/>
      <c r="E164" s="65"/>
      <c r="F164" s="166"/>
      <c r="G164" s="167"/>
      <c r="H164" s="166"/>
      <c r="I164" s="72"/>
      <c r="J164" s="55"/>
      <c r="K164" s="72"/>
      <c r="L164" s="55"/>
      <c r="M164" s="174"/>
      <c r="N164" s="73" t="str">
        <f>IF(ISBLANK(C164),"",_xlfn.IFNA(INDEX(inbound_data[],MATCH(Outbound_data[[#This Row],[STOCK CODE OUT]],Generated_Stockcode,0),10),""))</f>
        <v/>
      </c>
      <c r="O164" s="73" t="str">
        <f>IF(ISBLANK(C164),"",_xlfn.IFNA(INDEX(inbound_data[],MATCH(Outbound_data[[#This Row],[STOCK CODE OUT]],Generated_Stockcode,0),12),""))</f>
        <v/>
      </c>
      <c r="P164" s="73" t="str">
        <f>IF(ISBLANK(C164),"",_xlfn.IFNA(INDEX(inbound_data[],MATCH(Outbound_data[[#This Row],[STOCK CODE OUT]],Generated_Stockcode,0),23),""))</f>
        <v/>
      </c>
      <c r="Q164" s="73" t="str">
        <f>IF(ISBLANK(C164),"",_xlfn.IFNA(INDEX(inbound_data[],MATCH(Outbound_data[[#This Row],[STOCK CODE OUT]],Generated_Stockcode,0),13),""))</f>
        <v/>
      </c>
    </row>
    <row r="165" spans="2:17" x14ac:dyDescent="0.25">
      <c r="B165" s="71"/>
      <c r="C165" s="65"/>
      <c r="D165" s="55"/>
      <c r="E165" s="65"/>
      <c r="F165" s="166"/>
      <c r="G165" s="167"/>
      <c r="H165" s="166"/>
      <c r="I165" s="72"/>
      <c r="J165" s="55"/>
      <c r="K165" s="72"/>
      <c r="L165" s="55"/>
      <c r="M165" s="174"/>
      <c r="N165" s="73" t="str">
        <f>IF(ISBLANK(C165),"",_xlfn.IFNA(INDEX(inbound_data[],MATCH(Outbound_data[[#This Row],[STOCK CODE OUT]],Generated_Stockcode,0),10),""))</f>
        <v/>
      </c>
      <c r="O165" s="73" t="str">
        <f>IF(ISBLANK(C165),"",_xlfn.IFNA(INDEX(inbound_data[],MATCH(Outbound_data[[#This Row],[STOCK CODE OUT]],Generated_Stockcode,0),12),""))</f>
        <v/>
      </c>
      <c r="P165" s="73" t="str">
        <f>IF(ISBLANK(C165),"",_xlfn.IFNA(INDEX(inbound_data[],MATCH(Outbound_data[[#This Row],[STOCK CODE OUT]],Generated_Stockcode,0),23),""))</f>
        <v/>
      </c>
      <c r="Q165" s="73" t="str">
        <f>IF(ISBLANK(C165),"",_xlfn.IFNA(INDEX(inbound_data[],MATCH(Outbound_data[[#This Row],[STOCK CODE OUT]],Generated_Stockcode,0),13),""))</f>
        <v/>
      </c>
    </row>
    <row r="166" spans="2:17" x14ac:dyDescent="0.25">
      <c r="B166" s="71"/>
      <c r="C166" s="65"/>
      <c r="D166" s="55"/>
      <c r="E166" s="65"/>
      <c r="F166" s="166"/>
      <c r="G166" s="167"/>
      <c r="H166" s="166"/>
      <c r="I166" s="72"/>
      <c r="J166" s="55"/>
      <c r="K166" s="72"/>
      <c r="L166" s="55"/>
      <c r="M166" s="174"/>
      <c r="N166" s="73" t="str">
        <f>IF(ISBLANK(C166),"",_xlfn.IFNA(INDEX(inbound_data[],MATCH(Outbound_data[[#This Row],[STOCK CODE OUT]],Generated_Stockcode,0),10),""))</f>
        <v/>
      </c>
      <c r="O166" s="73" t="str">
        <f>IF(ISBLANK(C166),"",_xlfn.IFNA(INDEX(inbound_data[],MATCH(Outbound_data[[#This Row],[STOCK CODE OUT]],Generated_Stockcode,0),12),""))</f>
        <v/>
      </c>
      <c r="P166" s="73" t="str">
        <f>IF(ISBLANK(C166),"",_xlfn.IFNA(INDEX(inbound_data[],MATCH(Outbound_data[[#This Row],[STOCK CODE OUT]],Generated_Stockcode,0),23),""))</f>
        <v/>
      </c>
      <c r="Q166" s="73" t="str">
        <f>IF(ISBLANK(C166),"",_xlfn.IFNA(INDEX(inbound_data[],MATCH(Outbound_data[[#This Row],[STOCK CODE OUT]],Generated_Stockcode,0),13),""))</f>
        <v/>
      </c>
    </row>
    <row r="167" spans="2:17" x14ac:dyDescent="0.25">
      <c r="B167" s="71"/>
      <c r="C167" s="65"/>
      <c r="D167" s="55"/>
      <c r="E167" s="65"/>
      <c r="F167" s="166"/>
      <c r="G167" s="167"/>
      <c r="H167" s="166"/>
      <c r="I167" s="72"/>
      <c r="J167" s="55"/>
      <c r="K167" s="72"/>
      <c r="L167" s="55"/>
      <c r="M167" s="174"/>
      <c r="N167" s="73" t="str">
        <f>IF(ISBLANK(C167),"",_xlfn.IFNA(INDEX(inbound_data[],MATCH(Outbound_data[[#This Row],[STOCK CODE OUT]],Generated_Stockcode,0),10),""))</f>
        <v/>
      </c>
      <c r="O167" s="73" t="str">
        <f>IF(ISBLANK(C167),"",_xlfn.IFNA(INDEX(inbound_data[],MATCH(Outbound_data[[#This Row],[STOCK CODE OUT]],Generated_Stockcode,0),12),""))</f>
        <v/>
      </c>
      <c r="P167" s="73" t="str">
        <f>IF(ISBLANK(C167),"",_xlfn.IFNA(INDEX(inbound_data[],MATCH(Outbound_data[[#This Row],[STOCK CODE OUT]],Generated_Stockcode,0),23),""))</f>
        <v/>
      </c>
      <c r="Q167" s="73" t="str">
        <f>IF(ISBLANK(C167),"",_xlfn.IFNA(INDEX(inbound_data[],MATCH(Outbound_data[[#This Row],[STOCK CODE OUT]],Generated_Stockcode,0),13),""))</f>
        <v/>
      </c>
    </row>
    <row r="168" spans="2:17" x14ac:dyDescent="0.25">
      <c r="B168" s="71"/>
      <c r="C168" s="65"/>
      <c r="D168" s="55"/>
      <c r="E168" s="65"/>
      <c r="F168" s="166"/>
      <c r="G168" s="167"/>
      <c r="H168" s="166"/>
      <c r="I168" s="72"/>
      <c r="J168" s="55"/>
      <c r="K168" s="72"/>
      <c r="L168" s="55"/>
      <c r="M168" s="174"/>
      <c r="N168" s="73" t="str">
        <f>IF(ISBLANK(C168),"",_xlfn.IFNA(INDEX(inbound_data[],MATCH(Outbound_data[[#This Row],[STOCK CODE OUT]],Generated_Stockcode,0),10),""))</f>
        <v/>
      </c>
      <c r="O168" s="73" t="str">
        <f>IF(ISBLANK(C168),"",_xlfn.IFNA(INDEX(inbound_data[],MATCH(Outbound_data[[#This Row],[STOCK CODE OUT]],Generated_Stockcode,0),12),""))</f>
        <v/>
      </c>
      <c r="P168" s="73" t="str">
        <f>IF(ISBLANK(C168),"",_xlfn.IFNA(INDEX(inbound_data[],MATCH(Outbound_data[[#This Row],[STOCK CODE OUT]],Generated_Stockcode,0),23),""))</f>
        <v/>
      </c>
      <c r="Q168" s="73" t="str">
        <f>IF(ISBLANK(C168),"",_xlfn.IFNA(INDEX(inbound_data[],MATCH(Outbound_data[[#This Row],[STOCK CODE OUT]],Generated_Stockcode,0),13),""))</f>
        <v/>
      </c>
    </row>
    <row r="169" spans="2:17" x14ac:dyDescent="0.25">
      <c r="B169" s="71"/>
      <c r="C169" s="65"/>
      <c r="D169" s="55"/>
      <c r="E169" s="65"/>
      <c r="F169" s="166"/>
      <c r="G169" s="167"/>
      <c r="H169" s="166"/>
      <c r="I169" s="72"/>
      <c r="J169" s="55"/>
      <c r="K169" s="72"/>
      <c r="L169" s="55"/>
      <c r="M169" s="174"/>
      <c r="N169" s="73" t="str">
        <f>IF(ISBLANK(C169),"",_xlfn.IFNA(INDEX(inbound_data[],MATCH(Outbound_data[[#This Row],[STOCK CODE OUT]],Generated_Stockcode,0),10),""))</f>
        <v/>
      </c>
      <c r="O169" s="73" t="str">
        <f>IF(ISBLANK(C169),"",_xlfn.IFNA(INDEX(inbound_data[],MATCH(Outbound_data[[#This Row],[STOCK CODE OUT]],Generated_Stockcode,0),12),""))</f>
        <v/>
      </c>
      <c r="P169" s="73" t="str">
        <f>IF(ISBLANK(C169),"",_xlfn.IFNA(INDEX(inbound_data[],MATCH(Outbound_data[[#This Row],[STOCK CODE OUT]],Generated_Stockcode,0),23),""))</f>
        <v/>
      </c>
      <c r="Q169" s="73" t="str">
        <f>IF(ISBLANK(C169),"",_xlfn.IFNA(INDEX(inbound_data[],MATCH(Outbound_data[[#This Row],[STOCK CODE OUT]],Generated_Stockcode,0),13),""))</f>
        <v/>
      </c>
    </row>
    <row r="170" spans="2:17" x14ac:dyDescent="0.25">
      <c r="B170" s="71"/>
      <c r="C170" s="65"/>
      <c r="D170" s="55"/>
      <c r="E170" s="65"/>
      <c r="F170" s="166"/>
      <c r="G170" s="167"/>
      <c r="H170" s="166"/>
      <c r="I170" s="72"/>
      <c r="J170" s="55"/>
      <c r="K170" s="72"/>
      <c r="L170" s="55"/>
      <c r="M170" s="174"/>
      <c r="N170" s="73" t="str">
        <f>IF(ISBLANK(C170),"",_xlfn.IFNA(INDEX(inbound_data[],MATCH(Outbound_data[[#This Row],[STOCK CODE OUT]],Generated_Stockcode,0),10),""))</f>
        <v/>
      </c>
      <c r="O170" s="73" t="str">
        <f>IF(ISBLANK(C170),"",_xlfn.IFNA(INDEX(inbound_data[],MATCH(Outbound_data[[#This Row],[STOCK CODE OUT]],Generated_Stockcode,0),12),""))</f>
        <v/>
      </c>
      <c r="P170" s="73" t="str">
        <f>IF(ISBLANK(C170),"",_xlfn.IFNA(INDEX(inbound_data[],MATCH(Outbound_data[[#This Row],[STOCK CODE OUT]],Generated_Stockcode,0),23),""))</f>
        <v/>
      </c>
      <c r="Q170" s="73" t="str">
        <f>IF(ISBLANK(C170),"",_xlfn.IFNA(INDEX(inbound_data[],MATCH(Outbound_data[[#This Row],[STOCK CODE OUT]],Generated_Stockcode,0),13),""))</f>
        <v/>
      </c>
    </row>
    <row r="171" spans="2:17" x14ac:dyDescent="0.25">
      <c r="B171" s="71"/>
      <c r="C171" s="65"/>
      <c r="D171" s="55"/>
      <c r="E171" s="65"/>
      <c r="F171" s="166"/>
      <c r="G171" s="167"/>
      <c r="H171" s="166"/>
      <c r="I171" s="72"/>
      <c r="J171" s="55"/>
      <c r="K171" s="72"/>
      <c r="L171" s="55"/>
      <c r="M171" s="174"/>
      <c r="N171" s="73" t="str">
        <f>IF(ISBLANK(C171),"",_xlfn.IFNA(INDEX(inbound_data[],MATCH(Outbound_data[[#This Row],[STOCK CODE OUT]],Generated_Stockcode,0),10),""))</f>
        <v/>
      </c>
      <c r="O171" s="73" t="str">
        <f>IF(ISBLANK(C171),"",_xlfn.IFNA(INDEX(inbound_data[],MATCH(Outbound_data[[#This Row],[STOCK CODE OUT]],Generated_Stockcode,0),12),""))</f>
        <v/>
      </c>
      <c r="P171" s="73" t="str">
        <f>IF(ISBLANK(C171),"",_xlfn.IFNA(INDEX(inbound_data[],MATCH(Outbound_data[[#This Row],[STOCK CODE OUT]],Generated_Stockcode,0),23),""))</f>
        <v/>
      </c>
      <c r="Q171" s="73" t="str">
        <f>IF(ISBLANK(C171),"",_xlfn.IFNA(INDEX(inbound_data[],MATCH(Outbound_data[[#This Row],[STOCK CODE OUT]],Generated_Stockcode,0),13),""))</f>
        <v/>
      </c>
    </row>
    <row r="172" spans="2:17" x14ac:dyDescent="0.25">
      <c r="B172" s="71"/>
      <c r="C172" s="65"/>
      <c r="D172" s="55"/>
      <c r="E172" s="65"/>
      <c r="F172" s="166"/>
      <c r="G172" s="167"/>
      <c r="H172" s="166"/>
      <c r="I172" s="72"/>
      <c r="J172" s="55"/>
      <c r="K172" s="72"/>
      <c r="L172" s="55"/>
      <c r="M172" s="174"/>
      <c r="N172" s="73" t="str">
        <f>IF(ISBLANK(C172),"",_xlfn.IFNA(INDEX(inbound_data[],MATCH(Outbound_data[[#This Row],[STOCK CODE OUT]],Generated_Stockcode,0),10),""))</f>
        <v/>
      </c>
      <c r="O172" s="73" t="str">
        <f>IF(ISBLANK(C172),"",_xlfn.IFNA(INDEX(inbound_data[],MATCH(Outbound_data[[#This Row],[STOCK CODE OUT]],Generated_Stockcode,0),12),""))</f>
        <v/>
      </c>
      <c r="P172" s="73" t="str">
        <f>IF(ISBLANK(C172),"",_xlfn.IFNA(INDEX(inbound_data[],MATCH(Outbound_data[[#This Row],[STOCK CODE OUT]],Generated_Stockcode,0),23),""))</f>
        <v/>
      </c>
      <c r="Q172" s="73" t="str">
        <f>IF(ISBLANK(C172),"",_xlfn.IFNA(INDEX(inbound_data[],MATCH(Outbound_data[[#This Row],[STOCK CODE OUT]],Generated_Stockcode,0),13),""))</f>
        <v/>
      </c>
    </row>
    <row r="173" spans="2:17" x14ac:dyDescent="0.25">
      <c r="B173" s="71"/>
      <c r="C173" s="65"/>
      <c r="D173" s="55"/>
      <c r="E173" s="65"/>
      <c r="F173" s="166"/>
      <c r="G173" s="167"/>
      <c r="H173" s="166"/>
      <c r="I173" s="72"/>
      <c r="J173" s="55"/>
      <c r="K173" s="72"/>
      <c r="L173" s="55"/>
      <c r="M173" s="174"/>
      <c r="N173" s="73" t="str">
        <f>IF(ISBLANK(C173),"",_xlfn.IFNA(INDEX(inbound_data[],MATCH(Outbound_data[[#This Row],[STOCK CODE OUT]],Generated_Stockcode,0),10),""))</f>
        <v/>
      </c>
      <c r="O173" s="73" t="str">
        <f>IF(ISBLANK(C173),"",_xlfn.IFNA(INDEX(inbound_data[],MATCH(Outbound_data[[#This Row],[STOCK CODE OUT]],Generated_Stockcode,0),12),""))</f>
        <v/>
      </c>
      <c r="P173" s="73" t="str">
        <f>IF(ISBLANK(C173),"",_xlfn.IFNA(INDEX(inbound_data[],MATCH(Outbound_data[[#This Row],[STOCK CODE OUT]],Generated_Stockcode,0),23),""))</f>
        <v/>
      </c>
      <c r="Q173" s="73" t="str">
        <f>IF(ISBLANK(C173),"",_xlfn.IFNA(INDEX(inbound_data[],MATCH(Outbound_data[[#This Row],[STOCK CODE OUT]],Generated_Stockcode,0),13),""))</f>
        <v/>
      </c>
    </row>
    <row r="174" spans="2:17" x14ac:dyDescent="0.25">
      <c r="B174" s="71"/>
      <c r="C174" s="65"/>
      <c r="D174" s="55"/>
      <c r="E174" s="65"/>
      <c r="F174" s="166"/>
      <c r="G174" s="167"/>
      <c r="H174" s="166"/>
      <c r="I174" s="72"/>
      <c r="J174" s="55"/>
      <c r="K174" s="72"/>
      <c r="L174" s="55"/>
      <c r="M174" s="174"/>
      <c r="N174" s="73" t="str">
        <f>IF(ISBLANK(C174),"",_xlfn.IFNA(INDEX(inbound_data[],MATCH(Outbound_data[[#This Row],[STOCK CODE OUT]],Generated_Stockcode,0),10),""))</f>
        <v/>
      </c>
      <c r="O174" s="73" t="str">
        <f>IF(ISBLANK(C174),"",_xlfn.IFNA(INDEX(inbound_data[],MATCH(Outbound_data[[#This Row],[STOCK CODE OUT]],Generated_Stockcode,0),12),""))</f>
        <v/>
      </c>
      <c r="P174" s="73" t="str">
        <f>IF(ISBLANK(C174),"",_xlfn.IFNA(INDEX(inbound_data[],MATCH(Outbound_data[[#This Row],[STOCK CODE OUT]],Generated_Stockcode,0),23),""))</f>
        <v/>
      </c>
      <c r="Q174" s="73" t="str">
        <f>IF(ISBLANK(C174),"",_xlfn.IFNA(INDEX(inbound_data[],MATCH(Outbound_data[[#This Row],[STOCK CODE OUT]],Generated_Stockcode,0),13),""))</f>
        <v/>
      </c>
    </row>
    <row r="175" spans="2:17" x14ac:dyDescent="0.25">
      <c r="B175" s="71"/>
      <c r="C175" s="65"/>
      <c r="D175" s="55"/>
      <c r="E175" s="65"/>
      <c r="F175" s="166"/>
      <c r="G175" s="167"/>
      <c r="H175" s="166"/>
      <c r="I175" s="72"/>
      <c r="J175" s="55"/>
      <c r="K175" s="72"/>
      <c r="L175" s="55"/>
      <c r="M175" s="174"/>
      <c r="N175" s="73" t="str">
        <f>IF(ISBLANK(C175),"",_xlfn.IFNA(INDEX(inbound_data[],MATCH(Outbound_data[[#This Row],[STOCK CODE OUT]],Generated_Stockcode,0),10),""))</f>
        <v/>
      </c>
      <c r="O175" s="73" t="str">
        <f>IF(ISBLANK(C175),"",_xlfn.IFNA(INDEX(inbound_data[],MATCH(Outbound_data[[#This Row],[STOCK CODE OUT]],Generated_Stockcode,0),12),""))</f>
        <v/>
      </c>
      <c r="P175" s="73" t="str">
        <f>IF(ISBLANK(C175),"",_xlfn.IFNA(INDEX(inbound_data[],MATCH(Outbound_data[[#This Row],[STOCK CODE OUT]],Generated_Stockcode,0),23),""))</f>
        <v/>
      </c>
      <c r="Q175" s="73" t="str">
        <f>IF(ISBLANK(C175),"",_xlfn.IFNA(INDEX(inbound_data[],MATCH(Outbound_data[[#This Row],[STOCK CODE OUT]],Generated_Stockcode,0),13),""))</f>
        <v/>
      </c>
    </row>
    <row r="176" spans="2:17" x14ac:dyDescent="0.25">
      <c r="B176" s="71"/>
      <c r="C176" s="65"/>
      <c r="D176" s="55"/>
      <c r="E176" s="65"/>
      <c r="F176" s="166"/>
      <c r="G176" s="167"/>
      <c r="H176" s="166"/>
      <c r="I176" s="72"/>
      <c r="J176" s="55"/>
      <c r="K176" s="72"/>
      <c r="L176" s="55"/>
      <c r="M176" s="174"/>
      <c r="N176" s="73" t="str">
        <f>IF(ISBLANK(C176),"",_xlfn.IFNA(INDEX(inbound_data[],MATCH(Outbound_data[[#This Row],[STOCK CODE OUT]],Generated_Stockcode,0),10),""))</f>
        <v/>
      </c>
      <c r="O176" s="73" t="str">
        <f>IF(ISBLANK(C176),"",_xlfn.IFNA(INDEX(inbound_data[],MATCH(Outbound_data[[#This Row],[STOCK CODE OUT]],Generated_Stockcode,0),12),""))</f>
        <v/>
      </c>
      <c r="P176" s="73" t="str">
        <f>IF(ISBLANK(C176),"",_xlfn.IFNA(INDEX(inbound_data[],MATCH(Outbound_data[[#This Row],[STOCK CODE OUT]],Generated_Stockcode,0),23),""))</f>
        <v/>
      </c>
      <c r="Q176" s="73" t="str">
        <f>IF(ISBLANK(C176),"",_xlfn.IFNA(INDEX(inbound_data[],MATCH(Outbound_data[[#This Row],[STOCK CODE OUT]],Generated_Stockcode,0),13),""))</f>
        <v/>
      </c>
    </row>
    <row r="177" spans="2:17" x14ac:dyDescent="0.25">
      <c r="B177" s="71"/>
      <c r="C177" s="65"/>
      <c r="D177" s="55"/>
      <c r="E177" s="65"/>
      <c r="F177" s="166"/>
      <c r="G177" s="167"/>
      <c r="H177" s="166"/>
      <c r="I177" s="72"/>
      <c r="J177" s="55"/>
      <c r="K177" s="72"/>
      <c r="L177" s="55"/>
      <c r="M177" s="174"/>
      <c r="N177" s="73" t="str">
        <f>IF(ISBLANK(C177),"",_xlfn.IFNA(INDEX(inbound_data[],MATCH(Outbound_data[[#This Row],[STOCK CODE OUT]],Generated_Stockcode,0),10),""))</f>
        <v/>
      </c>
      <c r="O177" s="73" t="str">
        <f>IF(ISBLANK(C177),"",_xlfn.IFNA(INDEX(inbound_data[],MATCH(Outbound_data[[#This Row],[STOCK CODE OUT]],Generated_Stockcode,0),12),""))</f>
        <v/>
      </c>
      <c r="P177" s="73" t="str">
        <f>IF(ISBLANK(C177),"",_xlfn.IFNA(INDEX(inbound_data[],MATCH(Outbound_data[[#This Row],[STOCK CODE OUT]],Generated_Stockcode,0),23),""))</f>
        <v/>
      </c>
      <c r="Q177" s="73" t="str">
        <f>IF(ISBLANK(C177),"",_xlfn.IFNA(INDEX(inbound_data[],MATCH(Outbound_data[[#This Row],[STOCK CODE OUT]],Generated_Stockcode,0),13),""))</f>
        <v/>
      </c>
    </row>
    <row r="178" spans="2:17" x14ac:dyDescent="0.25">
      <c r="B178" s="71"/>
      <c r="C178" s="65"/>
      <c r="D178" s="55"/>
      <c r="E178" s="65"/>
      <c r="F178" s="166"/>
      <c r="G178" s="167"/>
      <c r="H178" s="166"/>
      <c r="I178" s="72"/>
      <c r="J178" s="55"/>
      <c r="K178" s="72"/>
      <c r="L178" s="55"/>
      <c r="M178" s="174"/>
      <c r="N178" s="73" t="str">
        <f>IF(ISBLANK(C178),"",_xlfn.IFNA(INDEX(inbound_data[],MATCH(Outbound_data[[#This Row],[STOCK CODE OUT]],Generated_Stockcode,0),10),""))</f>
        <v/>
      </c>
      <c r="O178" s="73" t="str">
        <f>IF(ISBLANK(C178),"",_xlfn.IFNA(INDEX(inbound_data[],MATCH(Outbound_data[[#This Row],[STOCK CODE OUT]],Generated_Stockcode,0),12),""))</f>
        <v/>
      </c>
      <c r="P178" s="73" t="str">
        <f>IF(ISBLANK(C178),"",_xlfn.IFNA(INDEX(inbound_data[],MATCH(Outbound_data[[#This Row],[STOCK CODE OUT]],Generated_Stockcode,0),23),""))</f>
        <v/>
      </c>
      <c r="Q178" s="73" t="str">
        <f>IF(ISBLANK(C178),"",_xlfn.IFNA(INDEX(inbound_data[],MATCH(Outbound_data[[#This Row],[STOCK CODE OUT]],Generated_Stockcode,0),13),""))</f>
        <v/>
      </c>
    </row>
    <row r="179" spans="2:17" x14ac:dyDescent="0.25">
      <c r="B179" s="71"/>
      <c r="C179" s="65"/>
      <c r="D179" s="55"/>
      <c r="E179" s="65"/>
      <c r="F179" s="166"/>
      <c r="G179" s="167"/>
      <c r="H179" s="166"/>
      <c r="I179" s="72"/>
      <c r="J179" s="55"/>
      <c r="K179" s="72"/>
      <c r="L179" s="55"/>
      <c r="M179" s="174"/>
      <c r="N179" s="73" t="str">
        <f>IF(ISBLANK(C179),"",_xlfn.IFNA(INDEX(inbound_data[],MATCH(Outbound_data[[#This Row],[STOCK CODE OUT]],Generated_Stockcode,0),10),""))</f>
        <v/>
      </c>
      <c r="O179" s="73" t="str">
        <f>IF(ISBLANK(C179),"",_xlfn.IFNA(INDEX(inbound_data[],MATCH(Outbound_data[[#This Row],[STOCK CODE OUT]],Generated_Stockcode,0),12),""))</f>
        <v/>
      </c>
      <c r="P179" s="73" t="str">
        <f>IF(ISBLANK(C179),"",_xlfn.IFNA(INDEX(inbound_data[],MATCH(Outbound_data[[#This Row],[STOCK CODE OUT]],Generated_Stockcode,0),23),""))</f>
        <v/>
      </c>
      <c r="Q179" s="73" t="str">
        <f>IF(ISBLANK(C179),"",_xlfn.IFNA(INDEX(inbound_data[],MATCH(Outbound_data[[#This Row],[STOCK CODE OUT]],Generated_Stockcode,0),13),""))</f>
        <v/>
      </c>
    </row>
    <row r="180" spans="2:17" x14ac:dyDescent="0.25">
      <c r="B180" s="71"/>
      <c r="C180" s="65"/>
      <c r="D180" s="55"/>
      <c r="E180" s="65"/>
      <c r="F180" s="166"/>
      <c r="G180" s="167"/>
      <c r="H180" s="166"/>
      <c r="I180" s="72"/>
      <c r="J180" s="55"/>
      <c r="K180" s="72"/>
      <c r="L180" s="55"/>
      <c r="M180" s="174"/>
      <c r="N180" s="73" t="str">
        <f>IF(ISBLANK(C180),"",_xlfn.IFNA(INDEX(inbound_data[],MATCH(Outbound_data[[#This Row],[STOCK CODE OUT]],Generated_Stockcode,0),10),""))</f>
        <v/>
      </c>
      <c r="O180" s="73" t="str">
        <f>IF(ISBLANK(C180),"",_xlfn.IFNA(INDEX(inbound_data[],MATCH(Outbound_data[[#This Row],[STOCK CODE OUT]],Generated_Stockcode,0),12),""))</f>
        <v/>
      </c>
      <c r="P180" s="73" t="str">
        <f>IF(ISBLANK(C180),"",_xlfn.IFNA(INDEX(inbound_data[],MATCH(Outbound_data[[#This Row],[STOCK CODE OUT]],Generated_Stockcode,0),23),""))</f>
        <v/>
      </c>
      <c r="Q180" s="73" t="str">
        <f>IF(ISBLANK(C180),"",_xlfn.IFNA(INDEX(inbound_data[],MATCH(Outbound_data[[#This Row],[STOCK CODE OUT]],Generated_Stockcode,0),13),""))</f>
        <v/>
      </c>
    </row>
    <row r="181" spans="2:17" x14ac:dyDescent="0.25">
      <c r="B181" s="71"/>
      <c r="C181" s="65"/>
      <c r="D181" s="55"/>
      <c r="E181" s="65"/>
      <c r="F181" s="166"/>
      <c r="G181" s="167"/>
      <c r="H181" s="166"/>
      <c r="I181" s="72"/>
      <c r="J181" s="55"/>
      <c r="K181" s="72"/>
      <c r="L181" s="55"/>
      <c r="M181" s="174"/>
      <c r="N181" s="73" t="str">
        <f>IF(ISBLANK(C181),"",_xlfn.IFNA(INDEX(inbound_data[],MATCH(Outbound_data[[#This Row],[STOCK CODE OUT]],Generated_Stockcode,0),10),""))</f>
        <v/>
      </c>
      <c r="O181" s="73" t="str">
        <f>IF(ISBLANK(C181),"",_xlfn.IFNA(INDEX(inbound_data[],MATCH(Outbound_data[[#This Row],[STOCK CODE OUT]],Generated_Stockcode,0),12),""))</f>
        <v/>
      </c>
      <c r="P181" s="73" t="str">
        <f>IF(ISBLANK(C181),"",_xlfn.IFNA(INDEX(inbound_data[],MATCH(Outbound_data[[#This Row],[STOCK CODE OUT]],Generated_Stockcode,0),23),""))</f>
        <v/>
      </c>
      <c r="Q181" s="73" t="str">
        <f>IF(ISBLANK(C181),"",_xlfn.IFNA(INDEX(inbound_data[],MATCH(Outbound_data[[#This Row],[STOCK CODE OUT]],Generated_Stockcode,0),13),""))</f>
        <v/>
      </c>
    </row>
    <row r="182" spans="2:17" x14ac:dyDescent="0.25">
      <c r="B182" s="71"/>
      <c r="C182" s="65"/>
      <c r="D182" s="55"/>
      <c r="E182" s="65"/>
      <c r="F182" s="166"/>
      <c r="G182" s="167"/>
      <c r="H182" s="166"/>
      <c r="I182" s="72"/>
      <c r="J182" s="55"/>
      <c r="K182" s="72"/>
      <c r="L182" s="55"/>
      <c r="M182" s="174"/>
      <c r="N182" s="73" t="str">
        <f>IF(ISBLANK(C182),"",_xlfn.IFNA(INDEX(inbound_data[],MATCH(Outbound_data[[#This Row],[STOCK CODE OUT]],Generated_Stockcode,0),10),""))</f>
        <v/>
      </c>
      <c r="O182" s="73" t="str">
        <f>IF(ISBLANK(C182),"",_xlfn.IFNA(INDEX(inbound_data[],MATCH(Outbound_data[[#This Row],[STOCK CODE OUT]],Generated_Stockcode,0),12),""))</f>
        <v/>
      </c>
      <c r="P182" s="73" t="str">
        <f>IF(ISBLANK(C182),"",_xlfn.IFNA(INDEX(inbound_data[],MATCH(Outbound_data[[#This Row],[STOCK CODE OUT]],Generated_Stockcode,0),23),""))</f>
        <v/>
      </c>
      <c r="Q182" s="73" t="str">
        <f>IF(ISBLANK(C182),"",_xlfn.IFNA(INDEX(inbound_data[],MATCH(Outbound_data[[#This Row],[STOCK CODE OUT]],Generated_Stockcode,0),13),""))</f>
        <v/>
      </c>
    </row>
    <row r="183" spans="2:17" x14ac:dyDescent="0.25">
      <c r="B183" s="71"/>
      <c r="C183" s="65"/>
      <c r="D183" s="55"/>
      <c r="E183" s="65"/>
      <c r="F183" s="166"/>
      <c r="G183" s="167"/>
      <c r="H183" s="166"/>
      <c r="I183" s="72"/>
      <c r="J183" s="55"/>
      <c r="K183" s="72"/>
      <c r="L183" s="55"/>
      <c r="M183" s="174"/>
      <c r="N183" s="73" t="str">
        <f>IF(ISBLANK(C183),"",_xlfn.IFNA(INDEX(inbound_data[],MATCH(Outbound_data[[#This Row],[STOCK CODE OUT]],Generated_Stockcode,0),10),""))</f>
        <v/>
      </c>
      <c r="O183" s="73" t="str">
        <f>IF(ISBLANK(C183),"",_xlfn.IFNA(INDEX(inbound_data[],MATCH(Outbound_data[[#This Row],[STOCK CODE OUT]],Generated_Stockcode,0),12),""))</f>
        <v/>
      </c>
      <c r="P183" s="73" t="str">
        <f>IF(ISBLANK(C183),"",_xlfn.IFNA(INDEX(inbound_data[],MATCH(Outbound_data[[#This Row],[STOCK CODE OUT]],Generated_Stockcode,0),23),""))</f>
        <v/>
      </c>
      <c r="Q183" s="73" t="str">
        <f>IF(ISBLANK(C183),"",_xlfn.IFNA(INDEX(inbound_data[],MATCH(Outbound_data[[#This Row],[STOCK CODE OUT]],Generated_Stockcode,0),13),""))</f>
        <v/>
      </c>
    </row>
    <row r="184" spans="2:17" x14ac:dyDescent="0.25">
      <c r="B184" s="71"/>
      <c r="C184" s="65"/>
      <c r="D184" s="55"/>
      <c r="E184" s="65"/>
      <c r="F184" s="166"/>
      <c r="G184" s="167"/>
      <c r="H184" s="166"/>
      <c r="I184" s="72"/>
      <c r="J184" s="55"/>
      <c r="K184" s="72"/>
      <c r="L184" s="55"/>
      <c r="M184" s="174"/>
      <c r="N184" s="73" t="str">
        <f>IF(ISBLANK(C184),"",_xlfn.IFNA(INDEX(inbound_data[],MATCH(Outbound_data[[#This Row],[STOCK CODE OUT]],Generated_Stockcode,0),10),""))</f>
        <v/>
      </c>
      <c r="O184" s="73" t="str">
        <f>IF(ISBLANK(C184),"",_xlfn.IFNA(INDEX(inbound_data[],MATCH(Outbound_data[[#This Row],[STOCK CODE OUT]],Generated_Stockcode,0),12),""))</f>
        <v/>
      </c>
      <c r="P184" s="73" t="str">
        <f>IF(ISBLANK(C184),"",_xlfn.IFNA(INDEX(inbound_data[],MATCH(Outbound_data[[#This Row],[STOCK CODE OUT]],Generated_Stockcode,0),23),""))</f>
        <v/>
      </c>
      <c r="Q184" s="73" t="str">
        <f>IF(ISBLANK(C184),"",_xlfn.IFNA(INDEX(inbound_data[],MATCH(Outbound_data[[#This Row],[STOCK CODE OUT]],Generated_Stockcode,0),13),""))</f>
        <v/>
      </c>
    </row>
    <row r="185" spans="2:17" x14ac:dyDescent="0.25">
      <c r="B185" s="71"/>
      <c r="C185" s="65"/>
      <c r="D185" s="55"/>
      <c r="E185" s="65"/>
      <c r="F185" s="166"/>
      <c r="G185" s="167"/>
      <c r="H185" s="166"/>
      <c r="I185" s="72"/>
      <c r="J185" s="55"/>
      <c r="K185" s="72"/>
      <c r="L185" s="55"/>
      <c r="M185" s="174"/>
      <c r="N185" s="73" t="str">
        <f>IF(ISBLANK(C185),"",_xlfn.IFNA(INDEX(inbound_data[],MATCH(Outbound_data[[#This Row],[STOCK CODE OUT]],Generated_Stockcode,0),10),""))</f>
        <v/>
      </c>
      <c r="O185" s="73" t="str">
        <f>IF(ISBLANK(C185),"",_xlfn.IFNA(INDEX(inbound_data[],MATCH(Outbound_data[[#This Row],[STOCK CODE OUT]],Generated_Stockcode,0),12),""))</f>
        <v/>
      </c>
      <c r="P185" s="73" t="str">
        <f>IF(ISBLANK(C185),"",_xlfn.IFNA(INDEX(inbound_data[],MATCH(Outbound_data[[#This Row],[STOCK CODE OUT]],Generated_Stockcode,0),23),""))</f>
        <v/>
      </c>
      <c r="Q185" s="73" t="str">
        <f>IF(ISBLANK(C185),"",_xlfn.IFNA(INDEX(inbound_data[],MATCH(Outbound_data[[#This Row],[STOCK CODE OUT]],Generated_Stockcode,0),13),""))</f>
        <v/>
      </c>
    </row>
    <row r="186" spans="2:17" x14ac:dyDescent="0.25">
      <c r="B186" s="71"/>
      <c r="C186" s="65"/>
      <c r="D186" s="55"/>
      <c r="E186" s="65"/>
      <c r="F186" s="166"/>
      <c r="G186" s="167"/>
      <c r="H186" s="166"/>
      <c r="I186" s="72"/>
      <c r="J186" s="55"/>
      <c r="K186" s="72"/>
      <c r="L186" s="55"/>
      <c r="M186" s="174"/>
      <c r="N186" s="73" t="str">
        <f>IF(ISBLANK(C186),"",_xlfn.IFNA(INDEX(inbound_data[],MATCH(Outbound_data[[#This Row],[STOCK CODE OUT]],Generated_Stockcode,0),10),""))</f>
        <v/>
      </c>
      <c r="O186" s="73" t="str">
        <f>IF(ISBLANK(C186),"",_xlfn.IFNA(INDEX(inbound_data[],MATCH(Outbound_data[[#This Row],[STOCK CODE OUT]],Generated_Stockcode,0),12),""))</f>
        <v/>
      </c>
      <c r="P186" s="73" t="str">
        <f>IF(ISBLANK(C186),"",_xlfn.IFNA(INDEX(inbound_data[],MATCH(Outbound_data[[#This Row],[STOCK CODE OUT]],Generated_Stockcode,0),23),""))</f>
        <v/>
      </c>
      <c r="Q186" s="73" t="str">
        <f>IF(ISBLANK(C186),"",_xlfn.IFNA(INDEX(inbound_data[],MATCH(Outbound_data[[#This Row],[STOCK CODE OUT]],Generated_Stockcode,0),13),""))</f>
        <v/>
      </c>
    </row>
    <row r="187" spans="2:17" x14ac:dyDescent="0.25">
      <c r="B187" s="71"/>
      <c r="C187" s="65"/>
      <c r="D187" s="55"/>
      <c r="E187" s="65"/>
      <c r="F187" s="166"/>
      <c r="G187" s="167"/>
      <c r="H187" s="166"/>
      <c r="I187" s="72"/>
      <c r="J187" s="55"/>
      <c r="K187" s="72"/>
      <c r="L187" s="55"/>
      <c r="M187" s="174"/>
      <c r="N187" s="73" t="str">
        <f>IF(ISBLANK(C187),"",_xlfn.IFNA(INDEX(inbound_data[],MATCH(Outbound_data[[#This Row],[STOCK CODE OUT]],Generated_Stockcode,0),10),""))</f>
        <v/>
      </c>
      <c r="O187" s="73" t="str">
        <f>IF(ISBLANK(C187),"",_xlfn.IFNA(INDEX(inbound_data[],MATCH(Outbound_data[[#This Row],[STOCK CODE OUT]],Generated_Stockcode,0),12),""))</f>
        <v/>
      </c>
      <c r="P187" s="73" t="str">
        <f>IF(ISBLANK(C187),"",_xlfn.IFNA(INDEX(inbound_data[],MATCH(Outbound_data[[#This Row],[STOCK CODE OUT]],Generated_Stockcode,0),23),""))</f>
        <v/>
      </c>
      <c r="Q187" s="73" t="str">
        <f>IF(ISBLANK(C187),"",_xlfn.IFNA(INDEX(inbound_data[],MATCH(Outbound_data[[#This Row],[STOCK CODE OUT]],Generated_Stockcode,0),13),""))</f>
        <v/>
      </c>
    </row>
    <row r="188" spans="2:17" x14ac:dyDescent="0.25">
      <c r="B188" s="71"/>
      <c r="C188" s="65"/>
      <c r="D188" s="55"/>
      <c r="E188" s="65"/>
      <c r="F188" s="166"/>
      <c r="G188" s="167"/>
      <c r="H188" s="166"/>
      <c r="I188" s="72"/>
      <c r="J188" s="55"/>
      <c r="K188" s="72"/>
      <c r="L188" s="55"/>
      <c r="M188" s="174"/>
      <c r="N188" s="73" t="str">
        <f>IF(ISBLANK(C188),"",_xlfn.IFNA(INDEX(inbound_data[],MATCH(Outbound_data[[#This Row],[STOCK CODE OUT]],Generated_Stockcode,0),10),""))</f>
        <v/>
      </c>
      <c r="O188" s="73" t="str">
        <f>IF(ISBLANK(C188),"",_xlfn.IFNA(INDEX(inbound_data[],MATCH(Outbound_data[[#This Row],[STOCK CODE OUT]],Generated_Stockcode,0),12),""))</f>
        <v/>
      </c>
      <c r="P188" s="73" t="str">
        <f>IF(ISBLANK(C188),"",_xlfn.IFNA(INDEX(inbound_data[],MATCH(Outbound_data[[#This Row],[STOCK CODE OUT]],Generated_Stockcode,0),23),""))</f>
        <v/>
      </c>
      <c r="Q188" s="73" t="str">
        <f>IF(ISBLANK(C188),"",_xlfn.IFNA(INDEX(inbound_data[],MATCH(Outbound_data[[#This Row],[STOCK CODE OUT]],Generated_Stockcode,0),13),""))</f>
        <v/>
      </c>
    </row>
    <row r="189" spans="2:17" x14ac:dyDescent="0.25">
      <c r="B189" s="71"/>
      <c r="C189" s="65"/>
      <c r="D189" s="55"/>
      <c r="E189" s="65"/>
      <c r="F189" s="166"/>
      <c r="G189" s="167"/>
      <c r="H189" s="166"/>
      <c r="I189" s="72"/>
      <c r="J189" s="55"/>
      <c r="K189" s="72"/>
      <c r="L189" s="55"/>
      <c r="M189" s="174"/>
      <c r="N189" s="73" t="str">
        <f>IF(ISBLANK(C189),"",_xlfn.IFNA(INDEX(inbound_data[],MATCH(Outbound_data[[#This Row],[STOCK CODE OUT]],Generated_Stockcode,0),10),""))</f>
        <v/>
      </c>
      <c r="O189" s="73" t="str">
        <f>IF(ISBLANK(C189),"",_xlfn.IFNA(INDEX(inbound_data[],MATCH(Outbound_data[[#This Row],[STOCK CODE OUT]],Generated_Stockcode,0),12),""))</f>
        <v/>
      </c>
      <c r="P189" s="73" t="str">
        <f>IF(ISBLANK(C189),"",_xlfn.IFNA(INDEX(inbound_data[],MATCH(Outbound_data[[#This Row],[STOCK CODE OUT]],Generated_Stockcode,0),23),""))</f>
        <v/>
      </c>
      <c r="Q189" s="73" t="str">
        <f>IF(ISBLANK(C189),"",_xlfn.IFNA(INDEX(inbound_data[],MATCH(Outbound_data[[#This Row],[STOCK CODE OUT]],Generated_Stockcode,0),13),""))</f>
        <v/>
      </c>
    </row>
    <row r="190" spans="2:17" x14ac:dyDescent="0.25">
      <c r="B190" s="71"/>
      <c r="C190" s="65"/>
      <c r="D190" s="55"/>
      <c r="E190" s="65"/>
      <c r="F190" s="166"/>
      <c r="G190" s="167"/>
      <c r="H190" s="166"/>
      <c r="I190" s="72"/>
      <c r="J190" s="55"/>
      <c r="K190" s="72"/>
      <c r="L190" s="55"/>
      <c r="M190" s="174"/>
      <c r="N190" s="73" t="str">
        <f>IF(ISBLANK(C190),"",_xlfn.IFNA(INDEX(inbound_data[],MATCH(Outbound_data[[#This Row],[STOCK CODE OUT]],Generated_Stockcode,0),10),""))</f>
        <v/>
      </c>
      <c r="O190" s="73" t="str">
        <f>IF(ISBLANK(C190),"",_xlfn.IFNA(INDEX(inbound_data[],MATCH(Outbound_data[[#This Row],[STOCK CODE OUT]],Generated_Stockcode,0),12),""))</f>
        <v/>
      </c>
      <c r="P190" s="73" t="str">
        <f>IF(ISBLANK(C190),"",_xlfn.IFNA(INDEX(inbound_data[],MATCH(Outbound_data[[#This Row],[STOCK CODE OUT]],Generated_Stockcode,0),23),""))</f>
        <v/>
      </c>
      <c r="Q190" s="73" t="str">
        <f>IF(ISBLANK(C190),"",_xlfn.IFNA(INDEX(inbound_data[],MATCH(Outbound_data[[#This Row],[STOCK CODE OUT]],Generated_Stockcode,0),13),""))</f>
        <v/>
      </c>
    </row>
    <row r="191" spans="2:17" x14ac:dyDescent="0.25">
      <c r="B191" s="71"/>
      <c r="C191" s="65"/>
      <c r="D191" s="55"/>
      <c r="E191" s="65"/>
      <c r="F191" s="166"/>
      <c r="G191" s="167"/>
      <c r="H191" s="166"/>
      <c r="I191" s="72"/>
      <c r="J191" s="55"/>
      <c r="K191" s="72"/>
      <c r="L191" s="55"/>
      <c r="M191" s="174"/>
      <c r="N191" s="73" t="str">
        <f>IF(ISBLANK(C191),"",_xlfn.IFNA(INDEX(inbound_data[],MATCH(Outbound_data[[#This Row],[STOCK CODE OUT]],Generated_Stockcode,0),10),""))</f>
        <v/>
      </c>
      <c r="O191" s="73" t="str">
        <f>IF(ISBLANK(C191),"",_xlfn.IFNA(INDEX(inbound_data[],MATCH(Outbound_data[[#This Row],[STOCK CODE OUT]],Generated_Stockcode,0),12),""))</f>
        <v/>
      </c>
      <c r="P191" s="73" t="str">
        <f>IF(ISBLANK(C191),"",_xlfn.IFNA(INDEX(inbound_data[],MATCH(Outbound_data[[#This Row],[STOCK CODE OUT]],Generated_Stockcode,0),23),""))</f>
        <v/>
      </c>
      <c r="Q191" s="73" t="str">
        <f>IF(ISBLANK(C191),"",_xlfn.IFNA(INDEX(inbound_data[],MATCH(Outbound_data[[#This Row],[STOCK CODE OUT]],Generated_Stockcode,0),13),""))</f>
        <v/>
      </c>
    </row>
    <row r="192" spans="2:17" x14ac:dyDescent="0.25">
      <c r="B192" s="71"/>
      <c r="C192" s="65"/>
      <c r="D192" s="55"/>
      <c r="E192" s="65"/>
      <c r="F192" s="166"/>
      <c r="G192" s="167"/>
      <c r="H192" s="166"/>
      <c r="I192" s="72"/>
      <c r="J192" s="55"/>
      <c r="K192" s="72"/>
      <c r="L192" s="55"/>
      <c r="M192" s="174"/>
      <c r="N192" s="73" t="str">
        <f>IF(ISBLANK(C192),"",_xlfn.IFNA(INDEX(inbound_data[],MATCH(Outbound_data[[#This Row],[STOCK CODE OUT]],Generated_Stockcode,0),10),""))</f>
        <v/>
      </c>
      <c r="O192" s="73" t="str">
        <f>IF(ISBLANK(C192),"",_xlfn.IFNA(INDEX(inbound_data[],MATCH(Outbound_data[[#This Row],[STOCK CODE OUT]],Generated_Stockcode,0),12),""))</f>
        <v/>
      </c>
      <c r="P192" s="73" t="str">
        <f>IF(ISBLANK(C192),"",_xlfn.IFNA(INDEX(inbound_data[],MATCH(Outbound_data[[#This Row],[STOCK CODE OUT]],Generated_Stockcode,0),23),""))</f>
        <v/>
      </c>
      <c r="Q192" s="73" t="str">
        <f>IF(ISBLANK(C192),"",_xlfn.IFNA(INDEX(inbound_data[],MATCH(Outbound_data[[#This Row],[STOCK CODE OUT]],Generated_Stockcode,0),13),""))</f>
        <v/>
      </c>
    </row>
    <row r="193" spans="2:17" x14ac:dyDescent="0.25">
      <c r="B193" s="71"/>
      <c r="C193" s="65"/>
      <c r="D193" s="55"/>
      <c r="E193" s="65"/>
      <c r="F193" s="166"/>
      <c r="G193" s="167"/>
      <c r="H193" s="166"/>
      <c r="I193" s="72"/>
      <c r="J193" s="55"/>
      <c r="K193" s="72"/>
      <c r="L193" s="55"/>
      <c r="M193" s="174"/>
      <c r="N193" s="73" t="str">
        <f>IF(ISBLANK(C193),"",_xlfn.IFNA(INDEX(inbound_data[],MATCH(Outbound_data[[#This Row],[STOCK CODE OUT]],Generated_Stockcode,0),10),""))</f>
        <v/>
      </c>
      <c r="O193" s="73" t="str">
        <f>IF(ISBLANK(C193),"",_xlfn.IFNA(INDEX(inbound_data[],MATCH(Outbound_data[[#This Row],[STOCK CODE OUT]],Generated_Stockcode,0),12),""))</f>
        <v/>
      </c>
      <c r="P193" s="73" t="str">
        <f>IF(ISBLANK(C193),"",_xlfn.IFNA(INDEX(inbound_data[],MATCH(Outbound_data[[#This Row],[STOCK CODE OUT]],Generated_Stockcode,0),23),""))</f>
        <v/>
      </c>
      <c r="Q193" s="73" t="str">
        <f>IF(ISBLANK(C193),"",_xlfn.IFNA(INDEX(inbound_data[],MATCH(Outbound_data[[#This Row],[STOCK CODE OUT]],Generated_Stockcode,0),13),""))</f>
        <v/>
      </c>
    </row>
    <row r="194" spans="2:17" x14ac:dyDescent="0.25">
      <c r="B194" s="71"/>
      <c r="C194" s="65"/>
      <c r="D194" s="55"/>
      <c r="E194" s="65"/>
      <c r="F194" s="166"/>
      <c r="G194" s="167"/>
      <c r="H194" s="166"/>
      <c r="I194" s="72"/>
      <c r="J194" s="55"/>
      <c r="K194" s="72"/>
      <c r="L194" s="55"/>
      <c r="M194" s="174"/>
      <c r="N194" s="73" t="str">
        <f>IF(ISBLANK(C194),"",_xlfn.IFNA(INDEX(inbound_data[],MATCH(Outbound_data[[#This Row],[STOCK CODE OUT]],Generated_Stockcode,0),10),""))</f>
        <v/>
      </c>
      <c r="O194" s="73" t="str">
        <f>IF(ISBLANK(C194),"",_xlfn.IFNA(INDEX(inbound_data[],MATCH(Outbound_data[[#This Row],[STOCK CODE OUT]],Generated_Stockcode,0),12),""))</f>
        <v/>
      </c>
      <c r="P194" s="73" t="str">
        <f>IF(ISBLANK(C194),"",_xlfn.IFNA(INDEX(inbound_data[],MATCH(Outbound_data[[#This Row],[STOCK CODE OUT]],Generated_Stockcode,0),23),""))</f>
        <v/>
      </c>
      <c r="Q194" s="73" t="str">
        <f>IF(ISBLANK(C194),"",_xlfn.IFNA(INDEX(inbound_data[],MATCH(Outbound_data[[#This Row],[STOCK CODE OUT]],Generated_Stockcode,0),13),""))</f>
        <v/>
      </c>
    </row>
    <row r="195" spans="2:17" x14ac:dyDescent="0.25">
      <c r="B195" s="71"/>
      <c r="C195" s="65"/>
      <c r="D195" s="55"/>
      <c r="E195" s="65"/>
      <c r="F195" s="166"/>
      <c r="G195" s="167"/>
      <c r="H195" s="166"/>
      <c r="I195" s="72"/>
      <c r="J195" s="55"/>
      <c r="K195" s="72"/>
      <c r="L195" s="55"/>
      <c r="M195" s="174"/>
      <c r="N195" s="73" t="str">
        <f>IF(ISBLANK(C195),"",_xlfn.IFNA(INDEX(inbound_data[],MATCH(Outbound_data[[#This Row],[STOCK CODE OUT]],Generated_Stockcode,0),10),""))</f>
        <v/>
      </c>
      <c r="O195" s="73" t="str">
        <f>IF(ISBLANK(C195),"",_xlfn.IFNA(INDEX(inbound_data[],MATCH(Outbound_data[[#This Row],[STOCK CODE OUT]],Generated_Stockcode,0),12),""))</f>
        <v/>
      </c>
      <c r="P195" s="73" t="str">
        <f>IF(ISBLANK(C195),"",_xlfn.IFNA(INDEX(inbound_data[],MATCH(Outbound_data[[#This Row],[STOCK CODE OUT]],Generated_Stockcode,0),23),""))</f>
        <v/>
      </c>
      <c r="Q195" s="73" t="str">
        <f>IF(ISBLANK(C195),"",_xlfn.IFNA(INDEX(inbound_data[],MATCH(Outbound_data[[#This Row],[STOCK CODE OUT]],Generated_Stockcode,0),13),""))</f>
        <v/>
      </c>
    </row>
    <row r="196" spans="2:17" x14ac:dyDescent="0.25">
      <c r="B196" s="71"/>
      <c r="C196" s="65"/>
      <c r="D196" s="55"/>
      <c r="E196" s="65"/>
      <c r="F196" s="166"/>
      <c r="G196" s="167"/>
      <c r="H196" s="166"/>
      <c r="I196" s="72"/>
      <c r="J196" s="55"/>
      <c r="K196" s="72"/>
      <c r="L196" s="55"/>
      <c r="M196" s="174"/>
      <c r="N196" s="73" t="str">
        <f>IF(ISBLANK(C196),"",_xlfn.IFNA(INDEX(inbound_data[],MATCH(Outbound_data[[#This Row],[STOCK CODE OUT]],Generated_Stockcode,0),10),""))</f>
        <v/>
      </c>
      <c r="O196" s="73" t="str">
        <f>IF(ISBLANK(C196),"",_xlfn.IFNA(INDEX(inbound_data[],MATCH(Outbound_data[[#This Row],[STOCK CODE OUT]],Generated_Stockcode,0),12),""))</f>
        <v/>
      </c>
      <c r="P196" s="73" t="str">
        <f>IF(ISBLANK(C196),"",_xlfn.IFNA(INDEX(inbound_data[],MATCH(Outbound_data[[#This Row],[STOCK CODE OUT]],Generated_Stockcode,0),23),""))</f>
        <v/>
      </c>
      <c r="Q196" s="73" t="str">
        <f>IF(ISBLANK(C196),"",_xlfn.IFNA(INDEX(inbound_data[],MATCH(Outbound_data[[#This Row],[STOCK CODE OUT]],Generated_Stockcode,0),13),""))</f>
        <v/>
      </c>
    </row>
    <row r="197" spans="2:17" x14ac:dyDescent="0.25">
      <c r="B197" s="71"/>
      <c r="C197" s="65"/>
      <c r="D197" s="55"/>
      <c r="E197" s="65"/>
      <c r="F197" s="166"/>
      <c r="G197" s="167"/>
      <c r="H197" s="166"/>
      <c r="I197" s="72"/>
      <c r="J197" s="55"/>
      <c r="K197" s="72"/>
      <c r="L197" s="55"/>
      <c r="M197" s="174"/>
      <c r="N197" s="73" t="str">
        <f>IF(ISBLANK(C197),"",_xlfn.IFNA(INDEX(inbound_data[],MATCH(Outbound_data[[#This Row],[STOCK CODE OUT]],Generated_Stockcode,0),10),""))</f>
        <v/>
      </c>
      <c r="O197" s="73" t="str">
        <f>IF(ISBLANK(C197),"",_xlfn.IFNA(INDEX(inbound_data[],MATCH(Outbound_data[[#This Row],[STOCK CODE OUT]],Generated_Stockcode,0),12),""))</f>
        <v/>
      </c>
      <c r="P197" s="73" t="str">
        <f>IF(ISBLANK(C197),"",_xlfn.IFNA(INDEX(inbound_data[],MATCH(Outbound_data[[#This Row],[STOCK CODE OUT]],Generated_Stockcode,0),23),""))</f>
        <v/>
      </c>
      <c r="Q197" s="73" t="str">
        <f>IF(ISBLANK(C197),"",_xlfn.IFNA(INDEX(inbound_data[],MATCH(Outbound_data[[#This Row],[STOCK CODE OUT]],Generated_Stockcode,0),13),""))</f>
        <v/>
      </c>
    </row>
    <row r="198" spans="2:17" x14ac:dyDescent="0.25">
      <c r="B198" s="71"/>
      <c r="C198" s="65"/>
      <c r="D198" s="55"/>
      <c r="E198" s="65"/>
      <c r="F198" s="166"/>
      <c r="G198" s="167"/>
      <c r="H198" s="166"/>
      <c r="I198" s="72"/>
      <c r="J198" s="55"/>
      <c r="K198" s="72"/>
      <c r="L198" s="55"/>
      <c r="M198" s="174"/>
      <c r="N198" s="73" t="str">
        <f>IF(ISBLANK(C198),"",_xlfn.IFNA(INDEX(inbound_data[],MATCH(Outbound_data[[#This Row],[STOCK CODE OUT]],Generated_Stockcode,0),10),""))</f>
        <v/>
      </c>
      <c r="O198" s="73" t="str">
        <f>IF(ISBLANK(C198),"",_xlfn.IFNA(INDEX(inbound_data[],MATCH(Outbound_data[[#This Row],[STOCK CODE OUT]],Generated_Stockcode,0),12),""))</f>
        <v/>
      </c>
      <c r="P198" s="73" t="str">
        <f>IF(ISBLANK(C198),"",_xlfn.IFNA(INDEX(inbound_data[],MATCH(Outbound_data[[#This Row],[STOCK CODE OUT]],Generated_Stockcode,0),23),""))</f>
        <v/>
      </c>
      <c r="Q198" s="73" t="str">
        <f>IF(ISBLANK(C198),"",_xlfn.IFNA(INDEX(inbound_data[],MATCH(Outbound_data[[#This Row],[STOCK CODE OUT]],Generated_Stockcode,0),13),""))</f>
        <v/>
      </c>
    </row>
    <row r="199" spans="2:17" x14ac:dyDescent="0.25">
      <c r="B199" s="71"/>
      <c r="C199" s="65"/>
      <c r="D199" s="55"/>
      <c r="E199" s="65"/>
      <c r="F199" s="166"/>
      <c r="G199" s="167"/>
      <c r="H199" s="166"/>
      <c r="I199" s="72"/>
      <c r="J199" s="55"/>
      <c r="K199" s="72"/>
      <c r="L199" s="55"/>
      <c r="M199" s="174"/>
      <c r="N199" s="73" t="str">
        <f>IF(ISBLANK(C199),"",_xlfn.IFNA(INDEX(inbound_data[],MATCH(Outbound_data[[#This Row],[STOCK CODE OUT]],Generated_Stockcode,0),10),""))</f>
        <v/>
      </c>
      <c r="O199" s="73" t="str">
        <f>IF(ISBLANK(C199),"",_xlfn.IFNA(INDEX(inbound_data[],MATCH(Outbound_data[[#This Row],[STOCK CODE OUT]],Generated_Stockcode,0),12),""))</f>
        <v/>
      </c>
      <c r="P199" s="73" t="str">
        <f>IF(ISBLANK(C199),"",_xlfn.IFNA(INDEX(inbound_data[],MATCH(Outbound_data[[#This Row],[STOCK CODE OUT]],Generated_Stockcode,0),23),""))</f>
        <v/>
      </c>
      <c r="Q199" s="73" t="str">
        <f>IF(ISBLANK(C199),"",_xlfn.IFNA(INDEX(inbound_data[],MATCH(Outbound_data[[#This Row],[STOCK CODE OUT]],Generated_Stockcode,0),13),""))</f>
        <v/>
      </c>
    </row>
    <row r="200" spans="2:17" x14ac:dyDescent="0.25">
      <c r="B200" s="71"/>
      <c r="C200" s="65"/>
      <c r="D200" s="55"/>
      <c r="E200" s="65"/>
      <c r="F200" s="166"/>
      <c r="G200" s="167"/>
      <c r="H200" s="166"/>
      <c r="I200" s="72"/>
      <c r="J200" s="55"/>
      <c r="K200" s="72"/>
      <c r="L200" s="55"/>
      <c r="M200" s="174"/>
      <c r="N200" s="73" t="str">
        <f>IF(ISBLANK(C200),"",_xlfn.IFNA(INDEX(inbound_data[],MATCH(Outbound_data[[#This Row],[STOCK CODE OUT]],Generated_Stockcode,0),10),""))</f>
        <v/>
      </c>
      <c r="O200" s="73" t="str">
        <f>IF(ISBLANK(C200),"",_xlfn.IFNA(INDEX(inbound_data[],MATCH(Outbound_data[[#This Row],[STOCK CODE OUT]],Generated_Stockcode,0),12),""))</f>
        <v/>
      </c>
      <c r="P200" s="73" t="str">
        <f>IF(ISBLANK(C200),"",_xlfn.IFNA(INDEX(inbound_data[],MATCH(Outbound_data[[#This Row],[STOCK CODE OUT]],Generated_Stockcode,0),23),""))</f>
        <v/>
      </c>
      <c r="Q200" s="73" t="str">
        <f>IF(ISBLANK(C200),"",_xlfn.IFNA(INDEX(inbound_data[],MATCH(Outbound_data[[#This Row],[STOCK CODE OUT]],Generated_Stockcode,0),13),""))</f>
        <v/>
      </c>
    </row>
    <row r="201" spans="2:17" x14ac:dyDescent="0.25">
      <c r="B201" s="71"/>
      <c r="C201" s="65"/>
      <c r="D201" s="55"/>
      <c r="E201" s="65"/>
      <c r="F201" s="166"/>
      <c r="G201" s="167"/>
      <c r="H201" s="166"/>
      <c r="I201" s="72"/>
      <c r="J201" s="55"/>
      <c r="K201" s="72"/>
      <c r="L201" s="55"/>
      <c r="M201" s="174"/>
      <c r="N201" s="73" t="str">
        <f>IF(ISBLANK(C201),"",_xlfn.IFNA(INDEX(inbound_data[],MATCH(Outbound_data[[#This Row],[STOCK CODE OUT]],Generated_Stockcode,0),10),""))</f>
        <v/>
      </c>
      <c r="O201" s="73" t="str">
        <f>IF(ISBLANK(C201),"",_xlfn.IFNA(INDEX(inbound_data[],MATCH(Outbound_data[[#This Row],[STOCK CODE OUT]],Generated_Stockcode,0),12),""))</f>
        <v/>
      </c>
      <c r="P201" s="73" t="str">
        <f>IF(ISBLANK(C201),"",_xlfn.IFNA(INDEX(inbound_data[],MATCH(Outbound_data[[#This Row],[STOCK CODE OUT]],Generated_Stockcode,0),23),""))</f>
        <v/>
      </c>
      <c r="Q201" s="73" t="str">
        <f>IF(ISBLANK(C201),"",_xlfn.IFNA(INDEX(inbound_data[],MATCH(Outbound_data[[#This Row],[STOCK CODE OUT]],Generated_Stockcode,0),13),""))</f>
        <v/>
      </c>
    </row>
    <row r="202" spans="2:17" x14ac:dyDescent="0.25">
      <c r="B202" s="71"/>
      <c r="C202" s="65"/>
      <c r="D202" s="55"/>
      <c r="E202" s="65"/>
      <c r="F202" s="166"/>
      <c r="G202" s="167"/>
      <c r="H202" s="166"/>
      <c r="I202" s="72"/>
      <c r="J202" s="55"/>
      <c r="K202" s="72"/>
      <c r="L202" s="55"/>
      <c r="M202" s="174"/>
      <c r="N202" s="73" t="str">
        <f>IF(ISBLANK(C202),"",_xlfn.IFNA(INDEX(inbound_data[],MATCH(Outbound_data[[#This Row],[STOCK CODE OUT]],Generated_Stockcode,0),10),""))</f>
        <v/>
      </c>
      <c r="O202" s="73" t="str">
        <f>IF(ISBLANK(C202),"",_xlfn.IFNA(INDEX(inbound_data[],MATCH(Outbound_data[[#This Row],[STOCK CODE OUT]],Generated_Stockcode,0),12),""))</f>
        <v/>
      </c>
      <c r="P202" s="73" t="str">
        <f>IF(ISBLANK(C202),"",_xlfn.IFNA(INDEX(inbound_data[],MATCH(Outbound_data[[#This Row],[STOCK CODE OUT]],Generated_Stockcode,0),23),""))</f>
        <v/>
      </c>
      <c r="Q202" s="73" t="str">
        <f>IF(ISBLANK(C202),"",_xlfn.IFNA(INDEX(inbound_data[],MATCH(Outbound_data[[#This Row],[STOCK CODE OUT]],Generated_Stockcode,0),13),""))</f>
        <v/>
      </c>
    </row>
    <row r="203" spans="2:17" x14ac:dyDescent="0.25">
      <c r="B203" s="71"/>
      <c r="C203" s="65"/>
      <c r="D203" s="55"/>
      <c r="E203" s="65"/>
      <c r="F203" s="166"/>
      <c r="G203" s="167"/>
      <c r="H203" s="166"/>
      <c r="I203" s="72"/>
      <c r="J203" s="55"/>
      <c r="K203" s="72"/>
      <c r="L203" s="55"/>
      <c r="M203" s="174"/>
      <c r="N203" s="73" t="str">
        <f>IF(ISBLANK(C203),"",_xlfn.IFNA(INDEX(inbound_data[],MATCH(Outbound_data[[#This Row],[STOCK CODE OUT]],Generated_Stockcode,0),10),""))</f>
        <v/>
      </c>
      <c r="O203" s="73" t="str">
        <f>IF(ISBLANK(C203),"",_xlfn.IFNA(INDEX(inbound_data[],MATCH(Outbound_data[[#This Row],[STOCK CODE OUT]],Generated_Stockcode,0),12),""))</f>
        <v/>
      </c>
      <c r="P203" s="73" t="str">
        <f>IF(ISBLANK(C203),"",_xlfn.IFNA(INDEX(inbound_data[],MATCH(Outbound_data[[#This Row],[STOCK CODE OUT]],Generated_Stockcode,0),23),""))</f>
        <v/>
      </c>
      <c r="Q203" s="73" t="str">
        <f>IF(ISBLANK(C203),"",_xlfn.IFNA(INDEX(inbound_data[],MATCH(Outbound_data[[#This Row],[STOCK CODE OUT]],Generated_Stockcode,0),13),""))</f>
        <v/>
      </c>
    </row>
    <row r="204" spans="2:17" x14ac:dyDescent="0.25">
      <c r="B204" s="71"/>
      <c r="C204" s="65"/>
      <c r="D204" s="55"/>
      <c r="E204" s="65"/>
      <c r="F204" s="166"/>
      <c r="G204" s="167"/>
      <c r="H204" s="166"/>
      <c r="I204" s="72"/>
      <c r="J204" s="55"/>
      <c r="K204" s="72"/>
      <c r="L204" s="55"/>
      <c r="M204" s="174"/>
      <c r="N204" s="73" t="str">
        <f>IF(ISBLANK(C204),"",_xlfn.IFNA(INDEX(inbound_data[],MATCH(Outbound_data[[#This Row],[STOCK CODE OUT]],Generated_Stockcode,0),10),""))</f>
        <v/>
      </c>
      <c r="O204" s="73" t="str">
        <f>IF(ISBLANK(C204),"",_xlfn.IFNA(INDEX(inbound_data[],MATCH(Outbound_data[[#This Row],[STOCK CODE OUT]],Generated_Stockcode,0),12),""))</f>
        <v/>
      </c>
      <c r="P204" s="73" t="str">
        <f>IF(ISBLANK(C204),"",_xlfn.IFNA(INDEX(inbound_data[],MATCH(Outbound_data[[#This Row],[STOCK CODE OUT]],Generated_Stockcode,0),23),""))</f>
        <v/>
      </c>
      <c r="Q204" s="73" t="str">
        <f>IF(ISBLANK(C204),"",_xlfn.IFNA(INDEX(inbound_data[],MATCH(Outbound_data[[#This Row],[STOCK CODE OUT]],Generated_Stockcode,0),13),""))</f>
        <v/>
      </c>
    </row>
    <row r="205" spans="2:17" x14ac:dyDescent="0.25">
      <c r="B205" s="71"/>
      <c r="C205" s="65"/>
      <c r="D205" s="55"/>
      <c r="E205" s="65"/>
      <c r="F205" s="166"/>
      <c r="G205" s="167"/>
      <c r="H205" s="166"/>
      <c r="I205" s="72"/>
      <c r="J205" s="55"/>
      <c r="K205" s="72"/>
      <c r="L205" s="55"/>
      <c r="M205" s="174"/>
      <c r="N205" s="73" t="str">
        <f>IF(ISBLANK(C205),"",_xlfn.IFNA(INDEX(inbound_data[],MATCH(Outbound_data[[#This Row],[STOCK CODE OUT]],Generated_Stockcode,0),10),""))</f>
        <v/>
      </c>
      <c r="O205" s="73" t="str">
        <f>IF(ISBLANK(C205),"",_xlfn.IFNA(INDEX(inbound_data[],MATCH(Outbound_data[[#This Row],[STOCK CODE OUT]],Generated_Stockcode,0),12),""))</f>
        <v/>
      </c>
      <c r="P205" s="73" t="str">
        <f>IF(ISBLANK(C205),"",_xlfn.IFNA(INDEX(inbound_data[],MATCH(Outbound_data[[#This Row],[STOCK CODE OUT]],Generated_Stockcode,0),23),""))</f>
        <v/>
      </c>
      <c r="Q205" s="73" t="str">
        <f>IF(ISBLANK(C205),"",_xlfn.IFNA(INDEX(inbound_data[],MATCH(Outbound_data[[#This Row],[STOCK CODE OUT]],Generated_Stockcode,0),13),""))</f>
        <v/>
      </c>
    </row>
    <row r="206" spans="2:17" x14ac:dyDescent="0.25">
      <c r="B206" s="71"/>
      <c r="C206" s="65"/>
      <c r="D206" s="55"/>
      <c r="E206" s="65"/>
      <c r="F206" s="166"/>
      <c r="G206" s="167"/>
      <c r="H206" s="166"/>
      <c r="I206" s="72"/>
      <c r="J206" s="55"/>
      <c r="K206" s="72"/>
      <c r="L206" s="55"/>
      <c r="M206" s="174"/>
      <c r="N206" s="73" t="str">
        <f>IF(ISBLANK(C206),"",_xlfn.IFNA(INDEX(inbound_data[],MATCH(Outbound_data[[#This Row],[STOCK CODE OUT]],Generated_Stockcode,0),10),""))</f>
        <v/>
      </c>
      <c r="O206" s="73" t="str">
        <f>IF(ISBLANK(C206),"",_xlfn.IFNA(INDEX(inbound_data[],MATCH(Outbound_data[[#This Row],[STOCK CODE OUT]],Generated_Stockcode,0),12),""))</f>
        <v/>
      </c>
      <c r="P206" s="73" t="str">
        <f>IF(ISBLANK(C206),"",_xlfn.IFNA(INDEX(inbound_data[],MATCH(Outbound_data[[#This Row],[STOCK CODE OUT]],Generated_Stockcode,0),23),""))</f>
        <v/>
      </c>
      <c r="Q206" s="73" t="str">
        <f>IF(ISBLANK(C206),"",_xlfn.IFNA(INDEX(inbound_data[],MATCH(Outbound_data[[#This Row],[STOCK CODE OUT]],Generated_Stockcode,0),13),""))</f>
        <v/>
      </c>
    </row>
    <row r="207" spans="2:17" x14ac:dyDescent="0.25">
      <c r="B207" s="71"/>
      <c r="C207" s="65"/>
      <c r="D207" s="55"/>
      <c r="E207" s="65"/>
      <c r="F207" s="166"/>
      <c r="G207" s="167"/>
      <c r="H207" s="166"/>
      <c r="I207" s="72"/>
      <c r="J207" s="55"/>
      <c r="K207" s="72"/>
      <c r="L207" s="55"/>
      <c r="M207" s="174"/>
      <c r="N207" s="73" t="str">
        <f>IF(ISBLANK(C207),"",_xlfn.IFNA(INDEX(inbound_data[],MATCH(Outbound_data[[#This Row],[STOCK CODE OUT]],Generated_Stockcode,0),10),""))</f>
        <v/>
      </c>
      <c r="O207" s="73" t="str">
        <f>IF(ISBLANK(C207),"",_xlfn.IFNA(INDEX(inbound_data[],MATCH(Outbound_data[[#This Row],[STOCK CODE OUT]],Generated_Stockcode,0),12),""))</f>
        <v/>
      </c>
      <c r="P207" s="73" t="str">
        <f>IF(ISBLANK(C207),"",_xlfn.IFNA(INDEX(inbound_data[],MATCH(Outbound_data[[#This Row],[STOCK CODE OUT]],Generated_Stockcode,0),23),""))</f>
        <v/>
      </c>
      <c r="Q207" s="73" t="str">
        <f>IF(ISBLANK(C207),"",_xlfn.IFNA(INDEX(inbound_data[],MATCH(Outbound_data[[#This Row],[STOCK CODE OUT]],Generated_Stockcode,0),13),""))</f>
        <v/>
      </c>
    </row>
    <row r="208" spans="2:17" x14ac:dyDescent="0.25">
      <c r="B208" s="71"/>
      <c r="C208" s="65"/>
      <c r="D208" s="55"/>
      <c r="E208" s="65"/>
      <c r="F208" s="166"/>
      <c r="G208" s="167"/>
      <c r="H208" s="166"/>
      <c r="I208" s="72"/>
      <c r="J208" s="55"/>
      <c r="K208" s="72"/>
      <c r="L208" s="55"/>
      <c r="M208" s="174"/>
      <c r="N208" s="73" t="str">
        <f>IF(ISBLANK(C208),"",_xlfn.IFNA(INDEX(inbound_data[],MATCH(Outbound_data[[#This Row],[STOCK CODE OUT]],Generated_Stockcode,0),10),""))</f>
        <v/>
      </c>
      <c r="O208" s="73" t="str">
        <f>IF(ISBLANK(C208),"",_xlfn.IFNA(INDEX(inbound_data[],MATCH(Outbound_data[[#This Row],[STOCK CODE OUT]],Generated_Stockcode,0),12),""))</f>
        <v/>
      </c>
      <c r="P208" s="73" t="str">
        <f>IF(ISBLANK(C208),"",_xlfn.IFNA(INDEX(inbound_data[],MATCH(Outbound_data[[#This Row],[STOCK CODE OUT]],Generated_Stockcode,0),23),""))</f>
        <v/>
      </c>
      <c r="Q208" s="73" t="str">
        <f>IF(ISBLANK(C208),"",_xlfn.IFNA(INDEX(inbound_data[],MATCH(Outbound_data[[#This Row],[STOCK CODE OUT]],Generated_Stockcode,0),13),""))</f>
        <v/>
      </c>
    </row>
    <row r="209" spans="2:17" x14ac:dyDescent="0.25">
      <c r="B209" s="71"/>
      <c r="C209" s="65"/>
      <c r="D209" s="55"/>
      <c r="E209" s="65"/>
      <c r="F209" s="166"/>
      <c r="G209" s="167"/>
      <c r="H209" s="166"/>
      <c r="I209" s="72"/>
      <c r="J209" s="55"/>
      <c r="K209" s="72"/>
      <c r="L209" s="55"/>
      <c r="M209" s="174"/>
      <c r="N209" s="73" t="str">
        <f>IF(ISBLANK(C209),"",_xlfn.IFNA(INDEX(inbound_data[],MATCH(Outbound_data[[#This Row],[STOCK CODE OUT]],Generated_Stockcode,0),10),""))</f>
        <v/>
      </c>
      <c r="O209" s="73" t="str">
        <f>IF(ISBLANK(C209),"",_xlfn.IFNA(INDEX(inbound_data[],MATCH(Outbound_data[[#This Row],[STOCK CODE OUT]],Generated_Stockcode,0),12),""))</f>
        <v/>
      </c>
      <c r="P209" s="73" t="str">
        <f>IF(ISBLANK(C209),"",_xlfn.IFNA(INDEX(inbound_data[],MATCH(Outbound_data[[#This Row],[STOCK CODE OUT]],Generated_Stockcode,0),23),""))</f>
        <v/>
      </c>
      <c r="Q209" s="73" t="str">
        <f>IF(ISBLANK(C209),"",_xlfn.IFNA(INDEX(inbound_data[],MATCH(Outbound_data[[#This Row],[STOCK CODE OUT]],Generated_Stockcode,0),13),""))</f>
        <v/>
      </c>
    </row>
    <row r="210" spans="2:17" x14ac:dyDescent="0.25">
      <c r="B210" s="71"/>
      <c r="C210" s="65"/>
      <c r="D210" s="55"/>
      <c r="E210" s="65"/>
      <c r="F210" s="166"/>
      <c r="G210" s="167"/>
      <c r="H210" s="166"/>
      <c r="I210" s="72"/>
      <c r="J210" s="55"/>
      <c r="K210" s="72"/>
      <c r="L210" s="55"/>
      <c r="M210" s="174"/>
      <c r="N210" s="73" t="str">
        <f>IF(ISBLANK(C210),"",_xlfn.IFNA(INDEX(inbound_data[],MATCH(Outbound_data[[#This Row],[STOCK CODE OUT]],Generated_Stockcode,0),10),""))</f>
        <v/>
      </c>
      <c r="O210" s="73" t="str">
        <f>IF(ISBLANK(C210),"",_xlfn.IFNA(INDEX(inbound_data[],MATCH(Outbound_data[[#This Row],[STOCK CODE OUT]],Generated_Stockcode,0),12),""))</f>
        <v/>
      </c>
      <c r="P210" s="73" t="str">
        <f>IF(ISBLANK(C210),"",_xlfn.IFNA(INDEX(inbound_data[],MATCH(Outbound_data[[#This Row],[STOCK CODE OUT]],Generated_Stockcode,0),23),""))</f>
        <v/>
      </c>
      <c r="Q210" s="73" t="str">
        <f>IF(ISBLANK(C210),"",_xlfn.IFNA(INDEX(inbound_data[],MATCH(Outbound_data[[#This Row],[STOCK CODE OUT]],Generated_Stockcode,0),13),""))</f>
        <v/>
      </c>
    </row>
    <row r="211" spans="2:17" x14ac:dyDescent="0.25">
      <c r="B211" s="71"/>
      <c r="C211" s="65"/>
      <c r="D211" s="55"/>
      <c r="E211" s="65"/>
      <c r="F211" s="166"/>
      <c r="G211" s="167"/>
      <c r="H211" s="166"/>
      <c r="I211" s="72"/>
      <c r="J211" s="55"/>
      <c r="K211" s="72"/>
      <c r="L211" s="55"/>
      <c r="M211" s="174"/>
      <c r="N211" s="73" t="str">
        <f>IF(ISBLANK(C211),"",_xlfn.IFNA(INDEX(inbound_data[],MATCH(Outbound_data[[#This Row],[STOCK CODE OUT]],Generated_Stockcode,0),10),""))</f>
        <v/>
      </c>
      <c r="O211" s="73" t="str">
        <f>IF(ISBLANK(C211),"",_xlfn.IFNA(INDEX(inbound_data[],MATCH(Outbound_data[[#This Row],[STOCK CODE OUT]],Generated_Stockcode,0),12),""))</f>
        <v/>
      </c>
      <c r="P211" s="73" t="str">
        <f>IF(ISBLANK(C211),"",_xlfn.IFNA(INDEX(inbound_data[],MATCH(Outbound_data[[#This Row],[STOCK CODE OUT]],Generated_Stockcode,0),23),""))</f>
        <v/>
      </c>
      <c r="Q211" s="73" t="str">
        <f>IF(ISBLANK(C211),"",_xlfn.IFNA(INDEX(inbound_data[],MATCH(Outbound_data[[#This Row],[STOCK CODE OUT]],Generated_Stockcode,0),13),""))</f>
        <v/>
      </c>
    </row>
    <row r="212" spans="2:17" x14ac:dyDescent="0.25">
      <c r="B212" s="71"/>
      <c r="C212" s="65"/>
      <c r="D212" s="55"/>
      <c r="E212" s="65"/>
      <c r="F212" s="166"/>
      <c r="G212" s="167"/>
      <c r="H212" s="166"/>
      <c r="I212" s="72"/>
      <c r="J212" s="55"/>
      <c r="K212" s="72"/>
      <c r="L212" s="55"/>
      <c r="M212" s="174"/>
      <c r="N212" s="73" t="str">
        <f>IF(ISBLANK(C212),"",_xlfn.IFNA(INDEX(inbound_data[],MATCH(Outbound_data[[#This Row],[STOCK CODE OUT]],Generated_Stockcode,0),10),""))</f>
        <v/>
      </c>
      <c r="O212" s="73" t="str">
        <f>IF(ISBLANK(C212),"",_xlfn.IFNA(INDEX(inbound_data[],MATCH(Outbound_data[[#This Row],[STOCK CODE OUT]],Generated_Stockcode,0),12),""))</f>
        <v/>
      </c>
      <c r="P212" s="73" t="str">
        <f>IF(ISBLANK(C212),"",_xlfn.IFNA(INDEX(inbound_data[],MATCH(Outbound_data[[#This Row],[STOCK CODE OUT]],Generated_Stockcode,0),23),""))</f>
        <v/>
      </c>
      <c r="Q212" s="73" t="str">
        <f>IF(ISBLANK(C212),"",_xlfn.IFNA(INDEX(inbound_data[],MATCH(Outbound_data[[#This Row],[STOCK CODE OUT]],Generated_Stockcode,0),13),""))</f>
        <v/>
      </c>
    </row>
    <row r="213" spans="2:17" x14ac:dyDescent="0.25">
      <c r="B213" s="71"/>
      <c r="C213" s="65"/>
      <c r="D213" s="55"/>
      <c r="E213" s="65"/>
      <c r="F213" s="166"/>
      <c r="G213" s="167"/>
      <c r="H213" s="166"/>
      <c r="I213" s="72"/>
      <c r="J213" s="55"/>
      <c r="K213" s="72"/>
      <c r="L213" s="55"/>
      <c r="M213" s="174"/>
      <c r="N213" s="73" t="str">
        <f>IF(ISBLANK(C213),"",_xlfn.IFNA(INDEX(inbound_data[],MATCH(Outbound_data[[#This Row],[STOCK CODE OUT]],Generated_Stockcode,0),10),""))</f>
        <v/>
      </c>
      <c r="O213" s="73" t="str">
        <f>IF(ISBLANK(C213),"",_xlfn.IFNA(INDEX(inbound_data[],MATCH(Outbound_data[[#This Row],[STOCK CODE OUT]],Generated_Stockcode,0),12),""))</f>
        <v/>
      </c>
      <c r="P213" s="73" t="str">
        <f>IF(ISBLANK(C213),"",_xlfn.IFNA(INDEX(inbound_data[],MATCH(Outbound_data[[#This Row],[STOCK CODE OUT]],Generated_Stockcode,0),23),""))</f>
        <v/>
      </c>
      <c r="Q213" s="73" t="str">
        <f>IF(ISBLANK(C213),"",_xlfn.IFNA(INDEX(inbound_data[],MATCH(Outbound_data[[#This Row],[STOCK CODE OUT]],Generated_Stockcode,0),13),""))</f>
        <v/>
      </c>
    </row>
    <row r="214" spans="2:17" x14ac:dyDescent="0.25">
      <c r="B214" s="71"/>
      <c r="C214" s="65"/>
      <c r="D214" s="55"/>
      <c r="E214" s="65"/>
      <c r="F214" s="166"/>
      <c r="G214" s="167"/>
      <c r="H214" s="166"/>
      <c r="I214" s="72"/>
      <c r="J214" s="55"/>
      <c r="K214" s="72"/>
      <c r="L214" s="55"/>
      <c r="M214" s="174"/>
      <c r="N214" s="73" t="str">
        <f>IF(ISBLANK(C214),"",_xlfn.IFNA(INDEX(inbound_data[],MATCH(Outbound_data[[#This Row],[STOCK CODE OUT]],Generated_Stockcode,0),10),""))</f>
        <v/>
      </c>
      <c r="O214" s="73" t="str">
        <f>IF(ISBLANK(C214),"",_xlfn.IFNA(INDEX(inbound_data[],MATCH(Outbound_data[[#This Row],[STOCK CODE OUT]],Generated_Stockcode,0),12),""))</f>
        <v/>
      </c>
      <c r="P214" s="73" t="str">
        <f>IF(ISBLANK(C214),"",_xlfn.IFNA(INDEX(inbound_data[],MATCH(Outbound_data[[#This Row],[STOCK CODE OUT]],Generated_Stockcode,0),23),""))</f>
        <v/>
      </c>
      <c r="Q214" s="73" t="str">
        <f>IF(ISBLANK(C214),"",_xlfn.IFNA(INDEX(inbound_data[],MATCH(Outbound_data[[#This Row],[STOCK CODE OUT]],Generated_Stockcode,0),13),""))</f>
        <v/>
      </c>
    </row>
    <row r="215" spans="2:17" x14ac:dyDescent="0.25">
      <c r="B215" s="71"/>
      <c r="C215" s="65"/>
      <c r="D215" s="55"/>
      <c r="E215" s="65"/>
      <c r="F215" s="166"/>
      <c r="G215" s="167"/>
      <c r="H215" s="166"/>
      <c r="I215" s="72"/>
      <c r="J215" s="55"/>
      <c r="K215" s="72"/>
      <c r="L215" s="55"/>
      <c r="M215" s="174"/>
      <c r="N215" s="73" t="str">
        <f>IF(ISBLANK(C215),"",_xlfn.IFNA(INDEX(inbound_data[],MATCH(Outbound_data[[#This Row],[STOCK CODE OUT]],Generated_Stockcode,0),10),""))</f>
        <v/>
      </c>
      <c r="O215" s="73" t="str">
        <f>IF(ISBLANK(C215),"",_xlfn.IFNA(INDEX(inbound_data[],MATCH(Outbound_data[[#This Row],[STOCK CODE OUT]],Generated_Stockcode,0),12),""))</f>
        <v/>
      </c>
      <c r="P215" s="73" t="str">
        <f>IF(ISBLANK(C215),"",_xlfn.IFNA(INDEX(inbound_data[],MATCH(Outbound_data[[#This Row],[STOCK CODE OUT]],Generated_Stockcode,0),23),""))</f>
        <v/>
      </c>
      <c r="Q215" s="73" t="str">
        <f>IF(ISBLANK(C215),"",_xlfn.IFNA(INDEX(inbound_data[],MATCH(Outbound_data[[#This Row],[STOCK CODE OUT]],Generated_Stockcode,0),13),""))</f>
        <v/>
      </c>
    </row>
    <row r="216" spans="2:17" x14ac:dyDescent="0.25">
      <c r="B216" s="71"/>
      <c r="C216" s="65"/>
      <c r="D216" s="55"/>
      <c r="E216" s="65"/>
      <c r="F216" s="166"/>
      <c r="G216" s="167"/>
      <c r="H216" s="166"/>
      <c r="I216" s="72"/>
      <c r="J216" s="55"/>
      <c r="K216" s="72"/>
      <c r="L216" s="55"/>
      <c r="M216" s="174"/>
      <c r="N216" s="73" t="str">
        <f>IF(ISBLANK(C216),"",_xlfn.IFNA(INDEX(inbound_data[],MATCH(Outbound_data[[#This Row],[STOCK CODE OUT]],Generated_Stockcode,0),10),""))</f>
        <v/>
      </c>
      <c r="O216" s="73" t="str">
        <f>IF(ISBLANK(C216),"",_xlfn.IFNA(INDEX(inbound_data[],MATCH(Outbound_data[[#This Row],[STOCK CODE OUT]],Generated_Stockcode,0),12),""))</f>
        <v/>
      </c>
      <c r="P216" s="73" t="str">
        <f>IF(ISBLANK(C216),"",_xlfn.IFNA(INDEX(inbound_data[],MATCH(Outbound_data[[#This Row],[STOCK CODE OUT]],Generated_Stockcode,0),23),""))</f>
        <v/>
      </c>
      <c r="Q216" s="73" t="str">
        <f>IF(ISBLANK(C216),"",_xlfn.IFNA(INDEX(inbound_data[],MATCH(Outbound_data[[#This Row],[STOCK CODE OUT]],Generated_Stockcode,0),13),""))</f>
        <v/>
      </c>
    </row>
    <row r="217" spans="2:17" x14ac:dyDescent="0.25">
      <c r="B217" s="71"/>
      <c r="C217" s="65"/>
      <c r="D217" s="55"/>
      <c r="E217" s="65"/>
      <c r="F217" s="166"/>
      <c r="G217" s="167"/>
      <c r="H217" s="166"/>
      <c r="I217" s="72"/>
      <c r="J217" s="55"/>
      <c r="K217" s="72"/>
      <c r="L217" s="55"/>
      <c r="M217" s="174"/>
      <c r="N217" s="73" t="str">
        <f>IF(ISBLANK(C217),"",_xlfn.IFNA(INDEX(inbound_data[],MATCH(Outbound_data[[#This Row],[STOCK CODE OUT]],Generated_Stockcode,0),10),""))</f>
        <v/>
      </c>
      <c r="O217" s="73" t="str">
        <f>IF(ISBLANK(C217),"",_xlfn.IFNA(INDEX(inbound_data[],MATCH(Outbound_data[[#This Row],[STOCK CODE OUT]],Generated_Stockcode,0),12),""))</f>
        <v/>
      </c>
      <c r="P217" s="73" t="str">
        <f>IF(ISBLANK(C217),"",_xlfn.IFNA(INDEX(inbound_data[],MATCH(Outbound_data[[#This Row],[STOCK CODE OUT]],Generated_Stockcode,0),23),""))</f>
        <v/>
      </c>
      <c r="Q217" s="73" t="str">
        <f>IF(ISBLANK(C217),"",_xlfn.IFNA(INDEX(inbound_data[],MATCH(Outbound_data[[#This Row],[STOCK CODE OUT]],Generated_Stockcode,0),13),""))</f>
        <v/>
      </c>
    </row>
    <row r="218" spans="2:17" x14ac:dyDescent="0.25">
      <c r="B218" s="71"/>
      <c r="C218" s="65"/>
      <c r="D218" s="55"/>
      <c r="E218" s="65"/>
      <c r="F218" s="166"/>
      <c r="G218" s="167"/>
      <c r="H218" s="166"/>
      <c r="I218" s="72"/>
      <c r="J218" s="55"/>
      <c r="K218" s="72"/>
      <c r="L218" s="55"/>
      <c r="M218" s="174"/>
      <c r="N218" s="73" t="str">
        <f>IF(ISBLANK(C218),"",_xlfn.IFNA(INDEX(inbound_data[],MATCH(Outbound_data[[#This Row],[STOCK CODE OUT]],Generated_Stockcode,0),10),""))</f>
        <v/>
      </c>
      <c r="O218" s="73" t="str">
        <f>IF(ISBLANK(C218),"",_xlfn.IFNA(INDEX(inbound_data[],MATCH(Outbound_data[[#This Row],[STOCK CODE OUT]],Generated_Stockcode,0),12),""))</f>
        <v/>
      </c>
      <c r="P218" s="73" t="str">
        <f>IF(ISBLANK(C218),"",_xlfn.IFNA(INDEX(inbound_data[],MATCH(Outbound_data[[#This Row],[STOCK CODE OUT]],Generated_Stockcode,0),23),""))</f>
        <v/>
      </c>
      <c r="Q218" s="73" t="str">
        <f>IF(ISBLANK(C218),"",_xlfn.IFNA(INDEX(inbound_data[],MATCH(Outbound_data[[#This Row],[STOCK CODE OUT]],Generated_Stockcode,0),13),""))</f>
        <v/>
      </c>
    </row>
    <row r="219" spans="2:17" x14ac:dyDescent="0.25">
      <c r="B219" s="71"/>
      <c r="C219" s="65"/>
      <c r="D219" s="55"/>
      <c r="E219" s="65"/>
      <c r="F219" s="166"/>
      <c r="G219" s="167"/>
      <c r="H219" s="166"/>
      <c r="I219" s="72"/>
      <c r="J219" s="55"/>
      <c r="K219" s="72"/>
      <c r="L219" s="55"/>
      <c r="M219" s="174"/>
      <c r="N219" s="73" t="str">
        <f>IF(ISBLANK(C219),"",_xlfn.IFNA(INDEX(inbound_data[],MATCH(Outbound_data[[#This Row],[STOCK CODE OUT]],Generated_Stockcode,0),10),""))</f>
        <v/>
      </c>
      <c r="O219" s="73" t="str">
        <f>IF(ISBLANK(C219),"",_xlfn.IFNA(INDEX(inbound_data[],MATCH(Outbound_data[[#This Row],[STOCK CODE OUT]],Generated_Stockcode,0),12),""))</f>
        <v/>
      </c>
      <c r="P219" s="73" t="str">
        <f>IF(ISBLANK(C219),"",_xlfn.IFNA(INDEX(inbound_data[],MATCH(Outbound_data[[#This Row],[STOCK CODE OUT]],Generated_Stockcode,0),23),""))</f>
        <v/>
      </c>
      <c r="Q219" s="73" t="str">
        <f>IF(ISBLANK(C219),"",_xlfn.IFNA(INDEX(inbound_data[],MATCH(Outbound_data[[#This Row],[STOCK CODE OUT]],Generated_Stockcode,0),13),""))</f>
        <v/>
      </c>
    </row>
    <row r="220" spans="2:17" x14ac:dyDescent="0.25">
      <c r="B220" s="71"/>
      <c r="C220" s="65"/>
      <c r="D220" s="55"/>
      <c r="E220" s="65"/>
      <c r="F220" s="166"/>
      <c r="G220" s="167"/>
      <c r="H220" s="166"/>
      <c r="I220" s="72"/>
      <c r="J220" s="55"/>
      <c r="K220" s="72"/>
      <c r="L220" s="55"/>
      <c r="M220" s="174"/>
      <c r="N220" s="73" t="str">
        <f>IF(ISBLANK(C220),"",_xlfn.IFNA(INDEX(inbound_data[],MATCH(Outbound_data[[#This Row],[STOCK CODE OUT]],Generated_Stockcode,0),10),""))</f>
        <v/>
      </c>
      <c r="O220" s="73" t="str">
        <f>IF(ISBLANK(C220),"",_xlfn.IFNA(INDEX(inbound_data[],MATCH(Outbound_data[[#This Row],[STOCK CODE OUT]],Generated_Stockcode,0),12),""))</f>
        <v/>
      </c>
      <c r="P220" s="73" t="str">
        <f>IF(ISBLANK(C220),"",_xlfn.IFNA(INDEX(inbound_data[],MATCH(Outbound_data[[#This Row],[STOCK CODE OUT]],Generated_Stockcode,0),23),""))</f>
        <v/>
      </c>
      <c r="Q220" s="73" t="str">
        <f>IF(ISBLANK(C220),"",_xlfn.IFNA(INDEX(inbound_data[],MATCH(Outbound_data[[#This Row],[STOCK CODE OUT]],Generated_Stockcode,0),13),""))</f>
        <v/>
      </c>
    </row>
    <row r="221" spans="2:17" x14ac:dyDescent="0.25">
      <c r="B221" s="71"/>
      <c r="C221" s="65"/>
      <c r="D221" s="55"/>
      <c r="E221" s="65"/>
      <c r="F221" s="166"/>
      <c r="G221" s="167"/>
      <c r="H221" s="166"/>
      <c r="I221" s="72"/>
      <c r="J221" s="55"/>
      <c r="K221" s="72"/>
      <c r="L221" s="55"/>
      <c r="M221" s="174"/>
      <c r="N221" s="73" t="str">
        <f>IF(ISBLANK(C221),"",_xlfn.IFNA(INDEX(inbound_data[],MATCH(Outbound_data[[#This Row],[STOCK CODE OUT]],Generated_Stockcode,0),10),""))</f>
        <v/>
      </c>
      <c r="O221" s="73" t="str">
        <f>IF(ISBLANK(C221),"",_xlfn.IFNA(INDEX(inbound_data[],MATCH(Outbound_data[[#This Row],[STOCK CODE OUT]],Generated_Stockcode,0),12),""))</f>
        <v/>
      </c>
      <c r="P221" s="73" t="str">
        <f>IF(ISBLANK(C221),"",_xlfn.IFNA(INDEX(inbound_data[],MATCH(Outbound_data[[#This Row],[STOCK CODE OUT]],Generated_Stockcode,0),23),""))</f>
        <v/>
      </c>
      <c r="Q221" s="73" t="str">
        <f>IF(ISBLANK(C221),"",_xlfn.IFNA(INDEX(inbound_data[],MATCH(Outbound_data[[#This Row],[STOCK CODE OUT]],Generated_Stockcode,0),13),""))</f>
        <v/>
      </c>
    </row>
    <row r="222" spans="2:17" x14ac:dyDescent="0.25">
      <c r="B222" s="71"/>
      <c r="C222" s="65"/>
      <c r="D222" s="55"/>
      <c r="E222" s="65"/>
      <c r="F222" s="166"/>
      <c r="G222" s="167"/>
      <c r="H222" s="166"/>
      <c r="I222" s="72"/>
      <c r="J222" s="55"/>
      <c r="K222" s="72"/>
      <c r="L222" s="55"/>
      <c r="M222" s="174"/>
      <c r="N222" s="73" t="str">
        <f>IF(ISBLANK(C222),"",_xlfn.IFNA(INDEX(inbound_data[],MATCH(Outbound_data[[#This Row],[STOCK CODE OUT]],Generated_Stockcode,0),10),""))</f>
        <v/>
      </c>
      <c r="O222" s="73" t="str">
        <f>IF(ISBLANK(C222),"",_xlfn.IFNA(INDEX(inbound_data[],MATCH(Outbound_data[[#This Row],[STOCK CODE OUT]],Generated_Stockcode,0),12),""))</f>
        <v/>
      </c>
      <c r="P222" s="73" t="str">
        <f>IF(ISBLANK(C222),"",_xlfn.IFNA(INDEX(inbound_data[],MATCH(Outbound_data[[#This Row],[STOCK CODE OUT]],Generated_Stockcode,0),23),""))</f>
        <v/>
      </c>
      <c r="Q222" s="73" t="str">
        <f>IF(ISBLANK(C222),"",_xlfn.IFNA(INDEX(inbound_data[],MATCH(Outbound_data[[#This Row],[STOCK CODE OUT]],Generated_Stockcode,0),13),""))</f>
        <v/>
      </c>
    </row>
    <row r="223" spans="2:17" x14ac:dyDescent="0.25">
      <c r="B223" s="71"/>
      <c r="C223" s="65"/>
      <c r="D223" s="55"/>
      <c r="E223" s="65"/>
      <c r="F223" s="166"/>
      <c r="G223" s="167"/>
      <c r="H223" s="166"/>
      <c r="I223" s="72"/>
      <c r="J223" s="55"/>
      <c r="K223" s="72"/>
      <c r="L223" s="55"/>
      <c r="M223" s="174"/>
      <c r="N223" s="73" t="str">
        <f>IF(ISBLANK(C223),"",_xlfn.IFNA(INDEX(inbound_data[],MATCH(Outbound_data[[#This Row],[STOCK CODE OUT]],Generated_Stockcode,0),10),""))</f>
        <v/>
      </c>
      <c r="O223" s="73" t="str">
        <f>IF(ISBLANK(C223),"",_xlfn.IFNA(INDEX(inbound_data[],MATCH(Outbound_data[[#This Row],[STOCK CODE OUT]],Generated_Stockcode,0),12),""))</f>
        <v/>
      </c>
      <c r="P223" s="73" t="str">
        <f>IF(ISBLANK(C223),"",_xlfn.IFNA(INDEX(inbound_data[],MATCH(Outbound_data[[#This Row],[STOCK CODE OUT]],Generated_Stockcode,0),23),""))</f>
        <v/>
      </c>
      <c r="Q223" s="73" t="str">
        <f>IF(ISBLANK(C223),"",_xlfn.IFNA(INDEX(inbound_data[],MATCH(Outbound_data[[#This Row],[STOCK CODE OUT]],Generated_Stockcode,0),13),""))</f>
        <v/>
      </c>
    </row>
    <row r="224" spans="2:17" x14ac:dyDescent="0.25">
      <c r="B224" s="71"/>
      <c r="C224" s="65"/>
      <c r="D224" s="55"/>
      <c r="E224" s="65"/>
      <c r="F224" s="166"/>
      <c r="G224" s="167"/>
      <c r="H224" s="166"/>
      <c r="I224" s="72"/>
      <c r="J224" s="55"/>
      <c r="K224" s="72"/>
      <c r="L224" s="55"/>
      <c r="M224" s="174"/>
      <c r="N224" s="73" t="str">
        <f>IF(ISBLANK(C224),"",_xlfn.IFNA(INDEX(inbound_data[],MATCH(Outbound_data[[#This Row],[STOCK CODE OUT]],Generated_Stockcode,0),10),""))</f>
        <v/>
      </c>
      <c r="O224" s="73" t="str">
        <f>IF(ISBLANK(C224),"",_xlfn.IFNA(INDEX(inbound_data[],MATCH(Outbound_data[[#This Row],[STOCK CODE OUT]],Generated_Stockcode,0),12),""))</f>
        <v/>
      </c>
      <c r="P224" s="73" t="str">
        <f>IF(ISBLANK(C224),"",_xlfn.IFNA(INDEX(inbound_data[],MATCH(Outbound_data[[#This Row],[STOCK CODE OUT]],Generated_Stockcode,0),23),""))</f>
        <v/>
      </c>
      <c r="Q224" s="73" t="str">
        <f>IF(ISBLANK(C224),"",_xlfn.IFNA(INDEX(inbound_data[],MATCH(Outbound_data[[#This Row],[STOCK CODE OUT]],Generated_Stockcode,0),13),""))</f>
        <v/>
      </c>
    </row>
    <row r="225" spans="2:17" x14ac:dyDescent="0.25">
      <c r="B225" s="71"/>
      <c r="C225" s="65"/>
      <c r="D225" s="55"/>
      <c r="E225" s="65"/>
      <c r="F225" s="166"/>
      <c r="G225" s="167"/>
      <c r="H225" s="166"/>
      <c r="I225" s="72"/>
      <c r="J225" s="55"/>
      <c r="K225" s="72"/>
      <c r="L225" s="55"/>
      <c r="M225" s="174"/>
      <c r="N225" s="73" t="str">
        <f>IF(ISBLANK(C225),"",_xlfn.IFNA(INDEX(inbound_data[],MATCH(Outbound_data[[#This Row],[STOCK CODE OUT]],Generated_Stockcode,0),10),""))</f>
        <v/>
      </c>
      <c r="O225" s="73" t="str">
        <f>IF(ISBLANK(C225),"",_xlfn.IFNA(INDEX(inbound_data[],MATCH(Outbound_data[[#This Row],[STOCK CODE OUT]],Generated_Stockcode,0),12),""))</f>
        <v/>
      </c>
      <c r="P225" s="73" t="str">
        <f>IF(ISBLANK(C225),"",_xlfn.IFNA(INDEX(inbound_data[],MATCH(Outbound_data[[#This Row],[STOCK CODE OUT]],Generated_Stockcode,0),23),""))</f>
        <v/>
      </c>
      <c r="Q225" s="73" t="str">
        <f>IF(ISBLANK(C225),"",_xlfn.IFNA(INDEX(inbound_data[],MATCH(Outbound_data[[#This Row],[STOCK CODE OUT]],Generated_Stockcode,0),13),""))</f>
        <v/>
      </c>
    </row>
    <row r="226" spans="2:17" x14ac:dyDescent="0.25">
      <c r="B226" s="71"/>
      <c r="C226" s="65"/>
      <c r="D226" s="55"/>
      <c r="E226" s="65"/>
      <c r="F226" s="166"/>
      <c r="G226" s="167"/>
      <c r="H226" s="166"/>
      <c r="I226" s="72"/>
      <c r="J226" s="55"/>
      <c r="K226" s="72"/>
      <c r="L226" s="55"/>
      <c r="M226" s="174"/>
      <c r="N226" s="73" t="str">
        <f>IF(ISBLANK(C226),"",_xlfn.IFNA(INDEX(inbound_data[],MATCH(Outbound_data[[#This Row],[STOCK CODE OUT]],Generated_Stockcode,0),10),""))</f>
        <v/>
      </c>
      <c r="O226" s="73" t="str">
        <f>IF(ISBLANK(C226),"",_xlfn.IFNA(INDEX(inbound_data[],MATCH(Outbound_data[[#This Row],[STOCK CODE OUT]],Generated_Stockcode,0),12),""))</f>
        <v/>
      </c>
      <c r="P226" s="73" t="str">
        <f>IF(ISBLANK(C226),"",_xlfn.IFNA(INDEX(inbound_data[],MATCH(Outbound_data[[#This Row],[STOCK CODE OUT]],Generated_Stockcode,0),23),""))</f>
        <v/>
      </c>
      <c r="Q226" s="73" t="str">
        <f>IF(ISBLANK(C226),"",_xlfn.IFNA(INDEX(inbound_data[],MATCH(Outbound_data[[#This Row],[STOCK CODE OUT]],Generated_Stockcode,0),13),""))</f>
        <v/>
      </c>
    </row>
    <row r="227" spans="2:17" x14ac:dyDescent="0.25">
      <c r="B227" s="71"/>
      <c r="C227" s="65"/>
      <c r="D227" s="55"/>
      <c r="E227" s="65"/>
      <c r="F227" s="166"/>
      <c r="G227" s="167"/>
      <c r="H227" s="166"/>
      <c r="I227" s="72"/>
      <c r="J227" s="55"/>
      <c r="K227" s="72"/>
      <c r="L227" s="55"/>
      <c r="M227" s="174"/>
      <c r="N227" s="73" t="str">
        <f>IF(ISBLANK(C227),"",_xlfn.IFNA(INDEX(inbound_data[],MATCH(Outbound_data[[#This Row],[STOCK CODE OUT]],Generated_Stockcode,0),10),""))</f>
        <v/>
      </c>
      <c r="O227" s="73" t="str">
        <f>IF(ISBLANK(C227),"",_xlfn.IFNA(INDEX(inbound_data[],MATCH(Outbound_data[[#This Row],[STOCK CODE OUT]],Generated_Stockcode,0),12),""))</f>
        <v/>
      </c>
      <c r="P227" s="73" t="str">
        <f>IF(ISBLANK(C227),"",_xlfn.IFNA(INDEX(inbound_data[],MATCH(Outbound_data[[#This Row],[STOCK CODE OUT]],Generated_Stockcode,0),23),""))</f>
        <v/>
      </c>
      <c r="Q227" s="73" t="str">
        <f>IF(ISBLANK(C227),"",_xlfn.IFNA(INDEX(inbound_data[],MATCH(Outbound_data[[#This Row],[STOCK CODE OUT]],Generated_Stockcode,0),13),""))</f>
        <v/>
      </c>
    </row>
    <row r="228" spans="2:17" x14ac:dyDescent="0.25">
      <c r="B228" s="71"/>
      <c r="C228" s="65"/>
      <c r="D228" s="55"/>
      <c r="E228" s="65"/>
      <c r="F228" s="166"/>
      <c r="G228" s="167"/>
      <c r="H228" s="166"/>
      <c r="I228" s="72"/>
      <c r="J228" s="55"/>
      <c r="K228" s="72"/>
      <c r="L228" s="55"/>
      <c r="M228" s="174"/>
      <c r="N228" s="73" t="str">
        <f>IF(ISBLANK(C228),"",_xlfn.IFNA(INDEX(inbound_data[],MATCH(Outbound_data[[#This Row],[STOCK CODE OUT]],Generated_Stockcode,0),10),""))</f>
        <v/>
      </c>
      <c r="O228" s="73" t="str">
        <f>IF(ISBLANK(C228),"",_xlfn.IFNA(INDEX(inbound_data[],MATCH(Outbound_data[[#This Row],[STOCK CODE OUT]],Generated_Stockcode,0),12),""))</f>
        <v/>
      </c>
      <c r="P228" s="73" t="str">
        <f>IF(ISBLANK(C228),"",_xlfn.IFNA(INDEX(inbound_data[],MATCH(Outbound_data[[#This Row],[STOCK CODE OUT]],Generated_Stockcode,0),23),""))</f>
        <v/>
      </c>
      <c r="Q228" s="73" t="str">
        <f>IF(ISBLANK(C228),"",_xlfn.IFNA(INDEX(inbound_data[],MATCH(Outbound_data[[#This Row],[STOCK CODE OUT]],Generated_Stockcode,0),13),""))</f>
        <v/>
      </c>
    </row>
    <row r="229" spans="2:17" x14ac:dyDescent="0.25">
      <c r="B229" s="71"/>
      <c r="C229" s="65"/>
      <c r="D229" s="55"/>
      <c r="E229" s="65"/>
      <c r="F229" s="166"/>
      <c r="G229" s="167"/>
      <c r="H229" s="166"/>
      <c r="I229" s="72"/>
      <c r="J229" s="55"/>
      <c r="K229" s="72"/>
      <c r="L229" s="55"/>
      <c r="M229" s="174"/>
      <c r="N229" s="73" t="str">
        <f>IF(ISBLANK(C229),"",_xlfn.IFNA(INDEX(inbound_data[],MATCH(Outbound_data[[#This Row],[STOCK CODE OUT]],Generated_Stockcode,0),10),""))</f>
        <v/>
      </c>
      <c r="O229" s="73" t="str">
        <f>IF(ISBLANK(C229),"",_xlfn.IFNA(INDEX(inbound_data[],MATCH(Outbound_data[[#This Row],[STOCK CODE OUT]],Generated_Stockcode,0),12),""))</f>
        <v/>
      </c>
      <c r="P229" s="73" t="str">
        <f>IF(ISBLANK(C229),"",_xlfn.IFNA(INDEX(inbound_data[],MATCH(Outbound_data[[#This Row],[STOCK CODE OUT]],Generated_Stockcode,0),23),""))</f>
        <v/>
      </c>
      <c r="Q229" s="73" t="str">
        <f>IF(ISBLANK(C229),"",_xlfn.IFNA(INDEX(inbound_data[],MATCH(Outbound_data[[#This Row],[STOCK CODE OUT]],Generated_Stockcode,0),13),""))</f>
        <v/>
      </c>
    </row>
    <row r="230" spans="2:17" x14ac:dyDescent="0.25">
      <c r="B230" s="71"/>
      <c r="C230" s="65"/>
      <c r="D230" s="55"/>
      <c r="E230" s="65"/>
      <c r="F230" s="166"/>
      <c r="G230" s="167"/>
      <c r="H230" s="166"/>
      <c r="I230" s="72"/>
      <c r="J230" s="55"/>
      <c r="K230" s="72"/>
      <c r="L230" s="55"/>
      <c r="M230" s="174"/>
      <c r="N230" s="73" t="str">
        <f>IF(ISBLANK(C230),"",_xlfn.IFNA(INDEX(inbound_data[],MATCH(Outbound_data[[#This Row],[STOCK CODE OUT]],Generated_Stockcode,0),10),""))</f>
        <v/>
      </c>
      <c r="O230" s="73" t="str">
        <f>IF(ISBLANK(C230),"",_xlfn.IFNA(INDEX(inbound_data[],MATCH(Outbound_data[[#This Row],[STOCK CODE OUT]],Generated_Stockcode,0),12),""))</f>
        <v/>
      </c>
      <c r="P230" s="73" t="str">
        <f>IF(ISBLANK(C230),"",_xlfn.IFNA(INDEX(inbound_data[],MATCH(Outbound_data[[#This Row],[STOCK CODE OUT]],Generated_Stockcode,0),23),""))</f>
        <v/>
      </c>
      <c r="Q230" s="73" t="str">
        <f>IF(ISBLANK(C230),"",_xlfn.IFNA(INDEX(inbound_data[],MATCH(Outbound_data[[#This Row],[STOCK CODE OUT]],Generated_Stockcode,0),13),""))</f>
        <v/>
      </c>
    </row>
    <row r="231" spans="2:17" x14ac:dyDescent="0.25">
      <c r="B231" s="71"/>
      <c r="C231" s="65"/>
      <c r="D231" s="55"/>
      <c r="E231" s="65"/>
      <c r="F231" s="166"/>
      <c r="G231" s="167"/>
      <c r="H231" s="166"/>
      <c r="I231" s="72"/>
      <c r="J231" s="55"/>
      <c r="K231" s="72"/>
      <c r="L231" s="55"/>
      <c r="M231" s="174"/>
      <c r="N231" s="73" t="str">
        <f>IF(ISBLANK(C231),"",_xlfn.IFNA(INDEX(inbound_data[],MATCH(Outbound_data[[#This Row],[STOCK CODE OUT]],Generated_Stockcode,0),10),""))</f>
        <v/>
      </c>
      <c r="O231" s="73" t="str">
        <f>IF(ISBLANK(C231),"",_xlfn.IFNA(INDEX(inbound_data[],MATCH(Outbound_data[[#This Row],[STOCK CODE OUT]],Generated_Stockcode,0),12),""))</f>
        <v/>
      </c>
      <c r="P231" s="73" t="str">
        <f>IF(ISBLANK(C231),"",_xlfn.IFNA(INDEX(inbound_data[],MATCH(Outbound_data[[#This Row],[STOCK CODE OUT]],Generated_Stockcode,0),23),""))</f>
        <v/>
      </c>
      <c r="Q231" s="73" t="str">
        <f>IF(ISBLANK(C231),"",_xlfn.IFNA(INDEX(inbound_data[],MATCH(Outbound_data[[#This Row],[STOCK CODE OUT]],Generated_Stockcode,0),13),""))</f>
        <v/>
      </c>
    </row>
    <row r="232" spans="2:17" x14ac:dyDescent="0.25">
      <c r="B232" s="71"/>
      <c r="C232" s="65"/>
      <c r="D232" s="55"/>
      <c r="E232" s="65"/>
      <c r="F232" s="166"/>
      <c r="G232" s="167"/>
      <c r="H232" s="166"/>
      <c r="I232" s="72"/>
      <c r="J232" s="55"/>
      <c r="K232" s="72"/>
      <c r="L232" s="55"/>
      <c r="M232" s="174"/>
      <c r="N232" s="73" t="str">
        <f>IF(ISBLANK(C232),"",_xlfn.IFNA(INDEX(inbound_data[],MATCH(Outbound_data[[#This Row],[STOCK CODE OUT]],Generated_Stockcode,0),10),""))</f>
        <v/>
      </c>
      <c r="O232" s="73" t="str">
        <f>IF(ISBLANK(C232),"",_xlfn.IFNA(INDEX(inbound_data[],MATCH(Outbound_data[[#This Row],[STOCK CODE OUT]],Generated_Stockcode,0),12),""))</f>
        <v/>
      </c>
      <c r="P232" s="73" t="str">
        <f>IF(ISBLANK(C232),"",_xlfn.IFNA(INDEX(inbound_data[],MATCH(Outbound_data[[#This Row],[STOCK CODE OUT]],Generated_Stockcode,0),23),""))</f>
        <v/>
      </c>
      <c r="Q232" s="73" t="str">
        <f>IF(ISBLANK(C232),"",_xlfn.IFNA(INDEX(inbound_data[],MATCH(Outbound_data[[#This Row],[STOCK CODE OUT]],Generated_Stockcode,0),13),""))</f>
        <v/>
      </c>
    </row>
    <row r="233" spans="2:17" x14ac:dyDescent="0.25">
      <c r="B233" s="71"/>
      <c r="C233" s="65"/>
      <c r="D233" s="55"/>
      <c r="E233" s="65"/>
      <c r="F233" s="166"/>
      <c r="G233" s="167"/>
      <c r="H233" s="166"/>
      <c r="I233" s="72"/>
      <c r="J233" s="55"/>
      <c r="K233" s="72"/>
      <c r="L233" s="55"/>
      <c r="M233" s="174"/>
      <c r="N233" s="73" t="str">
        <f>IF(ISBLANK(C233),"",_xlfn.IFNA(INDEX(inbound_data[],MATCH(Outbound_data[[#This Row],[STOCK CODE OUT]],Generated_Stockcode,0),10),""))</f>
        <v/>
      </c>
      <c r="O233" s="73" t="str">
        <f>IF(ISBLANK(C233),"",_xlfn.IFNA(INDEX(inbound_data[],MATCH(Outbound_data[[#This Row],[STOCK CODE OUT]],Generated_Stockcode,0),12),""))</f>
        <v/>
      </c>
      <c r="P233" s="73" t="str">
        <f>IF(ISBLANK(C233),"",_xlfn.IFNA(INDEX(inbound_data[],MATCH(Outbound_data[[#This Row],[STOCK CODE OUT]],Generated_Stockcode,0),23),""))</f>
        <v/>
      </c>
      <c r="Q233" s="73" t="str">
        <f>IF(ISBLANK(C233),"",_xlfn.IFNA(INDEX(inbound_data[],MATCH(Outbound_data[[#This Row],[STOCK CODE OUT]],Generated_Stockcode,0),13),""))</f>
        <v/>
      </c>
    </row>
    <row r="234" spans="2:17" x14ac:dyDescent="0.25">
      <c r="B234" s="71"/>
      <c r="C234" s="65"/>
      <c r="D234" s="55"/>
      <c r="E234" s="65"/>
      <c r="F234" s="166"/>
      <c r="G234" s="167"/>
      <c r="H234" s="166"/>
      <c r="I234" s="72"/>
      <c r="J234" s="55"/>
      <c r="K234" s="72"/>
      <c r="L234" s="55"/>
      <c r="M234" s="174"/>
      <c r="N234" s="73" t="str">
        <f>IF(ISBLANK(C234),"",_xlfn.IFNA(INDEX(inbound_data[],MATCH(Outbound_data[[#This Row],[STOCK CODE OUT]],Generated_Stockcode,0),10),""))</f>
        <v/>
      </c>
      <c r="O234" s="73" t="str">
        <f>IF(ISBLANK(C234),"",_xlfn.IFNA(INDEX(inbound_data[],MATCH(Outbound_data[[#This Row],[STOCK CODE OUT]],Generated_Stockcode,0),12),""))</f>
        <v/>
      </c>
      <c r="P234" s="73" t="str">
        <f>IF(ISBLANK(C234),"",_xlfn.IFNA(INDEX(inbound_data[],MATCH(Outbound_data[[#This Row],[STOCK CODE OUT]],Generated_Stockcode,0),23),""))</f>
        <v/>
      </c>
      <c r="Q234" s="73" t="str">
        <f>IF(ISBLANK(C234),"",_xlfn.IFNA(INDEX(inbound_data[],MATCH(Outbound_data[[#This Row],[STOCK CODE OUT]],Generated_Stockcode,0),13),""))</f>
        <v/>
      </c>
    </row>
    <row r="235" spans="2:17" x14ac:dyDescent="0.25">
      <c r="B235" s="71"/>
      <c r="C235" s="65"/>
      <c r="D235" s="55"/>
      <c r="E235" s="65"/>
      <c r="F235" s="166"/>
      <c r="G235" s="167"/>
      <c r="H235" s="166"/>
      <c r="I235" s="72"/>
      <c r="J235" s="55"/>
      <c r="K235" s="72"/>
      <c r="L235" s="55"/>
      <c r="M235" s="174"/>
      <c r="N235" s="73" t="str">
        <f>IF(ISBLANK(C235),"",_xlfn.IFNA(INDEX(inbound_data[],MATCH(Outbound_data[[#This Row],[STOCK CODE OUT]],Generated_Stockcode,0),10),""))</f>
        <v/>
      </c>
      <c r="O235" s="73" t="str">
        <f>IF(ISBLANK(C235),"",_xlfn.IFNA(INDEX(inbound_data[],MATCH(Outbound_data[[#This Row],[STOCK CODE OUT]],Generated_Stockcode,0),12),""))</f>
        <v/>
      </c>
      <c r="P235" s="73" t="str">
        <f>IF(ISBLANK(C235),"",_xlfn.IFNA(INDEX(inbound_data[],MATCH(Outbound_data[[#This Row],[STOCK CODE OUT]],Generated_Stockcode,0),23),""))</f>
        <v/>
      </c>
      <c r="Q235" s="73" t="str">
        <f>IF(ISBLANK(C235),"",_xlfn.IFNA(INDEX(inbound_data[],MATCH(Outbound_data[[#This Row],[STOCK CODE OUT]],Generated_Stockcode,0),13),""))</f>
        <v/>
      </c>
    </row>
    <row r="236" spans="2:17" x14ac:dyDescent="0.25">
      <c r="B236" s="71"/>
      <c r="C236" s="65"/>
      <c r="D236" s="55"/>
      <c r="E236" s="65"/>
      <c r="F236" s="166"/>
      <c r="G236" s="167"/>
      <c r="H236" s="166"/>
      <c r="I236" s="72"/>
      <c r="J236" s="55"/>
      <c r="K236" s="72"/>
      <c r="L236" s="55"/>
      <c r="M236" s="174"/>
      <c r="N236" s="73" t="str">
        <f>IF(ISBLANK(C236),"",_xlfn.IFNA(INDEX(inbound_data[],MATCH(Outbound_data[[#This Row],[STOCK CODE OUT]],Generated_Stockcode,0),10),""))</f>
        <v/>
      </c>
      <c r="O236" s="73" t="str">
        <f>IF(ISBLANK(C236),"",_xlfn.IFNA(INDEX(inbound_data[],MATCH(Outbound_data[[#This Row],[STOCK CODE OUT]],Generated_Stockcode,0),12),""))</f>
        <v/>
      </c>
      <c r="P236" s="73" t="str">
        <f>IF(ISBLANK(C236),"",_xlfn.IFNA(INDEX(inbound_data[],MATCH(Outbound_data[[#This Row],[STOCK CODE OUT]],Generated_Stockcode,0),23),""))</f>
        <v/>
      </c>
      <c r="Q236" s="73" t="str">
        <f>IF(ISBLANK(C236),"",_xlfn.IFNA(INDEX(inbound_data[],MATCH(Outbound_data[[#This Row],[STOCK CODE OUT]],Generated_Stockcode,0),13),""))</f>
        <v/>
      </c>
    </row>
    <row r="237" spans="2:17" x14ac:dyDescent="0.25">
      <c r="B237" s="71"/>
      <c r="C237" s="65"/>
      <c r="D237" s="55"/>
      <c r="E237" s="65"/>
      <c r="F237" s="166"/>
      <c r="G237" s="167"/>
      <c r="H237" s="166"/>
      <c r="I237" s="72"/>
      <c r="J237" s="55"/>
      <c r="K237" s="72"/>
      <c r="L237" s="55"/>
      <c r="M237" s="174"/>
      <c r="N237" s="73" t="str">
        <f>IF(ISBLANK(C237),"",_xlfn.IFNA(INDEX(inbound_data[],MATCH(Outbound_data[[#This Row],[STOCK CODE OUT]],Generated_Stockcode,0),10),""))</f>
        <v/>
      </c>
      <c r="O237" s="73" t="str">
        <f>IF(ISBLANK(C237),"",_xlfn.IFNA(INDEX(inbound_data[],MATCH(Outbound_data[[#This Row],[STOCK CODE OUT]],Generated_Stockcode,0),12),""))</f>
        <v/>
      </c>
      <c r="P237" s="73" t="str">
        <f>IF(ISBLANK(C237),"",_xlfn.IFNA(INDEX(inbound_data[],MATCH(Outbound_data[[#This Row],[STOCK CODE OUT]],Generated_Stockcode,0),23),""))</f>
        <v/>
      </c>
      <c r="Q237" s="73" t="str">
        <f>IF(ISBLANK(C237),"",_xlfn.IFNA(INDEX(inbound_data[],MATCH(Outbound_data[[#This Row],[STOCK CODE OUT]],Generated_Stockcode,0),13),""))</f>
        <v/>
      </c>
    </row>
    <row r="238" spans="2:17" x14ac:dyDescent="0.25">
      <c r="B238" s="71"/>
      <c r="C238" s="65"/>
      <c r="D238" s="55"/>
      <c r="E238" s="65"/>
      <c r="F238" s="166"/>
      <c r="G238" s="167"/>
      <c r="H238" s="166"/>
      <c r="I238" s="72"/>
      <c r="J238" s="55"/>
      <c r="K238" s="72"/>
      <c r="L238" s="55"/>
      <c r="M238" s="174"/>
      <c r="N238" s="73" t="str">
        <f>IF(ISBLANK(C238),"",_xlfn.IFNA(INDEX(inbound_data[],MATCH(Outbound_data[[#This Row],[STOCK CODE OUT]],Generated_Stockcode,0),10),""))</f>
        <v/>
      </c>
      <c r="O238" s="73" t="str">
        <f>IF(ISBLANK(C238),"",_xlfn.IFNA(INDEX(inbound_data[],MATCH(Outbound_data[[#This Row],[STOCK CODE OUT]],Generated_Stockcode,0),12),""))</f>
        <v/>
      </c>
      <c r="P238" s="73" t="str">
        <f>IF(ISBLANK(C238),"",_xlfn.IFNA(INDEX(inbound_data[],MATCH(Outbound_data[[#This Row],[STOCK CODE OUT]],Generated_Stockcode,0),23),""))</f>
        <v/>
      </c>
      <c r="Q238" s="73" t="str">
        <f>IF(ISBLANK(C238),"",_xlfn.IFNA(INDEX(inbound_data[],MATCH(Outbound_data[[#This Row],[STOCK CODE OUT]],Generated_Stockcode,0),13),""))</f>
        <v/>
      </c>
    </row>
    <row r="239" spans="2:17" x14ac:dyDescent="0.25">
      <c r="B239" s="71"/>
      <c r="C239" s="65"/>
      <c r="D239" s="55"/>
      <c r="E239" s="65"/>
      <c r="F239" s="166"/>
      <c r="G239" s="167"/>
      <c r="H239" s="166"/>
      <c r="I239" s="72"/>
      <c r="J239" s="55"/>
      <c r="K239" s="72"/>
      <c r="L239" s="55"/>
      <c r="M239" s="174"/>
      <c r="N239" s="73" t="str">
        <f>IF(ISBLANK(C239),"",_xlfn.IFNA(INDEX(inbound_data[],MATCH(Outbound_data[[#This Row],[STOCK CODE OUT]],Generated_Stockcode,0),10),""))</f>
        <v/>
      </c>
      <c r="O239" s="73" t="str">
        <f>IF(ISBLANK(C239),"",_xlfn.IFNA(INDEX(inbound_data[],MATCH(Outbound_data[[#This Row],[STOCK CODE OUT]],Generated_Stockcode,0),12),""))</f>
        <v/>
      </c>
      <c r="P239" s="73" t="str">
        <f>IF(ISBLANK(C239),"",_xlfn.IFNA(INDEX(inbound_data[],MATCH(Outbound_data[[#This Row],[STOCK CODE OUT]],Generated_Stockcode,0),23),""))</f>
        <v/>
      </c>
      <c r="Q239" s="73" t="str">
        <f>IF(ISBLANK(C239),"",_xlfn.IFNA(INDEX(inbound_data[],MATCH(Outbound_data[[#This Row],[STOCK CODE OUT]],Generated_Stockcode,0),13),""))</f>
        <v/>
      </c>
    </row>
    <row r="240" spans="2:17" x14ac:dyDescent="0.25">
      <c r="B240" s="71"/>
      <c r="C240" s="65"/>
      <c r="D240" s="55"/>
      <c r="E240" s="65"/>
      <c r="F240" s="166"/>
      <c r="G240" s="167"/>
      <c r="H240" s="166"/>
      <c r="I240" s="72"/>
      <c r="J240" s="55"/>
      <c r="K240" s="72"/>
      <c r="L240" s="55"/>
      <c r="M240" s="174"/>
      <c r="N240" s="73" t="str">
        <f>IF(ISBLANK(C240),"",_xlfn.IFNA(INDEX(inbound_data[],MATCH(Outbound_data[[#This Row],[STOCK CODE OUT]],Generated_Stockcode,0),10),""))</f>
        <v/>
      </c>
      <c r="O240" s="73" t="str">
        <f>IF(ISBLANK(C240),"",_xlfn.IFNA(INDEX(inbound_data[],MATCH(Outbound_data[[#This Row],[STOCK CODE OUT]],Generated_Stockcode,0),12),""))</f>
        <v/>
      </c>
      <c r="P240" s="73" t="str">
        <f>IF(ISBLANK(C240),"",_xlfn.IFNA(INDEX(inbound_data[],MATCH(Outbound_data[[#This Row],[STOCK CODE OUT]],Generated_Stockcode,0),23),""))</f>
        <v/>
      </c>
      <c r="Q240" s="73" t="str">
        <f>IF(ISBLANK(C240),"",_xlfn.IFNA(INDEX(inbound_data[],MATCH(Outbound_data[[#This Row],[STOCK CODE OUT]],Generated_Stockcode,0),13),""))</f>
        <v/>
      </c>
    </row>
    <row r="241" spans="2:17" x14ac:dyDescent="0.25">
      <c r="B241" s="71"/>
      <c r="C241" s="65"/>
      <c r="D241" s="55"/>
      <c r="E241" s="65"/>
      <c r="F241" s="166"/>
      <c r="G241" s="167"/>
      <c r="H241" s="166"/>
      <c r="I241" s="72"/>
      <c r="J241" s="55"/>
      <c r="K241" s="72"/>
      <c r="L241" s="55"/>
      <c r="M241" s="174"/>
      <c r="N241" s="73" t="str">
        <f>IF(ISBLANK(C241),"",_xlfn.IFNA(INDEX(inbound_data[],MATCH(Outbound_data[[#This Row],[STOCK CODE OUT]],Generated_Stockcode,0),10),""))</f>
        <v/>
      </c>
      <c r="O241" s="73" t="str">
        <f>IF(ISBLANK(C241),"",_xlfn.IFNA(INDEX(inbound_data[],MATCH(Outbound_data[[#This Row],[STOCK CODE OUT]],Generated_Stockcode,0),12),""))</f>
        <v/>
      </c>
      <c r="P241" s="73" t="str">
        <f>IF(ISBLANK(C241),"",_xlfn.IFNA(INDEX(inbound_data[],MATCH(Outbound_data[[#This Row],[STOCK CODE OUT]],Generated_Stockcode,0),23),""))</f>
        <v/>
      </c>
      <c r="Q241" s="73" t="str">
        <f>IF(ISBLANK(C241),"",_xlfn.IFNA(INDEX(inbound_data[],MATCH(Outbound_data[[#This Row],[STOCK CODE OUT]],Generated_Stockcode,0),13),""))</f>
        <v/>
      </c>
    </row>
    <row r="242" spans="2:17" x14ac:dyDescent="0.25">
      <c r="B242" s="71"/>
      <c r="C242" s="65"/>
      <c r="D242" s="55"/>
      <c r="E242" s="65"/>
      <c r="F242" s="166"/>
      <c r="G242" s="167"/>
      <c r="H242" s="166"/>
      <c r="I242" s="72"/>
      <c r="J242" s="55"/>
      <c r="K242" s="72"/>
      <c r="L242" s="55"/>
      <c r="M242" s="174"/>
      <c r="N242" s="73" t="str">
        <f>IF(ISBLANK(C242),"",_xlfn.IFNA(INDEX(inbound_data[],MATCH(Outbound_data[[#This Row],[STOCK CODE OUT]],Generated_Stockcode,0),10),""))</f>
        <v/>
      </c>
      <c r="O242" s="73" t="str">
        <f>IF(ISBLANK(C242),"",_xlfn.IFNA(INDEX(inbound_data[],MATCH(Outbound_data[[#This Row],[STOCK CODE OUT]],Generated_Stockcode,0),12),""))</f>
        <v/>
      </c>
      <c r="P242" s="73" t="str">
        <f>IF(ISBLANK(C242),"",_xlfn.IFNA(INDEX(inbound_data[],MATCH(Outbound_data[[#This Row],[STOCK CODE OUT]],Generated_Stockcode,0),23),""))</f>
        <v/>
      </c>
      <c r="Q242" s="73" t="str">
        <f>IF(ISBLANK(C242),"",_xlfn.IFNA(INDEX(inbound_data[],MATCH(Outbound_data[[#This Row],[STOCK CODE OUT]],Generated_Stockcode,0),13),""))</f>
        <v/>
      </c>
    </row>
    <row r="243" spans="2:17" x14ac:dyDescent="0.25">
      <c r="B243" s="71"/>
      <c r="C243" s="65"/>
      <c r="D243" s="55"/>
      <c r="E243" s="65"/>
      <c r="F243" s="166"/>
      <c r="G243" s="167"/>
      <c r="H243" s="166"/>
      <c r="I243" s="72"/>
      <c r="J243" s="55"/>
      <c r="K243" s="72"/>
      <c r="L243" s="55"/>
      <c r="M243" s="174"/>
      <c r="N243" s="73" t="str">
        <f>IF(ISBLANK(C243),"",_xlfn.IFNA(INDEX(inbound_data[],MATCH(Outbound_data[[#This Row],[STOCK CODE OUT]],Generated_Stockcode,0),10),""))</f>
        <v/>
      </c>
      <c r="O243" s="73" t="str">
        <f>IF(ISBLANK(C243),"",_xlfn.IFNA(INDEX(inbound_data[],MATCH(Outbound_data[[#This Row],[STOCK CODE OUT]],Generated_Stockcode,0),12),""))</f>
        <v/>
      </c>
      <c r="P243" s="73" t="str">
        <f>IF(ISBLANK(C243),"",_xlfn.IFNA(INDEX(inbound_data[],MATCH(Outbound_data[[#This Row],[STOCK CODE OUT]],Generated_Stockcode,0),23),""))</f>
        <v/>
      </c>
      <c r="Q243" s="73" t="str">
        <f>IF(ISBLANK(C243),"",_xlfn.IFNA(INDEX(inbound_data[],MATCH(Outbound_data[[#This Row],[STOCK CODE OUT]],Generated_Stockcode,0),13),""))</f>
        <v/>
      </c>
    </row>
    <row r="244" spans="2:17" x14ac:dyDescent="0.25">
      <c r="B244" s="71"/>
      <c r="C244" s="65"/>
      <c r="D244" s="55"/>
      <c r="E244" s="65"/>
      <c r="F244" s="166"/>
      <c r="G244" s="167"/>
      <c r="H244" s="166"/>
      <c r="I244" s="72"/>
      <c r="J244" s="55"/>
      <c r="K244" s="72"/>
      <c r="L244" s="55"/>
      <c r="M244" s="174"/>
      <c r="N244" s="73" t="str">
        <f>IF(ISBLANK(C244),"",_xlfn.IFNA(INDEX(inbound_data[],MATCH(Outbound_data[[#This Row],[STOCK CODE OUT]],Generated_Stockcode,0),10),""))</f>
        <v/>
      </c>
      <c r="O244" s="73" t="str">
        <f>IF(ISBLANK(C244),"",_xlfn.IFNA(INDEX(inbound_data[],MATCH(Outbound_data[[#This Row],[STOCK CODE OUT]],Generated_Stockcode,0),12),""))</f>
        <v/>
      </c>
      <c r="P244" s="73" t="str">
        <f>IF(ISBLANK(C244),"",_xlfn.IFNA(INDEX(inbound_data[],MATCH(Outbound_data[[#This Row],[STOCK CODE OUT]],Generated_Stockcode,0),23),""))</f>
        <v/>
      </c>
      <c r="Q244" s="73" t="str">
        <f>IF(ISBLANK(C244),"",_xlfn.IFNA(INDEX(inbound_data[],MATCH(Outbound_data[[#This Row],[STOCK CODE OUT]],Generated_Stockcode,0),13),""))</f>
        <v/>
      </c>
    </row>
    <row r="245" spans="2:17" x14ac:dyDescent="0.25">
      <c r="B245" s="71"/>
      <c r="C245" s="65"/>
      <c r="D245" s="55"/>
      <c r="E245" s="65"/>
      <c r="F245" s="166"/>
      <c r="G245" s="167"/>
      <c r="H245" s="166"/>
      <c r="I245" s="72"/>
      <c r="J245" s="55"/>
      <c r="K245" s="72"/>
      <c r="L245" s="55"/>
      <c r="M245" s="174"/>
      <c r="N245" s="73" t="str">
        <f>IF(ISBLANK(C245),"",_xlfn.IFNA(INDEX(inbound_data[],MATCH(Outbound_data[[#This Row],[STOCK CODE OUT]],Generated_Stockcode,0),10),""))</f>
        <v/>
      </c>
      <c r="O245" s="73" t="str">
        <f>IF(ISBLANK(C245),"",_xlfn.IFNA(INDEX(inbound_data[],MATCH(Outbound_data[[#This Row],[STOCK CODE OUT]],Generated_Stockcode,0),12),""))</f>
        <v/>
      </c>
      <c r="P245" s="73" t="str">
        <f>IF(ISBLANK(C245),"",_xlfn.IFNA(INDEX(inbound_data[],MATCH(Outbound_data[[#This Row],[STOCK CODE OUT]],Generated_Stockcode,0),23),""))</f>
        <v/>
      </c>
      <c r="Q245" s="73" t="str">
        <f>IF(ISBLANK(C245),"",_xlfn.IFNA(INDEX(inbound_data[],MATCH(Outbound_data[[#This Row],[STOCK CODE OUT]],Generated_Stockcode,0),13),""))</f>
        <v/>
      </c>
    </row>
    <row r="246" spans="2:17" x14ac:dyDescent="0.25">
      <c r="B246" s="71"/>
      <c r="C246" s="65"/>
      <c r="D246" s="55"/>
      <c r="E246" s="65"/>
      <c r="F246" s="166"/>
      <c r="G246" s="167"/>
      <c r="H246" s="166"/>
      <c r="I246" s="72"/>
      <c r="J246" s="55"/>
      <c r="K246" s="72"/>
      <c r="L246" s="55"/>
      <c r="M246" s="174"/>
      <c r="N246" s="73" t="str">
        <f>IF(ISBLANK(C246),"",_xlfn.IFNA(INDEX(inbound_data[],MATCH(Outbound_data[[#This Row],[STOCK CODE OUT]],Generated_Stockcode,0),10),""))</f>
        <v/>
      </c>
      <c r="O246" s="73" t="str">
        <f>IF(ISBLANK(C246),"",_xlfn.IFNA(INDEX(inbound_data[],MATCH(Outbound_data[[#This Row],[STOCK CODE OUT]],Generated_Stockcode,0),12),""))</f>
        <v/>
      </c>
      <c r="P246" s="73" t="str">
        <f>IF(ISBLANK(C246),"",_xlfn.IFNA(INDEX(inbound_data[],MATCH(Outbound_data[[#This Row],[STOCK CODE OUT]],Generated_Stockcode,0),23),""))</f>
        <v/>
      </c>
      <c r="Q246" s="73" t="str">
        <f>IF(ISBLANK(C246),"",_xlfn.IFNA(INDEX(inbound_data[],MATCH(Outbound_data[[#This Row],[STOCK CODE OUT]],Generated_Stockcode,0),13),""))</f>
        <v/>
      </c>
    </row>
    <row r="247" spans="2:17" x14ac:dyDescent="0.25">
      <c r="B247" s="71"/>
      <c r="C247" s="65"/>
      <c r="D247" s="55"/>
      <c r="E247" s="65"/>
      <c r="F247" s="166"/>
      <c r="G247" s="167"/>
      <c r="H247" s="166"/>
      <c r="I247" s="72"/>
      <c r="J247" s="55"/>
      <c r="K247" s="72"/>
      <c r="L247" s="55"/>
      <c r="M247" s="174"/>
      <c r="N247" s="73" t="str">
        <f>IF(ISBLANK(C247),"",_xlfn.IFNA(INDEX(inbound_data[],MATCH(Outbound_data[[#This Row],[STOCK CODE OUT]],Generated_Stockcode,0),10),""))</f>
        <v/>
      </c>
      <c r="O247" s="73" t="str">
        <f>IF(ISBLANK(C247),"",_xlfn.IFNA(INDEX(inbound_data[],MATCH(Outbound_data[[#This Row],[STOCK CODE OUT]],Generated_Stockcode,0),12),""))</f>
        <v/>
      </c>
      <c r="P247" s="73" t="str">
        <f>IF(ISBLANK(C247),"",_xlfn.IFNA(INDEX(inbound_data[],MATCH(Outbound_data[[#This Row],[STOCK CODE OUT]],Generated_Stockcode,0),23),""))</f>
        <v/>
      </c>
      <c r="Q247" s="73" t="str">
        <f>IF(ISBLANK(C247),"",_xlfn.IFNA(INDEX(inbound_data[],MATCH(Outbound_data[[#This Row],[STOCK CODE OUT]],Generated_Stockcode,0),13),""))</f>
        <v/>
      </c>
    </row>
    <row r="248" spans="2:17" x14ac:dyDescent="0.25">
      <c r="B248" s="71"/>
      <c r="C248" s="65"/>
      <c r="D248" s="55"/>
      <c r="E248" s="65"/>
      <c r="F248" s="166"/>
      <c r="G248" s="167"/>
      <c r="H248" s="166"/>
      <c r="I248" s="72"/>
      <c r="J248" s="55"/>
      <c r="K248" s="72"/>
      <c r="L248" s="55"/>
      <c r="M248" s="174"/>
      <c r="N248" s="73" t="str">
        <f>IF(ISBLANK(C248),"",_xlfn.IFNA(INDEX(inbound_data[],MATCH(Outbound_data[[#This Row],[STOCK CODE OUT]],Generated_Stockcode,0),10),""))</f>
        <v/>
      </c>
      <c r="O248" s="73" t="str">
        <f>IF(ISBLANK(C248),"",_xlfn.IFNA(INDEX(inbound_data[],MATCH(Outbound_data[[#This Row],[STOCK CODE OUT]],Generated_Stockcode,0),12),""))</f>
        <v/>
      </c>
      <c r="P248" s="73" t="str">
        <f>IF(ISBLANK(C248),"",_xlfn.IFNA(INDEX(inbound_data[],MATCH(Outbound_data[[#This Row],[STOCK CODE OUT]],Generated_Stockcode,0),23),""))</f>
        <v/>
      </c>
      <c r="Q248" s="73" t="str">
        <f>IF(ISBLANK(C248),"",_xlfn.IFNA(INDEX(inbound_data[],MATCH(Outbound_data[[#This Row],[STOCK CODE OUT]],Generated_Stockcode,0),13),""))</f>
        <v/>
      </c>
    </row>
    <row r="249" spans="2:17" x14ac:dyDescent="0.25">
      <c r="B249" s="71"/>
      <c r="C249" s="65"/>
      <c r="D249" s="55"/>
      <c r="E249" s="65"/>
      <c r="F249" s="166"/>
      <c r="G249" s="167"/>
      <c r="H249" s="166"/>
      <c r="I249" s="72"/>
      <c r="J249" s="55"/>
      <c r="K249" s="72"/>
      <c r="L249" s="55"/>
      <c r="M249" s="174"/>
      <c r="N249" s="73" t="str">
        <f>IF(ISBLANK(C249),"",_xlfn.IFNA(INDEX(inbound_data[],MATCH(Outbound_data[[#This Row],[STOCK CODE OUT]],Generated_Stockcode,0),10),""))</f>
        <v/>
      </c>
      <c r="O249" s="73" t="str">
        <f>IF(ISBLANK(C249),"",_xlfn.IFNA(INDEX(inbound_data[],MATCH(Outbound_data[[#This Row],[STOCK CODE OUT]],Generated_Stockcode,0),12),""))</f>
        <v/>
      </c>
      <c r="P249" s="73" t="str">
        <f>IF(ISBLANK(C249),"",_xlfn.IFNA(INDEX(inbound_data[],MATCH(Outbound_data[[#This Row],[STOCK CODE OUT]],Generated_Stockcode,0),23),""))</f>
        <v/>
      </c>
      <c r="Q249" s="73" t="str">
        <f>IF(ISBLANK(C249),"",_xlfn.IFNA(INDEX(inbound_data[],MATCH(Outbound_data[[#This Row],[STOCK CODE OUT]],Generated_Stockcode,0),13),""))</f>
        <v/>
      </c>
    </row>
    <row r="250" spans="2:17" x14ac:dyDescent="0.25">
      <c r="B250" s="71"/>
      <c r="C250" s="65"/>
      <c r="D250" s="55"/>
      <c r="E250" s="65"/>
      <c r="F250" s="166"/>
      <c r="G250" s="167"/>
      <c r="H250" s="166"/>
      <c r="I250" s="72"/>
      <c r="J250" s="55"/>
      <c r="K250" s="72"/>
      <c r="L250" s="55"/>
      <c r="M250" s="174"/>
      <c r="N250" s="73" t="str">
        <f>IF(ISBLANK(C250),"",_xlfn.IFNA(INDEX(inbound_data[],MATCH(Outbound_data[[#This Row],[STOCK CODE OUT]],Generated_Stockcode,0),10),""))</f>
        <v/>
      </c>
      <c r="O250" s="73" t="str">
        <f>IF(ISBLANK(C250),"",_xlfn.IFNA(INDEX(inbound_data[],MATCH(Outbound_data[[#This Row],[STOCK CODE OUT]],Generated_Stockcode,0),12),""))</f>
        <v/>
      </c>
      <c r="P250" s="73" t="str">
        <f>IF(ISBLANK(C250),"",_xlfn.IFNA(INDEX(inbound_data[],MATCH(Outbound_data[[#This Row],[STOCK CODE OUT]],Generated_Stockcode,0),23),""))</f>
        <v/>
      </c>
      <c r="Q250" s="73" t="str">
        <f>IF(ISBLANK(C250),"",_xlfn.IFNA(INDEX(inbound_data[],MATCH(Outbound_data[[#This Row],[STOCK CODE OUT]],Generated_Stockcode,0),13),""))</f>
        <v/>
      </c>
    </row>
    <row r="251" spans="2:17" x14ac:dyDescent="0.25">
      <c r="B251" s="71"/>
      <c r="C251" s="65"/>
      <c r="D251" s="55"/>
      <c r="E251" s="65"/>
      <c r="F251" s="166"/>
      <c r="G251" s="167"/>
      <c r="H251" s="166"/>
      <c r="I251" s="72"/>
      <c r="J251" s="55"/>
      <c r="K251" s="72"/>
      <c r="L251" s="55"/>
      <c r="M251" s="174"/>
      <c r="N251" s="73" t="str">
        <f>IF(ISBLANK(C251),"",_xlfn.IFNA(INDEX(inbound_data[],MATCH(Outbound_data[[#This Row],[STOCK CODE OUT]],Generated_Stockcode,0),10),""))</f>
        <v/>
      </c>
      <c r="O251" s="73" t="str">
        <f>IF(ISBLANK(C251),"",_xlfn.IFNA(INDEX(inbound_data[],MATCH(Outbound_data[[#This Row],[STOCK CODE OUT]],Generated_Stockcode,0),12),""))</f>
        <v/>
      </c>
      <c r="P251" s="73" t="str">
        <f>IF(ISBLANK(C251),"",_xlfn.IFNA(INDEX(inbound_data[],MATCH(Outbound_data[[#This Row],[STOCK CODE OUT]],Generated_Stockcode,0),23),""))</f>
        <v/>
      </c>
      <c r="Q251" s="73" t="str">
        <f>IF(ISBLANK(C251),"",_xlfn.IFNA(INDEX(inbound_data[],MATCH(Outbound_data[[#This Row],[STOCK CODE OUT]],Generated_Stockcode,0),13),""))</f>
        <v/>
      </c>
    </row>
    <row r="252" spans="2:17" x14ac:dyDescent="0.25">
      <c r="B252" s="71"/>
      <c r="C252" s="65"/>
      <c r="D252" s="55"/>
      <c r="E252" s="65"/>
      <c r="F252" s="166"/>
      <c r="G252" s="167"/>
      <c r="H252" s="166"/>
      <c r="I252" s="72"/>
      <c r="J252" s="55"/>
      <c r="K252" s="72"/>
      <c r="L252" s="55"/>
      <c r="M252" s="174"/>
      <c r="N252" s="73" t="str">
        <f>IF(ISBLANK(C252),"",_xlfn.IFNA(INDEX(inbound_data[],MATCH(Outbound_data[[#This Row],[STOCK CODE OUT]],Generated_Stockcode,0),10),""))</f>
        <v/>
      </c>
      <c r="O252" s="73" t="str">
        <f>IF(ISBLANK(C252),"",_xlfn.IFNA(INDEX(inbound_data[],MATCH(Outbound_data[[#This Row],[STOCK CODE OUT]],Generated_Stockcode,0),12),""))</f>
        <v/>
      </c>
      <c r="P252" s="73" t="str">
        <f>IF(ISBLANK(C252),"",_xlfn.IFNA(INDEX(inbound_data[],MATCH(Outbound_data[[#This Row],[STOCK CODE OUT]],Generated_Stockcode,0),23),""))</f>
        <v/>
      </c>
      <c r="Q252" s="73" t="str">
        <f>IF(ISBLANK(C252),"",_xlfn.IFNA(INDEX(inbound_data[],MATCH(Outbound_data[[#This Row],[STOCK CODE OUT]],Generated_Stockcode,0),13),""))</f>
        <v/>
      </c>
    </row>
    <row r="253" spans="2:17" x14ac:dyDescent="0.25">
      <c r="B253" s="71"/>
      <c r="C253" s="65"/>
      <c r="D253" s="55"/>
      <c r="E253" s="65"/>
      <c r="F253" s="166"/>
      <c r="G253" s="167"/>
      <c r="H253" s="166"/>
      <c r="I253" s="72"/>
      <c r="J253" s="55"/>
      <c r="K253" s="72"/>
      <c r="L253" s="55"/>
      <c r="M253" s="174"/>
      <c r="N253" s="73" t="str">
        <f>IF(ISBLANK(C253),"",_xlfn.IFNA(INDEX(inbound_data[],MATCH(Outbound_data[[#This Row],[STOCK CODE OUT]],Generated_Stockcode,0),10),""))</f>
        <v/>
      </c>
      <c r="O253" s="73" t="str">
        <f>IF(ISBLANK(C253),"",_xlfn.IFNA(INDEX(inbound_data[],MATCH(Outbound_data[[#This Row],[STOCK CODE OUT]],Generated_Stockcode,0),12),""))</f>
        <v/>
      </c>
      <c r="P253" s="73" t="str">
        <f>IF(ISBLANK(C253),"",_xlfn.IFNA(INDEX(inbound_data[],MATCH(Outbound_data[[#This Row],[STOCK CODE OUT]],Generated_Stockcode,0),23),""))</f>
        <v/>
      </c>
      <c r="Q253" s="73" t="str">
        <f>IF(ISBLANK(C253),"",_xlfn.IFNA(INDEX(inbound_data[],MATCH(Outbound_data[[#This Row],[STOCK CODE OUT]],Generated_Stockcode,0),13),""))</f>
        <v/>
      </c>
    </row>
    <row r="254" spans="2:17" x14ac:dyDescent="0.25">
      <c r="B254" s="71"/>
      <c r="C254" s="65"/>
      <c r="D254" s="55"/>
      <c r="E254" s="65"/>
      <c r="F254" s="166"/>
      <c r="G254" s="167"/>
      <c r="H254" s="166"/>
      <c r="I254" s="72"/>
      <c r="J254" s="55"/>
      <c r="K254" s="72"/>
      <c r="L254" s="55"/>
      <c r="M254" s="174"/>
      <c r="N254" s="73" t="str">
        <f>IF(ISBLANK(C254),"",_xlfn.IFNA(INDEX(inbound_data[],MATCH(Outbound_data[[#This Row],[STOCK CODE OUT]],Generated_Stockcode,0),10),""))</f>
        <v/>
      </c>
      <c r="O254" s="73" t="str">
        <f>IF(ISBLANK(C254),"",_xlfn.IFNA(INDEX(inbound_data[],MATCH(Outbound_data[[#This Row],[STOCK CODE OUT]],Generated_Stockcode,0),12),""))</f>
        <v/>
      </c>
      <c r="P254" s="73" t="str">
        <f>IF(ISBLANK(C254),"",_xlfn.IFNA(INDEX(inbound_data[],MATCH(Outbound_data[[#This Row],[STOCK CODE OUT]],Generated_Stockcode,0),23),""))</f>
        <v/>
      </c>
      <c r="Q254" s="73" t="str">
        <f>IF(ISBLANK(C254),"",_xlfn.IFNA(INDEX(inbound_data[],MATCH(Outbound_data[[#This Row],[STOCK CODE OUT]],Generated_Stockcode,0),13),""))</f>
        <v/>
      </c>
    </row>
    <row r="255" spans="2:17" x14ac:dyDescent="0.25">
      <c r="B255" s="71"/>
      <c r="C255" s="65"/>
      <c r="D255" s="55"/>
      <c r="E255" s="65"/>
      <c r="F255" s="166"/>
      <c r="G255" s="167"/>
      <c r="H255" s="166"/>
      <c r="I255" s="72"/>
      <c r="J255" s="55"/>
      <c r="K255" s="72"/>
      <c r="L255" s="55"/>
      <c r="M255" s="174"/>
      <c r="N255" s="73" t="str">
        <f>IF(ISBLANK(C255),"",_xlfn.IFNA(INDEX(inbound_data[],MATCH(Outbound_data[[#This Row],[STOCK CODE OUT]],Generated_Stockcode,0),10),""))</f>
        <v/>
      </c>
      <c r="O255" s="73" t="str">
        <f>IF(ISBLANK(C255),"",_xlfn.IFNA(INDEX(inbound_data[],MATCH(Outbound_data[[#This Row],[STOCK CODE OUT]],Generated_Stockcode,0),12),""))</f>
        <v/>
      </c>
      <c r="P255" s="73" t="str">
        <f>IF(ISBLANK(C255),"",_xlfn.IFNA(INDEX(inbound_data[],MATCH(Outbound_data[[#This Row],[STOCK CODE OUT]],Generated_Stockcode,0),23),""))</f>
        <v/>
      </c>
      <c r="Q255" s="73" t="str">
        <f>IF(ISBLANK(C255),"",_xlfn.IFNA(INDEX(inbound_data[],MATCH(Outbound_data[[#This Row],[STOCK CODE OUT]],Generated_Stockcode,0),13),""))</f>
        <v/>
      </c>
    </row>
    <row r="256" spans="2:17" x14ac:dyDescent="0.25">
      <c r="B256" s="71"/>
      <c r="C256" s="65"/>
      <c r="D256" s="55"/>
      <c r="E256" s="65"/>
      <c r="F256" s="166"/>
      <c r="G256" s="167"/>
      <c r="H256" s="166"/>
      <c r="I256" s="72"/>
      <c r="J256" s="55"/>
      <c r="K256" s="72"/>
      <c r="L256" s="55"/>
      <c r="M256" s="174"/>
      <c r="N256" s="73" t="str">
        <f>IF(ISBLANK(C256),"",_xlfn.IFNA(INDEX(inbound_data[],MATCH(Outbound_data[[#This Row],[STOCK CODE OUT]],Generated_Stockcode,0),10),""))</f>
        <v/>
      </c>
      <c r="O256" s="73" t="str">
        <f>IF(ISBLANK(C256),"",_xlfn.IFNA(INDEX(inbound_data[],MATCH(Outbound_data[[#This Row],[STOCK CODE OUT]],Generated_Stockcode,0),12),""))</f>
        <v/>
      </c>
      <c r="P256" s="73" t="str">
        <f>IF(ISBLANK(C256),"",_xlfn.IFNA(INDEX(inbound_data[],MATCH(Outbound_data[[#This Row],[STOCK CODE OUT]],Generated_Stockcode,0),23),""))</f>
        <v/>
      </c>
      <c r="Q256" s="73" t="str">
        <f>IF(ISBLANK(C256),"",_xlfn.IFNA(INDEX(inbound_data[],MATCH(Outbound_data[[#This Row],[STOCK CODE OUT]],Generated_Stockcode,0),13),""))</f>
        <v/>
      </c>
    </row>
    <row r="257" spans="2:17" x14ac:dyDescent="0.25">
      <c r="B257" s="71"/>
      <c r="C257" s="65"/>
      <c r="D257" s="55"/>
      <c r="E257" s="65"/>
      <c r="F257" s="166"/>
      <c r="G257" s="167"/>
      <c r="H257" s="166"/>
      <c r="I257" s="72"/>
      <c r="J257" s="55"/>
      <c r="K257" s="72"/>
      <c r="L257" s="55"/>
      <c r="M257" s="174"/>
      <c r="N257" s="73" t="str">
        <f>IF(ISBLANK(C257),"",_xlfn.IFNA(INDEX(inbound_data[],MATCH(Outbound_data[[#This Row],[STOCK CODE OUT]],Generated_Stockcode,0),10),""))</f>
        <v/>
      </c>
      <c r="O257" s="73" t="str">
        <f>IF(ISBLANK(C257),"",_xlfn.IFNA(INDEX(inbound_data[],MATCH(Outbound_data[[#This Row],[STOCK CODE OUT]],Generated_Stockcode,0),12),""))</f>
        <v/>
      </c>
      <c r="P257" s="73" t="str">
        <f>IF(ISBLANK(C257),"",_xlfn.IFNA(INDEX(inbound_data[],MATCH(Outbound_data[[#This Row],[STOCK CODE OUT]],Generated_Stockcode,0),23),""))</f>
        <v/>
      </c>
      <c r="Q257" s="73" t="str">
        <f>IF(ISBLANK(C257),"",_xlfn.IFNA(INDEX(inbound_data[],MATCH(Outbound_data[[#This Row],[STOCK CODE OUT]],Generated_Stockcode,0),13),""))</f>
        <v/>
      </c>
    </row>
    <row r="258" spans="2:17" x14ac:dyDescent="0.25">
      <c r="B258" s="71"/>
      <c r="C258" s="65"/>
      <c r="D258" s="55"/>
      <c r="E258" s="65"/>
      <c r="F258" s="166"/>
      <c r="G258" s="167"/>
      <c r="H258" s="166"/>
      <c r="I258" s="72"/>
      <c r="J258" s="55"/>
      <c r="K258" s="72"/>
      <c r="L258" s="55"/>
      <c r="M258" s="174"/>
      <c r="N258" s="73" t="str">
        <f>IF(ISBLANK(C258),"",_xlfn.IFNA(INDEX(inbound_data[],MATCH(Outbound_data[[#This Row],[STOCK CODE OUT]],Generated_Stockcode,0),10),""))</f>
        <v/>
      </c>
      <c r="O258" s="73" t="str">
        <f>IF(ISBLANK(C258),"",_xlfn.IFNA(INDEX(inbound_data[],MATCH(Outbound_data[[#This Row],[STOCK CODE OUT]],Generated_Stockcode,0),12),""))</f>
        <v/>
      </c>
      <c r="P258" s="73" t="str">
        <f>IF(ISBLANK(C258),"",_xlfn.IFNA(INDEX(inbound_data[],MATCH(Outbound_data[[#This Row],[STOCK CODE OUT]],Generated_Stockcode,0),23),""))</f>
        <v/>
      </c>
      <c r="Q258" s="73" t="str">
        <f>IF(ISBLANK(C258),"",_xlfn.IFNA(INDEX(inbound_data[],MATCH(Outbound_data[[#This Row],[STOCK CODE OUT]],Generated_Stockcode,0),13),""))</f>
        <v/>
      </c>
    </row>
    <row r="259" spans="2:17" x14ac:dyDescent="0.25">
      <c r="B259" s="71"/>
      <c r="C259" s="65"/>
      <c r="D259" s="55"/>
      <c r="E259" s="65"/>
      <c r="F259" s="166"/>
      <c r="G259" s="167"/>
      <c r="H259" s="166"/>
      <c r="I259" s="72"/>
      <c r="J259" s="55"/>
      <c r="K259" s="72"/>
      <c r="L259" s="55"/>
      <c r="M259" s="174"/>
      <c r="N259" s="73" t="str">
        <f>IF(ISBLANK(C259),"",_xlfn.IFNA(INDEX(inbound_data[],MATCH(Outbound_data[[#This Row],[STOCK CODE OUT]],Generated_Stockcode,0),10),""))</f>
        <v/>
      </c>
      <c r="O259" s="73" t="str">
        <f>IF(ISBLANK(C259),"",_xlfn.IFNA(INDEX(inbound_data[],MATCH(Outbound_data[[#This Row],[STOCK CODE OUT]],Generated_Stockcode,0),12),""))</f>
        <v/>
      </c>
      <c r="P259" s="73" t="str">
        <f>IF(ISBLANK(C259),"",_xlfn.IFNA(INDEX(inbound_data[],MATCH(Outbound_data[[#This Row],[STOCK CODE OUT]],Generated_Stockcode,0),23),""))</f>
        <v/>
      </c>
      <c r="Q259" s="73" t="str">
        <f>IF(ISBLANK(C259),"",_xlfn.IFNA(INDEX(inbound_data[],MATCH(Outbound_data[[#This Row],[STOCK CODE OUT]],Generated_Stockcode,0),13),""))</f>
        <v/>
      </c>
    </row>
    <row r="260" spans="2:17" x14ac:dyDescent="0.25">
      <c r="B260" s="71"/>
      <c r="C260" s="65"/>
      <c r="D260" s="55"/>
      <c r="E260" s="65"/>
      <c r="F260" s="166"/>
      <c r="G260" s="167"/>
      <c r="H260" s="166"/>
      <c r="I260" s="72"/>
      <c r="J260" s="55"/>
      <c r="K260" s="72"/>
      <c r="L260" s="55"/>
      <c r="M260" s="174"/>
      <c r="N260" s="73" t="str">
        <f>IF(ISBLANK(C260),"",_xlfn.IFNA(INDEX(inbound_data[],MATCH(Outbound_data[[#This Row],[STOCK CODE OUT]],Generated_Stockcode,0),10),""))</f>
        <v/>
      </c>
      <c r="O260" s="73" t="str">
        <f>IF(ISBLANK(C260),"",_xlfn.IFNA(INDEX(inbound_data[],MATCH(Outbound_data[[#This Row],[STOCK CODE OUT]],Generated_Stockcode,0),12),""))</f>
        <v/>
      </c>
      <c r="P260" s="73" t="str">
        <f>IF(ISBLANK(C260),"",_xlfn.IFNA(INDEX(inbound_data[],MATCH(Outbound_data[[#This Row],[STOCK CODE OUT]],Generated_Stockcode,0),23),""))</f>
        <v/>
      </c>
      <c r="Q260" s="73" t="str">
        <f>IF(ISBLANK(C260),"",_xlfn.IFNA(INDEX(inbound_data[],MATCH(Outbound_data[[#This Row],[STOCK CODE OUT]],Generated_Stockcode,0),13),""))</f>
        <v/>
      </c>
    </row>
    <row r="261" spans="2:17" x14ac:dyDescent="0.25">
      <c r="B261" s="71"/>
      <c r="C261" s="65"/>
      <c r="D261" s="55"/>
      <c r="E261" s="65"/>
      <c r="F261" s="166"/>
      <c r="G261" s="167"/>
      <c r="H261" s="166"/>
      <c r="I261" s="72"/>
      <c r="J261" s="55"/>
      <c r="K261" s="72"/>
      <c r="L261" s="55"/>
      <c r="M261" s="174"/>
      <c r="N261" s="73" t="str">
        <f>IF(ISBLANK(C261),"",_xlfn.IFNA(INDEX(inbound_data[],MATCH(Outbound_data[[#This Row],[STOCK CODE OUT]],Generated_Stockcode,0),10),""))</f>
        <v/>
      </c>
      <c r="O261" s="73" t="str">
        <f>IF(ISBLANK(C261),"",_xlfn.IFNA(INDEX(inbound_data[],MATCH(Outbound_data[[#This Row],[STOCK CODE OUT]],Generated_Stockcode,0),12),""))</f>
        <v/>
      </c>
      <c r="P261" s="73" t="str">
        <f>IF(ISBLANK(C261),"",_xlfn.IFNA(INDEX(inbound_data[],MATCH(Outbound_data[[#This Row],[STOCK CODE OUT]],Generated_Stockcode,0),23),""))</f>
        <v/>
      </c>
      <c r="Q261" s="73" t="str">
        <f>IF(ISBLANK(C261),"",_xlfn.IFNA(INDEX(inbound_data[],MATCH(Outbound_data[[#This Row],[STOCK CODE OUT]],Generated_Stockcode,0),13),""))</f>
        <v/>
      </c>
    </row>
    <row r="262" spans="2:17" x14ac:dyDescent="0.25">
      <c r="B262" s="71"/>
      <c r="C262" s="65"/>
      <c r="D262" s="55"/>
      <c r="E262" s="65"/>
      <c r="F262" s="166"/>
      <c r="G262" s="167"/>
      <c r="H262" s="166"/>
      <c r="I262" s="72"/>
      <c r="J262" s="55"/>
      <c r="K262" s="72"/>
      <c r="L262" s="55"/>
      <c r="M262" s="174"/>
      <c r="N262" s="73" t="str">
        <f>IF(ISBLANK(C262),"",_xlfn.IFNA(INDEX(inbound_data[],MATCH(Outbound_data[[#This Row],[STOCK CODE OUT]],Generated_Stockcode,0),10),""))</f>
        <v/>
      </c>
      <c r="O262" s="73" t="str">
        <f>IF(ISBLANK(C262),"",_xlfn.IFNA(INDEX(inbound_data[],MATCH(Outbound_data[[#This Row],[STOCK CODE OUT]],Generated_Stockcode,0),12),""))</f>
        <v/>
      </c>
      <c r="P262" s="73" t="str">
        <f>IF(ISBLANK(C262),"",_xlfn.IFNA(INDEX(inbound_data[],MATCH(Outbound_data[[#This Row],[STOCK CODE OUT]],Generated_Stockcode,0),23),""))</f>
        <v/>
      </c>
      <c r="Q262" s="73" t="str">
        <f>IF(ISBLANK(C262),"",_xlfn.IFNA(INDEX(inbound_data[],MATCH(Outbound_data[[#This Row],[STOCK CODE OUT]],Generated_Stockcode,0),13),""))</f>
        <v/>
      </c>
    </row>
    <row r="263" spans="2:17" x14ac:dyDescent="0.25">
      <c r="B263" s="71"/>
      <c r="C263" s="65"/>
      <c r="D263" s="55"/>
      <c r="E263" s="65"/>
      <c r="F263" s="166"/>
      <c r="G263" s="167"/>
      <c r="H263" s="166"/>
      <c r="I263" s="72"/>
      <c r="J263" s="55"/>
      <c r="K263" s="72"/>
      <c r="L263" s="55"/>
      <c r="M263" s="174"/>
      <c r="N263" s="73" t="str">
        <f>IF(ISBLANK(C263),"",_xlfn.IFNA(INDEX(inbound_data[],MATCH(Outbound_data[[#This Row],[STOCK CODE OUT]],Generated_Stockcode,0),10),""))</f>
        <v/>
      </c>
      <c r="O263" s="73" t="str">
        <f>IF(ISBLANK(C263),"",_xlfn.IFNA(INDEX(inbound_data[],MATCH(Outbound_data[[#This Row],[STOCK CODE OUT]],Generated_Stockcode,0),12),""))</f>
        <v/>
      </c>
      <c r="P263" s="73" t="str">
        <f>IF(ISBLANK(C263),"",_xlfn.IFNA(INDEX(inbound_data[],MATCH(Outbound_data[[#This Row],[STOCK CODE OUT]],Generated_Stockcode,0),23),""))</f>
        <v/>
      </c>
      <c r="Q263" s="73" t="str">
        <f>IF(ISBLANK(C263),"",_xlfn.IFNA(INDEX(inbound_data[],MATCH(Outbound_data[[#This Row],[STOCK CODE OUT]],Generated_Stockcode,0),13),""))</f>
        <v/>
      </c>
    </row>
    <row r="264" spans="2:17" x14ac:dyDescent="0.25">
      <c r="B264" s="71"/>
      <c r="C264" s="65"/>
      <c r="D264" s="55"/>
      <c r="E264" s="65"/>
      <c r="F264" s="166"/>
      <c r="G264" s="167"/>
      <c r="H264" s="166"/>
      <c r="I264" s="72"/>
      <c r="J264" s="55"/>
      <c r="K264" s="72"/>
      <c r="L264" s="55"/>
      <c r="M264" s="174"/>
      <c r="N264" s="73" t="str">
        <f>IF(ISBLANK(C264),"",_xlfn.IFNA(INDEX(inbound_data[],MATCH(Outbound_data[[#This Row],[STOCK CODE OUT]],Generated_Stockcode,0),10),""))</f>
        <v/>
      </c>
      <c r="O264" s="73" t="str">
        <f>IF(ISBLANK(C264),"",_xlfn.IFNA(INDEX(inbound_data[],MATCH(Outbound_data[[#This Row],[STOCK CODE OUT]],Generated_Stockcode,0),12),""))</f>
        <v/>
      </c>
      <c r="P264" s="73" t="str">
        <f>IF(ISBLANK(C264),"",_xlfn.IFNA(INDEX(inbound_data[],MATCH(Outbound_data[[#This Row],[STOCK CODE OUT]],Generated_Stockcode,0),23),""))</f>
        <v/>
      </c>
      <c r="Q264" s="73" t="str">
        <f>IF(ISBLANK(C264),"",_xlfn.IFNA(INDEX(inbound_data[],MATCH(Outbound_data[[#This Row],[STOCK CODE OUT]],Generated_Stockcode,0),13),""))</f>
        <v/>
      </c>
    </row>
    <row r="265" spans="2:17" x14ac:dyDescent="0.25">
      <c r="B265" s="71"/>
      <c r="C265" s="65"/>
      <c r="D265" s="55"/>
      <c r="E265" s="65"/>
      <c r="F265" s="166"/>
      <c r="G265" s="167"/>
      <c r="H265" s="166"/>
      <c r="I265" s="72"/>
      <c r="J265" s="55"/>
      <c r="K265" s="72"/>
      <c r="L265" s="55"/>
      <c r="M265" s="174"/>
      <c r="N265" s="73" t="str">
        <f>IF(ISBLANK(C265),"",_xlfn.IFNA(INDEX(inbound_data[],MATCH(Outbound_data[[#This Row],[STOCK CODE OUT]],Generated_Stockcode,0),10),""))</f>
        <v/>
      </c>
      <c r="O265" s="73" t="str">
        <f>IF(ISBLANK(C265),"",_xlfn.IFNA(INDEX(inbound_data[],MATCH(Outbound_data[[#This Row],[STOCK CODE OUT]],Generated_Stockcode,0),12),""))</f>
        <v/>
      </c>
      <c r="P265" s="73" t="str">
        <f>IF(ISBLANK(C265),"",_xlfn.IFNA(INDEX(inbound_data[],MATCH(Outbound_data[[#This Row],[STOCK CODE OUT]],Generated_Stockcode,0),23),""))</f>
        <v/>
      </c>
      <c r="Q265" s="73" t="str">
        <f>IF(ISBLANK(C265),"",_xlfn.IFNA(INDEX(inbound_data[],MATCH(Outbound_data[[#This Row],[STOCK CODE OUT]],Generated_Stockcode,0),13),""))</f>
        <v/>
      </c>
    </row>
    <row r="266" spans="2:17" x14ac:dyDescent="0.25">
      <c r="B266" s="71"/>
      <c r="C266" s="65"/>
      <c r="D266" s="55"/>
      <c r="E266" s="65"/>
      <c r="F266" s="166"/>
      <c r="G266" s="167"/>
      <c r="H266" s="166"/>
      <c r="I266" s="72"/>
      <c r="J266" s="55"/>
      <c r="K266" s="72"/>
      <c r="L266" s="55"/>
      <c r="M266" s="174"/>
      <c r="N266" s="73" t="str">
        <f>IF(ISBLANK(C266),"",_xlfn.IFNA(INDEX(inbound_data[],MATCH(Outbound_data[[#This Row],[STOCK CODE OUT]],Generated_Stockcode,0),10),""))</f>
        <v/>
      </c>
      <c r="O266" s="73" t="str">
        <f>IF(ISBLANK(C266),"",_xlfn.IFNA(INDEX(inbound_data[],MATCH(Outbound_data[[#This Row],[STOCK CODE OUT]],Generated_Stockcode,0),12),""))</f>
        <v/>
      </c>
      <c r="P266" s="73" t="str">
        <f>IF(ISBLANK(C266),"",_xlfn.IFNA(INDEX(inbound_data[],MATCH(Outbound_data[[#This Row],[STOCK CODE OUT]],Generated_Stockcode,0),23),""))</f>
        <v/>
      </c>
      <c r="Q266" s="73" t="str">
        <f>IF(ISBLANK(C266),"",_xlfn.IFNA(INDEX(inbound_data[],MATCH(Outbound_data[[#This Row],[STOCK CODE OUT]],Generated_Stockcode,0),13),""))</f>
        <v/>
      </c>
    </row>
    <row r="267" spans="2:17" x14ac:dyDescent="0.25">
      <c r="B267" s="71"/>
      <c r="C267" s="65"/>
      <c r="D267" s="55"/>
      <c r="E267" s="65"/>
      <c r="F267" s="166"/>
      <c r="G267" s="167"/>
      <c r="H267" s="166"/>
      <c r="I267" s="72"/>
      <c r="J267" s="55"/>
      <c r="K267" s="72"/>
      <c r="L267" s="55"/>
      <c r="M267" s="174"/>
      <c r="N267" s="73" t="str">
        <f>IF(ISBLANK(C267),"",_xlfn.IFNA(INDEX(inbound_data[],MATCH(Outbound_data[[#This Row],[STOCK CODE OUT]],Generated_Stockcode,0),10),""))</f>
        <v/>
      </c>
      <c r="O267" s="73" t="str">
        <f>IF(ISBLANK(C267),"",_xlfn.IFNA(INDEX(inbound_data[],MATCH(Outbound_data[[#This Row],[STOCK CODE OUT]],Generated_Stockcode,0),12),""))</f>
        <v/>
      </c>
      <c r="P267" s="73" t="str">
        <f>IF(ISBLANK(C267),"",_xlfn.IFNA(INDEX(inbound_data[],MATCH(Outbound_data[[#This Row],[STOCK CODE OUT]],Generated_Stockcode,0),23),""))</f>
        <v/>
      </c>
      <c r="Q267" s="73" t="str">
        <f>IF(ISBLANK(C267),"",_xlfn.IFNA(INDEX(inbound_data[],MATCH(Outbound_data[[#This Row],[STOCK CODE OUT]],Generated_Stockcode,0),13),""))</f>
        <v/>
      </c>
    </row>
    <row r="268" spans="2:17" x14ac:dyDescent="0.25">
      <c r="B268" s="71"/>
      <c r="C268" s="65"/>
      <c r="D268" s="55"/>
      <c r="E268" s="65"/>
      <c r="F268" s="166"/>
      <c r="G268" s="167"/>
      <c r="H268" s="166"/>
      <c r="I268" s="72"/>
      <c r="J268" s="55"/>
      <c r="K268" s="72"/>
      <c r="L268" s="55"/>
      <c r="M268" s="174"/>
      <c r="N268" s="73" t="str">
        <f>IF(ISBLANK(C268),"",_xlfn.IFNA(INDEX(inbound_data[],MATCH(Outbound_data[[#This Row],[STOCK CODE OUT]],Generated_Stockcode,0),10),""))</f>
        <v/>
      </c>
      <c r="O268" s="73" t="str">
        <f>IF(ISBLANK(C268),"",_xlfn.IFNA(INDEX(inbound_data[],MATCH(Outbound_data[[#This Row],[STOCK CODE OUT]],Generated_Stockcode,0),12),""))</f>
        <v/>
      </c>
      <c r="P268" s="73" t="str">
        <f>IF(ISBLANK(C268),"",_xlfn.IFNA(INDEX(inbound_data[],MATCH(Outbound_data[[#This Row],[STOCK CODE OUT]],Generated_Stockcode,0),23),""))</f>
        <v/>
      </c>
      <c r="Q268" s="73" t="str">
        <f>IF(ISBLANK(C268),"",_xlfn.IFNA(INDEX(inbound_data[],MATCH(Outbound_data[[#This Row],[STOCK CODE OUT]],Generated_Stockcode,0),13),""))</f>
        <v/>
      </c>
    </row>
    <row r="269" spans="2:17" x14ac:dyDescent="0.25">
      <c r="B269" s="71"/>
      <c r="C269" s="65"/>
      <c r="D269" s="55"/>
      <c r="E269" s="65"/>
      <c r="F269" s="166"/>
      <c r="G269" s="167"/>
      <c r="H269" s="166"/>
      <c r="I269" s="72"/>
      <c r="J269" s="55"/>
      <c r="K269" s="72"/>
      <c r="L269" s="55"/>
      <c r="M269" s="174"/>
      <c r="N269" s="73" t="str">
        <f>IF(ISBLANK(C269),"",_xlfn.IFNA(INDEX(inbound_data[],MATCH(Outbound_data[[#This Row],[STOCK CODE OUT]],Generated_Stockcode,0),10),""))</f>
        <v/>
      </c>
      <c r="O269" s="73" t="str">
        <f>IF(ISBLANK(C269),"",_xlfn.IFNA(INDEX(inbound_data[],MATCH(Outbound_data[[#This Row],[STOCK CODE OUT]],Generated_Stockcode,0),12),""))</f>
        <v/>
      </c>
      <c r="P269" s="73" t="str">
        <f>IF(ISBLANK(C269),"",_xlfn.IFNA(INDEX(inbound_data[],MATCH(Outbound_data[[#This Row],[STOCK CODE OUT]],Generated_Stockcode,0),23),""))</f>
        <v/>
      </c>
      <c r="Q269" s="73" t="str">
        <f>IF(ISBLANK(C269),"",_xlfn.IFNA(INDEX(inbound_data[],MATCH(Outbound_data[[#This Row],[STOCK CODE OUT]],Generated_Stockcode,0),13),""))</f>
        <v/>
      </c>
    </row>
    <row r="270" spans="2:17" x14ac:dyDescent="0.25">
      <c r="B270" s="71"/>
      <c r="C270" s="65"/>
      <c r="D270" s="55"/>
      <c r="E270" s="65"/>
      <c r="F270" s="166"/>
      <c r="G270" s="167"/>
      <c r="H270" s="166"/>
      <c r="I270" s="72"/>
      <c r="J270" s="55"/>
      <c r="K270" s="72"/>
      <c r="L270" s="55"/>
      <c r="M270" s="174"/>
      <c r="N270" s="73" t="str">
        <f>IF(ISBLANK(C270),"",_xlfn.IFNA(INDEX(inbound_data[],MATCH(Outbound_data[[#This Row],[STOCK CODE OUT]],Generated_Stockcode,0),10),""))</f>
        <v/>
      </c>
      <c r="O270" s="73" t="str">
        <f>IF(ISBLANK(C270),"",_xlfn.IFNA(INDEX(inbound_data[],MATCH(Outbound_data[[#This Row],[STOCK CODE OUT]],Generated_Stockcode,0),12),""))</f>
        <v/>
      </c>
      <c r="P270" s="73" t="str">
        <f>IF(ISBLANK(C270),"",_xlfn.IFNA(INDEX(inbound_data[],MATCH(Outbound_data[[#This Row],[STOCK CODE OUT]],Generated_Stockcode,0),23),""))</f>
        <v/>
      </c>
      <c r="Q270" s="73" t="str">
        <f>IF(ISBLANK(C270),"",_xlfn.IFNA(INDEX(inbound_data[],MATCH(Outbound_data[[#This Row],[STOCK CODE OUT]],Generated_Stockcode,0),13),""))</f>
        <v/>
      </c>
    </row>
    <row r="271" spans="2:17" x14ac:dyDescent="0.25">
      <c r="B271" s="71"/>
      <c r="C271" s="65"/>
      <c r="D271" s="55"/>
      <c r="E271" s="65"/>
      <c r="F271" s="166"/>
      <c r="G271" s="167"/>
      <c r="H271" s="166"/>
      <c r="I271" s="72"/>
      <c r="J271" s="55"/>
      <c r="K271" s="72"/>
      <c r="L271" s="55"/>
      <c r="M271" s="174"/>
      <c r="N271" s="73" t="str">
        <f>IF(ISBLANK(C271),"",_xlfn.IFNA(INDEX(inbound_data[],MATCH(Outbound_data[[#This Row],[STOCK CODE OUT]],Generated_Stockcode,0),10),""))</f>
        <v/>
      </c>
      <c r="O271" s="73" t="str">
        <f>IF(ISBLANK(C271),"",_xlfn.IFNA(INDEX(inbound_data[],MATCH(Outbound_data[[#This Row],[STOCK CODE OUT]],Generated_Stockcode,0),12),""))</f>
        <v/>
      </c>
      <c r="P271" s="73" t="str">
        <f>IF(ISBLANK(C271),"",_xlfn.IFNA(INDEX(inbound_data[],MATCH(Outbound_data[[#This Row],[STOCK CODE OUT]],Generated_Stockcode,0),23),""))</f>
        <v/>
      </c>
      <c r="Q271" s="73" t="str">
        <f>IF(ISBLANK(C271),"",_xlfn.IFNA(INDEX(inbound_data[],MATCH(Outbound_data[[#This Row],[STOCK CODE OUT]],Generated_Stockcode,0),13),""))</f>
        <v/>
      </c>
    </row>
    <row r="272" spans="2:17" x14ac:dyDescent="0.25">
      <c r="B272" s="71"/>
      <c r="C272" s="65"/>
      <c r="D272" s="55"/>
      <c r="E272" s="65"/>
      <c r="F272" s="166"/>
      <c r="G272" s="167"/>
      <c r="H272" s="166"/>
      <c r="I272" s="72"/>
      <c r="J272" s="55"/>
      <c r="K272" s="72"/>
      <c r="L272" s="55"/>
      <c r="M272" s="174"/>
      <c r="N272" s="73" t="str">
        <f>IF(ISBLANK(C272),"",_xlfn.IFNA(INDEX(inbound_data[],MATCH(Outbound_data[[#This Row],[STOCK CODE OUT]],Generated_Stockcode,0),10),""))</f>
        <v/>
      </c>
      <c r="O272" s="73" t="str">
        <f>IF(ISBLANK(C272),"",_xlfn.IFNA(INDEX(inbound_data[],MATCH(Outbound_data[[#This Row],[STOCK CODE OUT]],Generated_Stockcode,0),12),""))</f>
        <v/>
      </c>
      <c r="P272" s="73" t="str">
        <f>IF(ISBLANK(C272),"",_xlfn.IFNA(INDEX(inbound_data[],MATCH(Outbound_data[[#This Row],[STOCK CODE OUT]],Generated_Stockcode,0),23),""))</f>
        <v/>
      </c>
      <c r="Q272" s="73" t="str">
        <f>IF(ISBLANK(C272),"",_xlfn.IFNA(INDEX(inbound_data[],MATCH(Outbound_data[[#This Row],[STOCK CODE OUT]],Generated_Stockcode,0),13),""))</f>
        <v/>
      </c>
    </row>
    <row r="273" spans="2:17" x14ac:dyDescent="0.25">
      <c r="B273" s="71"/>
      <c r="C273" s="65"/>
      <c r="D273" s="55"/>
      <c r="E273" s="65"/>
      <c r="F273" s="166"/>
      <c r="G273" s="167"/>
      <c r="H273" s="166"/>
      <c r="I273" s="72"/>
      <c r="J273" s="55"/>
      <c r="K273" s="72"/>
      <c r="L273" s="55"/>
      <c r="M273" s="174"/>
      <c r="N273" s="73" t="str">
        <f>IF(ISBLANK(C273),"",_xlfn.IFNA(INDEX(inbound_data[],MATCH(Outbound_data[[#This Row],[STOCK CODE OUT]],Generated_Stockcode,0),10),""))</f>
        <v/>
      </c>
      <c r="O273" s="73" t="str">
        <f>IF(ISBLANK(C273),"",_xlfn.IFNA(INDEX(inbound_data[],MATCH(Outbound_data[[#This Row],[STOCK CODE OUT]],Generated_Stockcode,0),12),""))</f>
        <v/>
      </c>
      <c r="P273" s="73" t="str">
        <f>IF(ISBLANK(C273),"",_xlfn.IFNA(INDEX(inbound_data[],MATCH(Outbound_data[[#This Row],[STOCK CODE OUT]],Generated_Stockcode,0),23),""))</f>
        <v/>
      </c>
      <c r="Q273" s="73" t="str">
        <f>IF(ISBLANK(C273),"",_xlfn.IFNA(INDEX(inbound_data[],MATCH(Outbound_data[[#This Row],[STOCK CODE OUT]],Generated_Stockcode,0),13),""))</f>
        <v/>
      </c>
    </row>
    <row r="274" spans="2:17" x14ac:dyDescent="0.25">
      <c r="B274" s="71"/>
      <c r="C274" s="65"/>
      <c r="D274" s="55"/>
      <c r="E274" s="65"/>
      <c r="F274" s="166"/>
      <c r="G274" s="167"/>
      <c r="H274" s="166"/>
      <c r="I274" s="72"/>
      <c r="J274" s="55"/>
      <c r="K274" s="72"/>
      <c r="L274" s="55"/>
      <c r="M274" s="174"/>
      <c r="N274" s="73" t="str">
        <f>IF(ISBLANK(C274),"",_xlfn.IFNA(INDEX(inbound_data[],MATCH(Outbound_data[[#This Row],[STOCK CODE OUT]],Generated_Stockcode,0),10),""))</f>
        <v/>
      </c>
      <c r="O274" s="73" t="str">
        <f>IF(ISBLANK(C274),"",_xlfn.IFNA(INDEX(inbound_data[],MATCH(Outbound_data[[#This Row],[STOCK CODE OUT]],Generated_Stockcode,0),12),""))</f>
        <v/>
      </c>
      <c r="P274" s="73" t="str">
        <f>IF(ISBLANK(C274),"",_xlfn.IFNA(INDEX(inbound_data[],MATCH(Outbound_data[[#This Row],[STOCK CODE OUT]],Generated_Stockcode,0),23),""))</f>
        <v/>
      </c>
      <c r="Q274" s="73" t="str">
        <f>IF(ISBLANK(C274),"",_xlfn.IFNA(INDEX(inbound_data[],MATCH(Outbound_data[[#This Row],[STOCK CODE OUT]],Generated_Stockcode,0),13),""))</f>
        <v/>
      </c>
    </row>
    <row r="275" spans="2:17" x14ac:dyDescent="0.25">
      <c r="B275" s="71"/>
      <c r="C275" s="65"/>
      <c r="D275" s="55"/>
      <c r="E275" s="65"/>
      <c r="F275" s="166"/>
      <c r="G275" s="167"/>
      <c r="H275" s="166"/>
      <c r="I275" s="72"/>
      <c r="J275" s="55"/>
      <c r="K275" s="72"/>
      <c r="L275" s="55"/>
      <c r="M275" s="174"/>
      <c r="N275" s="73" t="str">
        <f>IF(ISBLANK(C275),"",_xlfn.IFNA(INDEX(inbound_data[],MATCH(Outbound_data[[#This Row],[STOCK CODE OUT]],Generated_Stockcode,0),10),""))</f>
        <v/>
      </c>
      <c r="O275" s="73" t="str">
        <f>IF(ISBLANK(C275),"",_xlfn.IFNA(INDEX(inbound_data[],MATCH(Outbound_data[[#This Row],[STOCK CODE OUT]],Generated_Stockcode,0),12),""))</f>
        <v/>
      </c>
      <c r="P275" s="73" t="str">
        <f>IF(ISBLANK(C275),"",_xlfn.IFNA(INDEX(inbound_data[],MATCH(Outbound_data[[#This Row],[STOCK CODE OUT]],Generated_Stockcode,0),23),""))</f>
        <v/>
      </c>
      <c r="Q275" s="73" t="str">
        <f>IF(ISBLANK(C275),"",_xlfn.IFNA(INDEX(inbound_data[],MATCH(Outbound_data[[#This Row],[STOCK CODE OUT]],Generated_Stockcode,0),13),""))</f>
        <v/>
      </c>
    </row>
    <row r="276" spans="2:17" x14ac:dyDescent="0.25">
      <c r="B276" s="71"/>
      <c r="C276" s="65"/>
      <c r="D276" s="55"/>
      <c r="E276" s="65"/>
      <c r="F276" s="166"/>
      <c r="G276" s="167"/>
      <c r="H276" s="166"/>
      <c r="I276" s="72"/>
      <c r="J276" s="55"/>
      <c r="K276" s="72"/>
      <c r="L276" s="55"/>
      <c r="M276" s="174"/>
      <c r="N276" s="73" t="str">
        <f>IF(ISBLANK(C276),"",_xlfn.IFNA(INDEX(inbound_data[],MATCH(Outbound_data[[#This Row],[STOCK CODE OUT]],Generated_Stockcode,0),10),""))</f>
        <v/>
      </c>
      <c r="O276" s="73" t="str">
        <f>IF(ISBLANK(C276),"",_xlfn.IFNA(INDEX(inbound_data[],MATCH(Outbound_data[[#This Row],[STOCK CODE OUT]],Generated_Stockcode,0),12),""))</f>
        <v/>
      </c>
      <c r="P276" s="73" t="str">
        <f>IF(ISBLANK(C276),"",_xlfn.IFNA(INDEX(inbound_data[],MATCH(Outbound_data[[#This Row],[STOCK CODE OUT]],Generated_Stockcode,0),23),""))</f>
        <v/>
      </c>
      <c r="Q276" s="73" t="str">
        <f>IF(ISBLANK(C276),"",_xlfn.IFNA(INDEX(inbound_data[],MATCH(Outbound_data[[#This Row],[STOCK CODE OUT]],Generated_Stockcode,0),13),""))</f>
        <v/>
      </c>
    </row>
    <row r="277" spans="2:17" x14ac:dyDescent="0.25">
      <c r="B277" s="71"/>
      <c r="C277" s="65"/>
      <c r="D277" s="55"/>
      <c r="E277" s="65"/>
      <c r="F277" s="166"/>
      <c r="G277" s="167"/>
      <c r="H277" s="166"/>
      <c r="I277" s="72"/>
      <c r="J277" s="55"/>
      <c r="K277" s="72"/>
      <c r="L277" s="55"/>
      <c r="M277" s="174"/>
      <c r="N277" s="73" t="str">
        <f>IF(ISBLANK(C277),"",_xlfn.IFNA(INDEX(inbound_data[],MATCH(Outbound_data[[#This Row],[STOCK CODE OUT]],Generated_Stockcode,0),10),""))</f>
        <v/>
      </c>
      <c r="O277" s="73" t="str">
        <f>IF(ISBLANK(C277),"",_xlfn.IFNA(INDEX(inbound_data[],MATCH(Outbound_data[[#This Row],[STOCK CODE OUT]],Generated_Stockcode,0),12),""))</f>
        <v/>
      </c>
      <c r="P277" s="73" t="str">
        <f>IF(ISBLANK(C277),"",_xlfn.IFNA(INDEX(inbound_data[],MATCH(Outbound_data[[#This Row],[STOCK CODE OUT]],Generated_Stockcode,0),23),""))</f>
        <v/>
      </c>
      <c r="Q277" s="73" t="str">
        <f>IF(ISBLANK(C277),"",_xlfn.IFNA(INDEX(inbound_data[],MATCH(Outbound_data[[#This Row],[STOCK CODE OUT]],Generated_Stockcode,0),13),""))</f>
        <v/>
      </c>
    </row>
    <row r="278" spans="2:17" x14ac:dyDescent="0.25">
      <c r="B278" s="71"/>
      <c r="C278" s="65"/>
      <c r="D278" s="55"/>
      <c r="E278" s="65"/>
      <c r="F278" s="166"/>
      <c r="G278" s="167"/>
      <c r="H278" s="166"/>
      <c r="I278" s="72"/>
      <c r="J278" s="55"/>
      <c r="K278" s="72"/>
      <c r="L278" s="55"/>
      <c r="M278" s="174"/>
      <c r="N278" s="73" t="str">
        <f>IF(ISBLANK(C278),"",_xlfn.IFNA(INDEX(inbound_data[],MATCH(Outbound_data[[#This Row],[STOCK CODE OUT]],Generated_Stockcode,0),10),""))</f>
        <v/>
      </c>
      <c r="O278" s="73" t="str">
        <f>IF(ISBLANK(C278),"",_xlfn.IFNA(INDEX(inbound_data[],MATCH(Outbound_data[[#This Row],[STOCK CODE OUT]],Generated_Stockcode,0),12),""))</f>
        <v/>
      </c>
      <c r="P278" s="73" t="str">
        <f>IF(ISBLANK(C278),"",_xlfn.IFNA(INDEX(inbound_data[],MATCH(Outbound_data[[#This Row],[STOCK CODE OUT]],Generated_Stockcode,0),23),""))</f>
        <v/>
      </c>
      <c r="Q278" s="73" t="str">
        <f>IF(ISBLANK(C278),"",_xlfn.IFNA(INDEX(inbound_data[],MATCH(Outbound_data[[#This Row],[STOCK CODE OUT]],Generated_Stockcode,0),13),""))</f>
        <v/>
      </c>
    </row>
    <row r="279" spans="2:17" x14ac:dyDescent="0.25">
      <c r="B279" s="71"/>
      <c r="C279" s="65"/>
      <c r="D279" s="55"/>
      <c r="E279" s="65"/>
      <c r="F279" s="166"/>
      <c r="G279" s="167"/>
      <c r="H279" s="166"/>
      <c r="I279" s="72"/>
      <c r="J279" s="55"/>
      <c r="K279" s="72"/>
      <c r="L279" s="55"/>
      <c r="M279" s="174"/>
      <c r="N279" s="73" t="str">
        <f>IF(ISBLANK(C279),"",_xlfn.IFNA(INDEX(inbound_data[],MATCH(Outbound_data[[#This Row],[STOCK CODE OUT]],Generated_Stockcode,0),10),""))</f>
        <v/>
      </c>
      <c r="O279" s="73" t="str">
        <f>IF(ISBLANK(C279),"",_xlfn.IFNA(INDEX(inbound_data[],MATCH(Outbound_data[[#This Row],[STOCK CODE OUT]],Generated_Stockcode,0),12),""))</f>
        <v/>
      </c>
      <c r="P279" s="73" t="str">
        <f>IF(ISBLANK(C279),"",_xlfn.IFNA(INDEX(inbound_data[],MATCH(Outbound_data[[#This Row],[STOCK CODE OUT]],Generated_Stockcode,0),23),""))</f>
        <v/>
      </c>
      <c r="Q279" s="73" t="str">
        <f>IF(ISBLANK(C279),"",_xlfn.IFNA(INDEX(inbound_data[],MATCH(Outbound_data[[#This Row],[STOCK CODE OUT]],Generated_Stockcode,0),13),""))</f>
        <v/>
      </c>
    </row>
    <row r="280" spans="2:17" x14ac:dyDescent="0.25">
      <c r="B280" s="71"/>
      <c r="C280" s="65"/>
      <c r="D280" s="55"/>
      <c r="E280" s="65"/>
      <c r="F280" s="166"/>
      <c r="G280" s="167"/>
      <c r="H280" s="166"/>
      <c r="I280" s="72"/>
      <c r="J280" s="55"/>
      <c r="K280" s="72"/>
      <c r="L280" s="55"/>
      <c r="M280" s="174"/>
      <c r="N280" s="73" t="str">
        <f>IF(ISBLANK(C280),"",_xlfn.IFNA(INDEX(inbound_data[],MATCH(Outbound_data[[#This Row],[STOCK CODE OUT]],Generated_Stockcode,0),10),""))</f>
        <v/>
      </c>
      <c r="O280" s="73" t="str">
        <f>IF(ISBLANK(C280),"",_xlfn.IFNA(INDEX(inbound_data[],MATCH(Outbound_data[[#This Row],[STOCK CODE OUT]],Generated_Stockcode,0),12),""))</f>
        <v/>
      </c>
      <c r="P280" s="73" t="str">
        <f>IF(ISBLANK(C280),"",_xlfn.IFNA(INDEX(inbound_data[],MATCH(Outbound_data[[#This Row],[STOCK CODE OUT]],Generated_Stockcode,0),23),""))</f>
        <v/>
      </c>
      <c r="Q280" s="73" t="str">
        <f>IF(ISBLANK(C280),"",_xlfn.IFNA(INDEX(inbound_data[],MATCH(Outbound_data[[#This Row],[STOCK CODE OUT]],Generated_Stockcode,0),13),""))</f>
        <v/>
      </c>
    </row>
    <row r="281" spans="2:17" x14ac:dyDescent="0.25">
      <c r="B281" s="71"/>
      <c r="C281" s="65"/>
      <c r="D281" s="55"/>
      <c r="E281" s="65"/>
      <c r="F281" s="166"/>
      <c r="G281" s="167"/>
      <c r="H281" s="166"/>
      <c r="I281" s="72"/>
      <c r="J281" s="55"/>
      <c r="K281" s="72"/>
      <c r="L281" s="55"/>
      <c r="M281" s="174"/>
      <c r="N281" s="73" t="str">
        <f>IF(ISBLANK(C281),"",_xlfn.IFNA(INDEX(inbound_data[],MATCH(Outbound_data[[#This Row],[STOCK CODE OUT]],Generated_Stockcode,0),10),""))</f>
        <v/>
      </c>
      <c r="O281" s="73" t="str">
        <f>IF(ISBLANK(C281),"",_xlfn.IFNA(INDEX(inbound_data[],MATCH(Outbound_data[[#This Row],[STOCK CODE OUT]],Generated_Stockcode,0),12),""))</f>
        <v/>
      </c>
      <c r="P281" s="73" t="str">
        <f>IF(ISBLANK(C281),"",_xlfn.IFNA(INDEX(inbound_data[],MATCH(Outbound_data[[#This Row],[STOCK CODE OUT]],Generated_Stockcode,0),23),""))</f>
        <v/>
      </c>
      <c r="Q281" s="73" t="str">
        <f>IF(ISBLANK(C281),"",_xlfn.IFNA(INDEX(inbound_data[],MATCH(Outbound_data[[#This Row],[STOCK CODE OUT]],Generated_Stockcode,0),13),""))</f>
        <v/>
      </c>
    </row>
    <row r="282" spans="2:17" x14ac:dyDescent="0.25">
      <c r="B282" s="71"/>
      <c r="C282" s="65"/>
      <c r="D282" s="55"/>
      <c r="E282" s="65"/>
      <c r="F282" s="166"/>
      <c r="G282" s="167"/>
      <c r="H282" s="166"/>
      <c r="I282" s="72"/>
      <c r="J282" s="55"/>
      <c r="K282" s="72"/>
      <c r="L282" s="55"/>
      <c r="M282" s="174"/>
      <c r="N282" s="73" t="str">
        <f>IF(ISBLANK(C282),"",_xlfn.IFNA(INDEX(inbound_data[],MATCH(Outbound_data[[#This Row],[STOCK CODE OUT]],Generated_Stockcode,0),10),""))</f>
        <v/>
      </c>
      <c r="O282" s="73" t="str">
        <f>IF(ISBLANK(C282),"",_xlfn.IFNA(INDEX(inbound_data[],MATCH(Outbound_data[[#This Row],[STOCK CODE OUT]],Generated_Stockcode,0),12),""))</f>
        <v/>
      </c>
      <c r="P282" s="73" t="str">
        <f>IF(ISBLANK(C282),"",_xlfn.IFNA(INDEX(inbound_data[],MATCH(Outbound_data[[#This Row],[STOCK CODE OUT]],Generated_Stockcode,0),23),""))</f>
        <v/>
      </c>
      <c r="Q282" s="73" t="str">
        <f>IF(ISBLANK(C282),"",_xlfn.IFNA(INDEX(inbound_data[],MATCH(Outbound_data[[#This Row],[STOCK CODE OUT]],Generated_Stockcode,0),13),""))</f>
        <v/>
      </c>
    </row>
    <row r="283" spans="2:17" x14ac:dyDescent="0.25">
      <c r="B283" s="71"/>
      <c r="C283" s="65"/>
      <c r="D283" s="55"/>
      <c r="E283" s="65"/>
      <c r="F283" s="166"/>
      <c r="G283" s="167"/>
      <c r="H283" s="166"/>
      <c r="I283" s="72"/>
      <c r="J283" s="55"/>
      <c r="K283" s="72"/>
      <c r="L283" s="55"/>
      <c r="M283" s="174"/>
      <c r="N283" s="73" t="str">
        <f>IF(ISBLANK(C283),"",_xlfn.IFNA(INDEX(inbound_data[],MATCH(Outbound_data[[#This Row],[STOCK CODE OUT]],Generated_Stockcode,0),10),""))</f>
        <v/>
      </c>
      <c r="O283" s="73" t="str">
        <f>IF(ISBLANK(C283),"",_xlfn.IFNA(INDEX(inbound_data[],MATCH(Outbound_data[[#This Row],[STOCK CODE OUT]],Generated_Stockcode,0),12),""))</f>
        <v/>
      </c>
      <c r="P283" s="73" t="str">
        <f>IF(ISBLANK(C283),"",_xlfn.IFNA(INDEX(inbound_data[],MATCH(Outbound_data[[#This Row],[STOCK CODE OUT]],Generated_Stockcode,0),23),""))</f>
        <v/>
      </c>
      <c r="Q283" s="73" t="str">
        <f>IF(ISBLANK(C283),"",_xlfn.IFNA(INDEX(inbound_data[],MATCH(Outbound_data[[#This Row],[STOCK CODE OUT]],Generated_Stockcode,0),13),""))</f>
        <v/>
      </c>
    </row>
    <row r="284" spans="2:17" x14ac:dyDescent="0.25">
      <c r="B284" s="71"/>
      <c r="C284" s="65"/>
      <c r="D284" s="55"/>
      <c r="E284" s="65"/>
      <c r="F284" s="166"/>
      <c r="G284" s="167"/>
      <c r="H284" s="166"/>
      <c r="I284" s="72"/>
      <c r="J284" s="55"/>
      <c r="K284" s="72"/>
      <c r="L284" s="55"/>
      <c r="M284" s="174"/>
      <c r="N284" s="73" t="str">
        <f>IF(ISBLANK(C284),"",_xlfn.IFNA(INDEX(inbound_data[],MATCH(Outbound_data[[#This Row],[STOCK CODE OUT]],Generated_Stockcode,0),10),""))</f>
        <v/>
      </c>
      <c r="O284" s="73" t="str">
        <f>IF(ISBLANK(C284),"",_xlfn.IFNA(INDEX(inbound_data[],MATCH(Outbound_data[[#This Row],[STOCK CODE OUT]],Generated_Stockcode,0),12),""))</f>
        <v/>
      </c>
      <c r="P284" s="73" t="str">
        <f>IF(ISBLANK(C284),"",_xlfn.IFNA(INDEX(inbound_data[],MATCH(Outbound_data[[#This Row],[STOCK CODE OUT]],Generated_Stockcode,0),23),""))</f>
        <v/>
      </c>
      <c r="Q284" s="73" t="str">
        <f>IF(ISBLANK(C284),"",_xlfn.IFNA(INDEX(inbound_data[],MATCH(Outbound_data[[#This Row],[STOCK CODE OUT]],Generated_Stockcode,0),13),""))</f>
        <v/>
      </c>
    </row>
    <row r="285" spans="2:17" x14ac:dyDescent="0.25">
      <c r="B285" s="71"/>
      <c r="C285" s="65"/>
      <c r="D285" s="55"/>
      <c r="E285" s="65"/>
      <c r="F285" s="166"/>
      <c r="G285" s="167"/>
      <c r="H285" s="166"/>
      <c r="I285" s="72"/>
      <c r="J285" s="55"/>
      <c r="K285" s="72"/>
      <c r="L285" s="55"/>
      <c r="M285" s="174"/>
      <c r="N285" s="73" t="str">
        <f>IF(ISBLANK(C285),"",_xlfn.IFNA(INDEX(inbound_data[],MATCH(Outbound_data[[#This Row],[STOCK CODE OUT]],Generated_Stockcode,0),10),""))</f>
        <v/>
      </c>
      <c r="O285" s="73" t="str">
        <f>IF(ISBLANK(C285),"",_xlfn.IFNA(INDEX(inbound_data[],MATCH(Outbound_data[[#This Row],[STOCK CODE OUT]],Generated_Stockcode,0),12),""))</f>
        <v/>
      </c>
      <c r="P285" s="73" t="str">
        <f>IF(ISBLANK(C285),"",_xlfn.IFNA(INDEX(inbound_data[],MATCH(Outbound_data[[#This Row],[STOCK CODE OUT]],Generated_Stockcode,0),23),""))</f>
        <v/>
      </c>
      <c r="Q285" s="73" t="str">
        <f>IF(ISBLANK(C285),"",_xlfn.IFNA(INDEX(inbound_data[],MATCH(Outbound_data[[#This Row],[STOCK CODE OUT]],Generated_Stockcode,0),13),""))</f>
        <v/>
      </c>
    </row>
    <row r="286" spans="2:17" x14ac:dyDescent="0.25">
      <c r="B286" s="71"/>
      <c r="C286" s="65"/>
      <c r="D286" s="55"/>
      <c r="E286" s="65"/>
      <c r="F286" s="166"/>
      <c r="G286" s="167"/>
      <c r="H286" s="166"/>
      <c r="I286" s="72"/>
      <c r="J286" s="55"/>
      <c r="K286" s="72"/>
      <c r="L286" s="55"/>
      <c r="M286" s="174"/>
      <c r="N286" s="73" t="str">
        <f>IF(ISBLANK(C286),"",_xlfn.IFNA(INDEX(inbound_data[],MATCH(Outbound_data[[#This Row],[STOCK CODE OUT]],Generated_Stockcode,0),10),""))</f>
        <v/>
      </c>
      <c r="O286" s="73" t="str">
        <f>IF(ISBLANK(C286),"",_xlfn.IFNA(INDEX(inbound_data[],MATCH(Outbound_data[[#This Row],[STOCK CODE OUT]],Generated_Stockcode,0),12),""))</f>
        <v/>
      </c>
      <c r="P286" s="73" t="str">
        <f>IF(ISBLANK(C286),"",_xlfn.IFNA(INDEX(inbound_data[],MATCH(Outbound_data[[#This Row],[STOCK CODE OUT]],Generated_Stockcode,0),23),""))</f>
        <v/>
      </c>
      <c r="Q286" s="73" t="str">
        <f>IF(ISBLANK(C286),"",_xlfn.IFNA(INDEX(inbound_data[],MATCH(Outbound_data[[#This Row],[STOCK CODE OUT]],Generated_Stockcode,0),13),""))</f>
        <v/>
      </c>
    </row>
    <row r="287" spans="2:17" x14ac:dyDescent="0.25">
      <c r="B287" s="71"/>
      <c r="C287" s="65"/>
      <c r="D287" s="55"/>
      <c r="E287" s="65"/>
      <c r="F287" s="166"/>
      <c r="G287" s="167"/>
      <c r="H287" s="166"/>
      <c r="I287" s="72"/>
      <c r="J287" s="55"/>
      <c r="K287" s="72"/>
      <c r="L287" s="55"/>
      <c r="M287" s="174"/>
      <c r="N287" s="73" t="str">
        <f>IF(ISBLANK(C287),"",_xlfn.IFNA(INDEX(inbound_data[],MATCH(Outbound_data[[#This Row],[STOCK CODE OUT]],Generated_Stockcode,0),10),""))</f>
        <v/>
      </c>
      <c r="O287" s="73" t="str">
        <f>IF(ISBLANK(C287),"",_xlfn.IFNA(INDEX(inbound_data[],MATCH(Outbound_data[[#This Row],[STOCK CODE OUT]],Generated_Stockcode,0),12),""))</f>
        <v/>
      </c>
      <c r="P287" s="73" t="str">
        <f>IF(ISBLANK(C287),"",_xlfn.IFNA(INDEX(inbound_data[],MATCH(Outbound_data[[#This Row],[STOCK CODE OUT]],Generated_Stockcode,0),23),""))</f>
        <v/>
      </c>
      <c r="Q287" s="73" t="str">
        <f>IF(ISBLANK(C287),"",_xlfn.IFNA(INDEX(inbound_data[],MATCH(Outbound_data[[#This Row],[STOCK CODE OUT]],Generated_Stockcode,0),13),""))</f>
        <v/>
      </c>
    </row>
    <row r="288" spans="2:17" x14ac:dyDescent="0.25">
      <c r="B288" s="71"/>
      <c r="C288" s="65"/>
      <c r="D288" s="55"/>
      <c r="E288" s="65"/>
      <c r="F288" s="166"/>
      <c r="G288" s="167"/>
      <c r="H288" s="166"/>
      <c r="I288" s="72"/>
      <c r="J288" s="55"/>
      <c r="K288" s="72"/>
      <c r="L288" s="55"/>
      <c r="M288" s="174"/>
      <c r="N288" s="73" t="str">
        <f>IF(ISBLANK(C288),"",_xlfn.IFNA(INDEX(inbound_data[],MATCH(Outbound_data[[#This Row],[STOCK CODE OUT]],Generated_Stockcode,0),10),""))</f>
        <v/>
      </c>
      <c r="O288" s="73" t="str">
        <f>IF(ISBLANK(C288),"",_xlfn.IFNA(INDEX(inbound_data[],MATCH(Outbound_data[[#This Row],[STOCK CODE OUT]],Generated_Stockcode,0),12),""))</f>
        <v/>
      </c>
      <c r="P288" s="73" t="str">
        <f>IF(ISBLANK(C288),"",_xlfn.IFNA(INDEX(inbound_data[],MATCH(Outbound_data[[#This Row],[STOCK CODE OUT]],Generated_Stockcode,0),23),""))</f>
        <v/>
      </c>
      <c r="Q288" s="73" t="str">
        <f>IF(ISBLANK(C288),"",_xlfn.IFNA(INDEX(inbound_data[],MATCH(Outbound_data[[#This Row],[STOCK CODE OUT]],Generated_Stockcode,0),13),""))</f>
        <v/>
      </c>
    </row>
    <row r="289" spans="2:17" x14ac:dyDescent="0.25">
      <c r="B289" s="71"/>
      <c r="C289" s="65"/>
      <c r="D289" s="55"/>
      <c r="E289" s="65"/>
      <c r="F289" s="166"/>
      <c r="G289" s="167"/>
      <c r="H289" s="166"/>
      <c r="I289" s="72"/>
      <c r="J289" s="55"/>
      <c r="K289" s="72"/>
      <c r="L289" s="55"/>
      <c r="M289" s="174"/>
      <c r="N289" s="73" t="str">
        <f>IF(ISBLANK(C289),"",_xlfn.IFNA(INDEX(inbound_data[],MATCH(Outbound_data[[#This Row],[STOCK CODE OUT]],Generated_Stockcode,0),10),""))</f>
        <v/>
      </c>
      <c r="O289" s="73" t="str">
        <f>IF(ISBLANK(C289),"",_xlfn.IFNA(INDEX(inbound_data[],MATCH(Outbound_data[[#This Row],[STOCK CODE OUT]],Generated_Stockcode,0),12),""))</f>
        <v/>
      </c>
      <c r="P289" s="73" t="str">
        <f>IF(ISBLANK(C289),"",_xlfn.IFNA(INDEX(inbound_data[],MATCH(Outbound_data[[#This Row],[STOCK CODE OUT]],Generated_Stockcode,0),23),""))</f>
        <v/>
      </c>
      <c r="Q289" s="73" t="str">
        <f>IF(ISBLANK(C289),"",_xlfn.IFNA(INDEX(inbound_data[],MATCH(Outbound_data[[#This Row],[STOCK CODE OUT]],Generated_Stockcode,0),13),""))</f>
        <v/>
      </c>
    </row>
    <row r="290" spans="2:17" x14ac:dyDescent="0.25">
      <c r="B290" s="71"/>
      <c r="C290" s="65"/>
      <c r="D290" s="55"/>
      <c r="E290" s="65"/>
      <c r="F290" s="166"/>
      <c r="G290" s="167"/>
      <c r="H290" s="166"/>
      <c r="I290" s="72"/>
      <c r="J290" s="55"/>
      <c r="K290" s="72"/>
      <c r="L290" s="55"/>
      <c r="M290" s="174"/>
      <c r="N290" s="73" t="str">
        <f>IF(ISBLANK(C290),"",_xlfn.IFNA(INDEX(inbound_data[],MATCH(Outbound_data[[#This Row],[STOCK CODE OUT]],Generated_Stockcode,0),10),""))</f>
        <v/>
      </c>
      <c r="O290" s="73" t="str">
        <f>IF(ISBLANK(C290),"",_xlfn.IFNA(INDEX(inbound_data[],MATCH(Outbound_data[[#This Row],[STOCK CODE OUT]],Generated_Stockcode,0),12),""))</f>
        <v/>
      </c>
      <c r="P290" s="73" t="str">
        <f>IF(ISBLANK(C290),"",_xlfn.IFNA(INDEX(inbound_data[],MATCH(Outbound_data[[#This Row],[STOCK CODE OUT]],Generated_Stockcode,0),23),""))</f>
        <v/>
      </c>
      <c r="Q290" s="73" t="str">
        <f>IF(ISBLANK(C290),"",_xlfn.IFNA(INDEX(inbound_data[],MATCH(Outbound_data[[#This Row],[STOCK CODE OUT]],Generated_Stockcode,0),13),""))</f>
        <v/>
      </c>
    </row>
    <row r="291" spans="2:17" x14ac:dyDescent="0.25">
      <c r="B291" s="71"/>
      <c r="C291" s="65"/>
      <c r="D291" s="55"/>
      <c r="E291" s="65"/>
      <c r="F291" s="166"/>
      <c r="G291" s="167"/>
      <c r="H291" s="166"/>
      <c r="I291" s="72"/>
      <c r="J291" s="55"/>
      <c r="K291" s="72"/>
      <c r="L291" s="55"/>
      <c r="M291" s="174"/>
      <c r="N291" s="73" t="str">
        <f>IF(ISBLANK(C291),"",_xlfn.IFNA(INDEX(inbound_data[],MATCH(Outbound_data[[#This Row],[STOCK CODE OUT]],Generated_Stockcode,0),10),""))</f>
        <v/>
      </c>
      <c r="O291" s="73" t="str">
        <f>IF(ISBLANK(C291),"",_xlfn.IFNA(INDEX(inbound_data[],MATCH(Outbound_data[[#This Row],[STOCK CODE OUT]],Generated_Stockcode,0),12),""))</f>
        <v/>
      </c>
      <c r="P291" s="73" t="str">
        <f>IF(ISBLANK(C291),"",_xlfn.IFNA(INDEX(inbound_data[],MATCH(Outbound_data[[#This Row],[STOCK CODE OUT]],Generated_Stockcode,0),23),""))</f>
        <v/>
      </c>
      <c r="Q291" s="73" t="str">
        <f>IF(ISBLANK(C291),"",_xlfn.IFNA(INDEX(inbound_data[],MATCH(Outbound_data[[#This Row],[STOCK CODE OUT]],Generated_Stockcode,0),13),""))</f>
        <v/>
      </c>
    </row>
    <row r="292" spans="2:17" x14ac:dyDescent="0.25">
      <c r="B292" s="71"/>
      <c r="C292" s="65"/>
      <c r="D292" s="55"/>
      <c r="E292" s="65"/>
      <c r="F292" s="166"/>
      <c r="G292" s="167"/>
      <c r="H292" s="166"/>
      <c r="I292" s="72"/>
      <c r="J292" s="55"/>
      <c r="K292" s="72"/>
      <c r="L292" s="55"/>
      <c r="M292" s="174"/>
      <c r="N292" s="73" t="str">
        <f>IF(ISBLANK(C292),"",_xlfn.IFNA(INDEX(inbound_data[],MATCH(Outbound_data[[#This Row],[STOCK CODE OUT]],Generated_Stockcode,0),10),""))</f>
        <v/>
      </c>
      <c r="O292" s="73" t="str">
        <f>IF(ISBLANK(C292),"",_xlfn.IFNA(INDEX(inbound_data[],MATCH(Outbound_data[[#This Row],[STOCK CODE OUT]],Generated_Stockcode,0),12),""))</f>
        <v/>
      </c>
      <c r="P292" s="73" t="str">
        <f>IF(ISBLANK(C292),"",_xlfn.IFNA(INDEX(inbound_data[],MATCH(Outbound_data[[#This Row],[STOCK CODE OUT]],Generated_Stockcode,0),23),""))</f>
        <v/>
      </c>
      <c r="Q292" s="73" t="str">
        <f>IF(ISBLANK(C292),"",_xlfn.IFNA(INDEX(inbound_data[],MATCH(Outbound_data[[#This Row],[STOCK CODE OUT]],Generated_Stockcode,0),13),""))</f>
        <v/>
      </c>
    </row>
    <row r="293" spans="2:17" x14ac:dyDescent="0.25">
      <c r="B293" s="71"/>
      <c r="C293" s="65"/>
      <c r="D293" s="55"/>
      <c r="E293" s="65"/>
      <c r="F293" s="166"/>
      <c r="G293" s="167"/>
      <c r="H293" s="166"/>
      <c r="I293" s="72"/>
      <c r="J293" s="55"/>
      <c r="K293" s="72"/>
      <c r="L293" s="55"/>
      <c r="M293" s="174"/>
      <c r="N293" s="73" t="str">
        <f>IF(ISBLANK(C293),"",_xlfn.IFNA(INDEX(inbound_data[],MATCH(Outbound_data[[#This Row],[STOCK CODE OUT]],Generated_Stockcode,0),10),""))</f>
        <v/>
      </c>
      <c r="O293" s="73" t="str">
        <f>IF(ISBLANK(C293),"",_xlfn.IFNA(INDEX(inbound_data[],MATCH(Outbound_data[[#This Row],[STOCK CODE OUT]],Generated_Stockcode,0),12),""))</f>
        <v/>
      </c>
      <c r="P293" s="73" t="str">
        <f>IF(ISBLANK(C293),"",_xlfn.IFNA(INDEX(inbound_data[],MATCH(Outbound_data[[#This Row],[STOCK CODE OUT]],Generated_Stockcode,0),23),""))</f>
        <v/>
      </c>
      <c r="Q293" s="73" t="str">
        <f>IF(ISBLANK(C293),"",_xlfn.IFNA(INDEX(inbound_data[],MATCH(Outbound_data[[#This Row],[STOCK CODE OUT]],Generated_Stockcode,0),13),""))</f>
        <v/>
      </c>
    </row>
    <row r="294" spans="2:17" x14ac:dyDescent="0.25">
      <c r="B294" s="71"/>
      <c r="C294" s="65"/>
      <c r="D294" s="55"/>
      <c r="E294" s="65"/>
      <c r="F294" s="166"/>
      <c r="G294" s="167"/>
      <c r="H294" s="166"/>
      <c r="I294" s="72"/>
      <c r="J294" s="55"/>
      <c r="K294" s="72"/>
      <c r="L294" s="55"/>
      <c r="M294" s="174"/>
      <c r="N294" s="73" t="str">
        <f>IF(ISBLANK(C294),"",_xlfn.IFNA(INDEX(inbound_data[],MATCH(Outbound_data[[#This Row],[STOCK CODE OUT]],Generated_Stockcode,0),10),""))</f>
        <v/>
      </c>
      <c r="O294" s="73" t="str">
        <f>IF(ISBLANK(C294),"",_xlfn.IFNA(INDEX(inbound_data[],MATCH(Outbound_data[[#This Row],[STOCK CODE OUT]],Generated_Stockcode,0),12),""))</f>
        <v/>
      </c>
      <c r="P294" s="73" t="str">
        <f>IF(ISBLANK(C294),"",_xlfn.IFNA(INDEX(inbound_data[],MATCH(Outbound_data[[#This Row],[STOCK CODE OUT]],Generated_Stockcode,0),23),""))</f>
        <v/>
      </c>
      <c r="Q294" s="73" t="str">
        <f>IF(ISBLANK(C294),"",_xlfn.IFNA(INDEX(inbound_data[],MATCH(Outbound_data[[#This Row],[STOCK CODE OUT]],Generated_Stockcode,0),13),""))</f>
        <v/>
      </c>
    </row>
    <row r="295" spans="2:17" x14ac:dyDescent="0.25">
      <c r="B295" s="71"/>
      <c r="C295" s="65"/>
      <c r="D295" s="55"/>
      <c r="E295" s="65"/>
      <c r="F295" s="166"/>
      <c r="G295" s="167"/>
      <c r="H295" s="166"/>
      <c r="I295" s="72"/>
      <c r="J295" s="55"/>
      <c r="K295" s="72"/>
      <c r="L295" s="55"/>
      <c r="M295" s="174"/>
      <c r="N295" s="73" t="str">
        <f>IF(ISBLANK(C295),"",_xlfn.IFNA(INDEX(inbound_data[],MATCH(Outbound_data[[#This Row],[STOCK CODE OUT]],Generated_Stockcode,0),10),""))</f>
        <v/>
      </c>
      <c r="O295" s="73" t="str">
        <f>IF(ISBLANK(C295),"",_xlfn.IFNA(INDEX(inbound_data[],MATCH(Outbound_data[[#This Row],[STOCK CODE OUT]],Generated_Stockcode,0),12),""))</f>
        <v/>
      </c>
      <c r="P295" s="73" t="str">
        <f>IF(ISBLANK(C295),"",_xlfn.IFNA(INDEX(inbound_data[],MATCH(Outbound_data[[#This Row],[STOCK CODE OUT]],Generated_Stockcode,0),23),""))</f>
        <v/>
      </c>
      <c r="Q295" s="73" t="str">
        <f>IF(ISBLANK(C295),"",_xlfn.IFNA(INDEX(inbound_data[],MATCH(Outbound_data[[#This Row],[STOCK CODE OUT]],Generated_Stockcode,0),13),""))</f>
        <v/>
      </c>
    </row>
    <row r="296" spans="2:17" x14ac:dyDescent="0.25">
      <c r="B296" s="71"/>
      <c r="C296" s="65"/>
      <c r="D296" s="55"/>
      <c r="E296" s="65"/>
      <c r="F296" s="166"/>
      <c r="G296" s="167"/>
      <c r="H296" s="166"/>
      <c r="I296" s="72"/>
      <c r="J296" s="55"/>
      <c r="K296" s="72"/>
      <c r="L296" s="55"/>
      <c r="M296" s="174"/>
      <c r="N296" s="73" t="str">
        <f>IF(ISBLANK(C296),"",_xlfn.IFNA(INDEX(inbound_data[],MATCH(Outbound_data[[#This Row],[STOCK CODE OUT]],Generated_Stockcode,0),10),""))</f>
        <v/>
      </c>
      <c r="O296" s="73" t="str">
        <f>IF(ISBLANK(C296),"",_xlfn.IFNA(INDEX(inbound_data[],MATCH(Outbound_data[[#This Row],[STOCK CODE OUT]],Generated_Stockcode,0),12),""))</f>
        <v/>
      </c>
      <c r="P296" s="73" t="str">
        <f>IF(ISBLANK(C296),"",_xlfn.IFNA(INDEX(inbound_data[],MATCH(Outbound_data[[#This Row],[STOCK CODE OUT]],Generated_Stockcode,0),23),""))</f>
        <v/>
      </c>
      <c r="Q296" s="73" t="str">
        <f>IF(ISBLANK(C296),"",_xlfn.IFNA(INDEX(inbound_data[],MATCH(Outbound_data[[#This Row],[STOCK CODE OUT]],Generated_Stockcode,0),13),""))</f>
        <v/>
      </c>
    </row>
    <row r="297" spans="2:17" x14ac:dyDescent="0.25">
      <c r="B297" s="71"/>
      <c r="C297" s="65"/>
      <c r="D297" s="55"/>
      <c r="E297" s="65"/>
      <c r="F297" s="166"/>
      <c r="G297" s="167"/>
      <c r="H297" s="166"/>
      <c r="I297" s="72"/>
      <c r="J297" s="55"/>
      <c r="K297" s="72"/>
      <c r="L297" s="55"/>
      <c r="M297" s="174"/>
      <c r="N297" s="73" t="str">
        <f>IF(ISBLANK(C297),"",_xlfn.IFNA(INDEX(inbound_data[],MATCH(Outbound_data[[#This Row],[STOCK CODE OUT]],Generated_Stockcode,0),10),""))</f>
        <v/>
      </c>
      <c r="O297" s="73" t="str">
        <f>IF(ISBLANK(C297),"",_xlfn.IFNA(INDEX(inbound_data[],MATCH(Outbound_data[[#This Row],[STOCK CODE OUT]],Generated_Stockcode,0),12),""))</f>
        <v/>
      </c>
      <c r="P297" s="73" t="str">
        <f>IF(ISBLANK(C297),"",_xlfn.IFNA(INDEX(inbound_data[],MATCH(Outbound_data[[#This Row],[STOCK CODE OUT]],Generated_Stockcode,0),23),""))</f>
        <v/>
      </c>
      <c r="Q297" s="73" t="str">
        <f>IF(ISBLANK(C297),"",_xlfn.IFNA(INDEX(inbound_data[],MATCH(Outbound_data[[#This Row],[STOCK CODE OUT]],Generated_Stockcode,0),13),""))</f>
        <v/>
      </c>
    </row>
    <row r="298" spans="2:17" x14ac:dyDescent="0.25">
      <c r="B298" s="71"/>
      <c r="C298" s="65"/>
      <c r="D298" s="55"/>
      <c r="E298" s="65"/>
      <c r="F298" s="166"/>
      <c r="G298" s="167"/>
      <c r="H298" s="166"/>
      <c r="I298" s="72"/>
      <c r="J298" s="55"/>
      <c r="K298" s="72"/>
      <c r="L298" s="55"/>
      <c r="M298" s="174"/>
      <c r="N298" s="73" t="str">
        <f>IF(ISBLANK(C298),"",_xlfn.IFNA(INDEX(inbound_data[],MATCH(Outbound_data[[#This Row],[STOCK CODE OUT]],Generated_Stockcode,0),10),""))</f>
        <v/>
      </c>
      <c r="O298" s="73" t="str">
        <f>IF(ISBLANK(C298),"",_xlfn.IFNA(INDEX(inbound_data[],MATCH(Outbound_data[[#This Row],[STOCK CODE OUT]],Generated_Stockcode,0),12),""))</f>
        <v/>
      </c>
      <c r="P298" s="73" t="str">
        <f>IF(ISBLANK(C298),"",_xlfn.IFNA(INDEX(inbound_data[],MATCH(Outbound_data[[#This Row],[STOCK CODE OUT]],Generated_Stockcode,0),23),""))</f>
        <v/>
      </c>
      <c r="Q298" s="73" t="str">
        <f>IF(ISBLANK(C298),"",_xlfn.IFNA(INDEX(inbound_data[],MATCH(Outbound_data[[#This Row],[STOCK CODE OUT]],Generated_Stockcode,0),13),""))</f>
        <v/>
      </c>
    </row>
    <row r="299" spans="2:17" x14ac:dyDescent="0.25">
      <c r="B299" s="71"/>
      <c r="C299" s="65"/>
      <c r="D299" s="55"/>
      <c r="E299" s="65"/>
      <c r="F299" s="166"/>
      <c r="G299" s="167"/>
      <c r="H299" s="166"/>
      <c r="I299" s="72"/>
      <c r="J299" s="55"/>
      <c r="K299" s="72"/>
      <c r="L299" s="55"/>
      <c r="M299" s="174"/>
      <c r="N299" s="73" t="str">
        <f>IF(ISBLANK(C299),"",_xlfn.IFNA(INDEX(inbound_data[],MATCH(Outbound_data[[#This Row],[STOCK CODE OUT]],Generated_Stockcode,0),10),""))</f>
        <v/>
      </c>
      <c r="O299" s="73" t="str">
        <f>IF(ISBLANK(C299),"",_xlfn.IFNA(INDEX(inbound_data[],MATCH(Outbound_data[[#This Row],[STOCK CODE OUT]],Generated_Stockcode,0),12),""))</f>
        <v/>
      </c>
      <c r="P299" s="73" t="str">
        <f>IF(ISBLANK(C299),"",_xlfn.IFNA(INDEX(inbound_data[],MATCH(Outbound_data[[#This Row],[STOCK CODE OUT]],Generated_Stockcode,0),23),""))</f>
        <v/>
      </c>
      <c r="Q299" s="73" t="str">
        <f>IF(ISBLANK(C299),"",_xlfn.IFNA(INDEX(inbound_data[],MATCH(Outbound_data[[#This Row],[STOCK CODE OUT]],Generated_Stockcode,0),13),""))</f>
        <v/>
      </c>
    </row>
    <row r="300" spans="2:17" x14ac:dyDescent="0.25">
      <c r="B300" s="71"/>
      <c r="C300" s="65"/>
      <c r="D300" s="55"/>
      <c r="E300" s="65"/>
      <c r="F300" s="166"/>
      <c r="G300" s="167"/>
      <c r="H300" s="166"/>
      <c r="I300" s="72"/>
      <c r="J300" s="55"/>
      <c r="K300" s="72"/>
      <c r="L300" s="55"/>
      <c r="M300" s="174"/>
      <c r="N300" s="73" t="str">
        <f>IF(ISBLANK(C300),"",_xlfn.IFNA(INDEX(inbound_data[],MATCH(Outbound_data[[#This Row],[STOCK CODE OUT]],Generated_Stockcode,0),10),""))</f>
        <v/>
      </c>
      <c r="O300" s="73" t="str">
        <f>IF(ISBLANK(C300),"",_xlfn.IFNA(INDEX(inbound_data[],MATCH(Outbound_data[[#This Row],[STOCK CODE OUT]],Generated_Stockcode,0),12),""))</f>
        <v/>
      </c>
      <c r="P300" s="73" t="str">
        <f>IF(ISBLANK(C300),"",_xlfn.IFNA(INDEX(inbound_data[],MATCH(Outbound_data[[#This Row],[STOCK CODE OUT]],Generated_Stockcode,0),23),""))</f>
        <v/>
      </c>
      <c r="Q300" s="73" t="str">
        <f>IF(ISBLANK(C300),"",_xlfn.IFNA(INDEX(inbound_data[],MATCH(Outbound_data[[#This Row],[STOCK CODE OUT]],Generated_Stockcode,0),13),""))</f>
        <v/>
      </c>
    </row>
    <row r="301" spans="2:17" x14ac:dyDescent="0.25">
      <c r="B301" s="71"/>
      <c r="C301" s="65"/>
      <c r="D301" s="55"/>
      <c r="E301" s="65"/>
      <c r="F301" s="166"/>
      <c r="G301" s="167"/>
      <c r="H301" s="166"/>
      <c r="I301" s="72"/>
      <c r="J301" s="55"/>
      <c r="K301" s="72"/>
      <c r="L301" s="55"/>
      <c r="M301" s="174"/>
      <c r="N301" s="73" t="str">
        <f>IF(ISBLANK(C301),"",_xlfn.IFNA(INDEX(inbound_data[],MATCH(Outbound_data[[#This Row],[STOCK CODE OUT]],Generated_Stockcode,0),10),""))</f>
        <v/>
      </c>
      <c r="O301" s="73" t="str">
        <f>IF(ISBLANK(C301),"",_xlfn.IFNA(INDEX(inbound_data[],MATCH(Outbound_data[[#This Row],[STOCK CODE OUT]],Generated_Stockcode,0),12),""))</f>
        <v/>
      </c>
      <c r="P301" s="73" t="str">
        <f>IF(ISBLANK(C301),"",_xlfn.IFNA(INDEX(inbound_data[],MATCH(Outbound_data[[#This Row],[STOCK CODE OUT]],Generated_Stockcode,0),23),""))</f>
        <v/>
      </c>
      <c r="Q301" s="73" t="str">
        <f>IF(ISBLANK(C301),"",_xlfn.IFNA(INDEX(inbound_data[],MATCH(Outbound_data[[#This Row],[STOCK CODE OUT]],Generated_Stockcode,0),13),""))</f>
        <v/>
      </c>
    </row>
    <row r="302" spans="2:17" x14ac:dyDescent="0.25">
      <c r="B302" s="71"/>
      <c r="C302" s="65"/>
      <c r="D302" s="55"/>
      <c r="E302" s="65"/>
      <c r="F302" s="166"/>
      <c r="G302" s="167"/>
      <c r="H302" s="166"/>
      <c r="I302" s="72"/>
      <c r="J302" s="55"/>
      <c r="K302" s="72"/>
      <c r="L302" s="55"/>
      <c r="M302" s="174"/>
      <c r="N302" s="73" t="str">
        <f>IF(ISBLANK(C302),"",_xlfn.IFNA(INDEX(inbound_data[],MATCH(Outbound_data[[#This Row],[STOCK CODE OUT]],Generated_Stockcode,0),10),""))</f>
        <v/>
      </c>
      <c r="O302" s="73" t="str">
        <f>IF(ISBLANK(C302),"",_xlfn.IFNA(INDEX(inbound_data[],MATCH(Outbound_data[[#This Row],[STOCK CODE OUT]],Generated_Stockcode,0),12),""))</f>
        <v/>
      </c>
      <c r="P302" s="73" t="str">
        <f>IF(ISBLANK(C302),"",_xlfn.IFNA(INDEX(inbound_data[],MATCH(Outbound_data[[#This Row],[STOCK CODE OUT]],Generated_Stockcode,0),23),""))</f>
        <v/>
      </c>
      <c r="Q302" s="73" t="str">
        <f>IF(ISBLANK(C302),"",_xlfn.IFNA(INDEX(inbound_data[],MATCH(Outbound_data[[#This Row],[STOCK CODE OUT]],Generated_Stockcode,0),13),""))</f>
        <v/>
      </c>
    </row>
    <row r="303" spans="2:17" x14ac:dyDescent="0.25">
      <c r="B303" s="71"/>
      <c r="C303" s="65"/>
      <c r="D303" s="55"/>
      <c r="E303" s="65"/>
      <c r="F303" s="166"/>
      <c r="G303" s="167"/>
      <c r="H303" s="166"/>
      <c r="I303" s="72"/>
      <c r="J303" s="55"/>
      <c r="K303" s="72"/>
      <c r="L303" s="55"/>
      <c r="M303" s="174"/>
      <c r="N303" s="73" t="str">
        <f>IF(ISBLANK(C303),"",_xlfn.IFNA(INDEX(inbound_data[],MATCH(Outbound_data[[#This Row],[STOCK CODE OUT]],Generated_Stockcode,0),10),""))</f>
        <v/>
      </c>
      <c r="O303" s="73" t="str">
        <f>IF(ISBLANK(C303),"",_xlfn.IFNA(INDEX(inbound_data[],MATCH(Outbound_data[[#This Row],[STOCK CODE OUT]],Generated_Stockcode,0),12),""))</f>
        <v/>
      </c>
      <c r="P303" s="73" t="str">
        <f>IF(ISBLANK(C303),"",_xlfn.IFNA(INDEX(inbound_data[],MATCH(Outbound_data[[#This Row],[STOCK CODE OUT]],Generated_Stockcode,0),23),""))</f>
        <v/>
      </c>
      <c r="Q303" s="73" t="str">
        <f>IF(ISBLANK(C303),"",_xlfn.IFNA(INDEX(inbound_data[],MATCH(Outbound_data[[#This Row],[STOCK CODE OUT]],Generated_Stockcode,0),13),""))</f>
        <v/>
      </c>
    </row>
    <row r="304" spans="2:17" x14ac:dyDescent="0.25">
      <c r="B304" s="71"/>
      <c r="C304" s="65"/>
      <c r="D304" s="55"/>
      <c r="E304" s="65"/>
      <c r="F304" s="166"/>
      <c r="G304" s="167"/>
      <c r="H304" s="166"/>
      <c r="I304" s="72"/>
      <c r="J304" s="55"/>
      <c r="K304" s="72"/>
      <c r="L304" s="55"/>
      <c r="M304" s="174"/>
      <c r="N304" s="73" t="str">
        <f>IF(ISBLANK(C304),"",_xlfn.IFNA(INDEX(inbound_data[],MATCH(Outbound_data[[#This Row],[STOCK CODE OUT]],Generated_Stockcode,0),10),""))</f>
        <v/>
      </c>
      <c r="O304" s="73" t="str">
        <f>IF(ISBLANK(C304),"",_xlfn.IFNA(INDEX(inbound_data[],MATCH(Outbound_data[[#This Row],[STOCK CODE OUT]],Generated_Stockcode,0),12),""))</f>
        <v/>
      </c>
      <c r="P304" s="73" t="str">
        <f>IF(ISBLANK(C304),"",_xlfn.IFNA(INDEX(inbound_data[],MATCH(Outbound_data[[#This Row],[STOCK CODE OUT]],Generated_Stockcode,0),23),""))</f>
        <v/>
      </c>
      <c r="Q304" s="73" t="str">
        <f>IF(ISBLANK(C304),"",_xlfn.IFNA(INDEX(inbound_data[],MATCH(Outbound_data[[#This Row],[STOCK CODE OUT]],Generated_Stockcode,0),13),""))</f>
        <v/>
      </c>
    </row>
    <row r="305" spans="2:17" x14ac:dyDescent="0.25">
      <c r="B305" s="71"/>
      <c r="C305" s="65"/>
      <c r="D305" s="55"/>
      <c r="E305" s="65"/>
      <c r="F305" s="166"/>
      <c r="G305" s="167"/>
      <c r="H305" s="166"/>
      <c r="I305" s="72"/>
      <c r="J305" s="55"/>
      <c r="K305" s="72"/>
      <c r="L305" s="55"/>
      <c r="M305" s="174"/>
      <c r="N305" s="73" t="str">
        <f>IF(ISBLANK(C305),"",_xlfn.IFNA(INDEX(inbound_data[],MATCH(Outbound_data[[#This Row],[STOCK CODE OUT]],Generated_Stockcode,0),10),""))</f>
        <v/>
      </c>
      <c r="O305" s="73" t="str">
        <f>IF(ISBLANK(C305),"",_xlfn.IFNA(INDEX(inbound_data[],MATCH(Outbound_data[[#This Row],[STOCK CODE OUT]],Generated_Stockcode,0),12),""))</f>
        <v/>
      </c>
      <c r="P305" s="73" t="str">
        <f>IF(ISBLANK(C305),"",_xlfn.IFNA(INDEX(inbound_data[],MATCH(Outbound_data[[#This Row],[STOCK CODE OUT]],Generated_Stockcode,0),23),""))</f>
        <v/>
      </c>
      <c r="Q305" s="73" t="str">
        <f>IF(ISBLANK(C305),"",_xlfn.IFNA(INDEX(inbound_data[],MATCH(Outbound_data[[#This Row],[STOCK CODE OUT]],Generated_Stockcode,0),13),""))</f>
        <v/>
      </c>
    </row>
    <row r="306" spans="2:17" x14ac:dyDescent="0.25">
      <c r="B306" s="71"/>
      <c r="C306" s="65"/>
      <c r="D306" s="55"/>
      <c r="E306" s="65"/>
      <c r="F306" s="166"/>
      <c r="G306" s="167"/>
      <c r="H306" s="166"/>
      <c r="I306" s="72"/>
      <c r="J306" s="55"/>
      <c r="K306" s="72"/>
      <c r="L306" s="55"/>
      <c r="M306" s="174"/>
      <c r="N306" s="73" t="str">
        <f>IF(ISBLANK(C306),"",_xlfn.IFNA(INDEX(inbound_data[],MATCH(Outbound_data[[#This Row],[STOCK CODE OUT]],Generated_Stockcode,0),10),""))</f>
        <v/>
      </c>
      <c r="O306" s="73" t="str">
        <f>IF(ISBLANK(C306),"",_xlfn.IFNA(INDEX(inbound_data[],MATCH(Outbound_data[[#This Row],[STOCK CODE OUT]],Generated_Stockcode,0),12),""))</f>
        <v/>
      </c>
      <c r="P306" s="73" t="str">
        <f>IF(ISBLANK(C306),"",_xlfn.IFNA(INDEX(inbound_data[],MATCH(Outbound_data[[#This Row],[STOCK CODE OUT]],Generated_Stockcode,0),23),""))</f>
        <v/>
      </c>
      <c r="Q306" s="73" t="str">
        <f>IF(ISBLANK(C306),"",_xlfn.IFNA(INDEX(inbound_data[],MATCH(Outbound_data[[#This Row],[STOCK CODE OUT]],Generated_Stockcode,0),13),""))</f>
        <v/>
      </c>
    </row>
    <row r="307" spans="2:17" x14ac:dyDescent="0.25">
      <c r="B307" s="71"/>
      <c r="C307" s="65"/>
      <c r="D307" s="55"/>
      <c r="E307" s="65"/>
      <c r="F307" s="166"/>
      <c r="G307" s="167"/>
      <c r="H307" s="166"/>
      <c r="I307" s="72"/>
      <c r="J307" s="55"/>
      <c r="K307" s="72"/>
      <c r="L307" s="55"/>
      <c r="M307" s="174"/>
      <c r="N307" s="73" t="str">
        <f>IF(ISBLANK(C307),"",_xlfn.IFNA(INDEX(inbound_data[],MATCH(Outbound_data[[#This Row],[STOCK CODE OUT]],Generated_Stockcode,0),10),""))</f>
        <v/>
      </c>
      <c r="O307" s="73" t="str">
        <f>IF(ISBLANK(C307),"",_xlfn.IFNA(INDEX(inbound_data[],MATCH(Outbound_data[[#This Row],[STOCK CODE OUT]],Generated_Stockcode,0),12),""))</f>
        <v/>
      </c>
      <c r="P307" s="73" t="str">
        <f>IF(ISBLANK(C307),"",_xlfn.IFNA(INDEX(inbound_data[],MATCH(Outbound_data[[#This Row],[STOCK CODE OUT]],Generated_Stockcode,0),23),""))</f>
        <v/>
      </c>
      <c r="Q307" s="73" t="str">
        <f>IF(ISBLANK(C307),"",_xlfn.IFNA(INDEX(inbound_data[],MATCH(Outbound_data[[#This Row],[STOCK CODE OUT]],Generated_Stockcode,0),13),""))</f>
        <v/>
      </c>
    </row>
    <row r="308" spans="2:17" x14ac:dyDescent="0.25">
      <c r="B308" s="71"/>
      <c r="C308" s="65"/>
      <c r="D308" s="55"/>
      <c r="E308" s="65"/>
      <c r="F308" s="166"/>
      <c r="G308" s="167"/>
      <c r="H308" s="166"/>
      <c r="I308" s="72"/>
      <c r="J308" s="55"/>
      <c r="K308" s="72"/>
      <c r="L308" s="55"/>
      <c r="M308" s="174"/>
      <c r="N308" s="73" t="str">
        <f>IF(ISBLANK(C308),"",_xlfn.IFNA(INDEX(inbound_data[],MATCH(Outbound_data[[#This Row],[STOCK CODE OUT]],Generated_Stockcode,0),10),""))</f>
        <v/>
      </c>
      <c r="O308" s="73" t="str">
        <f>IF(ISBLANK(C308),"",_xlfn.IFNA(INDEX(inbound_data[],MATCH(Outbound_data[[#This Row],[STOCK CODE OUT]],Generated_Stockcode,0),12),""))</f>
        <v/>
      </c>
      <c r="P308" s="73" t="str">
        <f>IF(ISBLANK(C308),"",_xlfn.IFNA(INDEX(inbound_data[],MATCH(Outbound_data[[#This Row],[STOCK CODE OUT]],Generated_Stockcode,0),23),""))</f>
        <v/>
      </c>
      <c r="Q308" s="73" t="str">
        <f>IF(ISBLANK(C308),"",_xlfn.IFNA(INDEX(inbound_data[],MATCH(Outbound_data[[#This Row],[STOCK CODE OUT]],Generated_Stockcode,0),13),""))</f>
        <v/>
      </c>
    </row>
    <row r="309" spans="2:17" x14ac:dyDescent="0.25">
      <c r="B309" s="71"/>
      <c r="C309" s="65"/>
      <c r="D309" s="55"/>
      <c r="E309" s="65"/>
      <c r="F309" s="166"/>
      <c r="G309" s="167"/>
      <c r="H309" s="166"/>
      <c r="I309" s="72"/>
      <c r="J309" s="55"/>
      <c r="K309" s="72"/>
      <c r="L309" s="55"/>
      <c r="M309" s="174"/>
      <c r="N309" s="73" t="str">
        <f>IF(ISBLANK(C309),"",_xlfn.IFNA(INDEX(inbound_data[],MATCH(Outbound_data[[#This Row],[STOCK CODE OUT]],Generated_Stockcode,0),10),""))</f>
        <v/>
      </c>
      <c r="O309" s="73" t="str">
        <f>IF(ISBLANK(C309),"",_xlfn.IFNA(INDEX(inbound_data[],MATCH(Outbound_data[[#This Row],[STOCK CODE OUT]],Generated_Stockcode,0),12),""))</f>
        <v/>
      </c>
      <c r="P309" s="73" t="str">
        <f>IF(ISBLANK(C309),"",_xlfn.IFNA(INDEX(inbound_data[],MATCH(Outbound_data[[#This Row],[STOCK CODE OUT]],Generated_Stockcode,0),23),""))</f>
        <v/>
      </c>
      <c r="Q309" s="73" t="str">
        <f>IF(ISBLANK(C309),"",_xlfn.IFNA(INDEX(inbound_data[],MATCH(Outbound_data[[#This Row],[STOCK CODE OUT]],Generated_Stockcode,0),13),""))</f>
        <v/>
      </c>
    </row>
    <row r="310" spans="2:17" x14ac:dyDescent="0.25">
      <c r="B310" s="71"/>
      <c r="C310" s="65"/>
      <c r="D310" s="55"/>
      <c r="E310" s="65"/>
      <c r="F310" s="166"/>
      <c r="G310" s="167"/>
      <c r="H310" s="166"/>
      <c r="I310" s="72"/>
      <c r="J310" s="55"/>
      <c r="K310" s="72"/>
      <c r="L310" s="55"/>
      <c r="M310" s="174"/>
      <c r="N310" s="73" t="str">
        <f>IF(ISBLANK(C310),"",_xlfn.IFNA(INDEX(inbound_data[],MATCH(Outbound_data[[#This Row],[STOCK CODE OUT]],Generated_Stockcode,0),10),""))</f>
        <v/>
      </c>
      <c r="O310" s="73" t="str">
        <f>IF(ISBLANK(C310),"",_xlfn.IFNA(INDEX(inbound_data[],MATCH(Outbound_data[[#This Row],[STOCK CODE OUT]],Generated_Stockcode,0),12),""))</f>
        <v/>
      </c>
      <c r="P310" s="73" t="str">
        <f>IF(ISBLANK(C310),"",_xlfn.IFNA(INDEX(inbound_data[],MATCH(Outbound_data[[#This Row],[STOCK CODE OUT]],Generated_Stockcode,0),23),""))</f>
        <v/>
      </c>
      <c r="Q310" s="73" t="str">
        <f>IF(ISBLANK(C310),"",_xlfn.IFNA(INDEX(inbound_data[],MATCH(Outbound_data[[#This Row],[STOCK CODE OUT]],Generated_Stockcode,0),13),""))</f>
        <v/>
      </c>
    </row>
    <row r="311" spans="2:17" x14ac:dyDescent="0.25">
      <c r="B311" s="71"/>
      <c r="C311" s="65"/>
      <c r="D311" s="55"/>
      <c r="E311" s="65"/>
      <c r="F311" s="166"/>
      <c r="G311" s="167"/>
      <c r="H311" s="166"/>
      <c r="I311" s="72"/>
      <c r="J311" s="55"/>
      <c r="K311" s="72"/>
      <c r="L311" s="55"/>
      <c r="M311" s="174"/>
      <c r="N311" s="73" t="str">
        <f>IF(ISBLANK(C311),"",_xlfn.IFNA(INDEX(inbound_data[],MATCH(Outbound_data[[#This Row],[STOCK CODE OUT]],Generated_Stockcode,0),10),""))</f>
        <v/>
      </c>
      <c r="O311" s="73" t="str">
        <f>IF(ISBLANK(C311),"",_xlfn.IFNA(INDEX(inbound_data[],MATCH(Outbound_data[[#This Row],[STOCK CODE OUT]],Generated_Stockcode,0),12),""))</f>
        <v/>
      </c>
      <c r="P311" s="73" t="str">
        <f>IF(ISBLANK(C311),"",_xlfn.IFNA(INDEX(inbound_data[],MATCH(Outbound_data[[#This Row],[STOCK CODE OUT]],Generated_Stockcode,0),23),""))</f>
        <v/>
      </c>
      <c r="Q311" s="73" t="str">
        <f>IF(ISBLANK(C311),"",_xlfn.IFNA(INDEX(inbound_data[],MATCH(Outbound_data[[#This Row],[STOCK CODE OUT]],Generated_Stockcode,0),13),""))</f>
        <v/>
      </c>
    </row>
    <row r="312" spans="2:17" x14ac:dyDescent="0.25">
      <c r="B312" s="71"/>
      <c r="C312" s="65"/>
      <c r="D312" s="55"/>
      <c r="E312" s="65"/>
      <c r="F312" s="166"/>
      <c r="G312" s="167"/>
      <c r="H312" s="166"/>
      <c r="I312" s="72"/>
      <c r="J312" s="55"/>
      <c r="K312" s="72"/>
      <c r="L312" s="55"/>
      <c r="M312" s="174"/>
      <c r="N312" s="73" t="str">
        <f>IF(ISBLANK(C312),"",_xlfn.IFNA(INDEX(inbound_data[],MATCH(Outbound_data[[#This Row],[STOCK CODE OUT]],Generated_Stockcode,0),10),""))</f>
        <v/>
      </c>
      <c r="O312" s="73" t="str">
        <f>IF(ISBLANK(C312),"",_xlfn.IFNA(INDEX(inbound_data[],MATCH(Outbound_data[[#This Row],[STOCK CODE OUT]],Generated_Stockcode,0),12),""))</f>
        <v/>
      </c>
      <c r="P312" s="73" t="str">
        <f>IF(ISBLANK(C312),"",_xlfn.IFNA(INDEX(inbound_data[],MATCH(Outbound_data[[#This Row],[STOCK CODE OUT]],Generated_Stockcode,0),23),""))</f>
        <v/>
      </c>
      <c r="Q312" s="73" t="str">
        <f>IF(ISBLANK(C312),"",_xlfn.IFNA(INDEX(inbound_data[],MATCH(Outbound_data[[#This Row],[STOCK CODE OUT]],Generated_Stockcode,0),13),""))</f>
        <v/>
      </c>
    </row>
    <row r="313" spans="2:17" x14ac:dyDescent="0.25">
      <c r="B313" s="71"/>
      <c r="C313" s="65"/>
      <c r="D313" s="55"/>
      <c r="E313" s="65"/>
      <c r="F313" s="166"/>
      <c r="G313" s="167"/>
      <c r="H313" s="166"/>
      <c r="I313" s="72"/>
      <c r="J313" s="55"/>
      <c r="K313" s="72"/>
      <c r="L313" s="55"/>
      <c r="M313" s="174"/>
      <c r="N313" s="73" t="str">
        <f>IF(ISBLANK(C313),"",_xlfn.IFNA(INDEX(inbound_data[],MATCH(Outbound_data[[#This Row],[STOCK CODE OUT]],Generated_Stockcode,0),10),""))</f>
        <v/>
      </c>
      <c r="O313" s="73" t="str">
        <f>IF(ISBLANK(C313),"",_xlfn.IFNA(INDEX(inbound_data[],MATCH(Outbound_data[[#This Row],[STOCK CODE OUT]],Generated_Stockcode,0),12),""))</f>
        <v/>
      </c>
      <c r="P313" s="73" t="str">
        <f>IF(ISBLANK(C313),"",_xlfn.IFNA(INDEX(inbound_data[],MATCH(Outbound_data[[#This Row],[STOCK CODE OUT]],Generated_Stockcode,0),23),""))</f>
        <v/>
      </c>
      <c r="Q313" s="73" t="str">
        <f>IF(ISBLANK(C313),"",_xlfn.IFNA(INDEX(inbound_data[],MATCH(Outbound_data[[#This Row],[STOCK CODE OUT]],Generated_Stockcode,0),13),""))</f>
        <v/>
      </c>
    </row>
    <row r="314" spans="2:17" x14ac:dyDescent="0.25">
      <c r="B314" s="71"/>
      <c r="C314" s="65"/>
      <c r="D314" s="55"/>
      <c r="E314" s="65"/>
      <c r="F314" s="166"/>
      <c r="G314" s="167"/>
      <c r="H314" s="166"/>
      <c r="I314" s="72"/>
      <c r="J314" s="55"/>
      <c r="K314" s="72"/>
      <c r="L314" s="55"/>
      <c r="M314" s="174"/>
      <c r="N314" s="73" t="str">
        <f>IF(ISBLANK(C314),"",_xlfn.IFNA(INDEX(inbound_data[],MATCH(Outbound_data[[#This Row],[STOCK CODE OUT]],Generated_Stockcode,0),10),""))</f>
        <v/>
      </c>
      <c r="O314" s="73" t="str">
        <f>IF(ISBLANK(C314),"",_xlfn.IFNA(INDEX(inbound_data[],MATCH(Outbound_data[[#This Row],[STOCK CODE OUT]],Generated_Stockcode,0),12),""))</f>
        <v/>
      </c>
      <c r="P314" s="73" t="str">
        <f>IF(ISBLANK(C314),"",_xlfn.IFNA(INDEX(inbound_data[],MATCH(Outbound_data[[#This Row],[STOCK CODE OUT]],Generated_Stockcode,0),23),""))</f>
        <v/>
      </c>
      <c r="Q314" s="73" t="str">
        <f>IF(ISBLANK(C314),"",_xlfn.IFNA(INDEX(inbound_data[],MATCH(Outbound_data[[#This Row],[STOCK CODE OUT]],Generated_Stockcode,0),13),""))</f>
        <v/>
      </c>
    </row>
    <row r="315" spans="2:17" x14ac:dyDescent="0.25">
      <c r="B315" s="71"/>
      <c r="C315" s="65"/>
      <c r="D315" s="55"/>
      <c r="E315" s="65"/>
      <c r="F315" s="166"/>
      <c r="G315" s="167"/>
      <c r="H315" s="166"/>
      <c r="I315" s="72"/>
      <c r="J315" s="55"/>
      <c r="K315" s="72"/>
      <c r="L315" s="55"/>
      <c r="M315" s="174"/>
      <c r="N315" s="73" t="str">
        <f>IF(ISBLANK(C315),"",_xlfn.IFNA(INDEX(inbound_data[],MATCH(Outbound_data[[#This Row],[STOCK CODE OUT]],Generated_Stockcode,0),10),""))</f>
        <v/>
      </c>
      <c r="O315" s="73" t="str">
        <f>IF(ISBLANK(C315),"",_xlfn.IFNA(INDEX(inbound_data[],MATCH(Outbound_data[[#This Row],[STOCK CODE OUT]],Generated_Stockcode,0),12),""))</f>
        <v/>
      </c>
      <c r="P315" s="73" t="str">
        <f>IF(ISBLANK(C315),"",_xlfn.IFNA(INDEX(inbound_data[],MATCH(Outbound_data[[#This Row],[STOCK CODE OUT]],Generated_Stockcode,0),23),""))</f>
        <v/>
      </c>
      <c r="Q315" s="73" t="str">
        <f>IF(ISBLANK(C315),"",_xlfn.IFNA(INDEX(inbound_data[],MATCH(Outbound_data[[#This Row],[STOCK CODE OUT]],Generated_Stockcode,0),13),""))</f>
        <v/>
      </c>
    </row>
    <row r="316" spans="2:17" x14ac:dyDescent="0.25">
      <c r="B316" s="71"/>
      <c r="C316" s="65"/>
      <c r="D316" s="55"/>
      <c r="E316" s="65"/>
      <c r="F316" s="166"/>
      <c r="G316" s="167"/>
      <c r="H316" s="166"/>
      <c r="I316" s="72"/>
      <c r="J316" s="55"/>
      <c r="K316" s="72"/>
      <c r="L316" s="55"/>
      <c r="M316" s="174"/>
      <c r="N316" s="73" t="str">
        <f>IF(ISBLANK(C316),"",_xlfn.IFNA(INDEX(inbound_data[],MATCH(Outbound_data[[#This Row],[STOCK CODE OUT]],Generated_Stockcode,0),10),""))</f>
        <v/>
      </c>
      <c r="O316" s="73" t="str">
        <f>IF(ISBLANK(C316),"",_xlfn.IFNA(INDEX(inbound_data[],MATCH(Outbound_data[[#This Row],[STOCK CODE OUT]],Generated_Stockcode,0),12),""))</f>
        <v/>
      </c>
      <c r="P316" s="73" t="str">
        <f>IF(ISBLANK(C316),"",_xlfn.IFNA(INDEX(inbound_data[],MATCH(Outbound_data[[#This Row],[STOCK CODE OUT]],Generated_Stockcode,0),23),""))</f>
        <v/>
      </c>
      <c r="Q316" s="73" t="str">
        <f>IF(ISBLANK(C316),"",_xlfn.IFNA(INDEX(inbound_data[],MATCH(Outbound_data[[#This Row],[STOCK CODE OUT]],Generated_Stockcode,0),13),""))</f>
        <v/>
      </c>
    </row>
    <row r="317" spans="2:17" x14ac:dyDescent="0.25">
      <c r="B317" s="71"/>
      <c r="C317" s="65"/>
      <c r="D317" s="55"/>
      <c r="E317" s="65"/>
      <c r="F317" s="166"/>
      <c r="G317" s="167"/>
      <c r="H317" s="166"/>
      <c r="I317" s="72"/>
      <c r="J317" s="55"/>
      <c r="K317" s="72"/>
      <c r="L317" s="55"/>
      <c r="M317" s="174"/>
      <c r="N317" s="73" t="str">
        <f>IF(ISBLANK(C317),"",_xlfn.IFNA(INDEX(inbound_data[],MATCH(Outbound_data[[#This Row],[STOCK CODE OUT]],Generated_Stockcode,0),10),""))</f>
        <v/>
      </c>
      <c r="O317" s="73" t="str">
        <f>IF(ISBLANK(C317),"",_xlfn.IFNA(INDEX(inbound_data[],MATCH(Outbound_data[[#This Row],[STOCK CODE OUT]],Generated_Stockcode,0),12),""))</f>
        <v/>
      </c>
      <c r="P317" s="73" t="str">
        <f>IF(ISBLANK(C317),"",_xlfn.IFNA(INDEX(inbound_data[],MATCH(Outbound_data[[#This Row],[STOCK CODE OUT]],Generated_Stockcode,0),23),""))</f>
        <v/>
      </c>
      <c r="Q317" s="73" t="str">
        <f>IF(ISBLANK(C317),"",_xlfn.IFNA(INDEX(inbound_data[],MATCH(Outbound_data[[#This Row],[STOCK CODE OUT]],Generated_Stockcode,0),13),""))</f>
        <v/>
      </c>
    </row>
    <row r="318" spans="2:17" x14ac:dyDescent="0.25">
      <c r="B318" s="71"/>
      <c r="C318" s="65"/>
      <c r="D318" s="55"/>
      <c r="E318" s="65"/>
      <c r="F318" s="166"/>
      <c r="G318" s="167"/>
      <c r="H318" s="166"/>
      <c r="I318" s="72"/>
      <c r="J318" s="55"/>
      <c r="K318" s="72"/>
      <c r="L318" s="55"/>
      <c r="M318" s="174"/>
      <c r="N318" s="73" t="str">
        <f>IF(ISBLANK(C318),"",_xlfn.IFNA(INDEX(inbound_data[],MATCH(Outbound_data[[#This Row],[STOCK CODE OUT]],Generated_Stockcode,0),10),""))</f>
        <v/>
      </c>
      <c r="O318" s="73" t="str">
        <f>IF(ISBLANK(C318),"",_xlfn.IFNA(INDEX(inbound_data[],MATCH(Outbound_data[[#This Row],[STOCK CODE OUT]],Generated_Stockcode,0),12),""))</f>
        <v/>
      </c>
      <c r="P318" s="73" t="str">
        <f>IF(ISBLANK(C318),"",_xlfn.IFNA(INDEX(inbound_data[],MATCH(Outbound_data[[#This Row],[STOCK CODE OUT]],Generated_Stockcode,0),23),""))</f>
        <v/>
      </c>
      <c r="Q318" s="73" t="str">
        <f>IF(ISBLANK(C318),"",_xlfn.IFNA(INDEX(inbound_data[],MATCH(Outbound_data[[#This Row],[STOCK CODE OUT]],Generated_Stockcode,0),13),""))</f>
        <v/>
      </c>
    </row>
    <row r="319" spans="2:17" x14ac:dyDescent="0.25">
      <c r="B319" s="71"/>
      <c r="C319" s="65"/>
      <c r="D319" s="55"/>
      <c r="E319" s="65"/>
      <c r="F319" s="166"/>
      <c r="G319" s="167"/>
      <c r="H319" s="166"/>
      <c r="I319" s="72"/>
      <c r="J319" s="55"/>
      <c r="K319" s="72"/>
      <c r="L319" s="55"/>
      <c r="M319" s="174"/>
      <c r="N319" s="73" t="str">
        <f>IF(ISBLANK(C319),"",_xlfn.IFNA(INDEX(inbound_data[],MATCH(Outbound_data[[#This Row],[STOCK CODE OUT]],Generated_Stockcode,0),10),""))</f>
        <v/>
      </c>
      <c r="O319" s="73" t="str">
        <f>IF(ISBLANK(C319),"",_xlfn.IFNA(INDEX(inbound_data[],MATCH(Outbound_data[[#This Row],[STOCK CODE OUT]],Generated_Stockcode,0),12),""))</f>
        <v/>
      </c>
      <c r="P319" s="73" t="str">
        <f>IF(ISBLANK(C319),"",_xlfn.IFNA(INDEX(inbound_data[],MATCH(Outbound_data[[#This Row],[STOCK CODE OUT]],Generated_Stockcode,0),23),""))</f>
        <v/>
      </c>
      <c r="Q319" s="73" t="str">
        <f>IF(ISBLANK(C319),"",_xlfn.IFNA(INDEX(inbound_data[],MATCH(Outbound_data[[#This Row],[STOCK CODE OUT]],Generated_Stockcode,0),13),""))</f>
        <v/>
      </c>
    </row>
    <row r="320" spans="2:17" x14ac:dyDescent="0.25">
      <c r="B320" s="71"/>
      <c r="C320" s="65"/>
      <c r="D320" s="55"/>
      <c r="E320" s="65"/>
      <c r="F320" s="166"/>
      <c r="G320" s="167"/>
      <c r="H320" s="166"/>
      <c r="I320" s="72"/>
      <c r="J320" s="55"/>
      <c r="K320" s="72"/>
      <c r="L320" s="55"/>
      <c r="M320" s="174"/>
      <c r="N320" s="73" t="str">
        <f>IF(ISBLANK(C320),"",_xlfn.IFNA(INDEX(inbound_data[],MATCH(Outbound_data[[#This Row],[STOCK CODE OUT]],Generated_Stockcode,0),10),""))</f>
        <v/>
      </c>
      <c r="O320" s="73" t="str">
        <f>IF(ISBLANK(C320),"",_xlfn.IFNA(INDEX(inbound_data[],MATCH(Outbound_data[[#This Row],[STOCK CODE OUT]],Generated_Stockcode,0),12),""))</f>
        <v/>
      </c>
      <c r="P320" s="73" t="str">
        <f>IF(ISBLANK(C320),"",_xlfn.IFNA(INDEX(inbound_data[],MATCH(Outbound_data[[#This Row],[STOCK CODE OUT]],Generated_Stockcode,0),23),""))</f>
        <v/>
      </c>
      <c r="Q320" s="73" t="str">
        <f>IF(ISBLANK(C320),"",_xlfn.IFNA(INDEX(inbound_data[],MATCH(Outbound_data[[#This Row],[STOCK CODE OUT]],Generated_Stockcode,0),13),""))</f>
        <v/>
      </c>
    </row>
    <row r="321" spans="2:17" x14ac:dyDescent="0.25">
      <c r="B321" s="71"/>
      <c r="C321" s="65"/>
      <c r="D321" s="55"/>
      <c r="E321" s="65"/>
      <c r="F321" s="166"/>
      <c r="G321" s="167"/>
      <c r="H321" s="166"/>
      <c r="I321" s="72"/>
      <c r="J321" s="55"/>
      <c r="K321" s="72"/>
      <c r="L321" s="55"/>
      <c r="M321" s="174"/>
      <c r="N321" s="73" t="str">
        <f>IF(ISBLANK(C321),"",_xlfn.IFNA(INDEX(inbound_data[],MATCH(Outbound_data[[#This Row],[STOCK CODE OUT]],Generated_Stockcode,0),10),""))</f>
        <v/>
      </c>
      <c r="O321" s="73" t="str">
        <f>IF(ISBLANK(C321),"",_xlfn.IFNA(INDEX(inbound_data[],MATCH(Outbound_data[[#This Row],[STOCK CODE OUT]],Generated_Stockcode,0),12),""))</f>
        <v/>
      </c>
      <c r="P321" s="73" t="str">
        <f>IF(ISBLANK(C321),"",_xlfn.IFNA(INDEX(inbound_data[],MATCH(Outbound_data[[#This Row],[STOCK CODE OUT]],Generated_Stockcode,0),23),""))</f>
        <v/>
      </c>
      <c r="Q321" s="73" t="str">
        <f>IF(ISBLANK(C321),"",_xlfn.IFNA(INDEX(inbound_data[],MATCH(Outbound_data[[#This Row],[STOCK CODE OUT]],Generated_Stockcode,0),13),""))</f>
        <v/>
      </c>
    </row>
    <row r="322" spans="2:17" x14ac:dyDescent="0.25">
      <c r="B322" s="71"/>
      <c r="C322" s="65"/>
      <c r="D322" s="55"/>
      <c r="E322" s="65"/>
      <c r="F322" s="166"/>
      <c r="G322" s="167"/>
      <c r="H322" s="166"/>
      <c r="I322" s="72"/>
      <c r="J322" s="55"/>
      <c r="K322" s="72"/>
      <c r="L322" s="55"/>
      <c r="M322" s="174"/>
      <c r="N322" s="73" t="str">
        <f>IF(ISBLANK(C322),"",_xlfn.IFNA(INDEX(inbound_data[],MATCH(Outbound_data[[#This Row],[STOCK CODE OUT]],Generated_Stockcode,0),10),""))</f>
        <v/>
      </c>
      <c r="O322" s="73" t="str">
        <f>IF(ISBLANK(C322),"",_xlfn.IFNA(INDEX(inbound_data[],MATCH(Outbound_data[[#This Row],[STOCK CODE OUT]],Generated_Stockcode,0),12),""))</f>
        <v/>
      </c>
      <c r="P322" s="73" t="str">
        <f>IF(ISBLANK(C322),"",_xlfn.IFNA(INDEX(inbound_data[],MATCH(Outbound_data[[#This Row],[STOCK CODE OUT]],Generated_Stockcode,0),23),""))</f>
        <v/>
      </c>
      <c r="Q322" s="73" t="str">
        <f>IF(ISBLANK(C322),"",_xlfn.IFNA(INDEX(inbound_data[],MATCH(Outbound_data[[#This Row],[STOCK CODE OUT]],Generated_Stockcode,0),13),""))</f>
        <v/>
      </c>
    </row>
    <row r="323" spans="2:17" x14ac:dyDescent="0.25">
      <c r="B323" s="71"/>
      <c r="C323" s="65"/>
      <c r="D323" s="55"/>
      <c r="E323" s="65"/>
      <c r="F323" s="166"/>
      <c r="G323" s="167"/>
      <c r="H323" s="166"/>
      <c r="I323" s="72"/>
      <c r="J323" s="55"/>
      <c r="K323" s="72"/>
      <c r="L323" s="55"/>
      <c r="M323" s="174"/>
      <c r="N323" s="73" t="str">
        <f>IF(ISBLANK(C323),"",_xlfn.IFNA(INDEX(inbound_data[],MATCH(Outbound_data[[#This Row],[STOCK CODE OUT]],Generated_Stockcode,0),10),""))</f>
        <v/>
      </c>
      <c r="O323" s="73" t="str">
        <f>IF(ISBLANK(C323),"",_xlfn.IFNA(INDEX(inbound_data[],MATCH(Outbound_data[[#This Row],[STOCK CODE OUT]],Generated_Stockcode,0),12),""))</f>
        <v/>
      </c>
      <c r="P323" s="73" t="str">
        <f>IF(ISBLANK(C323),"",_xlfn.IFNA(INDEX(inbound_data[],MATCH(Outbound_data[[#This Row],[STOCK CODE OUT]],Generated_Stockcode,0),23),""))</f>
        <v/>
      </c>
      <c r="Q323" s="73" t="str">
        <f>IF(ISBLANK(C323),"",_xlfn.IFNA(INDEX(inbound_data[],MATCH(Outbound_data[[#This Row],[STOCK CODE OUT]],Generated_Stockcode,0),13),""))</f>
        <v/>
      </c>
    </row>
    <row r="324" spans="2:17" x14ac:dyDescent="0.25">
      <c r="B324" s="71"/>
      <c r="C324" s="65"/>
      <c r="D324" s="55"/>
      <c r="E324" s="65"/>
      <c r="F324" s="166"/>
      <c r="G324" s="167"/>
      <c r="H324" s="166"/>
      <c r="I324" s="72"/>
      <c r="J324" s="55"/>
      <c r="K324" s="72"/>
      <c r="L324" s="55"/>
      <c r="M324" s="174"/>
      <c r="N324" s="73" t="str">
        <f>IF(ISBLANK(C324),"",_xlfn.IFNA(INDEX(inbound_data[],MATCH(Outbound_data[[#This Row],[STOCK CODE OUT]],Generated_Stockcode,0),10),""))</f>
        <v/>
      </c>
      <c r="O324" s="73" t="str">
        <f>IF(ISBLANK(C324),"",_xlfn.IFNA(INDEX(inbound_data[],MATCH(Outbound_data[[#This Row],[STOCK CODE OUT]],Generated_Stockcode,0),12),""))</f>
        <v/>
      </c>
      <c r="P324" s="73" t="str">
        <f>IF(ISBLANK(C324),"",_xlfn.IFNA(INDEX(inbound_data[],MATCH(Outbound_data[[#This Row],[STOCK CODE OUT]],Generated_Stockcode,0),23),""))</f>
        <v/>
      </c>
      <c r="Q324" s="73" t="str">
        <f>IF(ISBLANK(C324),"",_xlfn.IFNA(INDEX(inbound_data[],MATCH(Outbound_data[[#This Row],[STOCK CODE OUT]],Generated_Stockcode,0),13),""))</f>
        <v/>
      </c>
    </row>
    <row r="325" spans="2:17" x14ac:dyDescent="0.25">
      <c r="B325" s="71"/>
      <c r="C325" s="65"/>
      <c r="D325" s="55"/>
      <c r="E325" s="65"/>
      <c r="F325" s="166"/>
      <c r="G325" s="167"/>
      <c r="H325" s="166"/>
      <c r="I325" s="72"/>
      <c r="J325" s="55"/>
      <c r="K325" s="72"/>
      <c r="L325" s="55"/>
      <c r="M325" s="174"/>
      <c r="N325" s="73" t="str">
        <f>IF(ISBLANK(C325),"",_xlfn.IFNA(INDEX(inbound_data[],MATCH(Outbound_data[[#This Row],[STOCK CODE OUT]],Generated_Stockcode,0),10),""))</f>
        <v/>
      </c>
      <c r="O325" s="73" t="str">
        <f>IF(ISBLANK(C325),"",_xlfn.IFNA(INDEX(inbound_data[],MATCH(Outbound_data[[#This Row],[STOCK CODE OUT]],Generated_Stockcode,0),12),""))</f>
        <v/>
      </c>
      <c r="P325" s="73" t="str">
        <f>IF(ISBLANK(C325),"",_xlfn.IFNA(INDEX(inbound_data[],MATCH(Outbound_data[[#This Row],[STOCK CODE OUT]],Generated_Stockcode,0),23),""))</f>
        <v/>
      </c>
      <c r="Q325" s="73" t="str">
        <f>IF(ISBLANK(C325),"",_xlfn.IFNA(INDEX(inbound_data[],MATCH(Outbound_data[[#This Row],[STOCK CODE OUT]],Generated_Stockcode,0),13),""))</f>
        <v/>
      </c>
    </row>
    <row r="326" spans="2:17" x14ac:dyDescent="0.25">
      <c r="B326" s="71"/>
      <c r="C326" s="65"/>
      <c r="D326" s="55"/>
      <c r="E326" s="65"/>
      <c r="F326" s="166"/>
      <c r="G326" s="167"/>
      <c r="H326" s="166"/>
      <c r="I326" s="72"/>
      <c r="J326" s="55"/>
      <c r="K326" s="72"/>
      <c r="L326" s="55"/>
      <c r="M326" s="174"/>
      <c r="N326" s="73" t="str">
        <f>IF(ISBLANK(C326),"",_xlfn.IFNA(INDEX(inbound_data[],MATCH(Outbound_data[[#This Row],[STOCK CODE OUT]],Generated_Stockcode,0),10),""))</f>
        <v/>
      </c>
      <c r="O326" s="73" t="str">
        <f>IF(ISBLANK(C326),"",_xlfn.IFNA(INDEX(inbound_data[],MATCH(Outbound_data[[#This Row],[STOCK CODE OUT]],Generated_Stockcode,0),12),""))</f>
        <v/>
      </c>
      <c r="P326" s="73" t="str">
        <f>IF(ISBLANK(C326),"",_xlfn.IFNA(INDEX(inbound_data[],MATCH(Outbound_data[[#This Row],[STOCK CODE OUT]],Generated_Stockcode,0),23),""))</f>
        <v/>
      </c>
      <c r="Q326" s="73" t="str">
        <f>IF(ISBLANK(C326),"",_xlfn.IFNA(INDEX(inbound_data[],MATCH(Outbound_data[[#This Row],[STOCK CODE OUT]],Generated_Stockcode,0),13),""))</f>
        <v/>
      </c>
    </row>
    <row r="327" spans="2:17" x14ac:dyDescent="0.25">
      <c r="B327" s="71"/>
      <c r="C327" s="65"/>
      <c r="D327" s="55"/>
      <c r="E327" s="65"/>
      <c r="F327" s="166"/>
      <c r="G327" s="167"/>
      <c r="H327" s="166"/>
      <c r="I327" s="72"/>
      <c r="J327" s="55"/>
      <c r="K327" s="72"/>
      <c r="L327" s="55"/>
      <c r="M327" s="174"/>
      <c r="N327" s="73" t="str">
        <f>IF(ISBLANK(C327),"",_xlfn.IFNA(INDEX(inbound_data[],MATCH(Outbound_data[[#This Row],[STOCK CODE OUT]],Generated_Stockcode,0),10),""))</f>
        <v/>
      </c>
      <c r="O327" s="73" t="str">
        <f>IF(ISBLANK(C327),"",_xlfn.IFNA(INDEX(inbound_data[],MATCH(Outbound_data[[#This Row],[STOCK CODE OUT]],Generated_Stockcode,0),12),""))</f>
        <v/>
      </c>
      <c r="P327" s="73" t="str">
        <f>IF(ISBLANK(C327),"",_xlfn.IFNA(INDEX(inbound_data[],MATCH(Outbound_data[[#This Row],[STOCK CODE OUT]],Generated_Stockcode,0),23),""))</f>
        <v/>
      </c>
      <c r="Q327" s="73" t="str">
        <f>IF(ISBLANK(C327),"",_xlfn.IFNA(INDEX(inbound_data[],MATCH(Outbound_data[[#This Row],[STOCK CODE OUT]],Generated_Stockcode,0),13),""))</f>
        <v/>
      </c>
    </row>
    <row r="328" spans="2:17" x14ac:dyDescent="0.25">
      <c r="B328" s="71"/>
      <c r="C328" s="65"/>
      <c r="D328" s="55"/>
      <c r="E328" s="65"/>
      <c r="F328" s="166"/>
      <c r="G328" s="167"/>
      <c r="H328" s="166"/>
      <c r="I328" s="72"/>
      <c r="J328" s="55"/>
      <c r="K328" s="72"/>
      <c r="L328" s="55"/>
      <c r="M328" s="174"/>
      <c r="N328" s="73" t="str">
        <f>IF(ISBLANK(C328),"",_xlfn.IFNA(INDEX(inbound_data[],MATCH(Outbound_data[[#This Row],[STOCK CODE OUT]],Generated_Stockcode,0),10),""))</f>
        <v/>
      </c>
      <c r="O328" s="73" t="str">
        <f>IF(ISBLANK(C328),"",_xlfn.IFNA(INDEX(inbound_data[],MATCH(Outbound_data[[#This Row],[STOCK CODE OUT]],Generated_Stockcode,0),12),""))</f>
        <v/>
      </c>
      <c r="P328" s="73" t="str">
        <f>IF(ISBLANK(C328),"",_xlfn.IFNA(INDEX(inbound_data[],MATCH(Outbound_data[[#This Row],[STOCK CODE OUT]],Generated_Stockcode,0),23),""))</f>
        <v/>
      </c>
      <c r="Q328" s="73" t="str">
        <f>IF(ISBLANK(C328),"",_xlfn.IFNA(INDEX(inbound_data[],MATCH(Outbound_data[[#This Row],[STOCK CODE OUT]],Generated_Stockcode,0),13),""))</f>
        <v/>
      </c>
    </row>
    <row r="329" spans="2:17" x14ac:dyDescent="0.25">
      <c r="B329" s="71"/>
      <c r="C329" s="65"/>
      <c r="D329" s="55"/>
      <c r="E329" s="65"/>
      <c r="F329" s="166"/>
      <c r="G329" s="167"/>
      <c r="H329" s="166"/>
      <c r="I329" s="72"/>
      <c r="J329" s="55"/>
      <c r="K329" s="72"/>
      <c r="L329" s="55"/>
      <c r="M329" s="174"/>
      <c r="N329" s="73" t="str">
        <f>IF(ISBLANK(C329),"",_xlfn.IFNA(INDEX(inbound_data[],MATCH(Outbound_data[[#This Row],[STOCK CODE OUT]],Generated_Stockcode,0),10),""))</f>
        <v/>
      </c>
      <c r="O329" s="73" t="str">
        <f>IF(ISBLANK(C329),"",_xlfn.IFNA(INDEX(inbound_data[],MATCH(Outbound_data[[#This Row],[STOCK CODE OUT]],Generated_Stockcode,0),12),""))</f>
        <v/>
      </c>
      <c r="P329" s="73" t="str">
        <f>IF(ISBLANK(C329),"",_xlfn.IFNA(INDEX(inbound_data[],MATCH(Outbound_data[[#This Row],[STOCK CODE OUT]],Generated_Stockcode,0),23),""))</f>
        <v/>
      </c>
      <c r="Q329" s="73" t="str">
        <f>IF(ISBLANK(C329),"",_xlfn.IFNA(INDEX(inbound_data[],MATCH(Outbound_data[[#This Row],[STOCK CODE OUT]],Generated_Stockcode,0),13),""))</f>
        <v/>
      </c>
    </row>
    <row r="330" spans="2:17" x14ac:dyDescent="0.25">
      <c r="B330" s="71"/>
      <c r="C330" s="65"/>
      <c r="D330" s="55"/>
      <c r="E330" s="65"/>
      <c r="F330" s="166"/>
      <c r="G330" s="167"/>
      <c r="H330" s="166"/>
      <c r="I330" s="72"/>
      <c r="J330" s="55"/>
      <c r="K330" s="72"/>
      <c r="L330" s="55"/>
      <c r="M330" s="174"/>
      <c r="N330" s="73" t="str">
        <f>IF(ISBLANK(C330),"",_xlfn.IFNA(INDEX(inbound_data[],MATCH(Outbound_data[[#This Row],[STOCK CODE OUT]],Generated_Stockcode,0),10),""))</f>
        <v/>
      </c>
      <c r="O330" s="73" t="str">
        <f>IF(ISBLANK(C330),"",_xlfn.IFNA(INDEX(inbound_data[],MATCH(Outbound_data[[#This Row],[STOCK CODE OUT]],Generated_Stockcode,0),12),""))</f>
        <v/>
      </c>
      <c r="P330" s="73" t="str">
        <f>IF(ISBLANK(C330),"",_xlfn.IFNA(INDEX(inbound_data[],MATCH(Outbound_data[[#This Row],[STOCK CODE OUT]],Generated_Stockcode,0),23),""))</f>
        <v/>
      </c>
      <c r="Q330" s="73" t="str">
        <f>IF(ISBLANK(C330),"",_xlfn.IFNA(INDEX(inbound_data[],MATCH(Outbound_data[[#This Row],[STOCK CODE OUT]],Generated_Stockcode,0),13),""))</f>
        <v/>
      </c>
    </row>
    <row r="331" spans="2:17" x14ac:dyDescent="0.25">
      <c r="B331" s="71"/>
      <c r="C331" s="65"/>
      <c r="D331" s="55"/>
      <c r="E331" s="65"/>
      <c r="F331" s="166"/>
      <c r="G331" s="167"/>
      <c r="H331" s="166"/>
      <c r="I331" s="72"/>
      <c r="J331" s="55"/>
      <c r="K331" s="72"/>
      <c r="L331" s="55"/>
      <c r="M331" s="174"/>
      <c r="N331" s="73" t="str">
        <f>IF(ISBLANK(C331),"",_xlfn.IFNA(INDEX(inbound_data[],MATCH(Outbound_data[[#This Row],[STOCK CODE OUT]],Generated_Stockcode,0),10),""))</f>
        <v/>
      </c>
      <c r="O331" s="73" t="str">
        <f>IF(ISBLANK(C331),"",_xlfn.IFNA(INDEX(inbound_data[],MATCH(Outbound_data[[#This Row],[STOCK CODE OUT]],Generated_Stockcode,0),12),""))</f>
        <v/>
      </c>
      <c r="P331" s="73" t="str">
        <f>IF(ISBLANK(C331),"",_xlfn.IFNA(INDEX(inbound_data[],MATCH(Outbound_data[[#This Row],[STOCK CODE OUT]],Generated_Stockcode,0),23),""))</f>
        <v/>
      </c>
      <c r="Q331" s="73" t="str">
        <f>IF(ISBLANK(C331),"",_xlfn.IFNA(INDEX(inbound_data[],MATCH(Outbound_data[[#This Row],[STOCK CODE OUT]],Generated_Stockcode,0),13),""))</f>
        <v/>
      </c>
    </row>
    <row r="332" spans="2:17" x14ac:dyDescent="0.25">
      <c r="B332" s="71"/>
      <c r="C332" s="65"/>
      <c r="D332" s="55"/>
      <c r="E332" s="65"/>
      <c r="F332" s="166"/>
      <c r="G332" s="167"/>
      <c r="H332" s="166"/>
      <c r="I332" s="72"/>
      <c r="J332" s="55"/>
      <c r="K332" s="72"/>
      <c r="L332" s="55"/>
      <c r="M332" s="174"/>
      <c r="N332" s="73" t="str">
        <f>IF(ISBLANK(C332),"",_xlfn.IFNA(INDEX(inbound_data[],MATCH(Outbound_data[[#This Row],[STOCK CODE OUT]],Generated_Stockcode,0),10),""))</f>
        <v/>
      </c>
      <c r="O332" s="73" t="str">
        <f>IF(ISBLANK(C332),"",_xlfn.IFNA(INDEX(inbound_data[],MATCH(Outbound_data[[#This Row],[STOCK CODE OUT]],Generated_Stockcode,0),12),""))</f>
        <v/>
      </c>
      <c r="P332" s="73" t="str">
        <f>IF(ISBLANK(C332),"",_xlfn.IFNA(INDEX(inbound_data[],MATCH(Outbound_data[[#This Row],[STOCK CODE OUT]],Generated_Stockcode,0),23),""))</f>
        <v/>
      </c>
      <c r="Q332" s="73" t="str">
        <f>IF(ISBLANK(C332),"",_xlfn.IFNA(INDEX(inbound_data[],MATCH(Outbound_data[[#This Row],[STOCK CODE OUT]],Generated_Stockcode,0),13),""))</f>
        <v/>
      </c>
    </row>
    <row r="333" spans="2:17" x14ac:dyDescent="0.25">
      <c r="B333" s="71"/>
      <c r="C333" s="65"/>
      <c r="D333" s="55"/>
      <c r="E333" s="65"/>
      <c r="F333" s="166"/>
      <c r="G333" s="167"/>
      <c r="H333" s="166"/>
      <c r="I333" s="72"/>
      <c r="J333" s="55"/>
      <c r="K333" s="72"/>
      <c r="L333" s="55"/>
      <c r="M333" s="174"/>
      <c r="N333" s="73" t="str">
        <f>IF(ISBLANK(C333),"",_xlfn.IFNA(INDEX(inbound_data[],MATCH(Outbound_data[[#This Row],[STOCK CODE OUT]],Generated_Stockcode,0),10),""))</f>
        <v/>
      </c>
      <c r="O333" s="73" t="str">
        <f>IF(ISBLANK(C333),"",_xlfn.IFNA(INDEX(inbound_data[],MATCH(Outbound_data[[#This Row],[STOCK CODE OUT]],Generated_Stockcode,0),12),""))</f>
        <v/>
      </c>
      <c r="P333" s="73" t="str">
        <f>IF(ISBLANK(C333),"",_xlfn.IFNA(INDEX(inbound_data[],MATCH(Outbound_data[[#This Row],[STOCK CODE OUT]],Generated_Stockcode,0),23),""))</f>
        <v/>
      </c>
      <c r="Q333" s="73" t="str">
        <f>IF(ISBLANK(C333),"",_xlfn.IFNA(INDEX(inbound_data[],MATCH(Outbound_data[[#This Row],[STOCK CODE OUT]],Generated_Stockcode,0),13),""))</f>
        <v/>
      </c>
    </row>
    <row r="334" spans="2:17" x14ac:dyDescent="0.25">
      <c r="B334" s="71"/>
      <c r="C334" s="65"/>
      <c r="D334" s="55"/>
      <c r="E334" s="65"/>
      <c r="F334" s="166"/>
      <c r="G334" s="167"/>
      <c r="H334" s="166"/>
      <c r="I334" s="72"/>
      <c r="J334" s="55"/>
      <c r="K334" s="72"/>
      <c r="L334" s="55"/>
      <c r="M334" s="174"/>
      <c r="N334" s="73" t="str">
        <f>IF(ISBLANK(C334),"",_xlfn.IFNA(INDEX(inbound_data[],MATCH(Outbound_data[[#This Row],[STOCK CODE OUT]],Generated_Stockcode,0),10),""))</f>
        <v/>
      </c>
      <c r="O334" s="73" t="str">
        <f>IF(ISBLANK(C334),"",_xlfn.IFNA(INDEX(inbound_data[],MATCH(Outbound_data[[#This Row],[STOCK CODE OUT]],Generated_Stockcode,0),12),""))</f>
        <v/>
      </c>
      <c r="P334" s="73" t="str">
        <f>IF(ISBLANK(C334),"",_xlfn.IFNA(INDEX(inbound_data[],MATCH(Outbound_data[[#This Row],[STOCK CODE OUT]],Generated_Stockcode,0),23),""))</f>
        <v/>
      </c>
      <c r="Q334" s="73" t="str">
        <f>IF(ISBLANK(C334),"",_xlfn.IFNA(INDEX(inbound_data[],MATCH(Outbound_data[[#This Row],[STOCK CODE OUT]],Generated_Stockcode,0),13),""))</f>
        <v/>
      </c>
    </row>
    <row r="335" spans="2:17" x14ac:dyDescent="0.25">
      <c r="B335" s="71"/>
      <c r="C335" s="65"/>
      <c r="D335" s="55"/>
      <c r="E335" s="65"/>
      <c r="F335" s="166"/>
      <c r="G335" s="167"/>
      <c r="H335" s="166"/>
      <c r="I335" s="72"/>
      <c r="J335" s="55"/>
      <c r="K335" s="72"/>
      <c r="L335" s="55"/>
      <c r="M335" s="174"/>
      <c r="N335" s="73" t="str">
        <f>IF(ISBLANK(C335),"",_xlfn.IFNA(INDEX(inbound_data[],MATCH(Outbound_data[[#This Row],[STOCK CODE OUT]],Generated_Stockcode,0),10),""))</f>
        <v/>
      </c>
      <c r="O335" s="73" t="str">
        <f>IF(ISBLANK(C335),"",_xlfn.IFNA(INDEX(inbound_data[],MATCH(Outbound_data[[#This Row],[STOCK CODE OUT]],Generated_Stockcode,0),12),""))</f>
        <v/>
      </c>
      <c r="P335" s="73" t="str">
        <f>IF(ISBLANK(C335),"",_xlfn.IFNA(INDEX(inbound_data[],MATCH(Outbound_data[[#This Row],[STOCK CODE OUT]],Generated_Stockcode,0),23),""))</f>
        <v/>
      </c>
      <c r="Q335" s="73" t="str">
        <f>IF(ISBLANK(C335),"",_xlfn.IFNA(INDEX(inbound_data[],MATCH(Outbound_data[[#This Row],[STOCK CODE OUT]],Generated_Stockcode,0),13),""))</f>
        <v/>
      </c>
    </row>
    <row r="336" spans="2:17" x14ac:dyDescent="0.25">
      <c r="B336" s="71"/>
      <c r="C336" s="65"/>
      <c r="D336" s="55"/>
      <c r="E336" s="65"/>
      <c r="F336" s="166"/>
      <c r="G336" s="167"/>
      <c r="H336" s="166"/>
      <c r="I336" s="72"/>
      <c r="J336" s="55"/>
      <c r="K336" s="72"/>
      <c r="L336" s="55"/>
      <c r="M336" s="174"/>
      <c r="N336" s="73" t="str">
        <f>IF(ISBLANK(C336),"",_xlfn.IFNA(INDEX(inbound_data[],MATCH(Outbound_data[[#This Row],[STOCK CODE OUT]],Generated_Stockcode,0),10),""))</f>
        <v/>
      </c>
      <c r="O336" s="73" t="str">
        <f>IF(ISBLANK(C336),"",_xlfn.IFNA(INDEX(inbound_data[],MATCH(Outbound_data[[#This Row],[STOCK CODE OUT]],Generated_Stockcode,0),12),""))</f>
        <v/>
      </c>
      <c r="P336" s="73" t="str">
        <f>IF(ISBLANK(C336),"",_xlfn.IFNA(INDEX(inbound_data[],MATCH(Outbound_data[[#This Row],[STOCK CODE OUT]],Generated_Stockcode,0),23),""))</f>
        <v/>
      </c>
      <c r="Q336" s="73" t="str">
        <f>IF(ISBLANK(C336),"",_xlfn.IFNA(INDEX(inbound_data[],MATCH(Outbound_data[[#This Row],[STOCK CODE OUT]],Generated_Stockcode,0),13),""))</f>
        <v/>
      </c>
    </row>
    <row r="337" spans="2:17" x14ac:dyDescent="0.25">
      <c r="B337" s="71"/>
      <c r="C337" s="65"/>
      <c r="D337" s="55"/>
      <c r="E337" s="65"/>
      <c r="F337" s="166"/>
      <c r="G337" s="167"/>
      <c r="H337" s="166"/>
      <c r="I337" s="72"/>
      <c r="J337" s="55"/>
      <c r="K337" s="72"/>
      <c r="L337" s="55"/>
      <c r="M337" s="174"/>
      <c r="N337" s="73" t="str">
        <f>IF(ISBLANK(C337),"",_xlfn.IFNA(INDEX(inbound_data[],MATCH(Outbound_data[[#This Row],[STOCK CODE OUT]],Generated_Stockcode,0),10),""))</f>
        <v/>
      </c>
      <c r="O337" s="73" t="str">
        <f>IF(ISBLANK(C337),"",_xlfn.IFNA(INDEX(inbound_data[],MATCH(Outbound_data[[#This Row],[STOCK CODE OUT]],Generated_Stockcode,0),12),""))</f>
        <v/>
      </c>
      <c r="P337" s="73" t="str">
        <f>IF(ISBLANK(C337),"",_xlfn.IFNA(INDEX(inbound_data[],MATCH(Outbound_data[[#This Row],[STOCK CODE OUT]],Generated_Stockcode,0),23),""))</f>
        <v/>
      </c>
      <c r="Q337" s="73" t="str">
        <f>IF(ISBLANK(C337),"",_xlfn.IFNA(INDEX(inbound_data[],MATCH(Outbound_data[[#This Row],[STOCK CODE OUT]],Generated_Stockcode,0),13),""))</f>
        <v/>
      </c>
    </row>
    <row r="338" spans="2:17" x14ac:dyDescent="0.25">
      <c r="B338" s="71"/>
      <c r="C338" s="65"/>
      <c r="D338" s="55"/>
      <c r="E338" s="65"/>
      <c r="F338" s="166"/>
      <c r="G338" s="167"/>
      <c r="H338" s="166"/>
      <c r="I338" s="72"/>
      <c r="J338" s="55"/>
      <c r="K338" s="72"/>
      <c r="L338" s="55"/>
      <c r="M338" s="174"/>
      <c r="N338" s="73" t="str">
        <f>IF(ISBLANK(C338),"",_xlfn.IFNA(INDEX(inbound_data[],MATCH(Outbound_data[[#This Row],[STOCK CODE OUT]],Generated_Stockcode,0),10),""))</f>
        <v/>
      </c>
      <c r="O338" s="73" t="str">
        <f>IF(ISBLANK(C338),"",_xlfn.IFNA(INDEX(inbound_data[],MATCH(Outbound_data[[#This Row],[STOCK CODE OUT]],Generated_Stockcode,0),12),""))</f>
        <v/>
      </c>
      <c r="P338" s="73" t="str">
        <f>IF(ISBLANK(C338),"",_xlfn.IFNA(INDEX(inbound_data[],MATCH(Outbound_data[[#This Row],[STOCK CODE OUT]],Generated_Stockcode,0),23),""))</f>
        <v/>
      </c>
      <c r="Q338" s="73" t="str">
        <f>IF(ISBLANK(C338),"",_xlfn.IFNA(INDEX(inbound_data[],MATCH(Outbound_data[[#This Row],[STOCK CODE OUT]],Generated_Stockcode,0),13),""))</f>
        <v/>
      </c>
    </row>
    <row r="339" spans="2:17" x14ac:dyDescent="0.25">
      <c r="B339" s="71"/>
      <c r="C339" s="65"/>
      <c r="D339" s="55"/>
      <c r="E339" s="65"/>
      <c r="F339" s="166"/>
      <c r="G339" s="167"/>
      <c r="H339" s="166"/>
      <c r="I339" s="72"/>
      <c r="J339" s="55"/>
      <c r="K339" s="72"/>
      <c r="L339" s="55"/>
      <c r="M339" s="174"/>
      <c r="N339" s="73" t="str">
        <f>IF(ISBLANK(C339),"",_xlfn.IFNA(INDEX(inbound_data[],MATCH(Outbound_data[[#This Row],[STOCK CODE OUT]],Generated_Stockcode,0),10),""))</f>
        <v/>
      </c>
      <c r="O339" s="73" t="str">
        <f>IF(ISBLANK(C339),"",_xlfn.IFNA(INDEX(inbound_data[],MATCH(Outbound_data[[#This Row],[STOCK CODE OUT]],Generated_Stockcode,0),12),""))</f>
        <v/>
      </c>
      <c r="P339" s="73" t="str">
        <f>IF(ISBLANK(C339),"",_xlfn.IFNA(INDEX(inbound_data[],MATCH(Outbound_data[[#This Row],[STOCK CODE OUT]],Generated_Stockcode,0),23),""))</f>
        <v/>
      </c>
      <c r="Q339" s="73" t="str">
        <f>IF(ISBLANK(C339),"",_xlfn.IFNA(INDEX(inbound_data[],MATCH(Outbound_data[[#This Row],[STOCK CODE OUT]],Generated_Stockcode,0),13),""))</f>
        <v/>
      </c>
    </row>
    <row r="340" spans="2:17" x14ac:dyDescent="0.25">
      <c r="B340" s="71"/>
      <c r="C340" s="65"/>
      <c r="D340" s="55"/>
      <c r="E340" s="65"/>
      <c r="F340" s="166"/>
      <c r="G340" s="167"/>
      <c r="H340" s="166"/>
      <c r="I340" s="72"/>
      <c r="J340" s="55"/>
      <c r="K340" s="72"/>
      <c r="L340" s="55"/>
      <c r="M340" s="174"/>
      <c r="N340" s="73" t="str">
        <f>IF(ISBLANK(C340),"",_xlfn.IFNA(INDEX(inbound_data[],MATCH(Outbound_data[[#This Row],[STOCK CODE OUT]],Generated_Stockcode,0),10),""))</f>
        <v/>
      </c>
      <c r="O340" s="73" t="str">
        <f>IF(ISBLANK(C340),"",_xlfn.IFNA(INDEX(inbound_data[],MATCH(Outbound_data[[#This Row],[STOCK CODE OUT]],Generated_Stockcode,0),12),""))</f>
        <v/>
      </c>
      <c r="P340" s="73" t="str">
        <f>IF(ISBLANK(C340),"",_xlfn.IFNA(INDEX(inbound_data[],MATCH(Outbound_data[[#This Row],[STOCK CODE OUT]],Generated_Stockcode,0),23),""))</f>
        <v/>
      </c>
      <c r="Q340" s="73" t="str">
        <f>IF(ISBLANK(C340),"",_xlfn.IFNA(INDEX(inbound_data[],MATCH(Outbound_data[[#This Row],[STOCK CODE OUT]],Generated_Stockcode,0),13),""))</f>
        <v/>
      </c>
    </row>
    <row r="341" spans="2:17" x14ac:dyDescent="0.25">
      <c r="B341" s="71"/>
      <c r="C341" s="65"/>
      <c r="D341" s="55"/>
      <c r="E341" s="65"/>
      <c r="F341" s="166"/>
      <c r="G341" s="167"/>
      <c r="H341" s="166"/>
      <c r="I341" s="72"/>
      <c r="J341" s="55"/>
      <c r="K341" s="72"/>
      <c r="L341" s="55"/>
      <c r="M341" s="174"/>
      <c r="N341" s="73" t="str">
        <f>IF(ISBLANK(C341),"",_xlfn.IFNA(INDEX(inbound_data[],MATCH(Outbound_data[[#This Row],[STOCK CODE OUT]],Generated_Stockcode,0),10),""))</f>
        <v/>
      </c>
      <c r="O341" s="73" t="str">
        <f>IF(ISBLANK(C341),"",_xlfn.IFNA(INDEX(inbound_data[],MATCH(Outbound_data[[#This Row],[STOCK CODE OUT]],Generated_Stockcode,0),12),""))</f>
        <v/>
      </c>
      <c r="P341" s="73" t="str">
        <f>IF(ISBLANK(C341),"",_xlfn.IFNA(INDEX(inbound_data[],MATCH(Outbound_data[[#This Row],[STOCK CODE OUT]],Generated_Stockcode,0),23),""))</f>
        <v/>
      </c>
      <c r="Q341" s="73" t="str">
        <f>IF(ISBLANK(C341),"",_xlfn.IFNA(INDEX(inbound_data[],MATCH(Outbound_data[[#This Row],[STOCK CODE OUT]],Generated_Stockcode,0),13),""))</f>
        <v/>
      </c>
    </row>
    <row r="342" spans="2:17" x14ac:dyDescent="0.25">
      <c r="B342" s="71"/>
      <c r="C342" s="65"/>
      <c r="D342" s="55"/>
      <c r="E342" s="65"/>
      <c r="F342" s="166"/>
      <c r="G342" s="167"/>
      <c r="H342" s="166"/>
      <c r="I342" s="72"/>
      <c r="J342" s="55"/>
      <c r="K342" s="72"/>
      <c r="L342" s="55"/>
      <c r="M342" s="174"/>
      <c r="N342" s="73" t="str">
        <f>IF(ISBLANK(C342),"",_xlfn.IFNA(INDEX(inbound_data[],MATCH(Outbound_data[[#This Row],[STOCK CODE OUT]],Generated_Stockcode,0),10),""))</f>
        <v/>
      </c>
      <c r="O342" s="73" t="str">
        <f>IF(ISBLANK(C342),"",_xlfn.IFNA(INDEX(inbound_data[],MATCH(Outbound_data[[#This Row],[STOCK CODE OUT]],Generated_Stockcode,0),12),""))</f>
        <v/>
      </c>
      <c r="P342" s="73" t="str">
        <f>IF(ISBLANK(C342),"",_xlfn.IFNA(INDEX(inbound_data[],MATCH(Outbound_data[[#This Row],[STOCK CODE OUT]],Generated_Stockcode,0),23),""))</f>
        <v/>
      </c>
      <c r="Q342" s="73" t="str">
        <f>IF(ISBLANK(C342),"",_xlfn.IFNA(INDEX(inbound_data[],MATCH(Outbound_data[[#This Row],[STOCK CODE OUT]],Generated_Stockcode,0),13),""))</f>
        <v/>
      </c>
    </row>
    <row r="343" spans="2:17" x14ac:dyDescent="0.25">
      <c r="B343" s="71"/>
      <c r="C343" s="65"/>
      <c r="D343" s="55"/>
      <c r="E343" s="65"/>
      <c r="F343" s="166"/>
      <c r="G343" s="167"/>
      <c r="H343" s="166"/>
      <c r="I343" s="72"/>
      <c r="J343" s="55"/>
      <c r="K343" s="72"/>
      <c r="L343" s="55"/>
      <c r="M343" s="174"/>
      <c r="N343" s="73" t="str">
        <f>IF(ISBLANK(C343),"",_xlfn.IFNA(INDEX(inbound_data[],MATCH(Outbound_data[[#This Row],[STOCK CODE OUT]],Generated_Stockcode,0),10),""))</f>
        <v/>
      </c>
      <c r="O343" s="73" t="str">
        <f>IF(ISBLANK(C343),"",_xlfn.IFNA(INDEX(inbound_data[],MATCH(Outbound_data[[#This Row],[STOCK CODE OUT]],Generated_Stockcode,0),12),""))</f>
        <v/>
      </c>
      <c r="P343" s="73" t="str">
        <f>IF(ISBLANK(C343),"",_xlfn.IFNA(INDEX(inbound_data[],MATCH(Outbound_data[[#This Row],[STOCK CODE OUT]],Generated_Stockcode,0),23),""))</f>
        <v/>
      </c>
      <c r="Q343" s="73" t="str">
        <f>IF(ISBLANK(C343),"",_xlfn.IFNA(INDEX(inbound_data[],MATCH(Outbound_data[[#This Row],[STOCK CODE OUT]],Generated_Stockcode,0),13),""))</f>
        <v/>
      </c>
    </row>
    <row r="344" spans="2:17" x14ac:dyDescent="0.25">
      <c r="B344" s="71"/>
      <c r="C344" s="65"/>
      <c r="D344" s="55"/>
      <c r="E344" s="65"/>
      <c r="F344" s="166"/>
      <c r="G344" s="167"/>
      <c r="H344" s="166"/>
      <c r="I344" s="72"/>
      <c r="J344" s="55"/>
      <c r="K344" s="72"/>
      <c r="L344" s="55"/>
      <c r="M344" s="174"/>
      <c r="N344" s="73" t="str">
        <f>IF(ISBLANK(C344),"",_xlfn.IFNA(INDEX(inbound_data[],MATCH(Outbound_data[[#This Row],[STOCK CODE OUT]],Generated_Stockcode,0),10),""))</f>
        <v/>
      </c>
      <c r="O344" s="73" t="str">
        <f>IF(ISBLANK(C344),"",_xlfn.IFNA(INDEX(inbound_data[],MATCH(Outbound_data[[#This Row],[STOCK CODE OUT]],Generated_Stockcode,0),12),""))</f>
        <v/>
      </c>
      <c r="P344" s="73" t="str">
        <f>IF(ISBLANK(C344),"",_xlfn.IFNA(INDEX(inbound_data[],MATCH(Outbound_data[[#This Row],[STOCK CODE OUT]],Generated_Stockcode,0),23),""))</f>
        <v/>
      </c>
      <c r="Q344" s="73" t="str">
        <f>IF(ISBLANK(C344),"",_xlfn.IFNA(INDEX(inbound_data[],MATCH(Outbound_data[[#This Row],[STOCK CODE OUT]],Generated_Stockcode,0),13),""))</f>
        <v/>
      </c>
    </row>
    <row r="345" spans="2:17" x14ac:dyDescent="0.25">
      <c r="B345" s="71"/>
      <c r="C345" s="65"/>
      <c r="D345" s="55"/>
      <c r="E345" s="65"/>
      <c r="F345" s="166"/>
      <c r="G345" s="167"/>
      <c r="H345" s="166"/>
      <c r="I345" s="72"/>
      <c r="J345" s="55"/>
      <c r="K345" s="72"/>
      <c r="L345" s="55"/>
      <c r="M345" s="174"/>
      <c r="N345" s="73" t="str">
        <f>IF(ISBLANK(C345),"",_xlfn.IFNA(INDEX(inbound_data[],MATCH(Outbound_data[[#This Row],[STOCK CODE OUT]],Generated_Stockcode,0),10),""))</f>
        <v/>
      </c>
      <c r="O345" s="73" t="str">
        <f>IF(ISBLANK(C345),"",_xlfn.IFNA(INDEX(inbound_data[],MATCH(Outbound_data[[#This Row],[STOCK CODE OUT]],Generated_Stockcode,0),12),""))</f>
        <v/>
      </c>
      <c r="P345" s="73" t="str">
        <f>IF(ISBLANK(C345),"",_xlfn.IFNA(INDEX(inbound_data[],MATCH(Outbound_data[[#This Row],[STOCK CODE OUT]],Generated_Stockcode,0),23),""))</f>
        <v/>
      </c>
      <c r="Q345" s="73" t="str">
        <f>IF(ISBLANK(C345),"",_xlfn.IFNA(INDEX(inbound_data[],MATCH(Outbound_data[[#This Row],[STOCK CODE OUT]],Generated_Stockcode,0),13),""))</f>
        <v/>
      </c>
    </row>
    <row r="346" spans="2:17" x14ac:dyDescent="0.25">
      <c r="B346" s="71"/>
      <c r="C346" s="65"/>
      <c r="D346" s="55"/>
      <c r="E346" s="65"/>
      <c r="F346" s="166"/>
      <c r="G346" s="167"/>
      <c r="H346" s="166"/>
      <c r="I346" s="72"/>
      <c r="J346" s="55"/>
      <c r="K346" s="72"/>
      <c r="L346" s="55"/>
      <c r="M346" s="174"/>
      <c r="N346" s="73" t="str">
        <f>IF(ISBLANK(C346),"",_xlfn.IFNA(INDEX(inbound_data[],MATCH(Outbound_data[[#This Row],[STOCK CODE OUT]],Generated_Stockcode,0),10),""))</f>
        <v/>
      </c>
      <c r="O346" s="73" t="str">
        <f>IF(ISBLANK(C346),"",_xlfn.IFNA(INDEX(inbound_data[],MATCH(Outbound_data[[#This Row],[STOCK CODE OUT]],Generated_Stockcode,0),12),""))</f>
        <v/>
      </c>
      <c r="P346" s="73" t="str">
        <f>IF(ISBLANK(C346),"",_xlfn.IFNA(INDEX(inbound_data[],MATCH(Outbound_data[[#This Row],[STOCK CODE OUT]],Generated_Stockcode,0),23),""))</f>
        <v/>
      </c>
      <c r="Q346" s="73" t="str">
        <f>IF(ISBLANK(C346),"",_xlfn.IFNA(INDEX(inbound_data[],MATCH(Outbound_data[[#This Row],[STOCK CODE OUT]],Generated_Stockcode,0),13),""))</f>
        <v/>
      </c>
    </row>
    <row r="347" spans="2:17" x14ac:dyDescent="0.25">
      <c r="B347" s="71"/>
      <c r="C347" s="65"/>
      <c r="D347" s="55"/>
      <c r="E347" s="65"/>
      <c r="F347" s="166"/>
      <c r="G347" s="167"/>
      <c r="H347" s="166"/>
      <c r="I347" s="72"/>
      <c r="J347" s="55"/>
      <c r="K347" s="72"/>
      <c r="L347" s="55"/>
      <c r="M347" s="174"/>
      <c r="N347" s="73" t="str">
        <f>IF(ISBLANK(C347),"",_xlfn.IFNA(INDEX(inbound_data[],MATCH(Outbound_data[[#This Row],[STOCK CODE OUT]],Generated_Stockcode,0),10),""))</f>
        <v/>
      </c>
      <c r="O347" s="73" t="str">
        <f>IF(ISBLANK(C347),"",_xlfn.IFNA(INDEX(inbound_data[],MATCH(Outbound_data[[#This Row],[STOCK CODE OUT]],Generated_Stockcode,0),12),""))</f>
        <v/>
      </c>
      <c r="P347" s="73" t="str">
        <f>IF(ISBLANK(C347),"",_xlfn.IFNA(INDEX(inbound_data[],MATCH(Outbound_data[[#This Row],[STOCK CODE OUT]],Generated_Stockcode,0),23),""))</f>
        <v/>
      </c>
      <c r="Q347" s="73" t="str">
        <f>IF(ISBLANK(C347),"",_xlfn.IFNA(INDEX(inbound_data[],MATCH(Outbound_data[[#This Row],[STOCK CODE OUT]],Generated_Stockcode,0),13),""))</f>
        <v/>
      </c>
    </row>
    <row r="348" spans="2:17" x14ac:dyDescent="0.25">
      <c r="B348" s="71"/>
      <c r="C348" s="65"/>
      <c r="D348" s="55"/>
      <c r="E348" s="65"/>
      <c r="F348" s="166"/>
      <c r="G348" s="167"/>
      <c r="H348" s="166"/>
      <c r="I348" s="72"/>
      <c r="J348" s="55"/>
      <c r="K348" s="72"/>
      <c r="L348" s="55"/>
      <c r="M348" s="174"/>
      <c r="N348" s="73" t="str">
        <f>IF(ISBLANK(C348),"",_xlfn.IFNA(INDEX(inbound_data[],MATCH(Outbound_data[[#This Row],[STOCK CODE OUT]],Generated_Stockcode,0),10),""))</f>
        <v/>
      </c>
      <c r="O348" s="73" t="str">
        <f>IF(ISBLANK(C348),"",_xlfn.IFNA(INDEX(inbound_data[],MATCH(Outbound_data[[#This Row],[STOCK CODE OUT]],Generated_Stockcode,0),12),""))</f>
        <v/>
      </c>
      <c r="P348" s="73" t="str">
        <f>IF(ISBLANK(C348),"",_xlfn.IFNA(INDEX(inbound_data[],MATCH(Outbound_data[[#This Row],[STOCK CODE OUT]],Generated_Stockcode,0),23),""))</f>
        <v/>
      </c>
      <c r="Q348" s="73" t="str">
        <f>IF(ISBLANK(C348),"",_xlfn.IFNA(INDEX(inbound_data[],MATCH(Outbound_data[[#This Row],[STOCK CODE OUT]],Generated_Stockcode,0),13),""))</f>
        <v/>
      </c>
    </row>
    <row r="349" spans="2:17" x14ac:dyDescent="0.25">
      <c r="B349" s="71"/>
      <c r="C349" s="65"/>
      <c r="D349" s="55"/>
      <c r="E349" s="65"/>
      <c r="F349" s="166"/>
      <c r="G349" s="167"/>
      <c r="H349" s="166"/>
      <c r="I349" s="72"/>
      <c r="J349" s="55"/>
      <c r="K349" s="72"/>
      <c r="L349" s="55"/>
      <c r="M349" s="174"/>
      <c r="N349" s="73" t="str">
        <f>IF(ISBLANK(C349),"",_xlfn.IFNA(INDEX(inbound_data[],MATCH(Outbound_data[[#This Row],[STOCK CODE OUT]],Generated_Stockcode,0),10),""))</f>
        <v/>
      </c>
      <c r="O349" s="73" t="str">
        <f>IF(ISBLANK(C349),"",_xlfn.IFNA(INDEX(inbound_data[],MATCH(Outbound_data[[#This Row],[STOCK CODE OUT]],Generated_Stockcode,0),12),""))</f>
        <v/>
      </c>
      <c r="P349" s="73" t="str">
        <f>IF(ISBLANK(C349),"",_xlfn.IFNA(INDEX(inbound_data[],MATCH(Outbound_data[[#This Row],[STOCK CODE OUT]],Generated_Stockcode,0),23),""))</f>
        <v/>
      </c>
      <c r="Q349" s="73" t="str">
        <f>IF(ISBLANK(C349),"",_xlfn.IFNA(INDEX(inbound_data[],MATCH(Outbound_data[[#This Row],[STOCK CODE OUT]],Generated_Stockcode,0),13),""))</f>
        <v/>
      </c>
    </row>
    <row r="350" spans="2:17" x14ac:dyDescent="0.25">
      <c r="B350" s="71"/>
      <c r="C350" s="65"/>
      <c r="D350" s="55"/>
      <c r="E350" s="65"/>
      <c r="F350" s="166"/>
      <c r="G350" s="167"/>
      <c r="H350" s="166"/>
      <c r="I350" s="72"/>
      <c r="J350" s="55"/>
      <c r="K350" s="72"/>
      <c r="L350" s="55"/>
      <c r="M350" s="174"/>
      <c r="N350" s="73" t="str">
        <f>IF(ISBLANK(C350),"",_xlfn.IFNA(INDEX(inbound_data[],MATCH(Outbound_data[[#This Row],[STOCK CODE OUT]],Generated_Stockcode,0),10),""))</f>
        <v/>
      </c>
      <c r="O350" s="73" t="str">
        <f>IF(ISBLANK(C350),"",_xlfn.IFNA(INDEX(inbound_data[],MATCH(Outbound_data[[#This Row],[STOCK CODE OUT]],Generated_Stockcode,0),12),""))</f>
        <v/>
      </c>
      <c r="P350" s="73" t="str">
        <f>IF(ISBLANK(C350),"",_xlfn.IFNA(INDEX(inbound_data[],MATCH(Outbound_data[[#This Row],[STOCK CODE OUT]],Generated_Stockcode,0),23),""))</f>
        <v/>
      </c>
      <c r="Q350" s="73" t="str">
        <f>IF(ISBLANK(C350),"",_xlfn.IFNA(INDEX(inbound_data[],MATCH(Outbound_data[[#This Row],[STOCK CODE OUT]],Generated_Stockcode,0),13),""))</f>
        <v/>
      </c>
    </row>
    <row r="351" spans="2:17" x14ac:dyDescent="0.25">
      <c r="B351" s="71"/>
      <c r="C351" s="65"/>
      <c r="D351" s="55"/>
      <c r="E351" s="65"/>
      <c r="F351" s="166"/>
      <c r="G351" s="167"/>
      <c r="H351" s="166"/>
      <c r="I351" s="72"/>
      <c r="J351" s="55"/>
      <c r="K351" s="72"/>
      <c r="L351" s="55"/>
      <c r="M351" s="174"/>
      <c r="N351" s="73" t="str">
        <f>IF(ISBLANK(C351),"",_xlfn.IFNA(INDEX(inbound_data[],MATCH(Outbound_data[[#This Row],[STOCK CODE OUT]],Generated_Stockcode,0),10),""))</f>
        <v/>
      </c>
      <c r="O351" s="73" t="str">
        <f>IF(ISBLANK(C351),"",_xlfn.IFNA(INDEX(inbound_data[],MATCH(Outbound_data[[#This Row],[STOCK CODE OUT]],Generated_Stockcode,0),12),""))</f>
        <v/>
      </c>
      <c r="P351" s="73" t="str">
        <f>IF(ISBLANK(C351),"",_xlfn.IFNA(INDEX(inbound_data[],MATCH(Outbound_data[[#This Row],[STOCK CODE OUT]],Generated_Stockcode,0),23),""))</f>
        <v/>
      </c>
      <c r="Q351" s="73" t="str">
        <f>IF(ISBLANK(C351),"",_xlfn.IFNA(INDEX(inbound_data[],MATCH(Outbound_data[[#This Row],[STOCK CODE OUT]],Generated_Stockcode,0),13),""))</f>
        <v/>
      </c>
    </row>
    <row r="352" spans="2:17" x14ac:dyDescent="0.25">
      <c r="B352" s="71"/>
      <c r="C352" s="65"/>
      <c r="D352" s="55"/>
      <c r="E352" s="65"/>
      <c r="F352" s="166"/>
      <c r="G352" s="167"/>
      <c r="H352" s="166"/>
      <c r="I352" s="72"/>
      <c r="J352" s="55"/>
      <c r="K352" s="72"/>
      <c r="L352" s="55"/>
      <c r="M352" s="174"/>
      <c r="N352" s="73" t="str">
        <f>IF(ISBLANK(C352),"",_xlfn.IFNA(INDEX(inbound_data[],MATCH(Outbound_data[[#This Row],[STOCK CODE OUT]],Generated_Stockcode,0),10),""))</f>
        <v/>
      </c>
      <c r="O352" s="73" t="str">
        <f>IF(ISBLANK(C352),"",_xlfn.IFNA(INDEX(inbound_data[],MATCH(Outbound_data[[#This Row],[STOCK CODE OUT]],Generated_Stockcode,0),12),""))</f>
        <v/>
      </c>
      <c r="P352" s="73" t="str">
        <f>IF(ISBLANK(C352),"",_xlfn.IFNA(INDEX(inbound_data[],MATCH(Outbound_data[[#This Row],[STOCK CODE OUT]],Generated_Stockcode,0),23),""))</f>
        <v/>
      </c>
      <c r="Q352" s="73" t="str">
        <f>IF(ISBLANK(C352),"",_xlfn.IFNA(INDEX(inbound_data[],MATCH(Outbound_data[[#This Row],[STOCK CODE OUT]],Generated_Stockcode,0),13),""))</f>
        <v/>
      </c>
    </row>
    <row r="353" spans="2:17" x14ac:dyDescent="0.25">
      <c r="B353" s="71"/>
      <c r="C353" s="65"/>
      <c r="D353" s="55"/>
      <c r="E353" s="65"/>
      <c r="F353" s="166"/>
      <c r="G353" s="167"/>
      <c r="H353" s="166"/>
      <c r="I353" s="72"/>
      <c r="J353" s="55"/>
      <c r="K353" s="72"/>
      <c r="L353" s="55"/>
      <c r="M353" s="174"/>
      <c r="N353" s="73" t="str">
        <f>IF(ISBLANK(C353),"",_xlfn.IFNA(INDEX(inbound_data[],MATCH(Outbound_data[[#This Row],[STOCK CODE OUT]],Generated_Stockcode,0),10),""))</f>
        <v/>
      </c>
      <c r="O353" s="73" t="str">
        <f>IF(ISBLANK(C353),"",_xlfn.IFNA(INDEX(inbound_data[],MATCH(Outbound_data[[#This Row],[STOCK CODE OUT]],Generated_Stockcode,0),12),""))</f>
        <v/>
      </c>
      <c r="P353" s="73" t="str">
        <f>IF(ISBLANK(C353),"",_xlfn.IFNA(INDEX(inbound_data[],MATCH(Outbound_data[[#This Row],[STOCK CODE OUT]],Generated_Stockcode,0),23),""))</f>
        <v/>
      </c>
      <c r="Q353" s="73" t="str">
        <f>IF(ISBLANK(C353),"",_xlfn.IFNA(INDEX(inbound_data[],MATCH(Outbound_data[[#This Row],[STOCK CODE OUT]],Generated_Stockcode,0),13),""))</f>
        <v/>
      </c>
    </row>
    <row r="354" spans="2:17" x14ac:dyDescent="0.25">
      <c r="B354" s="71"/>
      <c r="C354" s="65"/>
      <c r="D354" s="55"/>
      <c r="E354" s="65"/>
      <c r="F354" s="166"/>
      <c r="G354" s="167"/>
      <c r="H354" s="166"/>
      <c r="I354" s="72"/>
      <c r="J354" s="55"/>
      <c r="K354" s="72"/>
      <c r="L354" s="55"/>
      <c r="M354" s="174"/>
      <c r="N354" s="73" t="str">
        <f>IF(ISBLANK(C354),"",_xlfn.IFNA(INDEX(inbound_data[],MATCH(Outbound_data[[#This Row],[STOCK CODE OUT]],Generated_Stockcode,0),10),""))</f>
        <v/>
      </c>
      <c r="O354" s="73" t="str">
        <f>IF(ISBLANK(C354),"",_xlfn.IFNA(INDEX(inbound_data[],MATCH(Outbound_data[[#This Row],[STOCK CODE OUT]],Generated_Stockcode,0),12),""))</f>
        <v/>
      </c>
      <c r="P354" s="73" t="str">
        <f>IF(ISBLANK(C354),"",_xlfn.IFNA(INDEX(inbound_data[],MATCH(Outbound_data[[#This Row],[STOCK CODE OUT]],Generated_Stockcode,0),23),""))</f>
        <v/>
      </c>
      <c r="Q354" s="73" t="str">
        <f>IF(ISBLANK(C354),"",_xlfn.IFNA(INDEX(inbound_data[],MATCH(Outbound_data[[#This Row],[STOCK CODE OUT]],Generated_Stockcode,0),13),""))</f>
        <v/>
      </c>
    </row>
    <row r="355" spans="2:17" x14ac:dyDescent="0.25">
      <c r="B355" s="71"/>
      <c r="C355" s="65"/>
      <c r="D355" s="55"/>
      <c r="E355" s="65"/>
      <c r="F355" s="166"/>
      <c r="G355" s="167"/>
      <c r="H355" s="166"/>
      <c r="I355" s="72"/>
      <c r="J355" s="55"/>
      <c r="K355" s="72"/>
      <c r="L355" s="55"/>
      <c r="M355" s="174"/>
      <c r="N355" s="73" t="str">
        <f>IF(ISBLANK(C355),"",_xlfn.IFNA(INDEX(inbound_data[],MATCH(Outbound_data[[#This Row],[STOCK CODE OUT]],Generated_Stockcode,0),10),""))</f>
        <v/>
      </c>
      <c r="O355" s="73" t="str">
        <f>IF(ISBLANK(C355),"",_xlfn.IFNA(INDEX(inbound_data[],MATCH(Outbound_data[[#This Row],[STOCK CODE OUT]],Generated_Stockcode,0),12),""))</f>
        <v/>
      </c>
      <c r="P355" s="73" t="str">
        <f>IF(ISBLANK(C355),"",_xlfn.IFNA(INDEX(inbound_data[],MATCH(Outbound_data[[#This Row],[STOCK CODE OUT]],Generated_Stockcode,0),23),""))</f>
        <v/>
      </c>
      <c r="Q355" s="73" t="str">
        <f>IF(ISBLANK(C355),"",_xlfn.IFNA(INDEX(inbound_data[],MATCH(Outbound_data[[#This Row],[STOCK CODE OUT]],Generated_Stockcode,0),13),""))</f>
        <v/>
      </c>
    </row>
    <row r="356" spans="2:17" x14ac:dyDescent="0.25">
      <c r="B356" s="71"/>
      <c r="C356" s="65"/>
      <c r="D356" s="55"/>
      <c r="E356" s="65"/>
      <c r="F356" s="166"/>
      <c r="G356" s="167"/>
      <c r="H356" s="166"/>
      <c r="I356" s="72"/>
      <c r="J356" s="55"/>
      <c r="K356" s="72"/>
      <c r="L356" s="55"/>
      <c r="M356" s="174"/>
      <c r="N356" s="73" t="str">
        <f>IF(ISBLANK(C356),"",_xlfn.IFNA(INDEX(inbound_data[],MATCH(Outbound_data[[#This Row],[STOCK CODE OUT]],Generated_Stockcode,0),10),""))</f>
        <v/>
      </c>
      <c r="O356" s="73" t="str">
        <f>IF(ISBLANK(C356),"",_xlfn.IFNA(INDEX(inbound_data[],MATCH(Outbound_data[[#This Row],[STOCK CODE OUT]],Generated_Stockcode,0),12),""))</f>
        <v/>
      </c>
      <c r="P356" s="73" t="str">
        <f>IF(ISBLANK(C356),"",_xlfn.IFNA(INDEX(inbound_data[],MATCH(Outbound_data[[#This Row],[STOCK CODE OUT]],Generated_Stockcode,0),23),""))</f>
        <v/>
      </c>
      <c r="Q356" s="73" t="str">
        <f>IF(ISBLANK(C356),"",_xlfn.IFNA(INDEX(inbound_data[],MATCH(Outbound_data[[#This Row],[STOCK CODE OUT]],Generated_Stockcode,0),13),""))</f>
        <v/>
      </c>
    </row>
    <row r="357" spans="2:17" x14ac:dyDescent="0.25">
      <c r="B357" s="71"/>
      <c r="C357" s="65"/>
      <c r="D357" s="55"/>
      <c r="E357" s="65"/>
      <c r="F357" s="166"/>
      <c r="G357" s="167"/>
      <c r="H357" s="166"/>
      <c r="I357" s="72"/>
      <c r="J357" s="55"/>
      <c r="K357" s="72"/>
      <c r="L357" s="55"/>
      <c r="M357" s="174"/>
      <c r="N357" s="73" t="str">
        <f>IF(ISBLANK(C357),"",_xlfn.IFNA(INDEX(inbound_data[],MATCH(Outbound_data[[#This Row],[STOCK CODE OUT]],Generated_Stockcode,0),10),""))</f>
        <v/>
      </c>
      <c r="O357" s="73" t="str">
        <f>IF(ISBLANK(C357),"",_xlfn.IFNA(INDEX(inbound_data[],MATCH(Outbound_data[[#This Row],[STOCK CODE OUT]],Generated_Stockcode,0),12),""))</f>
        <v/>
      </c>
      <c r="P357" s="73" t="str">
        <f>IF(ISBLANK(C357),"",_xlfn.IFNA(INDEX(inbound_data[],MATCH(Outbound_data[[#This Row],[STOCK CODE OUT]],Generated_Stockcode,0),23),""))</f>
        <v/>
      </c>
      <c r="Q357" s="73" t="str">
        <f>IF(ISBLANK(C357),"",_xlfn.IFNA(INDEX(inbound_data[],MATCH(Outbound_data[[#This Row],[STOCK CODE OUT]],Generated_Stockcode,0),13),""))</f>
        <v/>
      </c>
    </row>
    <row r="358" spans="2:17" x14ac:dyDescent="0.25">
      <c r="B358" s="71"/>
      <c r="C358" s="65"/>
      <c r="D358" s="55"/>
      <c r="E358" s="65"/>
      <c r="F358" s="166"/>
      <c r="G358" s="167"/>
      <c r="H358" s="166"/>
      <c r="I358" s="72"/>
      <c r="J358" s="55"/>
      <c r="K358" s="72"/>
      <c r="L358" s="55"/>
      <c r="M358" s="174"/>
      <c r="N358" s="73" t="str">
        <f>IF(ISBLANK(C358),"",_xlfn.IFNA(INDEX(inbound_data[],MATCH(Outbound_data[[#This Row],[STOCK CODE OUT]],Generated_Stockcode,0),10),""))</f>
        <v/>
      </c>
      <c r="O358" s="73" t="str">
        <f>IF(ISBLANK(C358),"",_xlfn.IFNA(INDEX(inbound_data[],MATCH(Outbound_data[[#This Row],[STOCK CODE OUT]],Generated_Stockcode,0),12),""))</f>
        <v/>
      </c>
      <c r="P358" s="73" t="str">
        <f>IF(ISBLANK(C358),"",_xlfn.IFNA(INDEX(inbound_data[],MATCH(Outbound_data[[#This Row],[STOCK CODE OUT]],Generated_Stockcode,0),23),""))</f>
        <v/>
      </c>
      <c r="Q358" s="73" t="str">
        <f>IF(ISBLANK(C358),"",_xlfn.IFNA(INDEX(inbound_data[],MATCH(Outbound_data[[#This Row],[STOCK CODE OUT]],Generated_Stockcode,0),13),""))</f>
        <v/>
      </c>
    </row>
    <row r="359" spans="2:17" x14ac:dyDescent="0.25">
      <c r="B359" s="71"/>
      <c r="C359" s="65"/>
      <c r="D359" s="55"/>
      <c r="E359" s="65"/>
      <c r="F359" s="166"/>
      <c r="G359" s="167"/>
      <c r="H359" s="166"/>
      <c r="I359" s="72"/>
      <c r="J359" s="55"/>
      <c r="K359" s="72"/>
      <c r="L359" s="55"/>
      <c r="M359" s="174"/>
      <c r="N359" s="73" t="str">
        <f>IF(ISBLANK(C359),"",_xlfn.IFNA(INDEX(inbound_data[],MATCH(Outbound_data[[#This Row],[STOCK CODE OUT]],Generated_Stockcode,0),10),""))</f>
        <v/>
      </c>
      <c r="O359" s="73" t="str">
        <f>IF(ISBLANK(C359),"",_xlfn.IFNA(INDEX(inbound_data[],MATCH(Outbound_data[[#This Row],[STOCK CODE OUT]],Generated_Stockcode,0),12),""))</f>
        <v/>
      </c>
      <c r="P359" s="73" t="str">
        <f>IF(ISBLANK(C359),"",_xlfn.IFNA(INDEX(inbound_data[],MATCH(Outbound_data[[#This Row],[STOCK CODE OUT]],Generated_Stockcode,0),23),""))</f>
        <v/>
      </c>
      <c r="Q359" s="73" t="str">
        <f>IF(ISBLANK(C359),"",_xlfn.IFNA(INDEX(inbound_data[],MATCH(Outbound_data[[#This Row],[STOCK CODE OUT]],Generated_Stockcode,0),13),""))</f>
        <v/>
      </c>
    </row>
    <row r="360" spans="2:17" x14ac:dyDescent="0.25">
      <c r="B360" s="71"/>
      <c r="C360" s="65"/>
      <c r="D360" s="55"/>
      <c r="E360" s="65"/>
      <c r="F360" s="166"/>
      <c r="G360" s="167"/>
      <c r="H360" s="166"/>
      <c r="I360" s="72"/>
      <c r="J360" s="55"/>
      <c r="K360" s="72"/>
      <c r="L360" s="55"/>
      <c r="M360" s="174"/>
      <c r="N360" s="73" t="str">
        <f>IF(ISBLANK(C360),"",_xlfn.IFNA(INDEX(inbound_data[],MATCH(Outbound_data[[#This Row],[STOCK CODE OUT]],Generated_Stockcode,0),10),""))</f>
        <v/>
      </c>
      <c r="O360" s="73" t="str">
        <f>IF(ISBLANK(C360),"",_xlfn.IFNA(INDEX(inbound_data[],MATCH(Outbound_data[[#This Row],[STOCK CODE OUT]],Generated_Stockcode,0),12),""))</f>
        <v/>
      </c>
      <c r="P360" s="73" t="str">
        <f>IF(ISBLANK(C360),"",_xlfn.IFNA(INDEX(inbound_data[],MATCH(Outbound_data[[#This Row],[STOCK CODE OUT]],Generated_Stockcode,0),23),""))</f>
        <v/>
      </c>
      <c r="Q360" s="73" t="str">
        <f>IF(ISBLANK(C360),"",_xlfn.IFNA(INDEX(inbound_data[],MATCH(Outbound_data[[#This Row],[STOCK CODE OUT]],Generated_Stockcode,0),13),""))</f>
        <v/>
      </c>
    </row>
    <row r="361" spans="2:17" x14ac:dyDescent="0.25">
      <c r="B361" s="71"/>
      <c r="C361" s="65"/>
      <c r="D361" s="55"/>
      <c r="E361" s="65"/>
      <c r="F361" s="166"/>
      <c r="G361" s="167"/>
      <c r="H361" s="166"/>
      <c r="I361" s="72"/>
      <c r="J361" s="55"/>
      <c r="K361" s="72"/>
      <c r="L361" s="55"/>
      <c r="M361" s="174"/>
      <c r="N361" s="73" t="str">
        <f>IF(ISBLANK(C361),"",_xlfn.IFNA(INDEX(inbound_data[],MATCH(Outbound_data[[#This Row],[STOCK CODE OUT]],Generated_Stockcode,0),10),""))</f>
        <v/>
      </c>
      <c r="O361" s="73" t="str">
        <f>IF(ISBLANK(C361),"",_xlfn.IFNA(INDEX(inbound_data[],MATCH(Outbound_data[[#This Row],[STOCK CODE OUT]],Generated_Stockcode,0),12),""))</f>
        <v/>
      </c>
      <c r="P361" s="73" t="str">
        <f>IF(ISBLANK(C361),"",_xlfn.IFNA(INDEX(inbound_data[],MATCH(Outbound_data[[#This Row],[STOCK CODE OUT]],Generated_Stockcode,0),23),""))</f>
        <v/>
      </c>
      <c r="Q361" s="73" t="str">
        <f>IF(ISBLANK(C361),"",_xlfn.IFNA(INDEX(inbound_data[],MATCH(Outbound_data[[#This Row],[STOCK CODE OUT]],Generated_Stockcode,0),13),""))</f>
        <v/>
      </c>
    </row>
    <row r="362" spans="2:17" x14ac:dyDescent="0.25">
      <c r="B362" s="71"/>
      <c r="C362" s="65"/>
      <c r="D362" s="55"/>
      <c r="E362" s="65"/>
      <c r="F362" s="166"/>
      <c r="G362" s="167"/>
      <c r="H362" s="166"/>
      <c r="I362" s="72"/>
      <c r="J362" s="55"/>
      <c r="K362" s="72"/>
      <c r="L362" s="55"/>
      <c r="M362" s="174"/>
      <c r="N362" s="73" t="str">
        <f>IF(ISBLANK(C362),"",_xlfn.IFNA(INDEX(inbound_data[],MATCH(Outbound_data[[#This Row],[STOCK CODE OUT]],Generated_Stockcode,0),10),""))</f>
        <v/>
      </c>
      <c r="O362" s="73" t="str">
        <f>IF(ISBLANK(C362),"",_xlfn.IFNA(INDEX(inbound_data[],MATCH(Outbound_data[[#This Row],[STOCK CODE OUT]],Generated_Stockcode,0),12),""))</f>
        <v/>
      </c>
      <c r="P362" s="73" t="str">
        <f>IF(ISBLANK(C362),"",_xlfn.IFNA(INDEX(inbound_data[],MATCH(Outbound_data[[#This Row],[STOCK CODE OUT]],Generated_Stockcode,0),23),""))</f>
        <v/>
      </c>
      <c r="Q362" s="73" t="str">
        <f>IF(ISBLANK(C362),"",_xlfn.IFNA(INDEX(inbound_data[],MATCH(Outbound_data[[#This Row],[STOCK CODE OUT]],Generated_Stockcode,0),13),""))</f>
        <v/>
      </c>
    </row>
    <row r="363" spans="2:17" x14ac:dyDescent="0.25">
      <c r="B363" s="71"/>
      <c r="C363" s="65"/>
      <c r="D363" s="55"/>
      <c r="E363" s="65"/>
      <c r="F363" s="166"/>
      <c r="G363" s="167"/>
      <c r="H363" s="166"/>
      <c r="I363" s="72"/>
      <c r="J363" s="55"/>
      <c r="K363" s="72"/>
      <c r="L363" s="55"/>
      <c r="M363" s="174"/>
      <c r="N363" s="73" t="str">
        <f>IF(ISBLANK(C363),"",_xlfn.IFNA(INDEX(inbound_data[],MATCH(Outbound_data[[#This Row],[STOCK CODE OUT]],Generated_Stockcode,0),10),""))</f>
        <v/>
      </c>
      <c r="O363" s="73" t="str">
        <f>IF(ISBLANK(C363),"",_xlfn.IFNA(INDEX(inbound_data[],MATCH(Outbound_data[[#This Row],[STOCK CODE OUT]],Generated_Stockcode,0),12),""))</f>
        <v/>
      </c>
      <c r="P363" s="73" t="str">
        <f>IF(ISBLANK(C363),"",_xlfn.IFNA(INDEX(inbound_data[],MATCH(Outbound_data[[#This Row],[STOCK CODE OUT]],Generated_Stockcode,0),23),""))</f>
        <v/>
      </c>
      <c r="Q363" s="73" t="str">
        <f>IF(ISBLANK(C363),"",_xlfn.IFNA(INDEX(inbound_data[],MATCH(Outbound_data[[#This Row],[STOCK CODE OUT]],Generated_Stockcode,0),13),""))</f>
        <v/>
      </c>
    </row>
    <row r="364" spans="2:17" x14ac:dyDescent="0.25">
      <c r="B364" s="71"/>
      <c r="C364" s="65"/>
      <c r="D364" s="55"/>
      <c r="E364" s="65"/>
      <c r="F364" s="166"/>
      <c r="G364" s="167"/>
      <c r="H364" s="166"/>
      <c r="I364" s="72"/>
      <c r="J364" s="55"/>
      <c r="K364" s="72"/>
      <c r="L364" s="55"/>
      <c r="M364" s="174"/>
      <c r="N364" s="73" t="str">
        <f>IF(ISBLANK(C364),"",_xlfn.IFNA(INDEX(inbound_data[],MATCH(Outbound_data[[#This Row],[STOCK CODE OUT]],Generated_Stockcode,0),10),""))</f>
        <v/>
      </c>
      <c r="O364" s="73" t="str">
        <f>IF(ISBLANK(C364),"",_xlfn.IFNA(INDEX(inbound_data[],MATCH(Outbound_data[[#This Row],[STOCK CODE OUT]],Generated_Stockcode,0),12),""))</f>
        <v/>
      </c>
      <c r="P364" s="73" t="str">
        <f>IF(ISBLANK(C364),"",_xlfn.IFNA(INDEX(inbound_data[],MATCH(Outbound_data[[#This Row],[STOCK CODE OUT]],Generated_Stockcode,0),23),""))</f>
        <v/>
      </c>
      <c r="Q364" s="73" t="str">
        <f>IF(ISBLANK(C364),"",_xlfn.IFNA(INDEX(inbound_data[],MATCH(Outbound_data[[#This Row],[STOCK CODE OUT]],Generated_Stockcode,0),13),""))</f>
        <v/>
      </c>
    </row>
    <row r="365" spans="2:17" x14ac:dyDescent="0.25">
      <c r="B365" s="71"/>
      <c r="C365" s="65"/>
      <c r="D365" s="55"/>
      <c r="E365" s="65"/>
      <c r="F365" s="166"/>
      <c r="G365" s="167"/>
      <c r="H365" s="166"/>
      <c r="I365" s="72"/>
      <c r="J365" s="55"/>
      <c r="K365" s="72"/>
      <c r="L365" s="55"/>
      <c r="M365" s="174"/>
      <c r="N365" s="73" t="str">
        <f>IF(ISBLANK(C365),"",_xlfn.IFNA(INDEX(inbound_data[],MATCH(Outbound_data[[#This Row],[STOCK CODE OUT]],Generated_Stockcode,0),10),""))</f>
        <v/>
      </c>
      <c r="O365" s="73" t="str">
        <f>IF(ISBLANK(C365),"",_xlfn.IFNA(INDEX(inbound_data[],MATCH(Outbound_data[[#This Row],[STOCK CODE OUT]],Generated_Stockcode,0),12),""))</f>
        <v/>
      </c>
      <c r="P365" s="73" t="str">
        <f>IF(ISBLANK(C365),"",_xlfn.IFNA(INDEX(inbound_data[],MATCH(Outbound_data[[#This Row],[STOCK CODE OUT]],Generated_Stockcode,0),23),""))</f>
        <v/>
      </c>
      <c r="Q365" s="73" t="str">
        <f>IF(ISBLANK(C365),"",_xlfn.IFNA(INDEX(inbound_data[],MATCH(Outbound_data[[#This Row],[STOCK CODE OUT]],Generated_Stockcode,0),13),""))</f>
        <v/>
      </c>
    </row>
    <row r="366" spans="2:17" x14ac:dyDescent="0.25">
      <c r="B366" s="71"/>
      <c r="C366" s="65"/>
      <c r="D366" s="55"/>
      <c r="E366" s="65"/>
      <c r="F366" s="166"/>
      <c r="G366" s="167"/>
      <c r="H366" s="166"/>
      <c r="I366" s="72"/>
      <c r="J366" s="55"/>
      <c r="K366" s="72"/>
      <c r="L366" s="55"/>
      <c r="M366" s="174"/>
      <c r="N366" s="73" t="str">
        <f>IF(ISBLANK(C366),"",_xlfn.IFNA(INDEX(inbound_data[],MATCH(Outbound_data[[#This Row],[STOCK CODE OUT]],Generated_Stockcode,0),10),""))</f>
        <v/>
      </c>
      <c r="O366" s="73" t="str">
        <f>IF(ISBLANK(C366),"",_xlfn.IFNA(INDEX(inbound_data[],MATCH(Outbound_data[[#This Row],[STOCK CODE OUT]],Generated_Stockcode,0),12),""))</f>
        <v/>
      </c>
      <c r="P366" s="73" t="str">
        <f>IF(ISBLANK(C366),"",_xlfn.IFNA(INDEX(inbound_data[],MATCH(Outbound_data[[#This Row],[STOCK CODE OUT]],Generated_Stockcode,0),23),""))</f>
        <v/>
      </c>
      <c r="Q366" s="73" t="str">
        <f>IF(ISBLANK(C366),"",_xlfn.IFNA(INDEX(inbound_data[],MATCH(Outbound_data[[#This Row],[STOCK CODE OUT]],Generated_Stockcode,0),13),""))</f>
        <v/>
      </c>
    </row>
    <row r="367" spans="2:17" x14ac:dyDescent="0.25">
      <c r="B367" s="71"/>
      <c r="C367" s="65"/>
      <c r="D367" s="55"/>
      <c r="E367" s="65"/>
      <c r="F367" s="166"/>
      <c r="G367" s="167"/>
      <c r="H367" s="166"/>
      <c r="I367" s="72"/>
      <c r="J367" s="55"/>
      <c r="K367" s="72"/>
      <c r="L367" s="55"/>
      <c r="M367" s="174"/>
      <c r="N367" s="73" t="str">
        <f>IF(ISBLANK(C367),"",_xlfn.IFNA(INDEX(inbound_data[],MATCH(Outbound_data[[#This Row],[STOCK CODE OUT]],Generated_Stockcode,0),10),""))</f>
        <v/>
      </c>
      <c r="O367" s="73" t="str">
        <f>IF(ISBLANK(C367),"",_xlfn.IFNA(INDEX(inbound_data[],MATCH(Outbound_data[[#This Row],[STOCK CODE OUT]],Generated_Stockcode,0),12),""))</f>
        <v/>
      </c>
      <c r="P367" s="73" t="str">
        <f>IF(ISBLANK(C367),"",_xlfn.IFNA(INDEX(inbound_data[],MATCH(Outbound_data[[#This Row],[STOCK CODE OUT]],Generated_Stockcode,0),23),""))</f>
        <v/>
      </c>
      <c r="Q367" s="73" t="str">
        <f>IF(ISBLANK(C367),"",_xlfn.IFNA(INDEX(inbound_data[],MATCH(Outbound_data[[#This Row],[STOCK CODE OUT]],Generated_Stockcode,0),13),""))</f>
        <v/>
      </c>
    </row>
    <row r="368" spans="2:17" x14ac:dyDescent="0.25">
      <c r="B368" s="71"/>
      <c r="C368" s="65"/>
      <c r="D368" s="55"/>
      <c r="E368" s="65"/>
      <c r="F368" s="166"/>
      <c r="G368" s="167"/>
      <c r="H368" s="166"/>
      <c r="I368" s="72"/>
      <c r="J368" s="55"/>
      <c r="K368" s="72"/>
      <c r="L368" s="55"/>
      <c r="M368" s="174"/>
      <c r="N368" s="73" t="str">
        <f>IF(ISBLANK(C368),"",_xlfn.IFNA(INDEX(inbound_data[],MATCH(Outbound_data[[#This Row],[STOCK CODE OUT]],Generated_Stockcode,0),10),""))</f>
        <v/>
      </c>
      <c r="O368" s="73" t="str">
        <f>IF(ISBLANK(C368),"",_xlfn.IFNA(INDEX(inbound_data[],MATCH(Outbound_data[[#This Row],[STOCK CODE OUT]],Generated_Stockcode,0),12),""))</f>
        <v/>
      </c>
      <c r="P368" s="73" t="str">
        <f>IF(ISBLANK(C368),"",_xlfn.IFNA(INDEX(inbound_data[],MATCH(Outbound_data[[#This Row],[STOCK CODE OUT]],Generated_Stockcode,0),23),""))</f>
        <v/>
      </c>
      <c r="Q368" s="73" t="str">
        <f>IF(ISBLANK(C368),"",_xlfn.IFNA(INDEX(inbound_data[],MATCH(Outbound_data[[#This Row],[STOCK CODE OUT]],Generated_Stockcode,0),13),""))</f>
        <v/>
      </c>
    </row>
    <row r="369" spans="2:17" x14ac:dyDescent="0.25">
      <c r="B369" s="71"/>
      <c r="C369" s="65"/>
      <c r="D369" s="55"/>
      <c r="E369" s="65"/>
      <c r="F369" s="166"/>
      <c r="G369" s="167"/>
      <c r="H369" s="166"/>
      <c r="I369" s="72"/>
      <c r="J369" s="55"/>
      <c r="K369" s="72"/>
      <c r="L369" s="55"/>
      <c r="M369" s="174"/>
      <c r="N369" s="73" t="str">
        <f>IF(ISBLANK(C369),"",_xlfn.IFNA(INDEX(inbound_data[],MATCH(Outbound_data[[#This Row],[STOCK CODE OUT]],Generated_Stockcode,0),10),""))</f>
        <v/>
      </c>
      <c r="O369" s="73" t="str">
        <f>IF(ISBLANK(C369),"",_xlfn.IFNA(INDEX(inbound_data[],MATCH(Outbound_data[[#This Row],[STOCK CODE OUT]],Generated_Stockcode,0),12),""))</f>
        <v/>
      </c>
      <c r="P369" s="73" t="str">
        <f>IF(ISBLANK(C369),"",_xlfn.IFNA(INDEX(inbound_data[],MATCH(Outbound_data[[#This Row],[STOCK CODE OUT]],Generated_Stockcode,0),23),""))</f>
        <v/>
      </c>
      <c r="Q369" s="73" t="str">
        <f>IF(ISBLANK(C369),"",_xlfn.IFNA(INDEX(inbound_data[],MATCH(Outbound_data[[#This Row],[STOCK CODE OUT]],Generated_Stockcode,0),13),""))</f>
        <v/>
      </c>
    </row>
    <row r="370" spans="2:17" x14ac:dyDescent="0.25">
      <c r="B370" s="71"/>
      <c r="C370" s="65"/>
      <c r="D370" s="55"/>
      <c r="E370" s="65"/>
      <c r="F370" s="166"/>
      <c r="G370" s="167"/>
      <c r="H370" s="166"/>
      <c r="I370" s="72"/>
      <c r="J370" s="55"/>
      <c r="K370" s="72"/>
      <c r="L370" s="55"/>
      <c r="M370" s="174"/>
      <c r="N370" s="73" t="str">
        <f>IF(ISBLANK(C370),"",_xlfn.IFNA(INDEX(inbound_data[],MATCH(Outbound_data[[#This Row],[STOCK CODE OUT]],Generated_Stockcode,0),10),""))</f>
        <v/>
      </c>
      <c r="O370" s="73" t="str">
        <f>IF(ISBLANK(C370),"",_xlfn.IFNA(INDEX(inbound_data[],MATCH(Outbound_data[[#This Row],[STOCK CODE OUT]],Generated_Stockcode,0),12),""))</f>
        <v/>
      </c>
      <c r="P370" s="73" t="str">
        <f>IF(ISBLANK(C370),"",_xlfn.IFNA(INDEX(inbound_data[],MATCH(Outbound_data[[#This Row],[STOCK CODE OUT]],Generated_Stockcode,0),23),""))</f>
        <v/>
      </c>
      <c r="Q370" s="73" t="str">
        <f>IF(ISBLANK(C370),"",_xlfn.IFNA(INDEX(inbound_data[],MATCH(Outbound_data[[#This Row],[STOCK CODE OUT]],Generated_Stockcode,0),13),""))</f>
        <v/>
      </c>
    </row>
    <row r="371" spans="2:17" x14ac:dyDescent="0.25">
      <c r="B371" s="71"/>
      <c r="C371" s="65"/>
      <c r="D371" s="55"/>
      <c r="E371" s="65"/>
      <c r="F371" s="166"/>
      <c r="G371" s="167"/>
      <c r="H371" s="166"/>
      <c r="I371" s="72"/>
      <c r="J371" s="55"/>
      <c r="K371" s="72"/>
      <c r="L371" s="55"/>
      <c r="M371" s="174"/>
      <c r="N371" s="73" t="str">
        <f>IF(ISBLANK(C371),"",_xlfn.IFNA(INDEX(inbound_data[],MATCH(Outbound_data[[#This Row],[STOCK CODE OUT]],Generated_Stockcode,0),10),""))</f>
        <v/>
      </c>
      <c r="O371" s="73" t="str">
        <f>IF(ISBLANK(C371),"",_xlfn.IFNA(INDEX(inbound_data[],MATCH(Outbound_data[[#This Row],[STOCK CODE OUT]],Generated_Stockcode,0),12),""))</f>
        <v/>
      </c>
      <c r="P371" s="73" t="str">
        <f>IF(ISBLANK(C371),"",_xlfn.IFNA(INDEX(inbound_data[],MATCH(Outbound_data[[#This Row],[STOCK CODE OUT]],Generated_Stockcode,0),23),""))</f>
        <v/>
      </c>
      <c r="Q371" s="73" t="str">
        <f>IF(ISBLANK(C371),"",_xlfn.IFNA(INDEX(inbound_data[],MATCH(Outbound_data[[#This Row],[STOCK CODE OUT]],Generated_Stockcode,0),13),""))</f>
        <v/>
      </c>
    </row>
    <row r="372" spans="2:17" x14ac:dyDescent="0.25">
      <c r="B372" s="71"/>
      <c r="C372" s="65"/>
      <c r="D372" s="55"/>
      <c r="E372" s="65"/>
      <c r="F372" s="166"/>
      <c r="G372" s="167"/>
      <c r="H372" s="166"/>
      <c r="I372" s="72"/>
      <c r="J372" s="55"/>
      <c r="K372" s="72"/>
      <c r="L372" s="55"/>
      <c r="M372" s="174"/>
      <c r="N372" s="73" t="str">
        <f>IF(ISBLANK(C372),"",_xlfn.IFNA(INDEX(inbound_data[],MATCH(Outbound_data[[#This Row],[STOCK CODE OUT]],Generated_Stockcode,0),10),""))</f>
        <v/>
      </c>
      <c r="O372" s="73" t="str">
        <f>IF(ISBLANK(C372),"",_xlfn.IFNA(INDEX(inbound_data[],MATCH(Outbound_data[[#This Row],[STOCK CODE OUT]],Generated_Stockcode,0),12),""))</f>
        <v/>
      </c>
      <c r="P372" s="73" t="str">
        <f>IF(ISBLANK(C372),"",_xlfn.IFNA(INDEX(inbound_data[],MATCH(Outbound_data[[#This Row],[STOCK CODE OUT]],Generated_Stockcode,0),23),""))</f>
        <v/>
      </c>
      <c r="Q372" s="73" t="str">
        <f>IF(ISBLANK(C372),"",_xlfn.IFNA(INDEX(inbound_data[],MATCH(Outbound_data[[#This Row],[STOCK CODE OUT]],Generated_Stockcode,0),13),""))</f>
        <v/>
      </c>
    </row>
    <row r="373" spans="2:17" x14ac:dyDescent="0.25">
      <c r="B373" s="71"/>
      <c r="C373" s="65"/>
      <c r="D373" s="55"/>
      <c r="E373" s="65"/>
      <c r="F373" s="166"/>
      <c r="G373" s="167"/>
      <c r="H373" s="166"/>
      <c r="I373" s="72"/>
      <c r="J373" s="55"/>
      <c r="K373" s="72"/>
      <c r="L373" s="55"/>
      <c r="M373" s="174"/>
      <c r="N373" s="73" t="str">
        <f>IF(ISBLANK(C373),"",_xlfn.IFNA(INDEX(inbound_data[],MATCH(Outbound_data[[#This Row],[STOCK CODE OUT]],Generated_Stockcode,0),10),""))</f>
        <v/>
      </c>
      <c r="O373" s="73" t="str">
        <f>IF(ISBLANK(C373),"",_xlfn.IFNA(INDEX(inbound_data[],MATCH(Outbound_data[[#This Row],[STOCK CODE OUT]],Generated_Stockcode,0),12),""))</f>
        <v/>
      </c>
      <c r="P373" s="73" t="str">
        <f>IF(ISBLANK(C373),"",_xlfn.IFNA(INDEX(inbound_data[],MATCH(Outbound_data[[#This Row],[STOCK CODE OUT]],Generated_Stockcode,0),23),""))</f>
        <v/>
      </c>
      <c r="Q373" s="73" t="str">
        <f>IF(ISBLANK(C373),"",_xlfn.IFNA(INDEX(inbound_data[],MATCH(Outbound_data[[#This Row],[STOCK CODE OUT]],Generated_Stockcode,0),13),""))</f>
        <v/>
      </c>
    </row>
    <row r="374" spans="2:17" x14ac:dyDescent="0.25">
      <c r="B374" s="71"/>
      <c r="C374" s="65"/>
      <c r="D374" s="55"/>
      <c r="E374" s="65"/>
      <c r="F374" s="166"/>
      <c r="G374" s="167"/>
      <c r="H374" s="166"/>
      <c r="I374" s="72"/>
      <c r="J374" s="55"/>
      <c r="K374" s="72"/>
      <c r="L374" s="55"/>
      <c r="M374" s="174"/>
      <c r="N374" s="73" t="str">
        <f>IF(ISBLANK(C374),"",_xlfn.IFNA(INDEX(inbound_data[],MATCH(Outbound_data[[#This Row],[STOCK CODE OUT]],Generated_Stockcode,0),10),""))</f>
        <v/>
      </c>
      <c r="O374" s="73" t="str">
        <f>IF(ISBLANK(C374),"",_xlfn.IFNA(INDEX(inbound_data[],MATCH(Outbound_data[[#This Row],[STOCK CODE OUT]],Generated_Stockcode,0),12),""))</f>
        <v/>
      </c>
      <c r="P374" s="73" t="str">
        <f>IF(ISBLANK(C374),"",_xlfn.IFNA(INDEX(inbound_data[],MATCH(Outbound_data[[#This Row],[STOCK CODE OUT]],Generated_Stockcode,0),23),""))</f>
        <v/>
      </c>
      <c r="Q374" s="73" t="str">
        <f>IF(ISBLANK(C374),"",_xlfn.IFNA(INDEX(inbound_data[],MATCH(Outbound_data[[#This Row],[STOCK CODE OUT]],Generated_Stockcode,0),13),""))</f>
        <v/>
      </c>
    </row>
    <row r="375" spans="2:17" x14ac:dyDescent="0.25">
      <c r="B375" s="71"/>
      <c r="C375" s="65"/>
      <c r="D375" s="55"/>
      <c r="E375" s="65"/>
      <c r="F375" s="166"/>
      <c r="G375" s="167"/>
      <c r="H375" s="166"/>
      <c r="I375" s="72"/>
      <c r="J375" s="55"/>
      <c r="K375" s="72"/>
      <c r="L375" s="55"/>
      <c r="M375" s="174"/>
      <c r="N375" s="73" t="str">
        <f>IF(ISBLANK(C375),"",_xlfn.IFNA(INDEX(inbound_data[],MATCH(Outbound_data[[#This Row],[STOCK CODE OUT]],Generated_Stockcode,0),10),""))</f>
        <v/>
      </c>
      <c r="O375" s="73" t="str">
        <f>IF(ISBLANK(C375),"",_xlfn.IFNA(INDEX(inbound_data[],MATCH(Outbound_data[[#This Row],[STOCK CODE OUT]],Generated_Stockcode,0),12),""))</f>
        <v/>
      </c>
      <c r="P375" s="73" t="str">
        <f>IF(ISBLANK(C375),"",_xlfn.IFNA(INDEX(inbound_data[],MATCH(Outbound_data[[#This Row],[STOCK CODE OUT]],Generated_Stockcode,0),23),""))</f>
        <v/>
      </c>
      <c r="Q375" s="73" t="str">
        <f>IF(ISBLANK(C375),"",_xlfn.IFNA(INDEX(inbound_data[],MATCH(Outbound_data[[#This Row],[STOCK CODE OUT]],Generated_Stockcode,0),13),""))</f>
        <v/>
      </c>
    </row>
    <row r="376" spans="2:17" x14ac:dyDescent="0.25">
      <c r="B376" s="71"/>
      <c r="C376" s="65"/>
      <c r="D376" s="55"/>
      <c r="E376" s="65"/>
      <c r="F376" s="166"/>
      <c r="G376" s="167"/>
      <c r="H376" s="166"/>
      <c r="I376" s="72"/>
      <c r="J376" s="55"/>
      <c r="K376" s="72"/>
      <c r="L376" s="55"/>
      <c r="M376" s="174"/>
      <c r="N376" s="73" t="str">
        <f>IF(ISBLANK(C376),"",_xlfn.IFNA(INDEX(inbound_data[],MATCH(Outbound_data[[#This Row],[STOCK CODE OUT]],Generated_Stockcode,0),10),""))</f>
        <v/>
      </c>
      <c r="O376" s="73" t="str">
        <f>IF(ISBLANK(C376),"",_xlfn.IFNA(INDEX(inbound_data[],MATCH(Outbound_data[[#This Row],[STOCK CODE OUT]],Generated_Stockcode,0),12),""))</f>
        <v/>
      </c>
      <c r="P376" s="73" t="str">
        <f>IF(ISBLANK(C376),"",_xlfn.IFNA(INDEX(inbound_data[],MATCH(Outbound_data[[#This Row],[STOCK CODE OUT]],Generated_Stockcode,0),23),""))</f>
        <v/>
      </c>
      <c r="Q376" s="73" t="str">
        <f>IF(ISBLANK(C376),"",_xlfn.IFNA(INDEX(inbound_data[],MATCH(Outbound_data[[#This Row],[STOCK CODE OUT]],Generated_Stockcode,0),13),""))</f>
        <v/>
      </c>
    </row>
    <row r="377" spans="2:17" x14ac:dyDescent="0.25">
      <c r="B377" s="71"/>
      <c r="C377" s="65"/>
      <c r="D377" s="55"/>
      <c r="E377" s="65"/>
      <c r="F377" s="166"/>
      <c r="G377" s="167"/>
      <c r="H377" s="166"/>
      <c r="I377" s="72"/>
      <c r="J377" s="55"/>
      <c r="K377" s="72"/>
      <c r="L377" s="55"/>
      <c r="M377" s="174"/>
      <c r="N377" s="73" t="str">
        <f>IF(ISBLANK(C377),"",_xlfn.IFNA(INDEX(inbound_data[],MATCH(Outbound_data[[#This Row],[STOCK CODE OUT]],Generated_Stockcode,0),10),""))</f>
        <v/>
      </c>
      <c r="O377" s="73" t="str">
        <f>IF(ISBLANK(C377),"",_xlfn.IFNA(INDEX(inbound_data[],MATCH(Outbound_data[[#This Row],[STOCK CODE OUT]],Generated_Stockcode,0),12),""))</f>
        <v/>
      </c>
      <c r="P377" s="73" t="str">
        <f>IF(ISBLANK(C377),"",_xlfn.IFNA(INDEX(inbound_data[],MATCH(Outbound_data[[#This Row],[STOCK CODE OUT]],Generated_Stockcode,0),23),""))</f>
        <v/>
      </c>
      <c r="Q377" s="73" t="str">
        <f>IF(ISBLANK(C377),"",_xlfn.IFNA(INDEX(inbound_data[],MATCH(Outbound_data[[#This Row],[STOCK CODE OUT]],Generated_Stockcode,0),13),""))</f>
        <v/>
      </c>
    </row>
    <row r="378" spans="2:17" x14ac:dyDescent="0.25">
      <c r="B378" s="71"/>
      <c r="C378" s="65"/>
      <c r="D378" s="55"/>
      <c r="E378" s="65"/>
      <c r="F378" s="166"/>
      <c r="G378" s="167"/>
      <c r="H378" s="166"/>
      <c r="I378" s="72"/>
      <c r="J378" s="55"/>
      <c r="K378" s="72"/>
      <c r="L378" s="55"/>
      <c r="M378" s="174"/>
      <c r="N378" s="73" t="str">
        <f>IF(ISBLANK(C378),"",_xlfn.IFNA(INDEX(inbound_data[],MATCH(Outbound_data[[#This Row],[STOCK CODE OUT]],Generated_Stockcode,0),10),""))</f>
        <v/>
      </c>
      <c r="O378" s="73" t="str">
        <f>IF(ISBLANK(C378),"",_xlfn.IFNA(INDEX(inbound_data[],MATCH(Outbound_data[[#This Row],[STOCK CODE OUT]],Generated_Stockcode,0),12),""))</f>
        <v/>
      </c>
      <c r="P378" s="73" t="str">
        <f>IF(ISBLANK(C378),"",_xlfn.IFNA(INDEX(inbound_data[],MATCH(Outbound_data[[#This Row],[STOCK CODE OUT]],Generated_Stockcode,0),23),""))</f>
        <v/>
      </c>
      <c r="Q378" s="73" t="str">
        <f>IF(ISBLANK(C378),"",_xlfn.IFNA(INDEX(inbound_data[],MATCH(Outbound_data[[#This Row],[STOCK CODE OUT]],Generated_Stockcode,0),13),""))</f>
        <v/>
      </c>
    </row>
    <row r="379" spans="2:17" x14ac:dyDescent="0.25">
      <c r="B379" s="71"/>
      <c r="C379" s="65"/>
      <c r="D379" s="55"/>
      <c r="E379" s="65"/>
      <c r="F379" s="166"/>
      <c r="G379" s="167"/>
      <c r="H379" s="166"/>
      <c r="I379" s="72"/>
      <c r="J379" s="55"/>
      <c r="K379" s="72"/>
      <c r="L379" s="55"/>
      <c r="M379" s="174"/>
      <c r="N379" s="73" t="str">
        <f>IF(ISBLANK(C379),"",_xlfn.IFNA(INDEX(inbound_data[],MATCH(Outbound_data[[#This Row],[STOCK CODE OUT]],Generated_Stockcode,0),10),""))</f>
        <v/>
      </c>
      <c r="O379" s="73" t="str">
        <f>IF(ISBLANK(C379),"",_xlfn.IFNA(INDEX(inbound_data[],MATCH(Outbound_data[[#This Row],[STOCK CODE OUT]],Generated_Stockcode,0),12),""))</f>
        <v/>
      </c>
      <c r="P379" s="73" t="str">
        <f>IF(ISBLANK(C379),"",_xlfn.IFNA(INDEX(inbound_data[],MATCH(Outbound_data[[#This Row],[STOCK CODE OUT]],Generated_Stockcode,0),23),""))</f>
        <v/>
      </c>
      <c r="Q379" s="73" t="str">
        <f>IF(ISBLANK(C379),"",_xlfn.IFNA(INDEX(inbound_data[],MATCH(Outbound_data[[#This Row],[STOCK CODE OUT]],Generated_Stockcode,0),13),""))</f>
        <v/>
      </c>
    </row>
    <row r="380" spans="2:17" x14ac:dyDescent="0.25">
      <c r="B380" s="71"/>
      <c r="C380" s="65"/>
      <c r="D380" s="55"/>
      <c r="E380" s="65"/>
      <c r="F380" s="166"/>
      <c r="G380" s="167"/>
      <c r="H380" s="166"/>
      <c r="I380" s="72"/>
      <c r="J380" s="55"/>
      <c r="K380" s="72"/>
      <c r="L380" s="55"/>
      <c r="M380" s="174"/>
      <c r="N380" s="73" t="str">
        <f>IF(ISBLANK(C380),"",_xlfn.IFNA(INDEX(inbound_data[],MATCH(Outbound_data[[#This Row],[STOCK CODE OUT]],Generated_Stockcode,0),10),""))</f>
        <v/>
      </c>
      <c r="O380" s="73" t="str">
        <f>IF(ISBLANK(C380),"",_xlfn.IFNA(INDEX(inbound_data[],MATCH(Outbound_data[[#This Row],[STOCK CODE OUT]],Generated_Stockcode,0),12),""))</f>
        <v/>
      </c>
      <c r="P380" s="73" t="str">
        <f>IF(ISBLANK(C380),"",_xlfn.IFNA(INDEX(inbound_data[],MATCH(Outbound_data[[#This Row],[STOCK CODE OUT]],Generated_Stockcode,0),23),""))</f>
        <v/>
      </c>
      <c r="Q380" s="73" t="str">
        <f>IF(ISBLANK(C380),"",_xlfn.IFNA(INDEX(inbound_data[],MATCH(Outbound_data[[#This Row],[STOCK CODE OUT]],Generated_Stockcode,0),13),""))</f>
        <v/>
      </c>
    </row>
    <row r="381" spans="2:17" x14ac:dyDescent="0.25">
      <c r="B381" s="71"/>
      <c r="C381" s="65"/>
      <c r="D381" s="55"/>
      <c r="E381" s="65"/>
      <c r="F381" s="166"/>
      <c r="G381" s="167"/>
      <c r="H381" s="166"/>
      <c r="I381" s="72"/>
      <c r="J381" s="55"/>
      <c r="K381" s="72"/>
      <c r="L381" s="55"/>
      <c r="M381" s="174"/>
      <c r="N381" s="73" t="str">
        <f>IF(ISBLANK(C381),"",_xlfn.IFNA(INDEX(inbound_data[],MATCH(Outbound_data[[#This Row],[STOCK CODE OUT]],Generated_Stockcode,0),10),""))</f>
        <v/>
      </c>
      <c r="O381" s="73" t="str">
        <f>IF(ISBLANK(C381),"",_xlfn.IFNA(INDEX(inbound_data[],MATCH(Outbound_data[[#This Row],[STOCK CODE OUT]],Generated_Stockcode,0),12),""))</f>
        <v/>
      </c>
      <c r="P381" s="73" t="str">
        <f>IF(ISBLANK(C381),"",_xlfn.IFNA(INDEX(inbound_data[],MATCH(Outbound_data[[#This Row],[STOCK CODE OUT]],Generated_Stockcode,0),23),""))</f>
        <v/>
      </c>
      <c r="Q381" s="73" t="str">
        <f>IF(ISBLANK(C381),"",_xlfn.IFNA(INDEX(inbound_data[],MATCH(Outbound_data[[#This Row],[STOCK CODE OUT]],Generated_Stockcode,0),13),""))</f>
        <v/>
      </c>
    </row>
    <row r="382" spans="2:17" x14ac:dyDescent="0.25">
      <c r="B382" s="71"/>
      <c r="C382" s="65"/>
      <c r="D382" s="55"/>
      <c r="E382" s="65"/>
      <c r="F382" s="166"/>
      <c r="G382" s="167"/>
      <c r="H382" s="166"/>
      <c r="I382" s="72"/>
      <c r="J382" s="55"/>
      <c r="K382" s="72"/>
      <c r="L382" s="55"/>
      <c r="M382" s="174"/>
      <c r="N382" s="73" t="str">
        <f>IF(ISBLANK(C382),"",_xlfn.IFNA(INDEX(inbound_data[],MATCH(Outbound_data[[#This Row],[STOCK CODE OUT]],Generated_Stockcode,0),10),""))</f>
        <v/>
      </c>
      <c r="O382" s="73" t="str">
        <f>IF(ISBLANK(C382),"",_xlfn.IFNA(INDEX(inbound_data[],MATCH(Outbound_data[[#This Row],[STOCK CODE OUT]],Generated_Stockcode,0),12),""))</f>
        <v/>
      </c>
      <c r="P382" s="73" t="str">
        <f>IF(ISBLANK(C382),"",_xlfn.IFNA(INDEX(inbound_data[],MATCH(Outbound_data[[#This Row],[STOCK CODE OUT]],Generated_Stockcode,0),23),""))</f>
        <v/>
      </c>
      <c r="Q382" s="73" t="str">
        <f>IF(ISBLANK(C382),"",_xlfn.IFNA(INDEX(inbound_data[],MATCH(Outbound_data[[#This Row],[STOCK CODE OUT]],Generated_Stockcode,0),13),""))</f>
        <v/>
      </c>
    </row>
    <row r="383" spans="2:17" x14ac:dyDescent="0.25">
      <c r="B383" s="71"/>
      <c r="C383" s="65"/>
      <c r="D383" s="55"/>
      <c r="E383" s="65"/>
      <c r="F383" s="166"/>
      <c r="G383" s="167"/>
      <c r="H383" s="166"/>
      <c r="I383" s="72"/>
      <c r="J383" s="55"/>
      <c r="K383" s="72"/>
      <c r="L383" s="55"/>
      <c r="M383" s="174"/>
      <c r="N383" s="73" t="str">
        <f>IF(ISBLANK(C383),"",_xlfn.IFNA(INDEX(inbound_data[],MATCH(Outbound_data[[#This Row],[STOCK CODE OUT]],Generated_Stockcode,0),10),""))</f>
        <v/>
      </c>
      <c r="O383" s="73" t="str">
        <f>IF(ISBLANK(C383),"",_xlfn.IFNA(INDEX(inbound_data[],MATCH(Outbound_data[[#This Row],[STOCK CODE OUT]],Generated_Stockcode,0),12),""))</f>
        <v/>
      </c>
      <c r="P383" s="73" t="str">
        <f>IF(ISBLANK(C383),"",_xlfn.IFNA(INDEX(inbound_data[],MATCH(Outbound_data[[#This Row],[STOCK CODE OUT]],Generated_Stockcode,0),23),""))</f>
        <v/>
      </c>
      <c r="Q383" s="73" t="str">
        <f>IF(ISBLANK(C383),"",_xlfn.IFNA(INDEX(inbound_data[],MATCH(Outbound_data[[#This Row],[STOCK CODE OUT]],Generated_Stockcode,0),13),""))</f>
        <v/>
      </c>
    </row>
    <row r="384" spans="2:17" x14ac:dyDescent="0.25">
      <c r="B384" s="71"/>
      <c r="C384" s="65"/>
      <c r="D384" s="55"/>
      <c r="E384" s="65"/>
      <c r="F384" s="166"/>
      <c r="G384" s="167"/>
      <c r="H384" s="166"/>
      <c r="I384" s="72"/>
      <c r="J384" s="55"/>
      <c r="K384" s="72"/>
      <c r="L384" s="55"/>
      <c r="M384" s="174"/>
      <c r="N384" s="73" t="str">
        <f>IF(ISBLANK(C384),"",_xlfn.IFNA(INDEX(inbound_data[],MATCH(Outbound_data[[#This Row],[STOCK CODE OUT]],Generated_Stockcode,0),10),""))</f>
        <v/>
      </c>
      <c r="O384" s="73" t="str">
        <f>IF(ISBLANK(C384),"",_xlfn.IFNA(INDEX(inbound_data[],MATCH(Outbound_data[[#This Row],[STOCK CODE OUT]],Generated_Stockcode,0),12),""))</f>
        <v/>
      </c>
      <c r="P384" s="73" t="str">
        <f>IF(ISBLANK(C384),"",_xlfn.IFNA(INDEX(inbound_data[],MATCH(Outbound_data[[#This Row],[STOCK CODE OUT]],Generated_Stockcode,0),23),""))</f>
        <v/>
      </c>
      <c r="Q384" s="73" t="str">
        <f>IF(ISBLANK(C384),"",_xlfn.IFNA(INDEX(inbound_data[],MATCH(Outbound_data[[#This Row],[STOCK CODE OUT]],Generated_Stockcode,0),13),""))</f>
        <v/>
      </c>
    </row>
    <row r="385" spans="2:17" x14ac:dyDescent="0.25">
      <c r="B385" s="71"/>
      <c r="C385" s="65"/>
      <c r="D385" s="55"/>
      <c r="E385" s="65"/>
      <c r="F385" s="166"/>
      <c r="G385" s="167"/>
      <c r="H385" s="166"/>
      <c r="I385" s="72"/>
      <c r="J385" s="55"/>
      <c r="K385" s="72"/>
      <c r="L385" s="55"/>
      <c r="M385" s="174"/>
      <c r="N385" s="73" t="str">
        <f>IF(ISBLANK(C385),"",_xlfn.IFNA(INDEX(inbound_data[],MATCH(Outbound_data[[#This Row],[STOCK CODE OUT]],Generated_Stockcode,0),10),""))</f>
        <v/>
      </c>
      <c r="O385" s="73" t="str">
        <f>IF(ISBLANK(C385),"",_xlfn.IFNA(INDEX(inbound_data[],MATCH(Outbound_data[[#This Row],[STOCK CODE OUT]],Generated_Stockcode,0),12),""))</f>
        <v/>
      </c>
      <c r="P385" s="73" t="str">
        <f>IF(ISBLANK(C385),"",_xlfn.IFNA(INDEX(inbound_data[],MATCH(Outbound_data[[#This Row],[STOCK CODE OUT]],Generated_Stockcode,0),23),""))</f>
        <v/>
      </c>
      <c r="Q385" s="73" t="str">
        <f>IF(ISBLANK(C385),"",_xlfn.IFNA(INDEX(inbound_data[],MATCH(Outbound_data[[#This Row],[STOCK CODE OUT]],Generated_Stockcode,0),13),""))</f>
        <v/>
      </c>
    </row>
    <row r="386" spans="2:17" x14ac:dyDescent="0.25">
      <c r="B386" s="71"/>
      <c r="C386" s="65"/>
      <c r="D386" s="55"/>
      <c r="E386" s="65"/>
      <c r="F386" s="166"/>
      <c r="G386" s="167"/>
      <c r="H386" s="166"/>
      <c r="I386" s="72"/>
      <c r="J386" s="55"/>
      <c r="K386" s="72"/>
      <c r="L386" s="55"/>
      <c r="M386" s="174"/>
      <c r="N386" s="73" t="str">
        <f>IF(ISBLANK(C386),"",_xlfn.IFNA(INDEX(inbound_data[],MATCH(Outbound_data[[#This Row],[STOCK CODE OUT]],Generated_Stockcode,0),10),""))</f>
        <v/>
      </c>
      <c r="O386" s="73" t="str">
        <f>IF(ISBLANK(C386),"",_xlfn.IFNA(INDEX(inbound_data[],MATCH(Outbound_data[[#This Row],[STOCK CODE OUT]],Generated_Stockcode,0),12),""))</f>
        <v/>
      </c>
      <c r="P386" s="73" t="str">
        <f>IF(ISBLANK(C386),"",_xlfn.IFNA(INDEX(inbound_data[],MATCH(Outbound_data[[#This Row],[STOCK CODE OUT]],Generated_Stockcode,0),23),""))</f>
        <v/>
      </c>
      <c r="Q386" s="73" t="str">
        <f>IF(ISBLANK(C386),"",_xlfn.IFNA(INDEX(inbound_data[],MATCH(Outbound_data[[#This Row],[STOCK CODE OUT]],Generated_Stockcode,0),13),""))</f>
        <v/>
      </c>
    </row>
    <row r="387" spans="2:17" x14ac:dyDescent="0.25">
      <c r="B387" s="71"/>
      <c r="C387" s="65"/>
      <c r="D387" s="55"/>
      <c r="E387" s="65"/>
      <c r="F387" s="166"/>
      <c r="G387" s="167"/>
      <c r="H387" s="166"/>
      <c r="I387" s="72"/>
      <c r="J387" s="55"/>
      <c r="K387" s="72"/>
      <c r="L387" s="55"/>
      <c r="M387" s="174"/>
      <c r="N387" s="73" t="str">
        <f>IF(ISBLANK(C387),"",_xlfn.IFNA(INDEX(inbound_data[],MATCH(Outbound_data[[#This Row],[STOCK CODE OUT]],Generated_Stockcode,0),10),""))</f>
        <v/>
      </c>
      <c r="O387" s="73" t="str">
        <f>IF(ISBLANK(C387),"",_xlfn.IFNA(INDEX(inbound_data[],MATCH(Outbound_data[[#This Row],[STOCK CODE OUT]],Generated_Stockcode,0),12),""))</f>
        <v/>
      </c>
      <c r="P387" s="73" t="str">
        <f>IF(ISBLANK(C387),"",_xlfn.IFNA(INDEX(inbound_data[],MATCH(Outbound_data[[#This Row],[STOCK CODE OUT]],Generated_Stockcode,0),23),""))</f>
        <v/>
      </c>
      <c r="Q387" s="73" t="str">
        <f>IF(ISBLANK(C387),"",_xlfn.IFNA(INDEX(inbound_data[],MATCH(Outbound_data[[#This Row],[STOCK CODE OUT]],Generated_Stockcode,0),13),""))</f>
        <v/>
      </c>
    </row>
    <row r="388" spans="2:17" x14ac:dyDescent="0.25">
      <c r="B388" s="71"/>
      <c r="C388" s="65"/>
      <c r="D388" s="55"/>
      <c r="E388" s="65"/>
      <c r="F388" s="166"/>
      <c r="G388" s="167"/>
      <c r="H388" s="166"/>
      <c r="I388" s="72"/>
      <c r="J388" s="55"/>
      <c r="K388" s="72"/>
      <c r="L388" s="55"/>
      <c r="M388" s="174"/>
      <c r="N388" s="73" t="str">
        <f>IF(ISBLANK(C388),"",_xlfn.IFNA(INDEX(inbound_data[],MATCH(Outbound_data[[#This Row],[STOCK CODE OUT]],Generated_Stockcode,0),10),""))</f>
        <v/>
      </c>
      <c r="O388" s="73" t="str">
        <f>IF(ISBLANK(C388),"",_xlfn.IFNA(INDEX(inbound_data[],MATCH(Outbound_data[[#This Row],[STOCK CODE OUT]],Generated_Stockcode,0),12),""))</f>
        <v/>
      </c>
      <c r="P388" s="73" t="str">
        <f>IF(ISBLANK(C388),"",_xlfn.IFNA(INDEX(inbound_data[],MATCH(Outbound_data[[#This Row],[STOCK CODE OUT]],Generated_Stockcode,0),23),""))</f>
        <v/>
      </c>
      <c r="Q388" s="73" t="str">
        <f>IF(ISBLANK(C388),"",_xlfn.IFNA(INDEX(inbound_data[],MATCH(Outbound_data[[#This Row],[STOCK CODE OUT]],Generated_Stockcode,0),13),""))</f>
        <v/>
      </c>
    </row>
    <row r="389" spans="2:17" x14ac:dyDescent="0.25">
      <c r="B389" s="71"/>
      <c r="C389" s="65"/>
      <c r="D389" s="55"/>
      <c r="E389" s="65"/>
      <c r="F389" s="166"/>
      <c r="G389" s="167"/>
      <c r="H389" s="166"/>
      <c r="I389" s="72"/>
      <c r="J389" s="55"/>
      <c r="K389" s="72"/>
      <c r="L389" s="55"/>
      <c r="M389" s="174"/>
      <c r="N389" s="73" t="str">
        <f>IF(ISBLANK(C389),"",_xlfn.IFNA(INDEX(inbound_data[],MATCH(Outbound_data[[#This Row],[STOCK CODE OUT]],Generated_Stockcode,0),10),""))</f>
        <v/>
      </c>
      <c r="O389" s="73" t="str">
        <f>IF(ISBLANK(C389),"",_xlfn.IFNA(INDEX(inbound_data[],MATCH(Outbound_data[[#This Row],[STOCK CODE OUT]],Generated_Stockcode,0),12),""))</f>
        <v/>
      </c>
      <c r="P389" s="73" t="str">
        <f>IF(ISBLANK(C389),"",_xlfn.IFNA(INDEX(inbound_data[],MATCH(Outbound_data[[#This Row],[STOCK CODE OUT]],Generated_Stockcode,0),23),""))</f>
        <v/>
      </c>
      <c r="Q389" s="73" t="str">
        <f>IF(ISBLANK(C389),"",_xlfn.IFNA(INDEX(inbound_data[],MATCH(Outbound_data[[#This Row],[STOCK CODE OUT]],Generated_Stockcode,0),13),""))</f>
        <v/>
      </c>
    </row>
    <row r="390" spans="2:17" x14ac:dyDescent="0.25">
      <c r="B390" s="71"/>
      <c r="C390" s="65"/>
      <c r="D390" s="55"/>
      <c r="E390" s="65"/>
      <c r="F390" s="166"/>
      <c r="G390" s="167"/>
      <c r="H390" s="166"/>
      <c r="I390" s="72"/>
      <c r="J390" s="55"/>
      <c r="K390" s="72"/>
      <c r="L390" s="55"/>
      <c r="M390" s="174"/>
      <c r="N390" s="73" t="str">
        <f>IF(ISBLANK(C390),"",_xlfn.IFNA(INDEX(inbound_data[],MATCH(Outbound_data[[#This Row],[STOCK CODE OUT]],Generated_Stockcode,0),10),""))</f>
        <v/>
      </c>
      <c r="O390" s="73" t="str">
        <f>IF(ISBLANK(C390),"",_xlfn.IFNA(INDEX(inbound_data[],MATCH(Outbound_data[[#This Row],[STOCK CODE OUT]],Generated_Stockcode,0),12),""))</f>
        <v/>
      </c>
      <c r="P390" s="73" t="str">
        <f>IF(ISBLANK(C390),"",_xlfn.IFNA(INDEX(inbound_data[],MATCH(Outbound_data[[#This Row],[STOCK CODE OUT]],Generated_Stockcode,0),23),""))</f>
        <v/>
      </c>
      <c r="Q390" s="73" t="str">
        <f>IF(ISBLANK(C390),"",_xlfn.IFNA(INDEX(inbound_data[],MATCH(Outbound_data[[#This Row],[STOCK CODE OUT]],Generated_Stockcode,0),13),""))</f>
        <v/>
      </c>
    </row>
    <row r="391" spans="2:17" x14ac:dyDescent="0.25">
      <c r="B391" s="71"/>
      <c r="C391" s="65"/>
      <c r="D391" s="55"/>
      <c r="E391" s="65"/>
      <c r="F391" s="166"/>
      <c r="G391" s="167"/>
      <c r="H391" s="166"/>
      <c r="I391" s="72"/>
      <c r="J391" s="55"/>
      <c r="K391" s="72"/>
      <c r="L391" s="55"/>
      <c r="M391" s="174"/>
      <c r="N391" s="73" t="str">
        <f>IF(ISBLANK(C391),"",_xlfn.IFNA(INDEX(inbound_data[],MATCH(Outbound_data[[#This Row],[STOCK CODE OUT]],Generated_Stockcode,0),10),""))</f>
        <v/>
      </c>
      <c r="O391" s="73" t="str">
        <f>IF(ISBLANK(C391),"",_xlfn.IFNA(INDEX(inbound_data[],MATCH(Outbound_data[[#This Row],[STOCK CODE OUT]],Generated_Stockcode,0),12),""))</f>
        <v/>
      </c>
      <c r="P391" s="73" t="str">
        <f>IF(ISBLANK(C391),"",_xlfn.IFNA(INDEX(inbound_data[],MATCH(Outbound_data[[#This Row],[STOCK CODE OUT]],Generated_Stockcode,0),23),""))</f>
        <v/>
      </c>
      <c r="Q391" s="73" t="str">
        <f>IF(ISBLANK(C391),"",_xlfn.IFNA(INDEX(inbound_data[],MATCH(Outbound_data[[#This Row],[STOCK CODE OUT]],Generated_Stockcode,0),13),""))</f>
        <v/>
      </c>
    </row>
    <row r="392" spans="2:17" x14ac:dyDescent="0.25">
      <c r="B392" s="71"/>
      <c r="C392" s="65"/>
      <c r="D392" s="55"/>
      <c r="E392" s="65"/>
      <c r="F392" s="166"/>
      <c r="G392" s="167"/>
      <c r="H392" s="166"/>
      <c r="I392" s="72"/>
      <c r="J392" s="55"/>
      <c r="K392" s="72"/>
      <c r="L392" s="55"/>
      <c r="M392" s="174"/>
      <c r="N392" s="73" t="str">
        <f>IF(ISBLANK(C392),"",_xlfn.IFNA(INDEX(inbound_data[],MATCH(Outbound_data[[#This Row],[STOCK CODE OUT]],Generated_Stockcode,0),10),""))</f>
        <v/>
      </c>
      <c r="O392" s="73" t="str">
        <f>IF(ISBLANK(C392),"",_xlfn.IFNA(INDEX(inbound_data[],MATCH(Outbound_data[[#This Row],[STOCK CODE OUT]],Generated_Stockcode,0),12),""))</f>
        <v/>
      </c>
      <c r="P392" s="73" t="str">
        <f>IF(ISBLANK(C392),"",_xlfn.IFNA(INDEX(inbound_data[],MATCH(Outbound_data[[#This Row],[STOCK CODE OUT]],Generated_Stockcode,0),23),""))</f>
        <v/>
      </c>
      <c r="Q392" s="73" t="str">
        <f>IF(ISBLANK(C392),"",_xlfn.IFNA(INDEX(inbound_data[],MATCH(Outbound_data[[#This Row],[STOCK CODE OUT]],Generated_Stockcode,0),13),""))</f>
        <v/>
      </c>
    </row>
    <row r="393" spans="2:17" x14ac:dyDescent="0.25">
      <c r="B393" s="71"/>
      <c r="C393" s="65"/>
      <c r="D393" s="55"/>
      <c r="E393" s="65"/>
      <c r="F393" s="166"/>
      <c r="G393" s="167"/>
      <c r="H393" s="166"/>
      <c r="I393" s="72"/>
      <c r="J393" s="55"/>
      <c r="K393" s="72"/>
      <c r="L393" s="55"/>
      <c r="M393" s="174"/>
      <c r="N393" s="73" t="str">
        <f>IF(ISBLANK(C393),"",_xlfn.IFNA(INDEX(inbound_data[],MATCH(Outbound_data[[#This Row],[STOCK CODE OUT]],Generated_Stockcode,0),10),""))</f>
        <v/>
      </c>
      <c r="O393" s="73" t="str">
        <f>IF(ISBLANK(C393),"",_xlfn.IFNA(INDEX(inbound_data[],MATCH(Outbound_data[[#This Row],[STOCK CODE OUT]],Generated_Stockcode,0),12),""))</f>
        <v/>
      </c>
      <c r="P393" s="73" t="str">
        <f>IF(ISBLANK(C393),"",_xlfn.IFNA(INDEX(inbound_data[],MATCH(Outbound_data[[#This Row],[STOCK CODE OUT]],Generated_Stockcode,0),23),""))</f>
        <v/>
      </c>
      <c r="Q393" s="73" t="str">
        <f>IF(ISBLANK(C393),"",_xlfn.IFNA(INDEX(inbound_data[],MATCH(Outbound_data[[#This Row],[STOCK CODE OUT]],Generated_Stockcode,0),13),""))</f>
        <v/>
      </c>
    </row>
    <row r="394" spans="2:17" x14ac:dyDescent="0.25">
      <c r="B394" s="71"/>
      <c r="C394" s="65"/>
      <c r="D394" s="55"/>
      <c r="E394" s="65"/>
      <c r="F394" s="166"/>
      <c r="G394" s="167"/>
      <c r="H394" s="166"/>
      <c r="I394" s="72"/>
      <c r="J394" s="55"/>
      <c r="K394" s="72"/>
      <c r="L394" s="55"/>
      <c r="M394" s="174"/>
      <c r="N394" s="73" t="str">
        <f>IF(ISBLANK(C394),"",_xlfn.IFNA(INDEX(inbound_data[],MATCH(Outbound_data[[#This Row],[STOCK CODE OUT]],Generated_Stockcode,0),10),""))</f>
        <v/>
      </c>
      <c r="O394" s="73" t="str">
        <f>IF(ISBLANK(C394),"",_xlfn.IFNA(INDEX(inbound_data[],MATCH(Outbound_data[[#This Row],[STOCK CODE OUT]],Generated_Stockcode,0),12),""))</f>
        <v/>
      </c>
      <c r="P394" s="73" t="str">
        <f>IF(ISBLANK(C394),"",_xlfn.IFNA(INDEX(inbound_data[],MATCH(Outbound_data[[#This Row],[STOCK CODE OUT]],Generated_Stockcode,0),23),""))</f>
        <v/>
      </c>
      <c r="Q394" s="73" t="str">
        <f>IF(ISBLANK(C394),"",_xlfn.IFNA(INDEX(inbound_data[],MATCH(Outbound_data[[#This Row],[STOCK CODE OUT]],Generated_Stockcode,0),13),""))</f>
        <v/>
      </c>
    </row>
    <row r="395" spans="2:17" x14ac:dyDescent="0.25">
      <c r="B395" s="71"/>
      <c r="C395" s="65"/>
      <c r="D395" s="55"/>
      <c r="E395" s="65"/>
      <c r="F395" s="166"/>
      <c r="G395" s="167"/>
      <c r="H395" s="166"/>
      <c r="I395" s="72"/>
      <c r="J395" s="55"/>
      <c r="K395" s="72"/>
      <c r="L395" s="55"/>
      <c r="M395" s="174"/>
      <c r="N395" s="73" t="str">
        <f>IF(ISBLANK(C395),"",_xlfn.IFNA(INDEX(inbound_data[],MATCH(Outbound_data[[#This Row],[STOCK CODE OUT]],Generated_Stockcode,0),10),""))</f>
        <v/>
      </c>
      <c r="O395" s="73" t="str">
        <f>IF(ISBLANK(C395),"",_xlfn.IFNA(INDEX(inbound_data[],MATCH(Outbound_data[[#This Row],[STOCK CODE OUT]],Generated_Stockcode,0),12),""))</f>
        <v/>
      </c>
      <c r="P395" s="73" t="str">
        <f>IF(ISBLANK(C395),"",_xlfn.IFNA(INDEX(inbound_data[],MATCH(Outbound_data[[#This Row],[STOCK CODE OUT]],Generated_Stockcode,0),23),""))</f>
        <v/>
      </c>
      <c r="Q395" s="73" t="str">
        <f>IF(ISBLANK(C395),"",_xlfn.IFNA(INDEX(inbound_data[],MATCH(Outbound_data[[#This Row],[STOCK CODE OUT]],Generated_Stockcode,0),13),""))</f>
        <v/>
      </c>
    </row>
    <row r="396" spans="2:17" x14ac:dyDescent="0.25">
      <c r="B396" s="71"/>
      <c r="C396" s="65"/>
      <c r="D396" s="55"/>
      <c r="E396" s="65"/>
      <c r="F396" s="166"/>
      <c r="G396" s="167"/>
      <c r="H396" s="166"/>
      <c r="I396" s="72"/>
      <c r="J396" s="55"/>
      <c r="K396" s="72"/>
      <c r="L396" s="55"/>
      <c r="M396" s="174"/>
      <c r="N396" s="73" t="str">
        <f>IF(ISBLANK(C396),"",_xlfn.IFNA(INDEX(inbound_data[],MATCH(Outbound_data[[#This Row],[STOCK CODE OUT]],Generated_Stockcode,0),10),""))</f>
        <v/>
      </c>
      <c r="O396" s="73" t="str">
        <f>IF(ISBLANK(C396),"",_xlfn.IFNA(INDEX(inbound_data[],MATCH(Outbound_data[[#This Row],[STOCK CODE OUT]],Generated_Stockcode,0),12),""))</f>
        <v/>
      </c>
      <c r="P396" s="73" t="str">
        <f>IF(ISBLANK(C396),"",_xlfn.IFNA(INDEX(inbound_data[],MATCH(Outbound_data[[#This Row],[STOCK CODE OUT]],Generated_Stockcode,0),23),""))</f>
        <v/>
      </c>
      <c r="Q396" s="73" t="str">
        <f>IF(ISBLANK(C396),"",_xlfn.IFNA(INDEX(inbound_data[],MATCH(Outbound_data[[#This Row],[STOCK CODE OUT]],Generated_Stockcode,0),13),""))</f>
        <v/>
      </c>
    </row>
    <row r="397" spans="2:17" x14ac:dyDescent="0.25">
      <c r="B397" s="71"/>
      <c r="C397" s="65"/>
      <c r="D397" s="55"/>
      <c r="E397" s="65"/>
      <c r="F397" s="166"/>
      <c r="G397" s="167"/>
      <c r="H397" s="166"/>
      <c r="I397" s="72"/>
      <c r="J397" s="55"/>
      <c r="K397" s="72"/>
      <c r="L397" s="55"/>
      <c r="M397" s="174"/>
      <c r="N397" s="73" t="str">
        <f>IF(ISBLANK(C397),"",_xlfn.IFNA(INDEX(inbound_data[],MATCH(Outbound_data[[#This Row],[STOCK CODE OUT]],Generated_Stockcode,0),10),""))</f>
        <v/>
      </c>
      <c r="O397" s="73" t="str">
        <f>IF(ISBLANK(C397),"",_xlfn.IFNA(INDEX(inbound_data[],MATCH(Outbound_data[[#This Row],[STOCK CODE OUT]],Generated_Stockcode,0),12),""))</f>
        <v/>
      </c>
      <c r="P397" s="73" t="str">
        <f>IF(ISBLANK(C397),"",_xlfn.IFNA(INDEX(inbound_data[],MATCH(Outbound_data[[#This Row],[STOCK CODE OUT]],Generated_Stockcode,0),23),""))</f>
        <v/>
      </c>
      <c r="Q397" s="73" t="str">
        <f>IF(ISBLANK(C397),"",_xlfn.IFNA(INDEX(inbound_data[],MATCH(Outbound_data[[#This Row],[STOCK CODE OUT]],Generated_Stockcode,0),13),""))</f>
        <v/>
      </c>
    </row>
    <row r="398" spans="2:17" x14ac:dyDescent="0.25">
      <c r="B398" s="71"/>
      <c r="C398" s="65"/>
      <c r="D398" s="55"/>
      <c r="E398" s="65"/>
      <c r="F398" s="166"/>
      <c r="G398" s="167"/>
      <c r="H398" s="166"/>
      <c r="I398" s="72"/>
      <c r="J398" s="55"/>
      <c r="K398" s="72"/>
      <c r="L398" s="55"/>
      <c r="M398" s="174"/>
      <c r="N398" s="73" t="str">
        <f>IF(ISBLANK(C398),"",_xlfn.IFNA(INDEX(inbound_data[],MATCH(Outbound_data[[#This Row],[STOCK CODE OUT]],Generated_Stockcode,0),10),""))</f>
        <v/>
      </c>
      <c r="O398" s="73" t="str">
        <f>IF(ISBLANK(C398),"",_xlfn.IFNA(INDEX(inbound_data[],MATCH(Outbound_data[[#This Row],[STOCK CODE OUT]],Generated_Stockcode,0),12),""))</f>
        <v/>
      </c>
      <c r="P398" s="73" t="str">
        <f>IF(ISBLANK(C398),"",_xlfn.IFNA(INDEX(inbound_data[],MATCH(Outbound_data[[#This Row],[STOCK CODE OUT]],Generated_Stockcode,0),23),""))</f>
        <v/>
      </c>
      <c r="Q398" s="73" t="str">
        <f>IF(ISBLANK(C398),"",_xlfn.IFNA(INDEX(inbound_data[],MATCH(Outbound_data[[#This Row],[STOCK CODE OUT]],Generated_Stockcode,0),13),""))</f>
        <v/>
      </c>
    </row>
    <row r="399" spans="2:17" x14ac:dyDescent="0.25">
      <c r="B399" s="71"/>
      <c r="C399" s="65"/>
      <c r="D399" s="55"/>
      <c r="E399" s="65"/>
      <c r="F399" s="166"/>
      <c r="G399" s="167"/>
      <c r="H399" s="166"/>
      <c r="I399" s="72"/>
      <c r="J399" s="55"/>
      <c r="K399" s="72"/>
      <c r="L399" s="55"/>
      <c r="M399" s="174"/>
      <c r="N399" s="73" t="str">
        <f>IF(ISBLANK(C399),"",_xlfn.IFNA(INDEX(inbound_data[],MATCH(Outbound_data[[#This Row],[STOCK CODE OUT]],Generated_Stockcode,0),10),""))</f>
        <v/>
      </c>
      <c r="O399" s="73" t="str">
        <f>IF(ISBLANK(C399),"",_xlfn.IFNA(INDEX(inbound_data[],MATCH(Outbound_data[[#This Row],[STOCK CODE OUT]],Generated_Stockcode,0),12),""))</f>
        <v/>
      </c>
      <c r="P399" s="73" t="str">
        <f>IF(ISBLANK(C399),"",_xlfn.IFNA(INDEX(inbound_data[],MATCH(Outbound_data[[#This Row],[STOCK CODE OUT]],Generated_Stockcode,0),23),""))</f>
        <v/>
      </c>
      <c r="Q399" s="73" t="str">
        <f>IF(ISBLANK(C399),"",_xlfn.IFNA(INDEX(inbound_data[],MATCH(Outbound_data[[#This Row],[STOCK CODE OUT]],Generated_Stockcode,0),13),""))</f>
        <v/>
      </c>
    </row>
    <row r="400" spans="2:17" x14ac:dyDescent="0.25">
      <c r="B400" s="71"/>
      <c r="C400" s="65"/>
      <c r="D400" s="55"/>
      <c r="E400" s="65"/>
      <c r="F400" s="166"/>
      <c r="G400" s="167"/>
      <c r="H400" s="166"/>
      <c r="I400" s="72"/>
      <c r="J400" s="55"/>
      <c r="K400" s="72"/>
      <c r="L400" s="55"/>
      <c r="M400" s="174"/>
      <c r="N400" s="73" t="str">
        <f>IF(ISBLANK(C400),"",_xlfn.IFNA(INDEX(inbound_data[],MATCH(Outbound_data[[#This Row],[STOCK CODE OUT]],Generated_Stockcode,0),10),""))</f>
        <v/>
      </c>
      <c r="O400" s="73" t="str">
        <f>IF(ISBLANK(C400),"",_xlfn.IFNA(INDEX(inbound_data[],MATCH(Outbound_data[[#This Row],[STOCK CODE OUT]],Generated_Stockcode,0),12),""))</f>
        <v/>
      </c>
      <c r="P400" s="73" t="str">
        <f>IF(ISBLANK(C400),"",_xlfn.IFNA(INDEX(inbound_data[],MATCH(Outbound_data[[#This Row],[STOCK CODE OUT]],Generated_Stockcode,0),23),""))</f>
        <v/>
      </c>
      <c r="Q400" s="73" t="str">
        <f>IF(ISBLANK(C400),"",_xlfn.IFNA(INDEX(inbound_data[],MATCH(Outbound_data[[#This Row],[STOCK CODE OUT]],Generated_Stockcode,0),13),""))</f>
        <v/>
      </c>
    </row>
    <row r="401" spans="2:17" x14ac:dyDescent="0.25">
      <c r="B401" s="71"/>
      <c r="C401" s="65"/>
      <c r="D401" s="55"/>
      <c r="E401" s="65"/>
      <c r="F401" s="166"/>
      <c r="G401" s="167"/>
      <c r="H401" s="166"/>
      <c r="I401" s="72"/>
      <c r="J401" s="55"/>
      <c r="K401" s="72"/>
      <c r="L401" s="55"/>
      <c r="M401" s="174"/>
      <c r="N401" s="73" t="str">
        <f>IF(ISBLANK(C401),"",_xlfn.IFNA(INDEX(inbound_data[],MATCH(Outbound_data[[#This Row],[STOCK CODE OUT]],Generated_Stockcode,0),10),""))</f>
        <v/>
      </c>
      <c r="O401" s="73" t="str">
        <f>IF(ISBLANK(C401),"",_xlfn.IFNA(INDEX(inbound_data[],MATCH(Outbound_data[[#This Row],[STOCK CODE OUT]],Generated_Stockcode,0),12),""))</f>
        <v/>
      </c>
      <c r="P401" s="73" t="str">
        <f>IF(ISBLANK(C401),"",_xlfn.IFNA(INDEX(inbound_data[],MATCH(Outbound_data[[#This Row],[STOCK CODE OUT]],Generated_Stockcode,0),23),""))</f>
        <v/>
      </c>
      <c r="Q401" s="73" t="str">
        <f>IF(ISBLANK(C401),"",_xlfn.IFNA(INDEX(inbound_data[],MATCH(Outbound_data[[#This Row],[STOCK CODE OUT]],Generated_Stockcode,0),13),""))</f>
        <v/>
      </c>
    </row>
    <row r="402" spans="2:17" x14ac:dyDescent="0.25">
      <c r="B402" s="71"/>
      <c r="C402" s="65"/>
      <c r="D402" s="55"/>
      <c r="E402" s="65"/>
      <c r="F402" s="166"/>
      <c r="G402" s="167"/>
      <c r="H402" s="166"/>
      <c r="I402" s="72"/>
      <c r="J402" s="55"/>
      <c r="K402" s="72"/>
      <c r="L402" s="55"/>
      <c r="M402" s="174"/>
      <c r="N402" s="73" t="str">
        <f>IF(ISBLANK(C402),"",_xlfn.IFNA(INDEX(inbound_data[],MATCH(Outbound_data[[#This Row],[STOCK CODE OUT]],Generated_Stockcode,0),10),""))</f>
        <v/>
      </c>
      <c r="O402" s="73" t="str">
        <f>IF(ISBLANK(C402),"",_xlfn.IFNA(INDEX(inbound_data[],MATCH(Outbound_data[[#This Row],[STOCK CODE OUT]],Generated_Stockcode,0),12),""))</f>
        <v/>
      </c>
      <c r="P402" s="73" t="str">
        <f>IF(ISBLANK(C402),"",_xlfn.IFNA(INDEX(inbound_data[],MATCH(Outbound_data[[#This Row],[STOCK CODE OUT]],Generated_Stockcode,0),23),""))</f>
        <v/>
      </c>
      <c r="Q402" s="73" t="str">
        <f>IF(ISBLANK(C402),"",_xlfn.IFNA(INDEX(inbound_data[],MATCH(Outbound_data[[#This Row],[STOCK CODE OUT]],Generated_Stockcode,0),13),""))</f>
        <v/>
      </c>
    </row>
    <row r="403" spans="2:17" x14ac:dyDescent="0.25">
      <c r="B403" s="71"/>
      <c r="C403" s="65"/>
      <c r="D403" s="55"/>
      <c r="E403" s="65"/>
      <c r="F403" s="166"/>
      <c r="G403" s="167"/>
      <c r="H403" s="166"/>
      <c r="I403" s="72"/>
      <c r="J403" s="55"/>
      <c r="K403" s="72"/>
      <c r="L403" s="55"/>
      <c r="M403" s="174"/>
      <c r="N403" s="73" t="str">
        <f>IF(ISBLANK(C403),"",_xlfn.IFNA(INDEX(inbound_data[],MATCH(Outbound_data[[#This Row],[STOCK CODE OUT]],Generated_Stockcode,0),10),""))</f>
        <v/>
      </c>
      <c r="O403" s="73" t="str">
        <f>IF(ISBLANK(C403),"",_xlfn.IFNA(INDEX(inbound_data[],MATCH(Outbound_data[[#This Row],[STOCK CODE OUT]],Generated_Stockcode,0),12),""))</f>
        <v/>
      </c>
      <c r="P403" s="73" t="str">
        <f>IF(ISBLANK(C403),"",_xlfn.IFNA(INDEX(inbound_data[],MATCH(Outbound_data[[#This Row],[STOCK CODE OUT]],Generated_Stockcode,0),23),""))</f>
        <v/>
      </c>
      <c r="Q403" s="73" t="str">
        <f>IF(ISBLANK(C403),"",_xlfn.IFNA(INDEX(inbound_data[],MATCH(Outbound_data[[#This Row],[STOCK CODE OUT]],Generated_Stockcode,0),13),""))</f>
        <v/>
      </c>
    </row>
    <row r="404" spans="2:17" x14ac:dyDescent="0.25">
      <c r="B404" s="71"/>
      <c r="C404" s="65"/>
      <c r="D404" s="55"/>
      <c r="E404" s="65"/>
      <c r="F404" s="166"/>
      <c r="G404" s="167"/>
      <c r="H404" s="166"/>
      <c r="I404" s="72"/>
      <c r="J404" s="55"/>
      <c r="K404" s="72"/>
      <c r="L404" s="55"/>
      <c r="M404" s="174"/>
      <c r="N404" s="73" t="str">
        <f>IF(ISBLANK(C404),"",_xlfn.IFNA(INDEX(inbound_data[],MATCH(Outbound_data[[#This Row],[STOCK CODE OUT]],Generated_Stockcode,0),10),""))</f>
        <v/>
      </c>
      <c r="O404" s="73" t="str">
        <f>IF(ISBLANK(C404),"",_xlfn.IFNA(INDEX(inbound_data[],MATCH(Outbound_data[[#This Row],[STOCK CODE OUT]],Generated_Stockcode,0),12),""))</f>
        <v/>
      </c>
      <c r="P404" s="73" t="str">
        <f>IF(ISBLANK(C404),"",_xlfn.IFNA(INDEX(inbound_data[],MATCH(Outbound_data[[#This Row],[STOCK CODE OUT]],Generated_Stockcode,0),23),""))</f>
        <v/>
      </c>
      <c r="Q404" s="73" t="str">
        <f>IF(ISBLANK(C404),"",_xlfn.IFNA(INDEX(inbound_data[],MATCH(Outbound_data[[#This Row],[STOCK CODE OUT]],Generated_Stockcode,0),13),""))</f>
        <v/>
      </c>
    </row>
    <row r="405" spans="2:17" x14ac:dyDescent="0.25">
      <c r="B405" s="71"/>
      <c r="C405" s="65"/>
      <c r="D405" s="55"/>
      <c r="E405" s="65"/>
      <c r="F405" s="166"/>
      <c r="G405" s="167"/>
      <c r="H405" s="166"/>
      <c r="I405" s="72"/>
      <c r="J405" s="55"/>
      <c r="K405" s="72"/>
      <c r="L405" s="55"/>
      <c r="M405" s="174"/>
      <c r="N405" s="73" t="str">
        <f>IF(ISBLANK(C405),"",_xlfn.IFNA(INDEX(inbound_data[],MATCH(Outbound_data[[#This Row],[STOCK CODE OUT]],Generated_Stockcode,0),10),""))</f>
        <v/>
      </c>
      <c r="O405" s="73" t="str">
        <f>IF(ISBLANK(C405),"",_xlfn.IFNA(INDEX(inbound_data[],MATCH(Outbound_data[[#This Row],[STOCK CODE OUT]],Generated_Stockcode,0),12),""))</f>
        <v/>
      </c>
      <c r="P405" s="73" t="str">
        <f>IF(ISBLANK(C405),"",_xlfn.IFNA(INDEX(inbound_data[],MATCH(Outbound_data[[#This Row],[STOCK CODE OUT]],Generated_Stockcode,0),23),""))</f>
        <v/>
      </c>
      <c r="Q405" s="73" t="str">
        <f>IF(ISBLANK(C405),"",_xlfn.IFNA(INDEX(inbound_data[],MATCH(Outbound_data[[#This Row],[STOCK CODE OUT]],Generated_Stockcode,0),13),""))</f>
        <v/>
      </c>
    </row>
    <row r="406" spans="2:17" x14ac:dyDescent="0.25">
      <c r="B406" s="71"/>
      <c r="C406" s="65"/>
      <c r="D406" s="55"/>
      <c r="E406" s="65"/>
      <c r="F406" s="166"/>
      <c r="G406" s="167"/>
      <c r="H406" s="166"/>
      <c r="I406" s="72"/>
      <c r="J406" s="55"/>
      <c r="K406" s="72"/>
      <c r="L406" s="55"/>
      <c r="M406" s="174"/>
      <c r="N406" s="73" t="str">
        <f>IF(ISBLANK(C406),"",_xlfn.IFNA(INDEX(inbound_data[],MATCH(Outbound_data[[#This Row],[STOCK CODE OUT]],Generated_Stockcode,0),10),""))</f>
        <v/>
      </c>
      <c r="O406" s="73" t="str">
        <f>IF(ISBLANK(C406),"",_xlfn.IFNA(INDEX(inbound_data[],MATCH(Outbound_data[[#This Row],[STOCK CODE OUT]],Generated_Stockcode,0),12),""))</f>
        <v/>
      </c>
      <c r="P406" s="73" t="str">
        <f>IF(ISBLANK(C406),"",_xlfn.IFNA(INDEX(inbound_data[],MATCH(Outbound_data[[#This Row],[STOCK CODE OUT]],Generated_Stockcode,0),23),""))</f>
        <v/>
      </c>
      <c r="Q406" s="73" t="str">
        <f>IF(ISBLANK(C406),"",_xlfn.IFNA(INDEX(inbound_data[],MATCH(Outbound_data[[#This Row],[STOCK CODE OUT]],Generated_Stockcode,0),13),""))</f>
        <v/>
      </c>
    </row>
    <row r="407" spans="2:17" x14ac:dyDescent="0.25">
      <c r="B407" s="71"/>
      <c r="C407" s="65"/>
      <c r="D407" s="55"/>
      <c r="E407" s="65"/>
      <c r="F407" s="166"/>
      <c r="G407" s="167"/>
      <c r="H407" s="166"/>
      <c r="I407" s="72"/>
      <c r="J407" s="55"/>
      <c r="K407" s="72"/>
      <c r="L407" s="55"/>
      <c r="M407" s="174"/>
      <c r="N407" s="73" t="str">
        <f>IF(ISBLANK(C407),"",_xlfn.IFNA(INDEX(inbound_data[],MATCH(Outbound_data[[#This Row],[STOCK CODE OUT]],Generated_Stockcode,0),10),""))</f>
        <v/>
      </c>
      <c r="O407" s="73" t="str">
        <f>IF(ISBLANK(C407),"",_xlfn.IFNA(INDEX(inbound_data[],MATCH(Outbound_data[[#This Row],[STOCK CODE OUT]],Generated_Stockcode,0),12),""))</f>
        <v/>
      </c>
      <c r="P407" s="73" t="str">
        <f>IF(ISBLANK(C407),"",_xlfn.IFNA(INDEX(inbound_data[],MATCH(Outbound_data[[#This Row],[STOCK CODE OUT]],Generated_Stockcode,0),23),""))</f>
        <v/>
      </c>
      <c r="Q407" s="73" t="str">
        <f>IF(ISBLANK(C407),"",_xlfn.IFNA(INDEX(inbound_data[],MATCH(Outbound_data[[#This Row],[STOCK CODE OUT]],Generated_Stockcode,0),13),""))</f>
        <v/>
      </c>
    </row>
    <row r="408" spans="2:17" x14ac:dyDescent="0.25">
      <c r="B408" s="71"/>
      <c r="C408" s="65"/>
      <c r="D408" s="55"/>
      <c r="E408" s="65"/>
      <c r="F408" s="166"/>
      <c r="G408" s="167"/>
      <c r="H408" s="166"/>
      <c r="I408" s="72"/>
      <c r="J408" s="55"/>
      <c r="K408" s="72"/>
      <c r="L408" s="55"/>
      <c r="M408" s="174"/>
      <c r="N408" s="73" t="str">
        <f>IF(ISBLANK(C408),"",_xlfn.IFNA(INDEX(inbound_data[],MATCH(Outbound_data[[#This Row],[STOCK CODE OUT]],Generated_Stockcode,0),10),""))</f>
        <v/>
      </c>
      <c r="O408" s="73" t="str">
        <f>IF(ISBLANK(C408),"",_xlfn.IFNA(INDEX(inbound_data[],MATCH(Outbound_data[[#This Row],[STOCK CODE OUT]],Generated_Stockcode,0),12),""))</f>
        <v/>
      </c>
      <c r="P408" s="73" t="str">
        <f>IF(ISBLANK(C408),"",_xlfn.IFNA(INDEX(inbound_data[],MATCH(Outbound_data[[#This Row],[STOCK CODE OUT]],Generated_Stockcode,0),23),""))</f>
        <v/>
      </c>
      <c r="Q408" s="73" t="str">
        <f>IF(ISBLANK(C408),"",_xlfn.IFNA(INDEX(inbound_data[],MATCH(Outbound_data[[#This Row],[STOCK CODE OUT]],Generated_Stockcode,0),13),""))</f>
        <v/>
      </c>
    </row>
    <row r="409" spans="2:17" x14ac:dyDescent="0.25">
      <c r="B409" s="71"/>
      <c r="C409" s="65"/>
      <c r="D409" s="55"/>
      <c r="E409" s="65"/>
      <c r="F409" s="166"/>
      <c r="G409" s="167"/>
      <c r="H409" s="166"/>
      <c r="I409" s="72"/>
      <c r="J409" s="55"/>
      <c r="K409" s="72"/>
      <c r="L409" s="55"/>
      <c r="M409" s="174"/>
      <c r="N409" s="73" t="str">
        <f>IF(ISBLANK(C409),"",_xlfn.IFNA(INDEX(inbound_data[],MATCH(Outbound_data[[#This Row],[STOCK CODE OUT]],Generated_Stockcode,0),10),""))</f>
        <v/>
      </c>
      <c r="O409" s="73" t="str">
        <f>IF(ISBLANK(C409),"",_xlfn.IFNA(INDEX(inbound_data[],MATCH(Outbound_data[[#This Row],[STOCK CODE OUT]],Generated_Stockcode,0),12),""))</f>
        <v/>
      </c>
      <c r="P409" s="73" t="str">
        <f>IF(ISBLANK(C409),"",_xlfn.IFNA(INDEX(inbound_data[],MATCH(Outbound_data[[#This Row],[STOCK CODE OUT]],Generated_Stockcode,0),23),""))</f>
        <v/>
      </c>
      <c r="Q409" s="73" t="str">
        <f>IF(ISBLANK(C409),"",_xlfn.IFNA(INDEX(inbound_data[],MATCH(Outbound_data[[#This Row],[STOCK CODE OUT]],Generated_Stockcode,0),13),""))</f>
        <v/>
      </c>
    </row>
    <row r="410" spans="2:17" x14ac:dyDescent="0.25">
      <c r="B410" s="71"/>
      <c r="C410" s="65"/>
      <c r="D410" s="55"/>
      <c r="E410" s="65"/>
      <c r="F410" s="166"/>
      <c r="G410" s="167"/>
      <c r="H410" s="166"/>
      <c r="I410" s="72"/>
      <c r="J410" s="55"/>
      <c r="K410" s="72"/>
      <c r="L410" s="55"/>
      <c r="M410" s="174"/>
      <c r="N410" s="73" t="str">
        <f>IF(ISBLANK(C410),"",_xlfn.IFNA(INDEX(inbound_data[],MATCH(Outbound_data[[#This Row],[STOCK CODE OUT]],Generated_Stockcode,0),10),""))</f>
        <v/>
      </c>
      <c r="O410" s="73" t="str">
        <f>IF(ISBLANK(C410),"",_xlfn.IFNA(INDEX(inbound_data[],MATCH(Outbound_data[[#This Row],[STOCK CODE OUT]],Generated_Stockcode,0),12),""))</f>
        <v/>
      </c>
      <c r="P410" s="73" t="str">
        <f>IF(ISBLANK(C410),"",_xlfn.IFNA(INDEX(inbound_data[],MATCH(Outbound_data[[#This Row],[STOCK CODE OUT]],Generated_Stockcode,0),23),""))</f>
        <v/>
      </c>
      <c r="Q410" s="73" t="str">
        <f>IF(ISBLANK(C410),"",_xlfn.IFNA(INDEX(inbound_data[],MATCH(Outbound_data[[#This Row],[STOCK CODE OUT]],Generated_Stockcode,0),13),""))</f>
        <v/>
      </c>
    </row>
    <row r="411" spans="2:17" x14ac:dyDescent="0.25">
      <c r="B411" s="71"/>
      <c r="C411" s="65"/>
      <c r="D411" s="55"/>
      <c r="E411" s="65"/>
      <c r="F411" s="166"/>
      <c r="G411" s="167"/>
      <c r="H411" s="166"/>
      <c r="I411" s="72"/>
      <c r="J411" s="55"/>
      <c r="K411" s="72"/>
      <c r="L411" s="55"/>
      <c r="M411" s="174"/>
      <c r="N411" s="73" t="str">
        <f>IF(ISBLANK(C411),"",_xlfn.IFNA(INDEX(inbound_data[],MATCH(Outbound_data[[#This Row],[STOCK CODE OUT]],Generated_Stockcode,0),10),""))</f>
        <v/>
      </c>
      <c r="O411" s="73" t="str">
        <f>IF(ISBLANK(C411),"",_xlfn.IFNA(INDEX(inbound_data[],MATCH(Outbound_data[[#This Row],[STOCK CODE OUT]],Generated_Stockcode,0),12),""))</f>
        <v/>
      </c>
      <c r="P411" s="73" t="str">
        <f>IF(ISBLANK(C411),"",_xlfn.IFNA(INDEX(inbound_data[],MATCH(Outbound_data[[#This Row],[STOCK CODE OUT]],Generated_Stockcode,0),23),""))</f>
        <v/>
      </c>
      <c r="Q411" s="73" t="str">
        <f>IF(ISBLANK(C411),"",_xlfn.IFNA(INDEX(inbound_data[],MATCH(Outbound_data[[#This Row],[STOCK CODE OUT]],Generated_Stockcode,0),13),""))</f>
        <v/>
      </c>
    </row>
    <row r="412" spans="2:17" x14ac:dyDescent="0.25">
      <c r="B412" s="71"/>
      <c r="C412" s="65"/>
      <c r="D412" s="55"/>
      <c r="E412" s="65"/>
      <c r="F412" s="166"/>
      <c r="G412" s="167"/>
      <c r="H412" s="166"/>
      <c r="I412" s="72"/>
      <c r="J412" s="55"/>
      <c r="K412" s="72"/>
      <c r="L412" s="55"/>
      <c r="M412" s="174"/>
      <c r="N412" s="73" t="str">
        <f>IF(ISBLANK(C412),"",_xlfn.IFNA(INDEX(inbound_data[],MATCH(Outbound_data[[#This Row],[STOCK CODE OUT]],Generated_Stockcode,0),10),""))</f>
        <v/>
      </c>
      <c r="O412" s="73" t="str">
        <f>IF(ISBLANK(C412),"",_xlfn.IFNA(INDEX(inbound_data[],MATCH(Outbound_data[[#This Row],[STOCK CODE OUT]],Generated_Stockcode,0),12),""))</f>
        <v/>
      </c>
      <c r="P412" s="73" t="str">
        <f>IF(ISBLANK(C412),"",_xlfn.IFNA(INDEX(inbound_data[],MATCH(Outbound_data[[#This Row],[STOCK CODE OUT]],Generated_Stockcode,0),23),""))</f>
        <v/>
      </c>
      <c r="Q412" s="73" t="str">
        <f>IF(ISBLANK(C412),"",_xlfn.IFNA(INDEX(inbound_data[],MATCH(Outbound_data[[#This Row],[STOCK CODE OUT]],Generated_Stockcode,0),13),""))</f>
        <v/>
      </c>
    </row>
    <row r="413" spans="2:17" x14ac:dyDescent="0.25">
      <c r="B413" s="71"/>
      <c r="C413" s="65"/>
      <c r="D413" s="55"/>
      <c r="E413" s="65"/>
      <c r="F413" s="166"/>
      <c r="G413" s="167"/>
      <c r="H413" s="166"/>
      <c r="I413" s="72"/>
      <c r="J413" s="55"/>
      <c r="K413" s="72"/>
      <c r="L413" s="55"/>
      <c r="M413" s="174"/>
      <c r="N413" s="73" t="str">
        <f>IF(ISBLANK(C413),"",_xlfn.IFNA(INDEX(inbound_data[],MATCH(Outbound_data[[#This Row],[STOCK CODE OUT]],Generated_Stockcode,0),10),""))</f>
        <v/>
      </c>
      <c r="O413" s="73" t="str">
        <f>IF(ISBLANK(C413),"",_xlfn.IFNA(INDEX(inbound_data[],MATCH(Outbound_data[[#This Row],[STOCK CODE OUT]],Generated_Stockcode,0),12),""))</f>
        <v/>
      </c>
      <c r="P413" s="73" t="str">
        <f>IF(ISBLANK(C413),"",_xlfn.IFNA(INDEX(inbound_data[],MATCH(Outbound_data[[#This Row],[STOCK CODE OUT]],Generated_Stockcode,0),23),""))</f>
        <v/>
      </c>
      <c r="Q413" s="73" t="str">
        <f>IF(ISBLANK(C413),"",_xlfn.IFNA(INDEX(inbound_data[],MATCH(Outbound_data[[#This Row],[STOCK CODE OUT]],Generated_Stockcode,0),13),""))</f>
        <v/>
      </c>
    </row>
    <row r="414" spans="2:17" x14ac:dyDescent="0.25">
      <c r="B414" s="71"/>
      <c r="C414" s="65"/>
      <c r="D414" s="55"/>
      <c r="E414" s="65"/>
      <c r="F414" s="166"/>
      <c r="G414" s="167"/>
      <c r="H414" s="166"/>
      <c r="I414" s="72"/>
      <c r="J414" s="55"/>
      <c r="K414" s="72"/>
      <c r="L414" s="55"/>
      <c r="M414" s="174"/>
      <c r="N414" s="73" t="str">
        <f>IF(ISBLANK(C414),"",_xlfn.IFNA(INDEX(inbound_data[],MATCH(Outbound_data[[#This Row],[STOCK CODE OUT]],Generated_Stockcode,0),10),""))</f>
        <v/>
      </c>
      <c r="O414" s="73" t="str">
        <f>IF(ISBLANK(C414),"",_xlfn.IFNA(INDEX(inbound_data[],MATCH(Outbound_data[[#This Row],[STOCK CODE OUT]],Generated_Stockcode,0),12),""))</f>
        <v/>
      </c>
      <c r="P414" s="73" t="str">
        <f>IF(ISBLANK(C414),"",_xlfn.IFNA(INDEX(inbound_data[],MATCH(Outbound_data[[#This Row],[STOCK CODE OUT]],Generated_Stockcode,0),23),""))</f>
        <v/>
      </c>
      <c r="Q414" s="73" t="str">
        <f>IF(ISBLANK(C414),"",_xlfn.IFNA(INDEX(inbound_data[],MATCH(Outbound_data[[#This Row],[STOCK CODE OUT]],Generated_Stockcode,0),13),""))</f>
        <v/>
      </c>
    </row>
    <row r="415" spans="2:17" x14ac:dyDescent="0.25">
      <c r="B415" s="71"/>
      <c r="C415" s="65"/>
      <c r="D415" s="55"/>
      <c r="E415" s="65"/>
      <c r="F415" s="166"/>
      <c r="G415" s="167"/>
      <c r="H415" s="166"/>
      <c r="I415" s="72"/>
      <c r="J415" s="55"/>
      <c r="K415" s="72"/>
      <c r="L415" s="55"/>
      <c r="M415" s="174"/>
      <c r="N415" s="73" t="str">
        <f>IF(ISBLANK(C415),"",_xlfn.IFNA(INDEX(inbound_data[],MATCH(Outbound_data[[#This Row],[STOCK CODE OUT]],Generated_Stockcode,0),10),""))</f>
        <v/>
      </c>
      <c r="O415" s="73" t="str">
        <f>IF(ISBLANK(C415),"",_xlfn.IFNA(INDEX(inbound_data[],MATCH(Outbound_data[[#This Row],[STOCK CODE OUT]],Generated_Stockcode,0),12),""))</f>
        <v/>
      </c>
      <c r="P415" s="73" t="str">
        <f>IF(ISBLANK(C415),"",_xlfn.IFNA(INDEX(inbound_data[],MATCH(Outbound_data[[#This Row],[STOCK CODE OUT]],Generated_Stockcode,0),23),""))</f>
        <v/>
      </c>
      <c r="Q415" s="73" t="str">
        <f>IF(ISBLANK(C415),"",_xlfn.IFNA(INDEX(inbound_data[],MATCH(Outbound_data[[#This Row],[STOCK CODE OUT]],Generated_Stockcode,0),13),""))</f>
        <v/>
      </c>
    </row>
    <row r="416" spans="2:17" x14ac:dyDescent="0.25">
      <c r="B416" s="71"/>
      <c r="C416" s="65"/>
      <c r="D416" s="55"/>
      <c r="E416" s="65"/>
      <c r="F416" s="166"/>
      <c r="G416" s="167"/>
      <c r="H416" s="166"/>
      <c r="I416" s="72"/>
      <c r="J416" s="55"/>
      <c r="K416" s="72"/>
      <c r="L416" s="55"/>
      <c r="M416" s="174"/>
      <c r="N416" s="73" t="str">
        <f>IF(ISBLANK(C416),"",_xlfn.IFNA(INDEX(inbound_data[],MATCH(Outbound_data[[#This Row],[STOCK CODE OUT]],Generated_Stockcode,0),10),""))</f>
        <v/>
      </c>
      <c r="O416" s="73" t="str">
        <f>IF(ISBLANK(C416),"",_xlfn.IFNA(INDEX(inbound_data[],MATCH(Outbound_data[[#This Row],[STOCK CODE OUT]],Generated_Stockcode,0),12),""))</f>
        <v/>
      </c>
      <c r="P416" s="73" t="str">
        <f>IF(ISBLANK(C416),"",_xlfn.IFNA(INDEX(inbound_data[],MATCH(Outbound_data[[#This Row],[STOCK CODE OUT]],Generated_Stockcode,0),23),""))</f>
        <v/>
      </c>
      <c r="Q416" s="73" t="str">
        <f>IF(ISBLANK(C416),"",_xlfn.IFNA(INDEX(inbound_data[],MATCH(Outbound_data[[#This Row],[STOCK CODE OUT]],Generated_Stockcode,0),13),""))</f>
        <v/>
      </c>
    </row>
    <row r="417" spans="2:17" x14ac:dyDescent="0.25">
      <c r="B417" s="71"/>
      <c r="C417" s="65"/>
      <c r="D417" s="55"/>
      <c r="E417" s="65"/>
      <c r="F417" s="166"/>
      <c r="G417" s="167"/>
      <c r="H417" s="166"/>
      <c r="I417" s="72"/>
      <c r="J417" s="55"/>
      <c r="K417" s="72"/>
      <c r="L417" s="55"/>
      <c r="M417" s="174"/>
      <c r="N417" s="73" t="str">
        <f>IF(ISBLANK(C417),"",_xlfn.IFNA(INDEX(inbound_data[],MATCH(Outbound_data[[#This Row],[STOCK CODE OUT]],Generated_Stockcode,0),10),""))</f>
        <v/>
      </c>
      <c r="O417" s="73" t="str">
        <f>IF(ISBLANK(C417),"",_xlfn.IFNA(INDEX(inbound_data[],MATCH(Outbound_data[[#This Row],[STOCK CODE OUT]],Generated_Stockcode,0),12),""))</f>
        <v/>
      </c>
      <c r="P417" s="73" t="str">
        <f>IF(ISBLANK(C417),"",_xlfn.IFNA(INDEX(inbound_data[],MATCH(Outbound_data[[#This Row],[STOCK CODE OUT]],Generated_Stockcode,0),23),""))</f>
        <v/>
      </c>
      <c r="Q417" s="73" t="str">
        <f>IF(ISBLANK(C417),"",_xlfn.IFNA(INDEX(inbound_data[],MATCH(Outbound_data[[#This Row],[STOCK CODE OUT]],Generated_Stockcode,0),13),""))</f>
        <v/>
      </c>
    </row>
    <row r="418" spans="2:17" x14ac:dyDescent="0.25">
      <c r="B418" s="71"/>
      <c r="C418" s="65"/>
      <c r="D418" s="55"/>
      <c r="E418" s="65"/>
      <c r="F418" s="166"/>
      <c r="G418" s="167"/>
      <c r="H418" s="166"/>
      <c r="I418" s="72"/>
      <c r="J418" s="55"/>
      <c r="K418" s="72"/>
      <c r="L418" s="55"/>
      <c r="M418" s="174"/>
      <c r="N418" s="73" t="str">
        <f>IF(ISBLANK(C418),"",_xlfn.IFNA(INDEX(inbound_data[],MATCH(Outbound_data[[#This Row],[STOCK CODE OUT]],Generated_Stockcode,0),10),""))</f>
        <v/>
      </c>
      <c r="O418" s="73" t="str">
        <f>IF(ISBLANK(C418),"",_xlfn.IFNA(INDEX(inbound_data[],MATCH(Outbound_data[[#This Row],[STOCK CODE OUT]],Generated_Stockcode,0),12),""))</f>
        <v/>
      </c>
      <c r="P418" s="73" t="str">
        <f>IF(ISBLANK(C418),"",_xlfn.IFNA(INDEX(inbound_data[],MATCH(Outbound_data[[#This Row],[STOCK CODE OUT]],Generated_Stockcode,0),23),""))</f>
        <v/>
      </c>
      <c r="Q418" s="73" t="str">
        <f>IF(ISBLANK(C418),"",_xlfn.IFNA(INDEX(inbound_data[],MATCH(Outbound_data[[#This Row],[STOCK CODE OUT]],Generated_Stockcode,0),13),""))</f>
        <v/>
      </c>
    </row>
    <row r="419" spans="2:17" x14ac:dyDescent="0.25">
      <c r="B419" s="71"/>
      <c r="C419" s="65"/>
      <c r="D419" s="55"/>
      <c r="E419" s="65"/>
      <c r="F419" s="166"/>
      <c r="G419" s="167"/>
      <c r="H419" s="166"/>
      <c r="I419" s="72"/>
      <c r="J419" s="55"/>
      <c r="K419" s="72"/>
      <c r="L419" s="55"/>
      <c r="M419" s="174"/>
      <c r="N419" s="73" t="str">
        <f>IF(ISBLANK(C419),"",_xlfn.IFNA(INDEX(inbound_data[],MATCH(Outbound_data[[#This Row],[STOCK CODE OUT]],Generated_Stockcode,0),10),""))</f>
        <v/>
      </c>
      <c r="O419" s="73" t="str">
        <f>IF(ISBLANK(C419),"",_xlfn.IFNA(INDEX(inbound_data[],MATCH(Outbound_data[[#This Row],[STOCK CODE OUT]],Generated_Stockcode,0),12),""))</f>
        <v/>
      </c>
      <c r="P419" s="73" t="str">
        <f>IF(ISBLANK(C419),"",_xlfn.IFNA(INDEX(inbound_data[],MATCH(Outbound_data[[#This Row],[STOCK CODE OUT]],Generated_Stockcode,0),23),""))</f>
        <v/>
      </c>
      <c r="Q419" s="73" t="str">
        <f>IF(ISBLANK(C419),"",_xlfn.IFNA(INDEX(inbound_data[],MATCH(Outbound_data[[#This Row],[STOCK CODE OUT]],Generated_Stockcode,0),13),""))</f>
        <v/>
      </c>
    </row>
    <row r="420" spans="2:17" x14ac:dyDescent="0.25">
      <c r="B420" s="71"/>
      <c r="C420" s="65"/>
      <c r="D420" s="55"/>
      <c r="E420" s="65"/>
      <c r="F420" s="166"/>
      <c r="G420" s="167"/>
      <c r="H420" s="166"/>
      <c r="I420" s="72"/>
      <c r="J420" s="55"/>
      <c r="K420" s="72"/>
      <c r="L420" s="55"/>
      <c r="M420" s="174"/>
      <c r="N420" s="73" t="str">
        <f>IF(ISBLANK(C420),"",_xlfn.IFNA(INDEX(inbound_data[],MATCH(Outbound_data[[#This Row],[STOCK CODE OUT]],Generated_Stockcode,0),10),""))</f>
        <v/>
      </c>
      <c r="O420" s="73" t="str">
        <f>IF(ISBLANK(C420),"",_xlfn.IFNA(INDEX(inbound_data[],MATCH(Outbound_data[[#This Row],[STOCK CODE OUT]],Generated_Stockcode,0),12),""))</f>
        <v/>
      </c>
      <c r="P420" s="73" t="str">
        <f>IF(ISBLANK(C420),"",_xlfn.IFNA(INDEX(inbound_data[],MATCH(Outbound_data[[#This Row],[STOCK CODE OUT]],Generated_Stockcode,0),23),""))</f>
        <v/>
      </c>
      <c r="Q420" s="73" t="str">
        <f>IF(ISBLANK(C420),"",_xlfn.IFNA(INDEX(inbound_data[],MATCH(Outbound_data[[#This Row],[STOCK CODE OUT]],Generated_Stockcode,0),13),""))</f>
        <v/>
      </c>
    </row>
    <row r="421" spans="2:17" x14ac:dyDescent="0.25">
      <c r="B421" s="71"/>
      <c r="C421" s="65"/>
      <c r="D421" s="55"/>
      <c r="E421" s="65"/>
      <c r="F421" s="166"/>
      <c r="G421" s="167"/>
      <c r="H421" s="166"/>
      <c r="I421" s="72"/>
      <c r="J421" s="55"/>
      <c r="K421" s="72"/>
      <c r="L421" s="55"/>
      <c r="M421" s="174"/>
      <c r="N421" s="73" t="str">
        <f>IF(ISBLANK(C421),"",_xlfn.IFNA(INDEX(inbound_data[],MATCH(Outbound_data[[#This Row],[STOCK CODE OUT]],Generated_Stockcode,0),10),""))</f>
        <v/>
      </c>
      <c r="O421" s="73" t="str">
        <f>IF(ISBLANK(C421),"",_xlfn.IFNA(INDEX(inbound_data[],MATCH(Outbound_data[[#This Row],[STOCK CODE OUT]],Generated_Stockcode,0),12),""))</f>
        <v/>
      </c>
      <c r="P421" s="73" t="str">
        <f>IF(ISBLANK(C421),"",_xlfn.IFNA(INDEX(inbound_data[],MATCH(Outbound_data[[#This Row],[STOCK CODE OUT]],Generated_Stockcode,0),23),""))</f>
        <v/>
      </c>
      <c r="Q421" s="73" t="str">
        <f>IF(ISBLANK(C421),"",_xlfn.IFNA(INDEX(inbound_data[],MATCH(Outbound_data[[#This Row],[STOCK CODE OUT]],Generated_Stockcode,0),13),""))</f>
        <v/>
      </c>
    </row>
    <row r="422" spans="2:17" x14ac:dyDescent="0.25">
      <c r="B422" s="71"/>
      <c r="C422" s="65"/>
      <c r="D422" s="55"/>
      <c r="E422" s="65"/>
      <c r="F422" s="166"/>
      <c r="G422" s="167"/>
      <c r="H422" s="166"/>
      <c r="I422" s="72"/>
      <c r="J422" s="55"/>
      <c r="K422" s="72"/>
      <c r="L422" s="55"/>
      <c r="M422" s="174"/>
      <c r="N422" s="73" t="str">
        <f>IF(ISBLANK(C422),"",_xlfn.IFNA(INDEX(inbound_data[],MATCH(Outbound_data[[#This Row],[STOCK CODE OUT]],Generated_Stockcode,0),10),""))</f>
        <v/>
      </c>
      <c r="O422" s="73" t="str">
        <f>IF(ISBLANK(C422),"",_xlfn.IFNA(INDEX(inbound_data[],MATCH(Outbound_data[[#This Row],[STOCK CODE OUT]],Generated_Stockcode,0),12),""))</f>
        <v/>
      </c>
      <c r="P422" s="73" t="str">
        <f>IF(ISBLANK(C422),"",_xlfn.IFNA(INDEX(inbound_data[],MATCH(Outbound_data[[#This Row],[STOCK CODE OUT]],Generated_Stockcode,0),23),""))</f>
        <v/>
      </c>
      <c r="Q422" s="73" t="str">
        <f>IF(ISBLANK(C422),"",_xlfn.IFNA(INDEX(inbound_data[],MATCH(Outbound_data[[#This Row],[STOCK CODE OUT]],Generated_Stockcode,0),13),""))</f>
        <v/>
      </c>
    </row>
    <row r="423" spans="2:17" x14ac:dyDescent="0.25">
      <c r="B423" s="71"/>
      <c r="C423" s="65"/>
      <c r="D423" s="55"/>
      <c r="E423" s="65"/>
      <c r="F423" s="166"/>
      <c r="G423" s="167"/>
      <c r="H423" s="166"/>
      <c r="I423" s="72"/>
      <c r="J423" s="55"/>
      <c r="K423" s="72"/>
      <c r="L423" s="55"/>
      <c r="M423" s="174"/>
      <c r="N423" s="73" t="str">
        <f>IF(ISBLANK(C423),"",_xlfn.IFNA(INDEX(inbound_data[],MATCH(Outbound_data[[#This Row],[STOCK CODE OUT]],Generated_Stockcode,0),10),""))</f>
        <v/>
      </c>
      <c r="O423" s="73" t="str">
        <f>IF(ISBLANK(C423),"",_xlfn.IFNA(INDEX(inbound_data[],MATCH(Outbound_data[[#This Row],[STOCK CODE OUT]],Generated_Stockcode,0),12),""))</f>
        <v/>
      </c>
      <c r="P423" s="73" t="str">
        <f>IF(ISBLANK(C423),"",_xlfn.IFNA(INDEX(inbound_data[],MATCH(Outbound_data[[#This Row],[STOCK CODE OUT]],Generated_Stockcode,0),23),""))</f>
        <v/>
      </c>
      <c r="Q423" s="73" t="str">
        <f>IF(ISBLANK(C423),"",_xlfn.IFNA(INDEX(inbound_data[],MATCH(Outbound_data[[#This Row],[STOCK CODE OUT]],Generated_Stockcode,0),13),""))</f>
        <v/>
      </c>
    </row>
    <row r="424" spans="2:17" x14ac:dyDescent="0.25">
      <c r="B424" s="71"/>
      <c r="C424" s="65"/>
      <c r="D424" s="55"/>
      <c r="E424" s="65"/>
      <c r="F424" s="166"/>
      <c r="G424" s="167"/>
      <c r="H424" s="166"/>
      <c r="I424" s="72"/>
      <c r="J424" s="55"/>
      <c r="K424" s="72"/>
      <c r="L424" s="55"/>
      <c r="M424" s="174"/>
      <c r="N424" s="73" t="str">
        <f>IF(ISBLANK(C424),"",_xlfn.IFNA(INDEX(inbound_data[],MATCH(Outbound_data[[#This Row],[STOCK CODE OUT]],Generated_Stockcode,0),10),""))</f>
        <v/>
      </c>
      <c r="O424" s="73" t="str">
        <f>IF(ISBLANK(C424),"",_xlfn.IFNA(INDEX(inbound_data[],MATCH(Outbound_data[[#This Row],[STOCK CODE OUT]],Generated_Stockcode,0),12),""))</f>
        <v/>
      </c>
      <c r="P424" s="73" t="str">
        <f>IF(ISBLANK(C424),"",_xlfn.IFNA(INDEX(inbound_data[],MATCH(Outbound_data[[#This Row],[STOCK CODE OUT]],Generated_Stockcode,0),23),""))</f>
        <v/>
      </c>
      <c r="Q424" s="73" t="str">
        <f>IF(ISBLANK(C424),"",_xlfn.IFNA(INDEX(inbound_data[],MATCH(Outbound_data[[#This Row],[STOCK CODE OUT]],Generated_Stockcode,0),13),""))</f>
        <v/>
      </c>
    </row>
    <row r="425" spans="2:17" x14ac:dyDescent="0.25">
      <c r="B425" s="71"/>
      <c r="C425" s="65"/>
      <c r="D425" s="55"/>
      <c r="E425" s="65"/>
      <c r="F425" s="166"/>
      <c r="G425" s="167"/>
      <c r="H425" s="166"/>
      <c r="I425" s="72"/>
      <c r="J425" s="55"/>
      <c r="K425" s="72"/>
      <c r="L425" s="55"/>
      <c r="M425" s="174"/>
      <c r="N425" s="73" t="str">
        <f>IF(ISBLANK(C425),"",_xlfn.IFNA(INDEX(inbound_data[],MATCH(Outbound_data[[#This Row],[STOCK CODE OUT]],Generated_Stockcode,0),10),""))</f>
        <v/>
      </c>
      <c r="O425" s="73" t="str">
        <f>IF(ISBLANK(C425),"",_xlfn.IFNA(INDEX(inbound_data[],MATCH(Outbound_data[[#This Row],[STOCK CODE OUT]],Generated_Stockcode,0),12),""))</f>
        <v/>
      </c>
      <c r="P425" s="73" t="str">
        <f>IF(ISBLANK(C425),"",_xlfn.IFNA(INDEX(inbound_data[],MATCH(Outbound_data[[#This Row],[STOCK CODE OUT]],Generated_Stockcode,0),23),""))</f>
        <v/>
      </c>
      <c r="Q425" s="73" t="str">
        <f>IF(ISBLANK(C425),"",_xlfn.IFNA(INDEX(inbound_data[],MATCH(Outbound_data[[#This Row],[STOCK CODE OUT]],Generated_Stockcode,0),13),""))</f>
        <v/>
      </c>
    </row>
    <row r="426" spans="2:17" x14ac:dyDescent="0.25">
      <c r="B426" s="71"/>
      <c r="C426" s="65"/>
      <c r="D426" s="55"/>
      <c r="E426" s="65"/>
      <c r="F426" s="166"/>
      <c r="G426" s="167"/>
      <c r="H426" s="166"/>
      <c r="I426" s="72"/>
      <c r="J426" s="55"/>
      <c r="K426" s="72"/>
      <c r="L426" s="55"/>
      <c r="M426" s="174"/>
      <c r="N426" s="73" t="str">
        <f>IF(ISBLANK(C426),"",_xlfn.IFNA(INDEX(inbound_data[],MATCH(Outbound_data[[#This Row],[STOCK CODE OUT]],Generated_Stockcode,0),10),""))</f>
        <v/>
      </c>
      <c r="O426" s="73" t="str">
        <f>IF(ISBLANK(C426),"",_xlfn.IFNA(INDEX(inbound_data[],MATCH(Outbound_data[[#This Row],[STOCK CODE OUT]],Generated_Stockcode,0),12),""))</f>
        <v/>
      </c>
      <c r="P426" s="73" t="str">
        <f>IF(ISBLANK(C426),"",_xlfn.IFNA(INDEX(inbound_data[],MATCH(Outbound_data[[#This Row],[STOCK CODE OUT]],Generated_Stockcode,0),23),""))</f>
        <v/>
      </c>
      <c r="Q426" s="73" t="str">
        <f>IF(ISBLANK(C426),"",_xlfn.IFNA(INDEX(inbound_data[],MATCH(Outbound_data[[#This Row],[STOCK CODE OUT]],Generated_Stockcode,0),13),""))</f>
        <v/>
      </c>
    </row>
    <row r="427" spans="2:17" x14ac:dyDescent="0.25">
      <c r="B427" s="71"/>
      <c r="C427" s="65"/>
      <c r="D427" s="55"/>
      <c r="E427" s="65"/>
      <c r="F427" s="166"/>
      <c r="G427" s="167"/>
      <c r="H427" s="166"/>
      <c r="I427" s="72"/>
      <c r="J427" s="55"/>
      <c r="K427" s="72"/>
      <c r="L427" s="55"/>
      <c r="M427" s="174"/>
      <c r="N427" s="73" t="str">
        <f>IF(ISBLANK(C427),"",_xlfn.IFNA(INDEX(inbound_data[],MATCH(Outbound_data[[#This Row],[STOCK CODE OUT]],Generated_Stockcode,0),10),""))</f>
        <v/>
      </c>
      <c r="O427" s="73" t="str">
        <f>IF(ISBLANK(C427),"",_xlfn.IFNA(INDEX(inbound_data[],MATCH(Outbound_data[[#This Row],[STOCK CODE OUT]],Generated_Stockcode,0),12),""))</f>
        <v/>
      </c>
      <c r="P427" s="73" t="str">
        <f>IF(ISBLANK(C427),"",_xlfn.IFNA(INDEX(inbound_data[],MATCH(Outbound_data[[#This Row],[STOCK CODE OUT]],Generated_Stockcode,0),23),""))</f>
        <v/>
      </c>
      <c r="Q427" s="73" t="str">
        <f>IF(ISBLANK(C427),"",_xlfn.IFNA(INDEX(inbound_data[],MATCH(Outbound_data[[#This Row],[STOCK CODE OUT]],Generated_Stockcode,0),13),""))</f>
        <v/>
      </c>
    </row>
    <row r="428" spans="2:17" x14ac:dyDescent="0.25">
      <c r="B428" s="71"/>
      <c r="C428" s="65"/>
      <c r="D428" s="55"/>
      <c r="E428" s="65"/>
      <c r="F428" s="166"/>
      <c r="G428" s="167"/>
      <c r="H428" s="166"/>
      <c r="I428" s="72"/>
      <c r="J428" s="55"/>
      <c r="K428" s="72"/>
      <c r="L428" s="55"/>
      <c r="M428" s="174"/>
      <c r="N428" s="73" t="str">
        <f>IF(ISBLANK(C428),"",_xlfn.IFNA(INDEX(inbound_data[],MATCH(Outbound_data[[#This Row],[STOCK CODE OUT]],Generated_Stockcode,0),10),""))</f>
        <v/>
      </c>
      <c r="O428" s="73" t="str">
        <f>IF(ISBLANK(C428),"",_xlfn.IFNA(INDEX(inbound_data[],MATCH(Outbound_data[[#This Row],[STOCK CODE OUT]],Generated_Stockcode,0),12),""))</f>
        <v/>
      </c>
      <c r="P428" s="73" t="str">
        <f>IF(ISBLANK(C428),"",_xlfn.IFNA(INDEX(inbound_data[],MATCH(Outbound_data[[#This Row],[STOCK CODE OUT]],Generated_Stockcode,0),23),""))</f>
        <v/>
      </c>
      <c r="Q428" s="73" t="str">
        <f>IF(ISBLANK(C428),"",_xlfn.IFNA(INDEX(inbound_data[],MATCH(Outbound_data[[#This Row],[STOCK CODE OUT]],Generated_Stockcode,0),13),""))</f>
        <v/>
      </c>
    </row>
    <row r="429" spans="2:17" x14ac:dyDescent="0.25">
      <c r="B429" s="71"/>
      <c r="C429" s="65"/>
      <c r="D429" s="55"/>
      <c r="E429" s="65"/>
      <c r="F429" s="166"/>
      <c r="G429" s="167"/>
      <c r="H429" s="166"/>
      <c r="I429" s="72"/>
      <c r="J429" s="55"/>
      <c r="K429" s="72"/>
      <c r="L429" s="55"/>
      <c r="M429" s="174"/>
      <c r="N429" s="73" t="str">
        <f>IF(ISBLANK(C429),"",_xlfn.IFNA(INDEX(inbound_data[],MATCH(Outbound_data[[#This Row],[STOCK CODE OUT]],Generated_Stockcode,0),10),""))</f>
        <v/>
      </c>
      <c r="O429" s="73" t="str">
        <f>IF(ISBLANK(C429),"",_xlfn.IFNA(INDEX(inbound_data[],MATCH(Outbound_data[[#This Row],[STOCK CODE OUT]],Generated_Stockcode,0),12),""))</f>
        <v/>
      </c>
      <c r="P429" s="73" t="str">
        <f>IF(ISBLANK(C429),"",_xlfn.IFNA(INDEX(inbound_data[],MATCH(Outbound_data[[#This Row],[STOCK CODE OUT]],Generated_Stockcode,0),23),""))</f>
        <v/>
      </c>
      <c r="Q429" s="73" t="str">
        <f>IF(ISBLANK(C429),"",_xlfn.IFNA(INDEX(inbound_data[],MATCH(Outbound_data[[#This Row],[STOCK CODE OUT]],Generated_Stockcode,0),13),""))</f>
        <v/>
      </c>
    </row>
    <row r="430" spans="2:17" x14ac:dyDescent="0.25">
      <c r="B430" s="71"/>
      <c r="C430" s="65"/>
      <c r="D430" s="55"/>
      <c r="E430" s="65"/>
      <c r="F430" s="166"/>
      <c r="G430" s="167"/>
      <c r="H430" s="166"/>
      <c r="I430" s="72"/>
      <c r="J430" s="55"/>
      <c r="K430" s="72"/>
      <c r="L430" s="55"/>
      <c r="M430" s="174"/>
      <c r="N430" s="73" t="str">
        <f>IF(ISBLANK(C430),"",_xlfn.IFNA(INDEX(inbound_data[],MATCH(Outbound_data[[#This Row],[STOCK CODE OUT]],Generated_Stockcode,0),10),""))</f>
        <v/>
      </c>
      <c r="O430" s="73" t="str">
        <f>IF(ISBLANK(C430),"",_xlfn.IFNA(INDEX(inbound_data[],MATCH(Outbound_data[[#This Row],[STOCK CODE OUT]],Generated_Stockcode,0),12),""))</f>
        <v/>
      </c>
      <c r="P430" s="73" t="str">
        <f>IF(ISBLANK(C430),"",_xlfn.IFNA(INDEX(inbound_data[],MATCH(Outbound_data[[#This Row],[STOCK CODE OUT]],Generated_Stockcode,0),23),""))</f>
        <v/>
      </c>
      <c r="Q430" s="73" t="str">
        <f>IF(ISBLANK(C430),"",_xlfn.IFNA(INDEX(inbound_data[],MATCH(Outbound_data[[#This Row],[STOCK CODE OUT]],Generated_Stockcode,0),13),""))</f>
        <v/>
      </c>
    </row>
    <row r="431" spans="2:17" x14ac:dyDescent="0.25">
      <c r="B431" s="71"/>
      <c r="C431" s="65"/>
      <c r="D431" s="55"/>
      <c r="E431" s="65"/>
      <c r="F431" s="166"/>
      <c r="G431" s="167"/>
      <c r="H431" s="166"/>
      <c r="I431" s="72"/>
      <c r="J431" s="55"/>
      <c r="K431" s="72"/>
      <c r="L431" s="55"/>
      <c r="M431" s="174"/>
      <c r="N431" s="73" t="str">
        <f>IF(ISBLANK(C431),"",_xlfn.IFNA(INDEX(inbound_data[],MATCH(Outbound_data[[#This Row],[STOCK CODE OUT]],Generated_Stockcode,0),10),""))</f>
        <v/>
      </c>
      <c r="O431" s="73" t="str">
        <f>IF(ISBLANK(C431),"",_xlfn.IFNA(INDEX(inbound_data[],MATCH(Outbound_data[[#This Row],[STOCK CODE OUT]],Generated_Stockcode,0),12),""))</f>
        <v/>
      </c>
      <c r="P431" s="73" t="str">
        <f>IF(ISBLANK(C431),"",_xlfn.IFNA(INDEX(inbound_data[],MATCH(Outbound_data[[#This Row],[STOCK CODE OUT]],Generated_Stockcode,0),23),""))</f>
        <v/>
      </c>
      <c r="Q431" s="73" t="str">
        <f>IF(ISBLANK(C431),"",_xlfn.IFNA(INDEX(inbound_data[],MATCH(Outbound_data[[#This Row],[STOCK CODE OUT]],Generated_Stockcode,0),13),""))</f>
        <v/>
      </c>
    </row>
    <row r="432" spans="2:17" x14ac:dyDescent="0.25">
      <c r="B432" s="71"/>
      <c r="C432" s="65"/>
      <c r="D432" s="55"/>
      <c r="E432" s="65"/>
      <c r="F432" s="166"/>
      <c r="G432" s="167"/>
      <c r="H432" s="166"/>
      <c r="I432" s="72"/>
      <c r="J432" s="55"/>
      <c r="K432" s="72"/>
      <c r="L432" s="55"/>
      <c r="M432" s="174"/>
      <c r="N432" s="73" t="str">
        <f>IF(ISBLANK(C432),"",_xlfn.IFNA(INDEX(inbound_data[],MATCH(Outbound_data[[#This Row],[STOCK CODE OUT]],Generated_Stockcode,0),10),""))</f>
        <v/>
      </c>
      <c r="O432" s="73" t="str">
        <f>IF(ISBLANK(C432),"",_xlfn.IFNA(INDEX(inbound_data[],MATCH(Outbound_data[[#This Row],[STOCK CODE OUT]],Generated_Stockcode,0),12),""))</f>
        <v/>
      </c>
      <c r="P432" s="73" t="str">
        <f>IF(ISBLANK(C432),"",_xlfn.IFNA(INDEX(inbound_data[],MATCH(Outbound_data[[#This Row],[STOCK CODE OUT]],Generated_Stockcode,0),23),""))</f>
        <v/>
      </c>
      <c r="Q432" s="73" t="str">
        <f>IF(ISBLANK(C432),"",_xlfn.IFNA(INDEX(inbound_data[],MATCH(Outbound_data[[#This Row],[STOCK CODE OUT]],Generated_Stockcode,0),13),""))</f>
        <v/>
      </c>
    </row>
    <row r="433" spans="2:17" x14ac:dyDescent="0.25">
      <c r="B433" s="71"/>
      <c r="C433" s="65"/>
      <c r="D433" s="55"/>
      <c r="E433" s="65"/>
      <c r="F433" s="166"/>
      <c r="G433" s="167"/>
      <c r="H433" s="166"/>
      <c r="I433" s="72"/>
      <c r="J433" s="55"/>
      <c r="K433" s="72"/>
      <c r="L433" s="55"/>
      <c r="M433" s="174"/>
      <c r="N433" s="73" t="str">
        <f>IF(ISBLANK(C433),"",_xlfn.IFNA(INDEX(inbound_data[],MATCH(Outbound_data[[#This Row],[STOCK CODE OUT]],Generated_Stockcode,0),10),""))</f>
        <v/>
      </c>
      <c r="O433" s="73" t="str">
        <f>IF(ISBLANK(C433),"",_xlfn.IFNA(INDEX(inbound_data[],MATCH(Outbound_data[[#This Row],[STOCK CODE OUT]],Generated_Stockcode,0),12),""))</f>
        <v/>
      </c>
      <c r="P433" s="73" t="str">
        <f>IF(ISBLANK(C433),"",_xlfn.IFNA(INDEX(inbound_data[],MATCH(Outbound_data[[#This Row],[STOCK CODE OUT]],Generated_Stockcode,0),23),""))</f>
        <v/>
      </c>
      <c r="Q433" s="73" t="str">
        <f>IF(ISBLANK(C433),"",_xlfn.IFNA(INDEX(inbound_data[],MATCH(Outbound_data[[#This Row],[STOCK CODE OUT]],Generated_Stockcode,0),13),""))</f>
        <v/>
      </c>
    </row>
    <row r="434" spans="2:17" x14ac:dyDescent="0.25">
      <c r="B434" s="71"/>
      <c r="C434" s="65"/>
      <c r="D434" s="55"/>
      <c r="E434" s="65"/>
      <c r="F434" s="166"/>
      <c r="G434" s="167"/>
      <c r="H434" s="166"/>
      <c r="I434" s="72"/>
      <c r="J434" s="55"/>
      <c r="K434" s="72"/>
      <c r="L434" s="55"/>
      <c r="M434" s="174"/>
      <c r="N434" s="73" t="str">
        <f>IF(ISBLANK(C434),"",_xlfn.IFNA(INDEX(inbound_data[],MATCH(Outbound_data[[#This Row],[STOCK CODE OUT]],Generated_Stockcode,0),10),""))</f>
        <v/>
      </c>
      <c r="O434" s="73" t="str">
        <f>IF(ISBLANK(C434),"",_xlfn.IFNA(INDEX(inbound_data[],MATCH(Outbound_data[[#This Row],[STOCK CODE OUT]],Generated_Stockcode,0),12),""))</f>
        <v/>
      </c>
      <c r="P434" s="73" t="str">
        <f>IF(ISBLANK(C434),"",_xlfn.IFNA(INDEX(inbound_data[],MATCH(Outbound_data[[#This Row],[STOCK CODE OUT]],Generated_Stockcode,0),23),""))</f>
        <v/>
      </c>
      <c r="Q434" s="73" t="str">
        <f>IF(ISBLANK(C434),"",_xlfn.IFNA(INDEX(inbound_data[],MATCH(Outbound_data[[#This Row],[STOCK CODE OUT]],Generated_Stockcode,0),13),""))</f>
        <v/>
      </c>
    </row>
    <row r="435" spans="2:17" x14ac:dyDescent="0.25">
      <c r="B435" s="71"/>
      <c r="C435" s="65"/>
      <c r="D435" s="55"/>
      <c r="E435" s="65"/>
      <c r="F435" s="166"/>
      <c r="G435" s="167"/>
      <c r="H435" s="166"/>
      <c r="I435" s="72"/>
      <c r="J435" s="55"/>
      <c r="K435" s="72"/>
      <c r="L435" s="55"/>
      <c r="M435" s="174"/>
      <c r="N435" s="73" t="str">
        <f>IF(ISBLANK(C435),"",_xlfn.IFNA(INDEX(inbound_data[],MATCH(Outbound_data[[#This Row],[STOCK CODE OUT]],Generated_Stockcode,0),10),""))</f>
        <v/>
      </c>
      <c r="O435" s="73" t="str">
        <f>IF(ISBLANK(C435),"",_xlfn.IFNA(INDEX(inbound_data[],MATCH(Outbound_data[[#This Row],[STOCK CODE OUT]],Generated_Stockcode,0),12),""))</f>
        <v/>
      </c>
      <c r="P435" s="73" t="str">
        <f>IF(ISBLANK(C435),"",_xlfn.IFNA(INDEX(inbound_data[],MATCH(Outbound_data[[#This Row],[STOCK CODE OUT]],Generated_Stockcode,0),23),""))</f>
        <v/>
      </c>
      <c r="Q435" s="73" t="str">
        <f>IF(ISBLANK(C435),"",_xlfn.IFNA(INDEX(inbound_data[],MATCH(Outbound_data[[#This Row],[STOCK CODE OUT]],Generated_Stockcode,0),13),""))</f>
        <v/>
      </c>
    </row>
    <row r="436" spans="2:17" x14ac:dyDescent="0.25">
      <c r="B436" s="71"/>
      <c r="C436" s="65"/>
      <c r="D436" s="55"/>
      <c r="E436" s="65"/>
      <c r="F436" s="166"/>
      <c r="G436" s="167"/>
      <c r="H436" s="166"/>
      <c r="I436" s="72"/>
      <c r="J436" s="55"/>
      <c r="K436" s="72"/>
      <c r="L436" s="55"/>
      <c r="M436" s="174"/>
      <c r="N436" s="73" t="str">
        <f>IF(ISBLANK(C436),"",_xlfn.IFNA(INDEX(inbound_data[],MATCH(Outbound_data[[#This Row],[STOCK CODE OUT]],Generated_Stockcode,0),10),""))</f>
        <v/>
      </c>
      <c r="O436" s="73" t="str">
        <f>IF(ISBLANK(C436),"",_xlfn.IFNA(INDEX(inbound_data[],MATCH(Outbound_data[[#This Row],[STOCK CODE OUT]],Generated_Stockcode,0),12),""))</f>
        <v/>
      </c>
      <c r="P436" s="73" t="str">
        <f>IF(ISBLANK(C436),"",_xlfn.IFNA(INDEX(inbound_data[],MATCH(Outbound_data[[#This Row],[STOCK CODE OUT]],Generated_Stockcode,0),23),""))</f>
        <v/>
      </c>
      <c r="Q436" s="73" t="str">
        <f>IF(ISBLANK(C436),"",_xlfn.IFNA(INDEX(inbound_data[],MATCH(Outbound_data[[#This Row],[STOCK CODE OUT]],Generated_Stockcode,0),13),""))</f>
        <v/>
      </c>
    </row>
    <row r="437" spans="2:17" x14ac:dyDescent="0.25">
      <c r="B437" s="71"/>
      <c r="C437" s="65"/>
      <c r="D437" s="55"/>
      <c r="E437" s="65"/>
      <c r="F437" s="166"/>
      <c r="G437" s="167"/>
      <c r="H437" s="166"/>
      <c r="I437" s="72"/>
      <c r="J437" s="55"/>
      <c r="K437" s="72"/>
      <c r="L437" s="55"/>
      <c r="M437" s="174"/>
      <c r="N437" s="73" t="str">
        <f>IF(ISBLANK(C437),"",_xlfn.IFNA(INDEX(inbound_data[],MATCH(Outbound_data[[#This Row],[STOCK CODE OUT]],Generated_Stockcode,0),10),""))</f>
        <v/>
      </c>
      <c r="O437" s="73" t="str">
        <f>IF(ISBLANK(C437),"",_xlfn.IFNA(INDEX(inbound_data[],MATCH(Outbound_data[[#This Row],[STOCK CODE OUT]],Generated_Stockcode,0),12),""))</f>
        <v/>
      </c>
      <c r="P437" s="73" t="str">
        <f>IF(ISBLANK(C437),"",_xlfn.IFNA(INDEX(inbound_data[],MATCH(Outbound_data[[#This Row],[STOCK CODE OUT]],Generated_Stockcode,0),23),""))</f>
        <v/>
      </c>
      <c r="Q437" s="73" t="str">
        <f>IF(ISBLANK(C437),"",_xlfn.IFNA(INDEX(inbound_data[],MATCH(Outbound_data[[#This Row],[STOCK CODE OUT]],Generated_Stockcode,0),13),""))</f>
        <v/>
      </c>
    </row>
    <row r="438" spans="2:17" x14ac:dyDescent="0.25">
      <c r="B438" s="71"/>
      <c r="C438" s="65"/>
      <c r="D438" s="55"/>
      <c r="E438" s="65"/>
      <c r="F438" s="166"/>
      <c r="G438" s="167"/>
      <c r="H438" s="166"/>
      <c r="I438" s="72"/>
      <c r="J438" s="55"/>
      <c r="K438" s="72"/>
      <c r="L438" s="55"/>
      <c r="M438" s="174"/>
      <c r="N438" s="73" t="str">
        <f>IF(ISBLANK(C438),"",_xlfn.IFNA(INDEX(inbound_data[],MATCH(Outbound_data[[#This Row],[STOCK CODE OUT]],Generated_Stockcode,0),10),""))</f>
        <v/>
      </c>
      <c r="O438" s="73" t="str">
        <f>IF(ISBLANK(C438),"",_xlfn.IFNA(INDEX(inbound_data[],MATCH(Outbound_data[[#This Row],[STOCK CODE OUT]],Generated_Stockcode,0),12),""))</f>
        <v/>
      </c>
      <c r="P438" s="73" t="str">
        <f>IF(ISBLANK(C438),"",_xlfn.IFNA(INDEX(inbound_data[],MATCH(Outbound_data[[#This Row],[STOCK CODE OUT]],Generated_Stockcode,0),23),""))</f>
        <v/>
      </c>
      <c r="Q438" s="73" t="str">
        <f>IF(ISBLANK(C438),"",_xlfn.IFNA(INDEX(inbound_data[],MATCH(Outbound_data[[#This Row],[STOCK CODE OUT]],Generated_Stockcode,0),13),""))</f>
        <v/>
      </c>
    </row>
    <row r="439" spans="2:17" x14ac:dyDescent="0.25">
      <c r="B439" s="71"/>
      <c r="C439" s="65"/>
      <c r="D439" s="55"/>
      <c r="E439" s="65"/>
      <c r="F439" s="166"/>
      <c r="G439" s="167"/>
      <c r="H439" s="166"/>
      <c r="I439" s="72"/>
      <c r="J439" s="55"/>
      <c r="K439" s="72"/>
      <c r="L439" s="55"/>
      <c r="M439" s="174"/>
      <c r="N439" s="73" t="str">
        <f>IF(ISBLANK(C439),"",_xlfn.IFNA(INDEX(inbound_data[],MATCH(Outbound_data[[#This Row],[STOCK CODE OUT]],Generated_Stockcode,0),10),""))</f>
        <v/>
      </c>
      <c r="O439" s="73" t="str">
        <f>IF(ISBLANK(C439),"",_xlfn.IFNA(INDEX(inbound_data[],MATCH(Outbound_data[[#This Row],[STOCK CODE OUT]],Generated_Stockcode,0),12),""))</f>
        <v/>
      </c>
      <c r="P439" s="73" t="str">
        <f>IF(ISBLANK(C439),"",_xlfn.IFNA(INDEX(inbound_data[],MATCH(Outbound_data[[#This Row],[STOCK CODE OUT]],Generated_Stockcode,0),23),""))</f>
        <v/>
      </c>
      <c r="Q439" s="73" t="str">
        <f>IF(ISBLANK(C439),"",_xlfn.IFNA(INDEX(inbound_data[],MATCH(Outbound_data[[#This Row],[STOCK CODE OUT]],Generated_Stockcode,0),13),""))</f>
        <v/>
      </c>
    </row>
    <row r="440" spans="2:17" x14ac:dyDescent="0.25">
      <c r="B440" s="71"/>
      <c r="C440" s="65"/>
      <c r="D440" s="55"/>
      <c r="E440" s="65"/>
      <c r="F440" s="166"/>
      <c r="G440" s="167"/>
      <c r="H440" s="166"/>
      <c r="I440" s="72"/>
      <c r="J440" s="55"/>
      <c r="K440" s="72"/>
      <c r="L440" s="55"/>
      <c r="M440" s="174"/>
      <c r="N440" s="73" t="str">
        <f>IF(ISBLANK(C440),"",_xlfn.IFNA(INDEX(inbound_data[],MATCH(Outbound_data[[#This Row],[STOCK CODE OUT]],Generated_Stockcode,0),10),""))</f>
        <v/>
      </c>
      <c r="O440" s="73" t="str">
        <f>IF(ISBLANK(C440),"",_xlfn.IFNA(INDEX(inbound_data[],MATCH(Outbound_data[[#This Row],[STOCK CODE OUT]],Generated_Stockcode,0),12),""))</f>
        <v/>
      </c>
      <c r="P440" s="73" t="str">
        <f>IF(ISBLANK(C440),"",_xlfn.IFNA(INDEX(inbound_data[],MATCH(Outbound_data[[#This Row],[STOCK CODE OUT]],Generated_Stockcode,0),23),""))</f>
        <v/>
      </c>
      <c r="Q440" s="73" t="str">
        <f>IF(ISBLANK(C440),"",_xlfn.IFNA(INDEX(inbound_data[],MATCH(Outbound_data[[#This Row],[STOCK CODE OUT]],Generated_Stockcode,0),13),""))</f>
        <v/>
      </c>
    </row>
    <row r="441" spans="2:17" x14ac:dyDescent="0.25">
      <c r="B441" s="71"/>
      <c r="C441" s="65"/>
      <c r="D441" s="55"/>
      <c r="E441" s="65"/>
      <c r="F441" s="166"/>
      <c r="G441" s="167"/>
      <c r="H441" s="166"/>
      <c r="I441" s="72"/>
      <c r="J441" s="55"/>
      <c r="K441" s="72"/>
      <c r="L441" s="55"/>
      <c r="M441" s="174"/>
      <c r="N441" s="73" t="str">
        <f>IF(ISBLANK(C441),"",_xlfn.IFNA(INDEX(inbound_data[],MATCH(Outbound_data[[#This Row],[STOCK CODE OUT]],Generated_Stockcode,0),10),""))</f>
        <v/>
      </c>
      <c r="O441" s="73" t="str">
        <f>IF(ISBLANK(C441),"",_xlfn.IFNA(INDEX(inbound_data[],MATCH(Outbound_data[[#This Row],[STOCK CODE OUT]],Generated_Stockcode,0),12),""))</f>
        <v/>
      </c>
      <c r="P441" s="73" t="str">
        <f>IF(ISBLANK(C441),"",_xlfn.IFNA(INDEX(inbound_data[],MATCH(Outbound_data[[#This Row],[STOCK CODE OUT]],Generated_Stockcode,0),23),""))</f>
        <v/>
      </c>
      <c r="Q441" s="73" t="str">
        <f>IF(ISBLANK(C441),"",_xlfn.IFNA(INDEX(inbound_data[],MATCH(Outbound_data[[#This Row],[STOCK CODE OUT]],Generated_Stockcode,0),13),""))</f>
        <v/>
      </c>
    </row>
    <row r="442" spans="2:17" x14ac:dyDescent="0.25">
      <c r="B442" s="71"/>
      <c r="C442" s="65"/>
      <c r="D442" s="55"/>
      <c r="E442" s="65"/>
      <c r="F442" s="166"/>
      <c r="G442" s="167"/>
      <c r="H442" s="166"/>
      <c r="I442" s="72"/>
      <c r="J442" s="55"/>
      <c r="K442" s="72"/>
      <c r="L442" s="55"/>
      <c r="M442" s="174"/>
      <c r="N442" s="73" t="str">
        <f>IF(ISBLANK(C442),"",_xlfn.IFNA(INDEX(inbound_data[],MATCH(Outbound_data[[#This Row],[STOCK CODE OUT]],Generated_Stockcode,0),10),""))</f>
        <v/>
      </c>
      <c r="O442" s="73" t="str">
        <f>IF(ISBLANK(C442),"",_xlfn.IFNA(INDEX(inbound_data[],MATCH(Outbound_data[[#This Row],[STOCK CODE OUT]],Generated_Stockcode,0),12),""))</f>
        <v/>
      </c>
      <c r="P442" s="73" t="str">
        <f>IF(ISBLANK(C442),"",_xlfn.IFNA(INDEX(inbound_data[],MATCH(Outbound_data[[#This Row],[STOCK CODE OUT]],Generated_Stockcode,0),23),""))</f>
        <v/>
      </c>
      <c r="Q442" s="73" t="str">
        <f>IF(ISBLANK(C442),"",_xlfn.IFNA(INDEX(inbound_data[],MATCH(Outbound_data[[#This Row],[STOCK CODE OUT]],Generated_Stockcode,0),13),""))</f>
        <v/>
      </c>
    </row>
    <row r="443" spans="2:17" x14ac:dyDescent="0.25">
      <c r="B443" s="71"/>
      <c r="C443" s="65"/>
      <c r="D443" s="55"/>
      <c r="E443" s="65"/>
      <c r="F443" s="166"/>
      <c r="G443" s="167"/>
      <c r="H443" s="166"/>
      <c r="I443" s="72"/>
      <c r="J443" s="55"/>
      <c r="K443" s="72"/>
      <c r="L443" s="55"/>
      <c r="M443" s="174"/>
      <c r="N443" s="73" t="str">
        <f>IF(ISBLANK(C443),"",_xlfn.IFNA(INDEX(inbound_data[],MATCH(Outbound_data[[#This Row],[STOCK CODE OUT]],Generated_Stockcode,0),10),""))</f>
        <v/>
      </c>
      <c r="O443" s="73" t="str">
        <f>IF(ISBLANK(C443),"",_xlfn.IFNA(INDEX(inbound_data[],MATCH(Outbound_data[[#This Row],[STOCK CODE OUT]],Generated_Stockcode,0),12),""))</f>
        <v/>
      </c>
      <c r="P443" s="73" t="str">
        <f>IF(ISBLANK(C443),"",_xlfn.IFNA(INDEX(inbound_data[],MATCH(Outbound_data[[#This Row],[STOCK CODE OUT]],Generated_Stockcode,0),23),""))</f>
        <v/>
      </c>
      <c r="Q443" s="73" t="str">
        <f>IF(ISBLANK(C443),"",_xlfn.IFNA(INDEX(inbound_data[],MATCH(Outbound_data[[#This Row],[STOCK CODE OUT]],Generated_Stockcode,0),13),""))</f>
        <v/>
      </c>
    </row>
    <row r="444" spans="2:17" x14ac:dyDescent="0.25">
      <c r="B444" s="71"/>
      <c r="C444" s="65"/>
      <c r="D444" s="55"/>
      <c r="E444" s="65"/>
      <c r="F444" s="166"/>
      <c r="G444" s="167"/>
      <c r="H444" s="166"/>
      <c r="I444" s="72"/>
      <c r="J444" s="55"/>
      <c r="K444" s="72"/>
      <c r="L444" s="55"/>
      <c r="M444" s="174"/>
      <c r="N444" s="73" t="str">
        <f>IF(ISBLANK(C444),"",_xlfn.IFNA(INDEX(inbound_data[],MATCH(Outbound_data[[#This Row],[STOCK CODE OUT]],Generated_Stockcode,0),10),""))</f>
        <v/>
      </c>
      <c r="O444" s="73" t="str">
        <f>IF(ISBLANK(C444),"",_xlfn.IFNA(INDEX(inbound_data[],MATCH(Outbound_data[[#This Row],[STOCK CODE OUT]],Generated_Stockcode,0),12),""))</f>
        <v/>
      </c>
      <c r="P444" s="73" t="str">
        <f>IF(ISBLANK(C444),"",_xlfn.IFNA(INDEX(inbound_data[],MATCH(Outbound_data[[#This Row],[STOCK CODE OUT]],Generated_Stockcode,0),23),""))</f>
        <v/>
      </c>
      <c r="Q444" s="73" t="str">
        <f>IF(ISBLANK(C444),"",_xlfn.IFNA(INDEX(inbound_data[],MATCH(Outbound_data[[#This Row],[STOCK CODE OUT]],Generated_Stockcode,0),13),""))</f>
        <v/>
      </c>
    </row>
    <row r="445" spans="2:17" x14ac:dyDescent="0.25">
      <c r="B445" s="71"/>
      <c r="C445" s="65"/>
      <c r="D445" s="55"/>
      <c r="E445" s="65"/>
      <c r="F445" s="166"/>
      <c r="G445" s="167"/>
      <c r="H445" s="166"/>
      <c r="I445" s="72"/>
      <c r="J445" s="55"/>
      <c r="K445" s="72"/>
      <c r="L445" s="55"/>
      <c r="M445" s="174"/>
      <c r="N445" s="73" t="str">
        <f>IF(ISBLANK(C445),"",_xlfn.IFNA(INDEX(inbound_data[],MATCH(Outbound_data[[#This Row],[STOCK CODE OUT]],Generated_Stockcode,0),10),""))</f>
        <v/>
      </c>
      <c r="O445" s="73" t="str">
        <f>IF(ISBLANK(C445),"",_xlfn.IFNA(INDEX(inbound_data[],MATCH(Outbound_data[[#This Row],[STOCK CODE OUT]],Generated_Stockcode,0),12),""))</f>
        <v/>
      </c>
      <c r="P445" s="73" t="str">
        <f>IF(ISBLANK(C445),"",_xlfn.IFNA(INDEX(inbound_data[],MATCH(Outbound_data[[#This Row],[STOCK CODE OUT]],Generated_Stockcode,0),23),""))</f>
        <v/>
      </c>
      <c r="Q445" s="73" t="str">
        <f>IF(ISBLANK(C445),"",_xlfn.IFNA(INDEX(inbound_data[],MATCH(Outbound_data[[#This Row],[STOCK CODE OUT]],Generated_Stockcode,0),13),""))</f>
        <v/>
      </c>
    </row>
    <row r="446" spans="2:17" x14ac:dyDescent="0.25">
      <c r="B446" s="71"/>
      <c r="C446" s="65"/>
      <c r="D446" s="55"/>
      <c r="E446" s="65"/>
      <c r="F446" s="166"/>
      <c r="G446" s="167"/>
      <c r="H446" s="166"/>
      <c r="I446" s="72"/>
      <c r="J446" s="55"/>
      <c r="K446" s="72"/>
      <c r="L446" s="55"/>
      <c r="M446" s="174"/>
      <c r="N446" s="73" t="str">
        <f>IF(ISBLANK(C446),"",_xlfn.IFNA(INDEX(inbound_data[],MATCH(Outbound_data[[#This Row],[STOCK CODE OUT]],Generated_Stockcode,0),10),""))</f>
        <v/>
      </c>
      <c r="O446" s="73" t="str">
        <f>IF(ISBLANK(C446),"",_xlfn.IFNA(INDEX(inbound_data[],MATCH(Outbound_data[[#This Row],[STOCK CODE OUT]],Generated_Stockcode,0),12),""))</f>
        <v/>
      </c>
      <c r="P446" s="73" t="str">
        <f>IF(ISBLANK(C446),"",_xlfn.IFNA(INDEX(inbound_data[],MATCH(Outbound_data[[#This Row],[STOCK CODE OUT]],Generated_Stockcode,0),23),""))</f>
        <v/>
      </c>
      <c r="Q446" s="73" t="str">
        <f>IF(ISBLANK(C446),"",_xlfn.IFNA(INDEX(inbound_data[],MATCH(Outbound_data[[#This Row],[STOCK CODE OUT]],Generated_Stockcode,0),13),""))</f>
        <v/>
      </c>
    </row>
    <row r="447" spans="2:17" x14ac:dyDescent="0.25">
      <c r="B447" s="71"/>
      <c r="C447" s="65"/>
      <c r="D447" s="55"/>
      <c r="E447" s="65"/>
      <c r="F447" s="166"/>
      <c r="G447" s="167"/>
      <c r="H447" s="166"/>
      <c r="I447" s="72"/>
      <c r="J447" s="55"/>
      <c r="K447" s="72"/>
      <c r="L447" s="55"/>
      <c r="M447" s="174"/>
      <c r="N447" s="73" t="str">
        <f>IF(ISBLANK(C447),"",_xlfn.IFNA(INDEX(inbound_data[],MATCH(Outbound_data[[#This Row],[STOCK CODE OUT]],Generated_Stockcode,0),10),""))</f>
        <v/>
      </c>
      <c r="O447" s="73" t="str">
        <f>IF(ISBLANK(C447),"",_xlfn.IFNA(INDEX(inbound_data[],MATCH(Outbound_data[[#This Row],[STOCK CODE OUT]],Generated_Stockcode,0),12),""))</f>
        <v/>
      </c>
      <c r="P447" s="73" t="str">
        <f>IF(ISBLANK(C447),"",_xlfn.IFNA(INDEX(inbound_data[],MATCH(Outbound_data[[#This Row],[STOCK CODE OUT]],Generated_Stockcode,0),23),""))</f>
        <v/>
      </c>
      <c r="Q447" s="73" t="str">
        <f>IF(ISBLANK(C447),"",_xlfn.IFNA(INDEX(inbound_data[],MATCH(Outbound_data[[#This Row],[STOCK CODE OUT]],Generated_Stockcode,0),13),""))</f>
        <v/>
      </c>
    </row>
    <row r="448" spans="2:17" x14ac:dyDescent="0.25">
      <c r="B448" s="71"/>
      <c r="C448" s="65"/>
      <c r="D448" s="55"/>
      <c r="E448" s="65"/>
      <c r="F448" s="166"/>
      <c r="G448" s="167"/>
      <c r="H448" s="166"/>
      <c r="I448" s="72"/>
      <c r="J448" s="55"/>
      <c r="K448" s="72"/>
      <c r="L448" s="55"/>
      <c r="M448" s="174"/>
      <c r="N448" s="73" t="str">
        <f>IF(ISBLANK(C448),"",_xlfn.IFNA(INDEX(inbound_data[],MATCH(Outbound_data[[#This Row],[STOCK CODE OUT]],Generated_Stockcode,0),10),""))</f>
        <v/>
      </c>
      <c r="O448" s="73" t="str">
        <f>IF(ISBLANK(C448),"",_xlfn.IFNA(INDEX(inbound_data[],MATCH(Outbound_data[[#This Row],[STOCK CODE OUT]],Generated_Stockcode,0),12),""))</f>
        <v/>
      </c>
      <c r="P448" s="73" t="str">
        <f>IF(ISBLANK(C448),"",_xlfn.IFNA(INDEX(inbound_data[],MATCH(Outbound_data[[#This Row],[STOCK CODE OUT]],Generated_Stockcode,0),23),""))</f>
        <v/>
      </c>
      <c r="Q448" s="73" t="str">
        <f>IF(ISBLANK(C448),"",_xlfn.IFNA(INDEX(inbound_data[],MATCH(Outbound_data[[#This Row],[STOCK CODE OUT]],Generated_Stockcode,0),13),""))</f>
        <v/>
      </c>
    </row>
    <row r="449" spans="2:17" x14ac:dyDescent="0.25">
      <c r="B449" s="71"/>
      <c r="C449" s="65"/>
      <c r="D449" s="55"/>
      <c r="E449" s="65"/>
      <c r="F449" s="166"/>
      <c r="G449" s="167"/>
      <c r="H449" s="166"/>
      <c r="I449" s="72"/>
      <c r="J449" s="55"/>
      <c r="K449" s="72"/>
      <c r="L449" s="55"/>
      <c r="M449" s="174"/>
      <c r="N449" s="73" t="str">
        <f>IF(ISBLANK(C449),"",_xlfn.IFNA(INDEX(inbound_data[],MATCH(Outbound_data[[#This Row],[STOCK CODE OUT]],Generated_Stockcode,0),10),""))</f>
        <v/>
      </c>
      <c r="O449" s="73" t="str">
        <f>IF(ISBLANK(C449),"",_xlfn.IFNA(INDEX(inbound_data[],MATCH(Outbound_data[[#This Row],[STOCK CODE OUT]],Generated_Stockcode,0),12),""))</f>
        <v/>
      </c>
      <c r="P449" s="73" t="str">
        <f>IF(ISBLANK(C449),"",_xlfn.IFNA(INDEX(inbound_data[],MATCH(Outbound_data[[#This Row],[STOCK CODE OUT]],Generated_Stockcode,0),23),""))</f>
        <v/>
      </c>
      <c r="Q449" s="73" t="str">
        <f>IF(ISBLANK(C449),"",_xlfn.IFNA(INDEX(inbound_data[],MATCH(Outbound_data[[#This Row],[STOCK CODE OUT]],Generated_Stockcode,0),13),""))</f>
        <v/>
      </c>
    </row>
    <row r="450" spans="2:17" x14ac:dyDescent="0.25">
      <c r="B450" s="71"/>
      <c r="C450" s="65"/>
      <c r="D450" s="55"/>
      <c r="E450" s="65"/>
      <c r="F450" s="166"/>
      <c r="G450" s="167"/>
      <c r="H450" s="166"/>
      <c r="I450" s="72"/>
      <c r="J450" s="55"/>
      <c r="K450" s="72"/>
      <c r="L450" s="55"/>
      <c r="M450" s="174"/>
      <c r="N450" s="73" t="str">
        <f>IF(ISBLANK(C450),"",_xlfn.IFNA(INDEX(inbound_data[],MATCH(Outbound_data[[#This Row],[STOCK CODE OUT]],Generated_Stockcode,0),10),""))</f>
        <v/>
      </c>
      <c r="O450" s="73" t="str">
        <f>IF(ISBLANK(C450),"",_xlfn.IFNA(INDEX(inbound_data[],MATCH(Outbound_data[[#This Row],[STOCK CODE OUT]],Generated_Stockcode,0),12),""))</f>
        <v/>
      </c>
      <c r="P450" s="73" t="str">
        <f>IF(ISBLANK(C450),"",_xlfn.IFNA(INDEX(inbound_data[],MATCH(Outbound_data[[#This Row],[STOCK CODE OUT]],Generated_Stockcode,0),23),""))</f>
        <v/>
      </c>
      <c r="Q450" s="73" t="str">
        <f>IF(ISBLANK(C450),"",_xlfn.IFNA(INDEX(inbound_data[],MATCH(Outbound_data[[#This Row],[STOCK CODE OUT]],Generated_Stockcode,0),13),""))</f>
        <v/>
      </c>
    </row>
    <row r="451" spans="2:17" x14ac:dyDescent="0.25">
      <c r="B451" s="71"/>
      <c r="C451" s="65"/>
      <c r="D451" s="55"/>
      <c r="E451" s="65"/>
      <c r="F451" s="166"/>
      <c r="G451" s="167"/>
      <c r="H451" s="166"/>
      <c r="I451" s="72"/>
      <c r="J451" s="55"/>
      <c r="K451" s="72"/>
      <c r="L451" s="55"/>
      <c r="M451" s="174"/>
      <c r="N451" s="73" t="str">
        <f>IF(ISBLANK(C451),"",_xlfn.IFNA(INDEX(inbound_data[],MATCH(Outbound_data[[#This Row],[STOCK CODE OUT]],Generated_Stockcode,0),10),""))</f>
        <v/>
      </c>
      <c r="O451" s="73" t="str">
        <f>IF(ISBLANK(C451),"",_xlfn.IFNA(INDEX(inbound_data[],MATCH(Outbound_data[[#This Row],[STOCK CODE OUT]],Generated_Stockcode,0),12),""))</f>
        <v/>
      </c>
      <c r="P451" s="73" t="str">
        <f>IF(ISBLANK(C451),"",_xlfn.IFNA(INDEX(inbound_data[],MATCH(Outbound_data[[#This Row],[STOCK CODE OUT]],Generated_Stockcode,0),23),""))</f>
        <v/>
      </c>
      <c r="Q451" s="73" t="str">
        <f>IF(ISBLANK(C451),"",_xlfn.IFNA(INDEX(inbound_data[],MATCH(Outbound_data[[#This Row],[STOCK CODE OUT]],Generated_Stockcode,0),13),""))</f>
        <v/>
      </c>
    </row>
    <row r="452" spans="2:17" x14ac:dyDescent="0.25">
      <c r="B452" s="71"/>
      <c r="C452" s="65"/>
      <c r="D452" s="55"/>
      <c r="E452" s="65"/>
      <c r="F452" s="166"/>
      <c r="G452" s="167"/>
      <c r="H452" s="166"/>
      <c r="I452" s="72"/>
      <c r="J452" s="55"/>
      <c r="K452" s="72"/>
      <c r="L452" s="55"/>
      <c r="M452" s="174"/>
      <c r="N452" s="73" t="str">
        <f>IF(ISBLANK(C452),"",_xlfn.IFNA(INDEX(inbound_data[],MATCH(Outbound_data[[#This Row],[STOCK CODE OUT]],Generated_Stockcode,0),10),""))</f>
        <v/>
      </c>
      <c r="O452" s="73" t="str">
        <f>IF(ISBLANK(C452),"",_xlfn.IFNA(INDEX(inbound_data[],MATCH(Outbound_data[[#This Row],[STOCK CODE OUT]],Generated_Stockcode,0),12),""))</f>
        <v/>
      </c>
      <c r="P452" s="73" t="str">
        <f>IF(ISBLANK(C452),"",_xlfn.IFNA(INDEX(inbound_data[],MATCH(Outbound_data[[#This Row],[STOCK CODE OUT]],Generated_Stockcode,0),23),""))</f>
        <v/>
      </c>
      <c r="Q452" s="73" t="str">
        <f>IF(ISBLANK(C452),"",_xlfn.IFNA(INDEX(inbound_data[],MATCH(Outbound_data[[#This Row],[STOCK CODE OUT]],Generated_Stockcode,0),13),""))</f>
        <v/>
      </c>
    </row>
    <row r="453" spans="2:17" x14ac:dyDescent="0.25">
      <c r="B453" s="71"/>
      <c r="C453" s="65"/>
      <c r="D453" s="55"/>
      <c r="E453" s="65"/>
      <c r="F453" s="166"/>
      <c r="G453" s="167"/>
      <c r="H453" s="166"/>
      <c r="I453" s="72"/>
      <c r="J453" s="55"/>
      <c r="K453" s="72"/>
      <c r="L453" s="55"/>
      <c r="M453" s="174"/>
      <c r="N453" s="73" t="str">
        <f>IF(ISBLANK(C453),"",_xlfn.IFNA(INDEX(inbound_data[],MATCH(Outbound_data[[#This Row],[STOCK CODE OUT]],Generated_Stockcode,0),10),""))</f>
        <v/>
      </c>
      <c r="O453" s="73" t="str">
        <f>IF(ISBLANK(C453),"",_xlfn.IFNA(INDEX(inbound_data[],MATCH(Outbound_data[[#This Row],[STOCK CODE OUT]],Generated_Stockcode,0),12),""))</f>
        <v/>
      </c>
      <c r="P453" s="73" t="str">
        <f>IF(ISBLANK(C453),"",_xlfn.IFNA(INDEX(inbound_data[],MATCH(Outbound_data[[#This Row],[STOCK CODE OUT]],Generated_Stockcode,0),23),""))</f>
        <v/>
      </c>
      <c r="Q453" s="73" t="str">
        <f>IF(ISBLANK(C453),"",_xlfn.IFNA(INDEX(inbound_data[],MATCH(Outbound_data[[#This Row],[STOCK CODE OUT]],Generated_Stockcode,0),13),""))</f>
        <v/>
      </c>
    </row>
    <row r="454" spans="2:17" x14ac:dyDescent="0.25">
      <c r="B454" s="71"/>
      <c r="C454" s="65"/>
      <c r="D454" s="55"/>
      <c r="E454" s="65"/>
      <c r="F454" s="166"/>
      <c r="G454" s="167"/>
      <c r="H454" s="166"/>
      <c r="I454" s="72"/>
      <c r="J454" s="55"/>
      <c r="K454" s="72"/>
      <c r="L454" s="55"/>
      <c r="M454" s="174"/>
      <c r="N454" s="73" t="str">
        <f>IF(ISBLANK(C454),"",_xlfn.IFNA(INDEX(inbound_data[],MATCH(Outbound_data[[#This Row],[STOCK CODE OUT]],Generated_Stockcode,0),10),""))</f>
        <v/>
      </c>
      <c r="O454" s="73" t="str">
        <f>IF(ISBLANK(C454),"",_xlfn.IFNA(INDEX(inbound_data[],MATCH(Outbound_data[[#This Row],[STOCK CODE OUT]],Generated_Stockcode,0),12),""))</f>
        <v/>
      </c>
      <c r="P454" s="73" t="str">
        <f>IF(ISBLANK(C454),"",_xlfn.IFNA(INDEX(inbound_data[],MATCH(Outbound_data[[#This Row],[STOCK CODE OUT]],Generated_Stockcode,0),23),""))</f>
        <v/>
      </c>
      <c r="Q454" s="73" t="str">
        <f>IF(ISBLANK(C454),"",_xlfn.IFNA(INDEX(inbound_data[],MATCH(Outbound_data[[#This Row],[STOCK CODE OUT]],Generated_Stockcode,0),13),""))</f>
        <v/>
      </c>
    </row>
    <row r="455" spans="2:17" x14ac:dyDescent="0.25">
      <c r="B455" s="71"/>
      <c r="C455" s="65"/>
      <c r="D455" s="55"/>
      <c r="E455" s="65"/>
      <c r="F455" s="166"/>
      <c r="G455" s="167"/>
      <c r="H455" s="166"/>
      <c r="I455" s="72"/>
      <c r="J455" s="55"/>
      <c r="K455" s="72"/>
      <c r="L455" s="55"/>
      <c r="M455" s="174"/>
      <c r="N455" s="73" t="str">
        <f>IF(ISBLANK(C455),"",_xlfn.IFNA(INDEX(inbound_data[],MATCH(Outbound_data[[#This Row],[STOCK CODE OUT]],Generated_Stockcode,0),10),""))</f>
        <v/>
      </c>
      <c r="O455" s="73" t="str">
        <f>IF(ISBLANK(C455),"",_xlfn.IFNA(INDEX(inbound_data[],MATCH(Outbound_data[[#This Row],[STOCK CODE OUT]],Generated_Stockcode,0),12),""))</f>
        <v/>
      </c>
      <c r="P455" s="73" t="str">
        <f>IF(ISBLANK(C455),"",_xlfn.IFNA(INDEX(inbound_data[],MATCH(Outbound_data[[#This Row],[STOCK CODE OUT]],Generated_Stockcode,0),23),""))</f>
        <v/>
      </c>
      <c r="Q455" s="73" t="str">
        <f>IF(ISBLANK(C455),"",_xlfn.IFNA(INDEX(inbound_data[],MATCH(Outbound_data[[#This Row],[STOCK CODE OUT]],Generated_Stockcode,0),13),""))</f>
        <v/>
      </c>
    </row>
    <row r="456" spans="2:17" x14ac:dyDescent="0.25">
      <c r="B456" s="71"/>
      <c r="C456" s="65"/>
      <c r="D456" s="55"/>
      <c r="E456" s="65"/>
      <c r="F456" s="166"/>
      <c r="G456" s="167"/>
      <c r="H456" s="166"/>
      <c r="I456" s="72"/>
      <c r="J456" s="55"/>
      <c r="K456" s="72"/>
      <c r="L456" s="55"/>
      <c r="M456" s="174"/>
      <c r="N456" s="73" t="str">
        <f>IF(ISBLANK(C456),"",_xlfn.IFNA(INDEX(inbound_data[],MATCH(Outbound_data[[#This Row],[STOCK CODE OUT]],Generated_Stockcode,0),10),""))</f>
        <v/>
      </c>
      <c r="O456" s="73" t="str">
        <f>IF(ISBLANK(C456),"",_xlfn.IFNA(INDEX(inbound_data[],MATCH(Outbound_data[[#This Row],[STOCK CODE OUT]],Generated_Stockcode,0),12),""))</f>
        <v/>
      </c>
      <c r="P456" s="73" t="str">
        <f>IF(ISBLANK(C456),"",_xlfn.IFNA(INDEX(inbound_data[],MATCH(Outbound_data[[#This Row],[STOCK CODE OUT]],Generated_Stockcode,0),23),""))</f>
        <v/>
      </c>
      <c r="Q456" s="73" t="str">
        <f>IF(ISBLANK(C456),"",_xlfn.IFNA(INDEX(inbound_data[],MATCH(Outbound_data[[#This Row],[STOCK CODE OUT]],Generated_Stockcode,0),13),""))</f>
        <v/>
      </c>
    </row>
    <row r="457" spans="2:17" x14ac:dyDescent="0.25">
      <c r="B457" s="71"/>
      <c r="C457" s="65"/>
      <c r="D457" s="55"/>
      <c r="E457" s="65"/>
      <c r="F457" s="166"/>
      <c r="G457" s="167"/>
      <c r="H457" s="166"/>
      <c r="I457" s="72"/>
      <c r="J457" s="55"/>
      <c r="K457" s="72"/>
      <c r="L457" s="55"/>
      <c r="M457" s="174"/>
      <c r="N457" s="73" t="str">
        <f>IF(ISBLANK(C457),"",_xlfn.IFNA(INDEX(inbound_data[],MATCH(Outbound_data[[#This Row],[STOCK CODE OUT]],Generated_Stockcode,0),10),""))</f>
        <v/>
      </c>
      <c r="O457" s="73" t="str">
        <f>IF(ISBLANK(C457),"",_xlfn.IFNA(INDEX(inbound_data[],MATCH(Outbound_data[[#This Row],[STOCK CODE OUT]],Generated_Stockcode,0),12),""))</f>
        <v/>
      </c>
      <c r="P457" s="73" t="str">
        <f>IF(ISBLANK(C457),"",_xlfn.IFNA(INDEX(inbound_data[],MATCH(Outbound_data[[#This Row],[STOCK CODE OUT]],Generated_Stockcode,0),23),""))</f>
        <v/>
      </c>
      <c r="Q457" s="73" t="str">
        <f>IF(ISBLANK(C457),"",_xlfn.IFNA(INDEX(inbound_data[],MATCH(Outbound_data[[#This Row],[STOCK CODE OUT]],Generated_Stockcode,0),13),""))</f>
        <v/>
      </c>
    </row>
    <row r="458" spans="2:17" x14ac:dyDescent="0.25">
      <c r="B458" s="71"/>
      <c r="C458" s="65"/>
      <c r="D458" s="55"/>
      <c r="E458" s="65"/>
      <c r="F458" s="166"/>
      <c r="G458" s="167"/>
      <c r="H458" s="166"/>
      <c r="I458" s="72"/>
      <c r="J458" s="55"/>
      <c r="K458" s="72"/>
      <c r="L458" s="55"/>
      <c r="M458" s="174"/>
      <c r="N458" s="73" t="str">
        <f>IF(ISBLANK(C458),"",_xlfn.IFNA(INDEX(inbound_data[],MATCH(Outbound_data[[#This Row],[STOCK CODE OUT]],Generated_Stockcode,0),10),""))</f>
        <v/>
      </c>
      <c r="O458" s="73" t="str">
        <f>IF(ISBLANK(C458),"",_xlfn.IFNA(INDEX(inbound_data[],MATCH(Outbound_data[[#This Row],[STOCK CODE OUT]],Generated_Stockcode,0),12),""))</f>
        <v/>
      </c>
      <c r="P458" s="73" t="str">
        <f>IF(ISBLANK(C458),"",_xlfn.IFNA(INDEX(inbound_data[],MATCH(Outbound_data[[#This Row],[STOCK CODE OUT]],Generated_Stockcode,0),23),""))</f>
        <v/>
      </c>
      <c r="Q458" s="73" t="str">
        <f>IF(ISBLANK(C458),"",_xlfn.IFNA(INDEX(inbound_data[],MATCH(Outbound_data[[#This Row],[STOCK CODE OUT]],Generated_Stockcode,0),13),""))</f>
        <v/>
      </c>
    </row>
    <row r="459" spans="2:17" x14ac:dyDescent="0.25">
      <c r="B459" s="71"/>
      <c r="C459" s="65"/>
      <c r="D459" s="55"/>
      <c r="E459" s="65"/>
      <c r="F459" s="166"/>
      <c r="G459" s="167"/>
      <c r="H459" s="166"/>
      <c r="I459" s="72"/>
      <c r="J459" s="55"/>
      <c r="K459" s="72"/>
      <c r="L459" s="55"/>
      <c r="M459" s="174"/>
      <c r="N459" s="73" t="str">
        <f>IF(ISBLANK(C459),"",_xlfn.IFNA(INDEX(inbound_data[],MATCH(Outbound_data[[#This Row],[STOCK CODE OUT]],Generated_Stockcode,0),10),""))</f>
        <v/>
      </c>
      <c r="O459" s="73" t="str">
        <f>IF(ISBLANK(C459),"",_xlfn.IFNA(INDEX(inbound_data[],MATCH(Outbound_data[[#This Row],[STOCK CODE OUT]],Generated_Stockcode,0),12),""))</f>
        <v/>
      </c>
      <c r="P459" s="73" t="str">
        <f>IF(ISBLANK(C459),"",_xlfn.IFNA(INDEX(inbound_data[],MATCH(Outbound_data[[#This Row],[STOCK CODE OUT]],Generated_Stockcode,0),23),""))</f>
        <v/>
      </c>
      <c r="Q459" s="73" t="str">
        <f>IF(ISBLANK(C459),"",_xlfn.IFNA(INDEX(inbound_data[],MATCH(Outbound_data[[#This Row],[STOCK CODE OUT]],Generated_Stockcode,0),13),""))</f>
        <v/>
      </c>
    </row>
    <row r="460" spans="2:17" x14ac:dyDescent="0.25">
      <c r="B460" s="71"/>
      <c r="C460" s="65"/>
      <c r="D460" s="55"/>
      <c r="E460" s="65"/>
      <c r="F460" s="166"/>
      <c r="G460" s="167"/>
      <c r="H460" s="166"/>
      <c r="I460" s="72"/>
      <c r="J460" s="55"/>
      <c r="K460" s="72"/>
      <c r="L460" s="55"/>
      <c r="M460" s="174"/>
      <c r="N460" s="73" t="str">
        <f>IF(ISBLANK(C460),"",_xlfn.IFNA(INDEX(inbound_data[],MATCH(Outbound_data[[#This Row],[STOCK CODE OUT]],Generated_Stockcode,0),10),""))</f>
        <v/>
      </c>
      <c r="O460" s="73" t="str">
        <f>IF(ISBLANK(C460),"",_xlfn.IFNA(INDEX(inbound_data[],MATCH(Outbound_data[[#This Row],[STOCK CODE OUT]],Generated_Stockcode,0),12),""))</f>
        <v/>
      </c>
      <c r="P460" s="73" t="str">
        <f>IF(ISBLANK(C460),"",_xlfn.IFNA(INDEX(inbound_data[],MATCH(Outbound_data[[#This Row],[STOCK CODE OUT]],Generated_Stockcode,0),23),""))</f>
        <v/>
      </c>
      <c r="Q460" s="73" t="str">
        <f>IF(ISBLANK(C460),"",_xlfn.IFNA(INDEX(inbound_data[],MATCH(Outbound_data[[#This Row],[STOCK CODE OUT]],Generated_Stockcode,0),13),""))</f>
        <v/>
      </c>
    </row>
    <row r="461" spans="2:17" x14ac:dyDescent="0.25">
      <c r="B461" s="71"/>
      <c r="C461" s="65"/>
      <c r="D461" s="55"/>
      <c r="E461" s="65"/>
      <c r="F461" s="166"/>
      <c r="G461" s="167"/>
      <c r="H461" s="166"/>
      <c r="I461" s="72"/>
      <c r="J461" s="55"/>
      <c r="K461" s="72"/>
      <c r="L461" s="55"/>
      <c r="M461" s="174"/>
      <c r="N461" s="73" t="str">
        <f>IF(ISBLANK(C461),"",_xlfn.IFNA(INDEX(inbound_data[],MATCH(Outbound_data[[#This Row],[STOCK CODE OUT]],Generated_Stockcode,0),10),""))</f>
        <v/>
      </c>
      <c r="O461" s="73" t="str">
        <f>IF(ISBLANK(C461),"",_xlfn.IFNA(INDEX(inbound_data[],MATCH(Outbound_data[[#This Row],[STOCK CODE OUT]],Generated_Stockcode,0),12),""))</f>
        <v/>
      </c>
      <c r="P461" s="73" t="str">
        <f>IF(ISBLANK(C461),"",_xlfn.IFNA(INDEX(inbound_data[],MATCH(Outbound_data[[#This Row],[STOCK CODE OUT]],Generated_Stockcode,0),23),""))</f>
        <v/>
      </c>
      <c r="Q461" s="73" t="str">
        <f>IF(ISBLANK(C461),"",_xlfn.IFNA(INDEX(inbound_data[],MATCH(Outbound_data[[#This Row],[STOCK CODE OUT]],Generated_Stockcode,0),13),""))</f>
        <v/>
      </c>
    </row>
    <row r="462" spans="2:17" x14ac:dyDescent="0.25">
      <c r="B462" s="71"/>
      <c r="C462" s="65"/>
      <c r="D462" s="55"/>
      <c r="E462" s="65"/>
      <c r="F462" s="166"/>
      <c r="G462" s="167"/>
      <c r="H462" s="166"/>
      <c r="I462" s="72"/>
      <c r="J462" s="55"/>
      <c r="K462" s="72"/>
      <c r="L462" s="55"/>
      <c r="M462" s="174"/>
      <c r="N462" s="73" t="str">
        <f>IF(ISBLANK(C462),"",_xlfn.IFNA(INDEX(inbound_data[],MATCH(Outbound_data[[#This Row],[STOCK CODE OUT]],Generated_Stockcode,0),10),""))</f>
        <v/>
      </c>
      <c r="O462" s="73" t="str">
        <f>IF(ISBLANK(C462),"",_xlfn.IFNA(INDEX(inbound_data[],MATCH(Outbound_data[[#This Row],[STOCK CODE OUT]],Generated_Stockcode,0),12),""))</f>
        <v/>
      </c>
      <c r="P462" s="73" t="str">
        <f>IF(ISBLANK(C462),"",_xlfn.IFNA(INDEX(inbound_data[],MATCH(Outbound_data[[#This Row],[STOCK CODE OUT]],Generated_Stockcode,0),23),""))</f>
        <v/>
      </c>
      <c r="Q462" s="73" t="str">
        <f>IF(ISBLANK(C462),"",_xlfn.IFNA(INDEX(inbound_data[],MATCH(Outbound_data[[#This Row],[STOCK CODE OUT]],Generated_Stockcode,0),13),""))</f>
        <v/>
      </c>
    </row>
    <row r="463" spans="2:17" x14ac:dyDescent="0.25">
      <c r="B463" s="71"/>
      <c r="C463" s="65"/>
      <c r="D463" s="55"/>
      <c r="E463" s="65"/>
      <c r="F463" s="166"/>
      <c r="G463" s="167"/>
      <c r="H463" s="166"/>
      <c r="I463" s="72"/>
      <c r="J463" s="55"/>
      <c r="K463" s="72"/>
      <c r="L463" s="55"/>
      <c r="M463" s="174"/>
      <c r="N463" s="73" t="str">
        <f>IF(ISBLANK(C463),"",_xlfn.IFNA(INDEX(inbound_data[],MATCH(Outbound_data[[#This Row],[STOCK CODE OUT]],Generated_Stockcode,0),10),""))</f>
        <v/>
      </c>
      <c r="O463" s="73" t="str">
        <f>IF(ISBLANK(C463),"",_xlfn.IFNA(INDEX(inbound_data[],MATCH(Outbound_data[[#This Row],[STOCK CODE OUT]],Generated_Stockcode,0),12),""))</f>
        <v/>
      </c>
      <c r="P463" s="73" t="str">
        <f>IF(ISBLANK(C463),"",_xlfn.IFNA(INDEX(inbound_data[],MATCH(Outbound_data[[#This Row],[STOCK CODE OUT]],Generated_Stockcode,0),23),""))</f>
        <v/>
      </c>
      <c r="Q463" s="73" t="str">
        <f>IF(ISBLANK(C463),"",_xlfn.IFNA(INDEX(inbound_data[],MATCH(Outbound_data[[#This Row],[STOCK CODE OUT]],Generated_Stockcode,0),13),""))</f>
        <v/>
      </c>
    </row>
    <row r="464" spans="2:17" x14ac:dyDescent="0.25">
      <c r="B464" s="71"/>
      <c r="C464" s="65"/>
      <c r="D464" s="55"/>
      <c r="E464" s="65"/>
      <c r="F464" s="166"/>
      <c r="G464" s="167"/>
      <c r="H464" s="166"/>
      <c r="I464" s="72"/>
      <c r="J464" s="55"/>
      <c r="K464" s="72"/>
      <c r="L464" s="55"/>
      <c r="M464" s="174"/>
      <c r="N464" s="73" t="str">
        <f>IF(ISBLANK(C464),"",_xlfn.IFNA(INDEX(inbound_data[],MATCH(Outbound_data[[#This Row],[STOCK CODE OUT]],Generated_Stockcode,0),10),""))</f>
        <v/>
      </c>
      <c r="O464" s="73" t="str">
        <f>IF(ISBLANK(C464),"",_xlfn.IFNA(INDEX(inbound_data[],MATCH(Outbound_data[[#This Row],[STOCK CODE OUT]],Generated_Stockcode,0),12),""))</f>
        <v/>
      </c>
      <c r="P464" s="73" t="str">
        <f>IF(ISBLANK(C464),"",_xlfn.IFNA(INDEX(inbound_data[],MATCH(Outbound_data[[#This Row],[STOCK CODE OUT]],Generated_Stockcode,0),23),""))</f>
        <v/>
      </c>
      <c r="Q464" s="73" t="str">
        <f>IF(ISBLANK(C464),"",_xlfn.IFNA(INDEX(inbound_data[],MATCH(Outbound_data[[#This Row],[STOCK CODE OUT]],Generated_Stockcode,0),13),""))</f>
        <v/>
      </c>
    </row>
    <row r="465" spans="2:17" x14ac:dyDescent="0.25">
      <c r="B465" s="71"/>
      <c r="C465" s="65"/>
      <c r="D465" s="55"/>
      <c r="E465" s="65"/>
      <c r="F465" s="166"/>
      <c r="G465" s="167"/>
      <c r="H465" s="166"/>
      <c r="I465" s="72"/>
      <c r="J465" s="55"/>
      <c r="K465" s="72"/>
      <c r="L465" s="55"/>
      <c r="M465" s="174"/>
      <c r="N465" s="73" t="str">
        <f>IF(ISBLANK(C465),"",_xlfn.IFNA(INDEX(inbound_data[],MATCH(Outbound_data[[#This Row],[STOCK CODE OUT]],Generated_Stockcode,0),10),""))</f>
        <v/>
      </c>
      <c r="O465" s="73" t="str">
        <f>IF(ISBLANK(C465),"",_xlfn.IFNA(INDEX(inbound_data[],MATCH(Outbound_data[[#This Row],[STOCK CODE OUT]],Generated_Stockcode,0),12),""))</f>
        <v/>
      </c>
      <c r="P465" s="73" t="str">
        <f>IF(ISBLANK(C465),"",_xlfn.IFNA(INDEX(inbound_data[],MATCH(Outbound_data[[#This Row],[STOCK CODE OUT]],Generated_Stockcode,0),23),""))</f>
        <v/>
      </c>
      <c r="Q465" s="73" t="str">
        <f>IF(ISBLANK(C465),"",_xlfn.IFNA(INDEX(inbound_data[],MATCH(Outbound_data[[#This Row],[STOCK CODE OUT]],Generated_Stockcode,0),13),""))</f>
        <v/>
      </c>
    </row>
    <row r="466" spans="2:17" x14ac:dyDescent="0.25">
      <c r="B466" s="71"/>
      <c r="C466" s="65"/>
      <c r="D466" s="55"/>
      <c r="E466" s="65"/>
      <c r="F466" s="166"/>
      <c r="G466" s="167"/>
      <c r="H466" s="166"/>
      <c r="I466" s="72"/>
      <c r="J466" s="55"/>
      <c r="K466" s="72"/>
      <c r="L466" s="55"/>
      <c r="M466" s="174"/>
      <c r="N466" s="73" t="str">
        <f>IF(ISBLANK(C466),"",_xlfn.IFNA(INDEX(inbound_data[],MATCH(Outbound_data[[#This Row],[STOCK CODE OUT]],Generated_Stockcode,0),10),""))</f>
        <v/>
      </c>
      <c r="O466" s="73" t="str">
        <f>IF(ISBLANK(C466),"",_xlfn.IFNA(INDEX(inbound_data[],MATCH(Outbound_data[[#This Row],[STOCK CODE OUT]],Generated_Stockcode,0),12),""))</f>
        <v/>
      </c>
      <c r="P466" s="73" t="str">
        <f>IF(ISBLANK(C466),"",_xlfn.IFNA(INDEX(inbound_data[],MATCH(Outbound_data[[#This Row],[STOCK CODE OUT]],Generated_Stockcode,0),23),""))</f>
        <v/>
      </c>
      <c r="Q466" s="73" t="str">
        <f>IF(ISBLANK(C466),"",_xlfn.IFNA(INDEX(inbound_data[],MATCH(Outbound_data[[#This Row],[STOCK CODE OUT]],Generated_Stockcode,0),13),""))</f>
        <v/>
      </c>
    </row>
    <row r="467" spans="2:17" x14ac:dyDescent="0.25">
      <c r="B467" s="71"/>
      <c r="C467" s="65"/>
      <c r="D467" s="55"/>
      <c r="E467" s="65"/>
      <c r="F467" s="166"/>
      <c r="G467" s="167"/>
      <c r="H467" s="166"/>
      <c r="I467" s="72"/>
      <c r="J467" s="55"/>
      <c r="K467" s="72"/>
      <c r="L467" s="55"/>
      <c r="M467" s="174"/>
      <c r="N467" s="73" t="str">
        <f>IF(ISBLANK(C467),"",_xlfn.IFNA(INDEX(inbound_data[],MATCH(Outbound_data[[#This Row],[STOCK CODE OUT]],Generated_Stockcode,0),10),""))</f>
        <v/>
      </c>
      <c r="O467" s="73" t="str">
        <f>IF(ISBLANK(C467),"",_xlfn.IFNA(INDEX(inbound_data[],MATCH(Outbound_data[[#This Row],[STOCK CODE OUT]],Generated_Stockcode,0),12),""))</f>
        <v/>
      </c>
      <c r="P467" s="73" t="str">
        <f>IF(ISBLANK(C467),"",_xlfn.IFNA(INDEX(inbound_data[],MATCH(Outbound_data[[#This Row],[STOCK CODE OUT]],Generated_Stockcode,0),23),""))</f>
        <v/>
      </c>
      <c r="Q467" s="73" t="str">
        <f>IF(ISBLANK(C467),"",_xlfn.IFNA(INDEX(inbound_data[],MATCH(Outbound_data[[#This Row],[STOCK CODE OUT]],Generated_Stockcode,0),13),""))</f>
        <v/>
      </c>
    </row>
    <row r="468" spans="2:17" x14ac:dyDescent="0.25">
      <c r="B468" s="71"/>
      <c r="C468" s="65"/>
      <c r="D468" s="55"/>
      <c r="E468" s="65"/>
      <c r="F468" s="166"/>
      <c r="G468" s="167"/>
      <c r="H468" s="166"/>
      <c r="I468" s="72"/>
      <c r="J468" s="55"/>
      <c r="K468" s="72"/>
      <c r="L468" s="55"/>
      <c r="M468" s="174"/>
      <c r="N468" s="73" t="str">
        <f>IF(ISBLANK(C468),"",_xlfn.IFNA(INDEX(inbound_data[],MATCH(Outbound_data[[#This Row],[STOCK CODE OUT]],Generated_Stockcode,0),10),""))</f>
        <v/>
      </c>
      <c r="O468" s="73" t="str">
        <f>IF(ISBLANK(C468),"",_xlfn.IFNA(INDEX(inbound_data[],MATCH(Outbound_data[[#This Row],[STOCK CODE OUT]],Generated_Stockcode,0),12),""))</f>
        <v/>
      </c>
      <c r="P468" s="73" t="str">
        <f>IF(ISBLANK(C468),"",_xlfn.IFNA(INDEX(inbound_data[],MATCH(Outbound_data[[#This Row],[STOCK CODE OUT]],Generated_Stockcode,0),23),""))</f>
        <v/>
      </c>
      <c r="Q468" s="73" t="str">
        <f>IF(ISBLANK(C468),"",_xlfn.IFNA(INDEX(inbound_data[],MATCH(Outbound_data[[#This Row],[STOCK CODE OUT]],Generated_Stockcode,0),13),""))</f>
        <v/>
      </c>
    </row>
    <row r="469" spans="2:17" x14ac:dyDescent="0.25">
      <c r="B469" s="71"/>
      <c r="C469" s="65"/>
      <c r="D469" s="55"/>
      <c r="E469" s="65"/>
      <c r="F469" s="166"/>
      <c r="G469" s="167"/>
      <c r="H469" s="166"/>
      <c r="I469" s="72"/>
      <c r="J469" s="55"/>
      <c r="K469" s="72"/>
      <c r="L469" s="55"/>
      <c r="M469" s="174"/>
      <c r="N469" s="73" t="str">
        <f>IF(ISBLANK(C469),"",_xlfn.IFNA(INDEX(inbound_data[],MATCH(Outbound_data[[#This Row],[STOCK CODE OUT]],Generated_Stockcode,0),10),""))</f>
        <v/>
      </c>
      <c r="O469" s="73" t="str">
        <f>IF(ISBLANK(C469),"",_xlfn.IFNA(INDEX(inbound_data[],MATCH(Outbound_data[[#This Row],[STOCK CODE OUT]],Generated_Stockcode,0),12),""))</f>
        <v/>
      </c>
      <c r="P469" s="73" t="str">
        <f>IF(ISBLANK(C469),"",_xlfn.IFNA(INDEX(inbound_data[],MATCH(Outbound_data[[#This Row],[STOCK CODE OUT]],Generated_Stockcode,0),23),""))</f>
        <v/>
      </c>
      <c r="Q469" s="73" t="str">
        <f>IF(ISBLANK(C469),"",_xlfn.IFNA(INDEX(inbound_data[],MATCH(Outbound_data[[#This Row],[STOCK CODE OUT]],Generated_Stockcode,0),13),""))</f>
        <v/>
      </c>
    </row>
    <row r="470" spans="2:17" x14ac:dyDescent="0.25">
      <c r="B470" s="71"/>
      <c r="C470" s="65"/>
      <c r="D470" s="55"/>
      <c r="E470" s="65"/>
      <c r="F470" s="166"/>
      <c r="G470" s="167"/>
      <c r="H470" s="166"/>
      <c r="I470" s="72"/>
      <c r="J470" s="55"/>
      <c r="K470" s="72"/>
      <c r="L470" s="55"/>
      <c r="M470" s="174"/>
      <c r="N470" s="73" t="str">
        <f>IF(ISBLANK(C470),"",_xlfn.IFNA(INDEX(inbound_data[],MATCH(Outbound_data[[#This Row],[STOCK CODE OUT]],Generated_Stockcode,0),10),""))</f>
        <v/>
      </c>
      <c r="O470" s="73" t="str">
        <f>IF(ISBLANK(C470),"",_xlfn.IFNA(INDEX(inbound_data[],MATCH(Outbound_data[[#This Row],[STOCK CODE OUT]],Generated_Stockcode,0),12),""))</f>
        <v/>
      </c>
      <c r="P470" s="73" t="str">
        <f>IF(ISBLANK(C470),"",_xlfn.IFNA(INDEX(inbound_data[],MATCH(Outbound_data[[#This Row],[STOCK CODE OUT]],Generated_Stockcode,0),23),""))</f>
        <v/>
      </c>
      <c r="Q470" s="73" t="str">
        <f>IF(ISBLANK(C470),"",_xlfn.IFNA(INDEX(inbound_data[],MATCH(Outbound_data[[#This Row],[STOCK CODE OUT]],Generated_Stockcode,0),13),""))</f>
        <v/>
      </c>
    </row>
    <row r="471" spans="2:17" x14ac:dyDescent="0.25">
      <c r="B471" s="71"/>
      <c r="C471" s="65"/>
      <c r="D471" s="55"/>
      <c r="E471" s="65"/>
      <c r="F471" s="166"/>
      <c r="G471" s="167"/>
      <c r="H471" s="166"/>
      <c r="I471" s="72"/>
      <c r="J471" s="55"/>
      <c r="K471" s="72"/>
      <c r="L471" s="55"/>
      <c r="M471" s="174"/>
      <c r="N471" s="73" t="str">
        <f>IF(ISBLANK(C471),"",_xlfn.IFNA(INDEX(inbound_data[],MATCH(Outbound_data[[#This Row],[STOCK CODE OUT]],Generated_Stockcode,0),10),""))</f>
        <v/>
      </c>
      <c r="O471" s="73" t="str">
        <f>IF(ISBLANK(C471),"",_xlfn.IFNA(INDEX(inbound_data[],MATCH(Outbound_data[[#This Row],[STOCK CODE OUT]],Generated_Stockcode,0),12),""))</f>
        <v/>
      </c>
      <c r="P471" s="73" t="str">
        <f>IF(ISBLANK(C471),"",_xlfn.IFNA(INDEX(inbound_data[],MATCH(Outbound_data[[#This Row],[STOCK CODE OUT]],Generated_Stockcode,0),23),""))</f>
        <v/>
      </c>
      <c r="Q471" s="73" t="str">
        <f>IF(ISBLANK(C471),"",_xlfn.IFNA(INDEX(inbound_data[],MATCH(Outbound_data[[#This Row],[STOCK CODE OUT]],Generated_Stockcode,0),13),""))</f>
        <v/>
      </c>
    </row>
    <row r="472" spans="2:17" x14ac:dyDescent="0.25">
      <c r="B472" s="71"/>
      <c r="C472" s="65"/>
      <c r="D472" s="55"/>
      <c r="E472" s="65"/>
      <c r="F472" s="166"/>
      <c r="G472" s="167"/>
      <c r="H472" s="166"/>
      <c r="I472" s="72"/>
      <c r="J472" s="55"/>
      <c r="K472" s="72"/>
      <c r="L472" s="55"/>
      <c r="M472" s="174"/>
      <c r="N472" s="73" t="str">
        <f>IF(ISBLANK(C472),"",_xlfn.IFNA(INDEX(inbound_data[],MATCH(Outbound_data[[#This Row],[STOCK CODE OUT]],Generated_Stockcode,0),10),""))</f>
        <v/>
      </c>
      <c r="O472" s="73" t="str">
        <f>IF(ISBLANK(C472),"",_xlfn.IFNA(INDEX(inbound_data[],MATCH(Outbound_data[[#This Row],[STOCK CODE OUT]],Generated_Stockcode,0),12),""))</f>
        <v/>
      </c>
      <c r="P472" s="73" t="str">
        <f>IF(ISBLANK(C472),"",_xlfn.IFNA(INDEX(inbound_data[],MATCH(Outbound_data[[#This Row],[STOCK CODE OUT]],Generated_Stockcode,0),23),""))</f>
        <v/>
      </c>
      <c r="Q472" s="73" t="str">
        <f>IF(ISBLANK(C472),"",_xlfn.IFNA(INDEX(inbound_data[],MATCH(Outbound_data[[#This Row],[STOCK CODE OUT]],Generated_Stockcode,0),13),""))</f>
        <v/>
      </c>
    </row>
    <row r="473" spans="2:17" x14ac:dyDescent="0.25">
      <c r="B473" s="71"/>
      <c r="C473" s="65"/>
      <c r="D473" s="55"/>
      <c r="E473" s="65"/>
      <c r="F473" s="166"/>
      <c r="G473" s="167"/>
      <c r="H473" s="166"/>
      <c r="I473" s="72"/>
      <c r="J473" s="55"/>
      <c r="K473" s="72"/>
      <c r="L473" s="55"/>
      <c r="M473" s="174"/>
      <c r="N473" s="73" t="str">
        <f>IF(ISBLANK(C473),"",_xlfn.IFNA(INDEX(inbound_data[],MATCH(Outbound_data[[#This Row],[STOCK CODE OUT]],Generated_Stockcode,0),10),""))</f>
        <v/>
      </c>
      <c r="O473" s="73" t="str">
        <f>IF(ISBLANK(C473),"",_xlfn.IFNA(INDEX(inbound_data[],MATCH(Outbound_data[[#This Row],[STOCK CODE OUT]],Generated_Stockcode,0),12),""))</f>
        <v/>
      </c>
      <c r="P473" s="73" t="str">
        <f>IF(ISBLANK(C473),"",_xlfn.IFNA(INDEX(inbound_data[],MATCH(Outbound_data[[#This Row],[STOCK CODE OUT]],Generated_Stockcode,0),23),""))</f>
        <v/>
      </c>
      <c r="Q473" s="73" t="str">
        <f>IF(ISBLANK(C473),"",_xlfn.IFNA(INDEX(inbound_data[],MATCH(Outbound_data[[#This Row],[STOCK CODE OUT]],Generated_Stockcode,0),13),""))</f>
        <v/>
      </c>
    </row>
    <row r="474" spans="2:17" x14ac:dyDescent="0.25">
      <c r="B474" s="71"/>
      <c r="C474" s="65"/>
      <c r="D474" s="55"/>
      <c r="E474" s="65"/>
      <c r="F474" s="166"/>
      <c r="G474" s="167"/>
      <c r="H474" s="166"/>
      <c r="I474" s="72"/>
      <c r="J474" s="55"/>
      <c r="K474" s="72"/>
      <c r="L474" s="55"/>
      <c r="M474" s="174"/>
      <c r="N474" s="73" t="str">
        <f>IF(ISBLANK(C474),"",_xlfn.IFNA(INDEX(inbound_data[],MATCH(Outbound_data[[#This Row],[STOCK CODE OUT]],Generated_Stockcode,0),10),""))</f>
        <v/>
      </c>
      <c r="O474" s="73" t="str">
        <f>IF(ISBLANK(C474),"",_xlfn.IFNA(INDEX(inbound_data[],MATCH(Outbound_data[[#This Row],[STOCK CODE OUT]],Generated_Stockcode,0),12),""))</f>
        <v/>
      </c>
      <c r="P474" s="73" t="str">
        <f>IF(ISBLANK(C474),"",_xlfn.IFNA(INDEX(inbound_data[],MATCH(Outbound_data[[#This Row],[STOCK CODE OUT]],Generated_Stockcode,0),23),""))</f>
        <v/>
      </c>
      <c r="Q474" s="73" t="str">
        <f>IF(ISBLANK(C474),"",_xlfn.IFNA(INDEX(inbound_data[],MATCH(Outbound_data[[#This Row],[STOCK CODE OUT]],Generated_Stockcode,0),13),""))</f>
        <v/>
      </c>
    </row>
    <row r="475" spans="2:17" x14ac:dyDescent="0.25">
      <c r="B475" s="71"/>
      <c r="C475" s="65"/>
      <c r="D475" s="55"/>
      <c r="E475" s="65"/>
      <c r="F475" s="166"/>
      <c r="G475" s="167"/>
      <c r="H475" s="166"/>
      <c r="I475" s="72"/>
      <c r="J475" s="55"/>
      <c r="K475" s="72"/>
      <c r="L475" s="55"/>
      <c r="M475" s="174"/>
      <c r="N475" s="73" t="str">
        <f>IF(ISBLANK(C475),"",_xlfn.IFNA(INDEX(inbound_data[],MATCH(Outbound_data[[#This Row],[STOCK CODE OUT]],Generated_Stockcode,0),10),""))</f>
        <v/>
      </c>
      <c r="O475" s="73" t="str">
        <f>IF(ISBLANK(C475),"",_xlfn.IFNA(INDEX(inbound_data[],MATCH(Outbound_data[[#This Row],[STOCK CODE OUT]],Generated_Stockcode,0),12),""))</f>
        <v/>
      </c>
      <c r="P475" s="73" t="str">
        <f>IF(ISBLANK(C475),"",_xlfn.IFNA(INDEX(inbound_data[],MATCH(Outbound_data[[#This Row],[STOCK CODE OUT]],Generated_Stockcode,0),23),""))</f>
        <v/>
      </c>
      <c r="Q475" s="73" t="str">
        <f>IF(ISBLANK(C475),"",_xlfn.IFNA(INDEX(inbound_data[],MATCH(Outbound_data[[#This Row],[STOCK CODE OUT]],Generated_Stockcode,0),13),""))</f>
        <v/>
      </c>
    </row>
    <row r="476" spans="2:17" x14ac:dyDescent="0.25">
      <c r="B476" s="71"/>
      <c r="C476" s="65"/>
      <c r="D476" s="55"/>
      <c r="E476" s="65"/>
      <c r="F476" s="166"/>
      <c r="G476" s="167"/>
      <c r="H476" s="166"/>
      <c r="I476" s="72"/>
      <c r="J476" s="55"/>
      <c r="K476" s="72"/>
      <c r="L476" s="55"/>
      <c r="M476" s="174"/>
      <c r="N476" s="73" t="str">
        <f>IF(ISBLANK(C476),"",_xlfn.IFNA(INDEX(inbound_data[],MATCH(Outbound_data[[#This Row],[STOCK CODE OUT]],Generated_Stockcode,0),10),""))</f>
        <v/>
      </c>
      <c r="O476" s="73" t="str">
        <f>IF(ISBLANK(C476),"",_xlfn.IFNA(INDEX(inbound_data[],MATCH(Outbound_data[[#This Row],[STOCK CODE OUT]],Generated_Stockcode,0),12),""))</f>
        <v/>
      </c>
      <c r="P476" s="73" t="str">
        <f>IF(ISBLANK(C476),"",_xlfn.IFNA(INDEX(inbound_data[],MATCH(Outbound_data[[#This Row],[STOCK CODE OUT]],Generated_Stockcode,0),23),""))</f>
        <v/>
      </c>
      <c r="Q476" s="73" t="str">
        <f>IF(ISBLANK(C476),"",_xlfn.IFNA(INDEX(inbound_data[],MATCH(Outbound_data[[#This Row],[STOCK CODE OUT]],Generated_Stockcode,0),13),""))</f>
        <v/>
      </c>
    </row>
    <row r="477" spans="2:17" x14ac:dyDescent="0.25">
      <c r="B477" s="71"/>
      <c r="C477" s="65"/>
      <c r="D477" s="55"/>
      <c r="E477" s="65"/>
      <c r="F477" s="166"/>
      <c r="G477" s="167"/>
      <c r="H477" s="166"/>
      <c r="I477" s="72"/>
      <c r="J477" s="55"/>
      <c r="K477" s="72"/>
      <c r="L477" s="55"/>
      <c r="M477" s="174"/>
      <c r="N477" s="73" t="str">
        <f>IF(ISBLANK(C477),"",_xlfn.IFNA(INDEX(inbound_data[],MATCH(Outbound_data[[#This Row],[STOCK CODE OUT]],Generated_Stockcode,0),10),""))</f>
        <v/>
      </c>
      <c r="O477" s="73" t="str">
        <f>IF(ISBLANK(C477),"",_xlfn.IFNA(INDEX(inbound_data[],MATCH(Outbound_data[[#This Row],[STOCK CODE OUT]],Generated_Stockcode,0),12),""))</f>
        <v/>
      </c>
      <c r="P477" s="73" t="str">
        <f>IF(ISBLANK(C477),"",_xlfn.IFNA(INDEX(inbound_data[],MATCH(Outbound_data[[#This Row],[STOCK CODE OUT]],Generated_Stockcode,0),23),""))</f>
        <v/>
      </c>
      <c r="Q477" s="73" t="str">
        <f>IF(ISBLANK(C477),"",_xlfn.IFNA(INDEX(inbound_data[],MATCH(Outbound_data[[#This Row],[STOCK CODE OUT]],Generated_Stockcode,0),13),""))</f>
        <v/>
      </c>
    </row>
    <row r="478" spans="2:17" x14ac:dyDescent="0.25">
      <c r="B478" s="71"/>
      <c r="C478" s="65"/>
      <c r="D478" s="55"/>
      <c r="E478" s="65"/>
      <c r="F478" s="166"/>
      <c r="G478" s="167"/>
      <c r="H478" s="166"/>
      <c r="I478" s="72"/>
      <c r="J478" s="55"/>
      <c r="K478" s="72"/>
      <c r="L478" s="55"/>
      <c r="M478" s="174"/>
      <c r="N478" s="73" t="str">
        <f>IF(ISBLANK(C478),"",_xlfn.IFNA(INDEX(inbound_data[],MATCH(Outbound_data[[#This Row],[STOCK CODE OUT]],Generated_Stockcode,0),10),""))</f>
        <v/>
      </c>
      <c r="O478" s="73" t="str">
        <f>IF(ISBLANK(C478),"",_xlfn.IFNA(INDEX(inbound_data[],MATCH(Outbound_data[[#This Row],[STOCK CODE OUT]],Generated_Stockcode,0),12),""))</f>
        <v/>
      </c>
      <c r="P478" s="73" t="str">
        <f>IF(ISBLANK(C478),"",_xlfn.IFNA(INDEX(inbound_data[],MATCH(Outbound_data[[#This Row],[STOCK CODE OUT]],Generated_Stockcode,0),23),""))</f>
        <v/>
      </c>
      <c r="Q478" s="73" t="str">
        <f>IF(ISBLANK(C478),"",_xlfn.IFNA(INDEX(inbound_data[],MATCH(Outbound_data[[#This Row],[STOCK CODE OUT]],Generated_Stockcode,0),13),""))</f>
        <v/>
      </c>
    </row>
    <row r="479" spans="2:17" x14ac:dyDescent="0.25">
      <c r="B479" s="71"/>
      <c r="C479" s="65"/>
      <c r="D479" s="55"/>
      <c r="E479" s="65"/>
      <c r="F479" s="166"/>
      <c r="G479" s="167"/>
      <c r="H479" s="166"/>
      <c r="I479" s="72"/>
      <c r="J479" s="55"/>
      <c r="K479" s="72"/>
      <c r="L479" s="55"/>
      <c r="M479" s="174"/>
      <c r="N479" s="73" t="str">
        <f>IF(ISBLANK(C479),"",_xlfn.IFNA(INDEX(inbound_data[],MATCH(Outbound_data[[#This Row],[STOCK CODE OUT]],Generated_Stockcode,0),10),""))</f>
        <v/>
      </c>
      <c r="O479" s="73" t="str">
        <f>IF(ISBLANK(C479),"",_xlfn.IFNA(INDEX(inbound_data[],MATCH(Outbound_data[[#This Row],[STOCK CODE OUT]],Generated_Stockcode,0),12),""))</f>
        <v/>
      </c>
      <c r="P479" s="73" t="str">
        <f>IF(ISBLANK(C479),"",_xlfn.IFNA(INDEX(inbound_data[],MATCH(Outbound_data[[#This Row],[STOCK CODE OUT]],Generated_Stockcode,0),23),""))</f>
        <v/>
      </c>
      <c r="Q479" s="73" t="str">
        <f>IF(ISBLANK(C479),"",_xlfn.IFNA(INDEX(inbound_data[],MATCH(Outbound_data[[#This Row],[STOCK CODE OUT]],Generated_Stockcode,0),13),""))</f>
        <v/>
      </c>
    </row>
    <row r="480" spans="2:17" x14ac:dyDescent="0.25">
      <c r="B480" s="71"/>
      <c r="C480" s="65"/>
      <c r="D480" s="55"/>
      <c r="E480" s="65"/>
      <c r="F480" s="166"/>
      <c r="G480" s="167"/>
      <c r="H480" s="166"/>
      <c r="I480" s="72"/>
      <c r="J480" s="55"/>
      <c r="K480" s="72"/>
      <c r="L480" s="55"/>
      <c r="M480" s="174"/>
      <c r="N480" s="73" t="str">
        <f>IF(ISBLANK(C480),"",_xlfn.IFNA(INDEX(inbound_data[],MATCH(Outbound_data[[#This Row],[STOCK CODE OUT]],Generated_Stockcode,0),10),""))</f>
        <v/>
      </c>
      <c r="O480" s="73" t="str">
        <f>IF(ISBLANK(C480),"",_xlfn.IFNA(INDEX(inbound_data[],MATCH(Outbound_data[[#This Row],[STOCK CODE OUT]],Generated_Stockcode,0),12),""))</f>
        <v/>
      </c>
      <c r="P480" s="73" t="str">
        <f>IF(ISBLANK(C480),"",_xlfn.IFNA(INDEX(inbound_data[],MATCH(Outbound_data[[#This Row],[STOCK CODE OUT]],Generated_Stockcode,0),23),""))</f>
        <v/>
      </c>
      <c r="Q480" s="73" t="str">
        <f>IF(ISBLANK(C480),"",_xlfn.IFNA(INDEX(inbound_data[],MATCH(Outbound_data[[#This Row],[STOCK CODE OUT]],Generated_Stockcode,0),13),""))</f>
        <v/>
      </c>
    </row>
    <row r="481" spans="2:17" x14ac:dyDescent="0.25">
      <c r="B481" s="71"/>
      <c r="C481" s="65"/>
      <c r="D481" s="55"/>
      <c r="E481" s="65"/>
      <c r="F481" s="166"/>
      <c r="G481" s="167"/>
      <c r="H481" s="166"/>
      <c r="I481" s="72"/>
      <c r="J481" s="55"/>
      <c r="K481" s="72"/>
      <c r="L481" s="55"/>
      <c r="M481" s="174"/>
      <c r="N481" s="73" t="str">
        <f>IF(ISBLANK(C481),"",_xlfn.IFNA(INDEX(inbound_data[],MATCH(Outbound_data[[#This Row],[STOCK CODE OUT]],Generated_Stockcode,0),10),""))</f>
        <v/>
      </c>
      <c r="O481" s="73" t="str">
        <f>IF(ISBLANK(C481),"",_xlfn.IFNA(INDEX(inbound_data[],MATCH(Outbound_data[[#This Row],[STOCK CODE OUT]],Generated_Stockcode,0),12),""))</f>
        <v/>
      </c>
      <c r="P481" s="73" t="str">
        <f>IF(ISBLANK(C481),"",_xlfn.IFNA(INDEX(inbound_data[],MATCH(Outbound_data[[#This Row],[STOCK CODE OUT]],Generated_Stockcode,0),23),""))</f>
        <v/>
      </c>
      <c r="Q481" s="73" t="str">
        <f>IF(ISBLANK(C481),"",_xlfn.IFNA(INDEX(inbound_data[],MATCH(Outbound_data[[#This Row],[STOCK CODE OUT]],Generated_Stockcode,0),13),""))</f>
        <v/>
      </c>
    </row>
    <row r="482" spans="2:17" x14ac:dyDescent="0.25">
      <c r="B482" s="71"/>
      <c r="C482" s="65"/>
      <c r="D482" s="55"/>
      <c r="E482" s="65"/>
      <c r="F482" s="166"/>
      <c r="G482" s="167"/>
      <c r="H482" s="166"/>
      <c r="I482" s="72"/>
      <c r="J482" s="55"/>
      <c r="K482" s="72"/>
      <c r="L482" s="55"/>
      <c r="M482" s="174"/>
      <c r="N482" s="73" t="str">
        <f>IF(ISBLANK(C482),"",_xlfn.IFNA(INDEX(inbound_data[],MATCH(Outbound_data[[#This Row],[STOCK CODE OUT]],Generated_Stockcode,0),10),""))</f>
        <v/>
      </c>
      <c r="O482" s="73" t="str">
        <f>IF(ISBLANK(C482),"",_xlfn.IFNA(INDEX(inbound_data[],MATCH(Outbound_data[[#This Row],[STOCK CODE OUT]],Generated_Stockcode,0),12),""))</f>
        <v/>
      </c>
      <c r="P482" s="73" t="str">
        <f>IF(ISBLANK(C482),"",_xlfn.IFNA(INDEX(inbound_data[],MATCH(Outbound_data[[#This Row],[STOCK CODE OUT]],Generated_Stockcode,0),23),""))</f>
        <v/>
      </c>
      <c r="Q482" s="73" t="str">
        <f>IF(ISBLANK(C482),"",_xlfn.IFNA(INDEX(inbound_data[],MATCH(Outbound_data[[#This Row],[STOCK CODE OUT]],Generated_Stockcode,0),13),""))</f>
        <v/>
      </c>
    </row>
    <row r="483" spans="2:17" x14ac:dyDescent="0.25">
      <c r="B483" s="71"/>
      <c r="C483" s="65"/>
      <c r="D483" s="55"/>
      <c r="E483" s="65"/>
      <c r="F483" s="166"/>
      <c r="G483" s="167"/>
      <c r="H483" s="166"/>
      <c r="I483" s="72"/>
      <c r="J483" s="55"/>
      <c r="K483" s="72"/>
      <c r="L483" s="55"/>
      <c r="M483" s="174"/>
      <c r="N483" s="73" t="str">
        <f>IF(ISBLANK(C483),"",_xlfn.IFNA(INDEX(inbound_data[],MATCH(Outbound_data[[#This Row],[STOCK CODE OUT]],Generated_Stockcode,0),10),""))</f>
        <v/>
      </c>
      <c r="O483" s="73" t="str">
        <f>IF(ISBLANK(C483),"",_xlfn.IFNA(INDEX(inbound_data[],MATCH(Outbound_data[[#This Row],[STOCK CODE OUT]],Generated_Stockcode,0),12),""))</f>
        <v/>
      </c>
      <c r="P483" s="73" t="str">
        <f>IF(ISBLANK(C483),"",_xlfn.IFNA(INDEX(inbound_data[],MATCH(Outbound_data[[#This Row],[STOCK CODE OUT]],Generated_Stockcode,0),23),""))</f>
        <v/>
      </c>
      <c r="Q483" s="73" t="str">
        <f>IF(ISBLANK(C483),"",_xlfn.IFNA(INDEX(inbound_data[],MATCH(Outbound_data[[#This Row],[STOCK CODE OUT]],Generated_Stockcode,0),13),""))</f>
        <v/>
      </c>
    </row>
    <row r="484" spans="2:17" x14ac:dyDescent="0.25">
      <c r="B484" s="71"/>
      <c r="C484" s="65"/>
      <c r="D484" s="55"/>
      <c r="E484" s="65"/>
      <c r="F484" s="166"/>
      <c r="G484" s="167"/>
      <c r="H484" s="166"/>
      <c r="I484" s="72"/>
      <c r="J484" s="55"/>
      <c r="K484" s="72"/>
      <c r="L484" s="55"/>
      <c r="M484" s="174"/>
      <c r="N484" s="73" t="str">
        <f>IF(ISBLANK(C484),"",_xlfn.IFNA(INDEX(inbound_data[],MATCH(Outbound_data[[#This Row],[STOCK CODE OUT]],Generated_Stockcode,0),10),""))</f>
        <v/>
      </c>
      <c r="O484" s="73" t="str">
        <f>IF(ISBLANK(C484),"",_xlfn.IFNA(INDEX(inbound_data[],MATCH(Outbound_data[[#This Row],[STOCK CODE OUT]],Generated_Stockcode,0),12),""))</f>
        <v/>
      </c>
      <c r="P484" s="73" t="str">
        <f>IF(ISBLANK(C484),"",_xlfn.IFNA(INDEX(inbound_data[],MATCH(Outbound_data[[#This Row],[STOCK CODE OUT]],Generated_Stockcode,0),23),""))</f>
        <v/>
      </c>
      <c r="Q484" s="73" t="str">
        <f>IF(ISBLANK(C484),"",_xlfn.IFNA(INDEX(inbound_data[],MATCH(Outbound_data[[#This Row],[STOCK CODE OUT]],Generated_Stockcode,0),13),""))</f>
        <v/>
      </c>
    </row>
    <row r="485" spans="2:17" x14ac:dyDescent="0.25">
      <c r="B485" s="71"/>
      <c r="C485" s="65"/>
      <c r="D485" s="55"/>
      <c r="E485" s="65"/>
      <c r="F485" s="166"/>
      <c r="G485" s="167"/>
      <c r="H485" s="166"/>
      <c r="I485" s="72"/>
      <c r="J485" s="55"/>
      <c r="K485" s="72"/>
      <c r="L485" s="55"/>
      <c r="M485" s="174"/>
      <c r="N485" s="73" t="str">
        <f>IF(ISBLANK(C485),"",_xlfn.IFNA(INDEX(inbound_data[],MATCH(Outbound_data[[#This Row],[STOCK CODE OUT]],Generated_Stockcode,0),10),""))</f>
        <v/>
      </c>
      <c r="O485" s="73" t="str">
        <f>IF(ISBLANK(C485),"",_xlfn.IFNA(INDEX(inbound_data[],MATCH(Outbound_data[[#This Row],[STOCK CODE OUT]],Generated_Stockcode,0),12),""))</f>
        <v/>
      </c>
      <c r="P485" s="73" t="str">
        <f>IF(ISBLANK(C485),"",_xlfn.IFNA(INDEX(inbound_data[],MATCH(Outbound_data[[#This Row],[STOCK CODE OUT]],Generated_Stockcode,0),23),""))</f>
        <v/>
      </c>
      <c r="Q485" s="73" t="str">
        <f>IF(ISBLANK(C485),"",_xlfn.IFNA(INDEX(inbound_data[],MATCH(Outbound_data[[#This Row],[STOCK CODE OUT]],Generated_Stockcode,0),13),""))</f>
        <v/>
      </c>
    </row>
    <row r="486" spans="2:17" x14ac:dyDescent="0.25">
      <c r="B486" s="71"/>
      <c r="C486" s="65"/>
      <c r="D486" s="55"/>
      <c r="E486" s="65"/>
      <c r="F486" s="166"/>
      <c r="G486" s="167"/>
      <c r="H486" s="166"/>
      <c r="I486" s="72"/>
      <c r="J486" s="55"/>
      <c r="K486" s="72"/>
      <c r="L486" s="55"/>
      <c r="M486" s="174"/>
      <c r="N486" s="73" t="str">
        <f>IF(ISBLANK(C486),"",_xlfn.IFNA(INDEX(inbound_data[],MATCH(Outbound_data[[#This Row],[STOCK CODE OUT]],Generated_Stockcode,0),10),""))</f>
        <v/>
      </c>
      <c r="O486" s="73" t="str">
        <f>IF(ISBLANK(C486),"",_xlfn.IFNA(INDEX(inbound_data[],MATCH(Outbound_data[[#This Row],[STOCK CODE OUT]],Generated_Stockcode,0),12),""))</f>
        <v/>
      </c>
      <c r="P486" s="73" t="str">
        <f>IF(ISBLANK(C486),"",_xlfn.IFNA(INDEX(inbound_data[],MATCH(Outbound_data[[#This Row],[STOCK CODE OUT]],Generated_Stockcode,0),23),""))</f>
        <v/>
      </c>
      <c r="Q486" s="73" t="str">
        <f>IF(ISBLANK(C486),"",_xlfn.IFNA(INDEX(inbound_data[],MATCH(Outbound_data[[#This Row],[STOCK CODE OUT]],Generated_Stockcode,0),13),""))</f>
        <v/>
      </c>
    </row>
    <row r="487" spans="2:17" x14ac:dyDescent="0.25">
      <c r="B487" s="71"/>
      <c r="C487" s="65"/>
      <c r="D487" s="55"/>
      <c r="E487" s="65"/>
      <c r="F487" s="166"/>
      <c r="G487" s="167"/>
      <c r="H487" s="166"/>
      <c r="I487" s="72"/>
      <c r="J487" s="55"/>
      <c r="K487" s="72"/>
      <c r="L487" s="55"/>
      <c r="M487" s="174"/>
      <c r="N487" s="73" t="str">
        <f>IF(ISBLANK(C487),"",_xlfn.IFNA(INDEX(inbound_data[],MATCH(Outbound_data[[#This Row],[STOCK CODE OUT]],Generated_Stockcode,0),10),""))</f>
        <v/>
      </c>
      <c r="O487" s="73" t="str">
        <f>IF(ISBLANK(C487),"",_xlfn.IFNA(INDEX(inbound_data[],MATCH(Outbound_data[[#This Row],[STOCK CODE OUT]],Generated_Stockcode,0),12),""))</f>
        <v/>
      </c>
      <c r="P487" s="73" t="str">
        <f>IF(ISBLANK(C487),"",_xlfn.IFNA(INDEX(inbound_data[],MATCH(Outbound_data[[#This Row],[STOCK CODE OUT]],Generated_Stockcode,0),23),""))</f>
        <v/>
      </c>
      <c r="Q487" s="73" t="str">
        <f>IF(ISBLANK(C487),"",_xlfn.IFNA(INDEX(inbound_data[],MATCH(Outbound_data[[#This Row],[STOCK CODE OUT]],Generated_Stockcode,0),13),""))</f>
        <v/>
      </c>
    </row>
    <row r="488" spans="2:17" x14ac:dyDescent="0.25">
      <c r="B488" s="71"/>
      <c r="C488" s="65"/>
      <c r="D488" s="55"/>
      <c r="E488" s="65"/>
      <c r="F488" s="166"/>
      <c r="G488" s="167"/>
      <c r="H488" s="166"/>
      <c r="I488" s="72"/>
      <c r="J488" s="55"/>
      <c r="K488" s="72"/>
      <c r="L488" s="55"/>
      <c r="M488" s="174"/>
      <c r="N488" s="73" t="str">
        <f>IF(ISBLANK(C488),"",_xlfn.IFNA(INDEX(inbound_data[],MATCH(Outbound_data[[#This Row],[STOCK CODE OUT]],Generated_Stockcode,0),10),""))</f>
        <v/>
      </c>
      <c r="O488" s="73" t="str">
        <f>IF(ISBLANK(C488),"",_xlfn.IFNA(INDEX(inbound_data[],MATCH(Outbound_data[[#This Row],[STOCK CODE OUT]],Generated_Stockcode,0),12),""))</f>
        <v/>
      </c>
      <c r="P488" s="73" t="str">
        <f>IF(ISBLANK(C488),"",_xlfn.IFNA(INDEX(inbound_data[],MATCH(Outbound_data[[#This Row],[STOCK CODE OUT]],Generated_Stockcode,0),23),""))</f>
        <v/>
      </c>
      <c r="Q488" s="73" t="str">
        <f>IF(ISBLANK(C488),"",_xlfn.IFNA(INDEX(inbound_data[],MATCH(Outbound_data[[#This Row],[STOCK CODE OUT]],Generated_Stockcode,0),13),""))</f>
        <v/>
      </c>
    </row>
    <row r="489" spans="2:17" x14ac:dyDescent="0.25">
      <c r="B489" s="71"/>
      <c r="C489" s="65"/>
      <c r="D489" s="55"/>
      <c r="E489" s="65"/>
      <c r="F489" s="166"/>
      <c r="G489" s="167"/>
      <c r="H489" s="166"/>
      <c r="I489" s="72"/>
      <c r="J489" s="55"/>
      <c r="K489" s="72"/>
      <c r="L489" s="55"/>
      <c r="M489" s="174"/>
      <c r="N489" s="73" t="str">
        <f>IF(ISBLANK(C489),"",_xlfn.IFNA(INDEX(inbound_data[],MATCH(Outbound_data[[#This Row],[STOCK CODE OUT]],Generated_Stockcode,0),10),""))</f>
        <v/>
      </c>
      <c r="O489" s="73" t="str">
        <f>IF(ISBLANK(C489),"",_xlfn.IFNA(INDEX(inbound_data[],MATCH(Outbound_data[[#This Row],[STOCK CODE OUT]],Generated_Stockcode,0),12),""))</f>
        <v/>
      </c>
      <c r="P489" s="73" t="str">
        <f>IF(ISBLANK(C489),"",_xlfn.IFNA(INDEX(inbound_data[],MATCH(Outbound_data[[#This Row],[STOCK CODE OUT]],Generated_Stockcode,0),23),""))</f>
        <v/>
      </c>
      <c r="Q489" s="73" t="str">
        <f>IF(ISBLANK(C489),"",_xlfn.IFNA(INDEX(inbound_data[],MATCH(Outbound_data[[#This Row],[STOCK CODE OUT]],Generated_Stockcode,0),13),""))</f>
        <v/>
      </c>
    </row>
    <row r="490" spans="2:17" x14ac:dyDescent="0.25">
      <c r="B490" s="71"/>
      <c r="C490" s="65"/>
      <c r="D490" s="55"/>
      <c r="E490" s="65"/>
      <c r="F490" s="166"/>
      <c r="G490" s="167"/>
      <c r="H490" s="166"/>
      <c r="I490" s="72"/>
      <c r="J490" s="55"/>
      <c r="K490" s="72"/>
      <c r="L490" s="55"/>
      <c r="M490" s="174"/>
      <c r="N490" s="73" t="str">
        <f>IF(ISBLANK(C490),"",_xlfn.IFNA(INDEX(inbound_data[],MATCH(Outbound_data[[#This Row],[STOCK CODE OUT]],Generated_Stockcode,0),10),""))</f>
        <v/>
      </c>
      <c r="O490" s="73" t="str">
        <f>IF(ISBLANK(C490),"",_xlfn.IFNA(INDEX(inbound_data[],MATCH(Outbound_data[[#This Row],[STOCK CODE OUT]],Generated_Stockcode,0),12),""))</f>
        <v/>
      </c>
      <c r="P490" s="73" t="str">
        <f>IF(ISBLANK(C490),"",_xlfn.IFNA(INDEX(inbound_data[],MATCH(Outbound_data[[#This Row],[STOCK CODE OUT]],Generated_Stockcode,0),23),""))</f>
        <v/>
      </c>
      <c r="Q490" s="73" t="str">
        <f>IF(ISBLANK(C490),"",_xlfn.IFNA(INDEX(inbound_data[],MATCH(Outbound_data[[#This Row],[STOCK CODE OUT]],Generated_Stockcode,0),13),""))</f>
        <v/>
      </c>
    </row>
    <row r="491" spans="2:17" x14ac:dyDescent="0.25">
      <c r="B491" s="71"/>
      <c r="C491" s="65"/>
      <c r="D491" s="55"/>
      <c r="E491" s="65"/>
      <c r="F491" s="166"/>
      <c r="G491" s="167"/>
      <c r="H491" s="166"/>
      <c r="I491" s="72"/>
      <c r="J491" s="55"/>
      <c r="K491" s="72"/>
      <c r="L491" s="55"/>
      <c r="M491" s="174"/>
      <c r="N491" s="73" t="str">
        <f>IF(ISBLANK(C491),"",_xlfn.IFNA(INDEX(inbound_data[],MATCH(Outbound_data[[#This Row],[STOCK CODE OUT]],Generated_Stockcode,0),10),""))</f>
        <v/>
      </c>
      <c r="O491" s="73" t="str">
        <f>IF(ISBLANK(C491),"",_xlfn.IFNA(INDEX(inbound_data[],MATCH(Outbound_data[[#This Row],[STOCK CODE OUT]],Generated_Stockcode,0),12),""))</f>
        <v/>
      </c>
      <c r="P491" s="73" t="str">
        <f>IF(ISBLANK(C491),"",_xlfn.IFNA(INDEX(inbound_data[],MATCH(Outbound_data[[#This Row],[STOCK CODE OUT]],Generated_Stockcode,0),23),""))</f>
        <v/>
      </c>
      <c r="Q491" s="73" t="str">
        <f>IF(ISBLANK(C491),"",_xlfn.IFNA(INDEX(inbound_data[],MATCH(Outbound_data[[#This Row],[STOCK CODE OUT]],Generated_Stockcode,0),13),""))</f>
        <v/>
      </c>
    </row>
    <row r="492" spans="2:17" x14ac:dyDescent="0.25">
      <c r="B492" s="71"/>
      <c r="C492" s="65"/>
      <c r="D492" s="55"/>
      <c r="E492" s="65"/>
      <c r="F492" s="166"/>
      <c r="G492" s="167"/>
      <c r="H492" s="166"/>
      <c r="I492" s="72"/>
      <c r="J492" s="55"/>
      <c r="K492" s="72"/>
      <c r="L492" s="55"/>
      <c r="M492" s="174"/>
      <c r="N492" s="73" t="str">
        <f>IF(ISBLANK(C492),"",_xlfn.IFNA(INDEX(inbound_data[],MATCH(Outbound_data[[#This Row],[STOCK CODE OUT]],Generated_Stockcode,0),10),""))</f>
        <v/>
      </c>
      <c r="O492" s="73" t="str">
        <f>IF(ISBLANK(C492),"",_xlfn.IFNA(INDEX(inbound_data[],MATCH(Outbound_data[[#This Row],[STOCK CODE OUT]],Generated_Stockcode,0),12),""))</f>
        <v/>
      </c>
      <c r="P492" s="73" t="str">
        <f>IF(ISBLANK(C492),"",_xlfn.IFNA(INDEX(inbound_data[],MATCH(Outbound_data[[#This Row],[STOCK CODE OUT]],Generated_Stockcode,0),23),""))</f>
        <v/>
      </c>
      <c r="Q492" s="73" t="str">
        <f>IF(ISBLANK(C492),"",_xlfn.IFNA(INDEX(inbound_data[],MATCH(Outbound_data[[#This Row],[STOCK CODE OUT]],Generated_Stockcode,0),13),""))</f>
        <v/>
      </c>
    </row>
    <row r="493" spans="2:17" x14ac:dyDescent="0.25">
      <c r="B493" s="71"/>
      <c r="C493" s="65"/>
      <c r="D493" s="55"/>
      <c r="E493" s="65"/>
      <c r="F493" s="166"/>
      <c r="G493" s="167"/>
      <c r="H493" s="166"/>
      <c r="I493" s="72"/>
      <c r="J493" s="55"/>
      <c r="K493" s="72"/>
      <c r="L493" s="55"/>
      <c r="M493" s="174"/>
      <c r="N493" s="73" t="str">
        <f>IF(ISBLANK(C493),"",_xlfn.IFNA(INDEX(inbound_data[],MATCH(Outbound_data[[#This Row],[STOCK CODE OUT]],Generated_Stockcode,0),10),""))</f>
        <v/>
      </c>
      <c r="O493" s="73" t="str">
        <f>IF(ISBLANK(C493),"",_xlfn.IFNA(INDEX(inbound_data[],MATCH(Outbound_data[[#This Row],[STOCK CODE OUT]],Generated_Stockcode,0),12),""))</f>
        <v/>
      </c>
      <c r="P493" s="73" t="str">
        <f>IF(ISBLANK(C493),"",_xlfn.IFNA(INDEX(inbound_data[],MATCH(Outbound_data[[#This Row],[STOCK CODE OUT]],Generated_Stockcode,0),23),""))</f>
        <v/>
      </c>
      <c r="Q493" s="73" t="str">
        <f>IF(ISBLANK(C493),"",_xlfn.IFNA(INDEX(inbound_data[],MATCH(Outbound_data[[#This Row],[STOCK CODE OUT]],Generated_Stockcode,0),13),""))</f>
        <v/>
      </c>
    </row>
    <row r="494" spans="2:17" x14ac:dyDescent="0.25">
      <c r="B494" s="71"/>
      <c r="C494" s="65"/>
      <c r="D494" s="55"/>
      <c r="E494" s="65"/>
      <c r="F494" s="166"/>
      <c r="G494" s="167"/>
      <c r="H494" s="166"/>
      <c r="I494" s="72"/>
      <c r="J494" s="55"/>
      <c r="K494" s="72"/>
      <c r="L494" s="55"/>
      <c r="M494" s="174"/>
      <c r="N494" s="73" t="str">
        <f>IF(ISBLANK(C494),"",_xlfn.IFNA(INDEX(inbound_data[],MATCH(Outbound_data[[#This Row],[STOCK CODE OUT]],Generated_Stockcode,0),10),""))</f>
        <v/>
      </c>
      <c r="O494" s="73" t="str">
        <f>IF(ISBLANK(C494),"",_xlfn.IFNA(INDEX(inbound_data[],MATCH(Outbound_data[[#This Row],[STOCK CODE OUT]],Generated_Stockcode,0),12),""))</f>
        <v/>
      </c>
      <c r="P494" s="73" t="str">
        <f>IF(ISBLANK(C494),"",_xlfn.IFNA(INDEX(inbound_data[],MATCH(Outbound_data[[#This Row],[STOCK CODE OUT]],Generated_Stockcode,0),23),""))</f>
        <v/>
      </c>
      <c r="Q494" s="73" t="str">
        <f>IF(ISBLANK(C494),"",_xlfn.IFNA(INDEX(inbound_data[],MATCH(Outbound_data[[#This Row],[STOCK CODE OUT]],Generated_Stockcode,0),13),""))</f>
        <v/>
      </c>
    </row>
    <row r="495" spans="2:17" x14ac:dyDescent="0.25">
      <c r="B495" s="71"/>
      <c r="C495" s="65"/>
      <c r="D495" s="55"/>
      <c r="E495" s="65"/>
      <c r="F495" s="166"/>
      <c r="G495" s="167"/>
      <c r="H495" s="166"/>
      <c r="I495" s="72"/>
      <c r="J495" s="55"/>
      <c r="K495" s="72"/>
      <c r="L495" s="55"/>
      <c r="M495" s="174"/>
      <c r="N495" s="73" t="str">
        <f>IF(ISBLANK(C495),"",_xlfn.IFNA(INDEX(inbound_data[],MATCH(Outbound_data[[#This Row],[STOCK CODE OUT]],Generated_Stockcode,0),10),""))</f>
        <v/>
      </c>
      <c r="O495" s="73" t="str">
        <f>IF(ISBLANK(C495),"",_xlfn.IFNA(INDEX(inbound_data[],MATCH(Outbound_data[[#This Row],[STOCK CODE OUT]],Generated_Stockcode,0),12),""))</f>
        <v/>
      </c>
      <c r="P495" s="73" t="str">
        <f>IF(ISBLANK(C495),"",_xlfn.IFNA(INDEX(inbound_data[],MATCH(Outbound_data[[#This Row],[STOCK CODE OUT]],Generated_Stockcode,0),23),""))</f>
        <v/>
      </c>
      <c r="Q495" s="73" t="str">
        <f>IF(ISBLANK(C495),"",_xlfn.IFNA(INDEX(inbound_data[],MATCH(Outbound_data[[#This Row],[STOCK CODE OUT]],Generated_Stockcode,0),13),""))</f>
        <v/>
      </c>
    </row>
    <row r="496" spans="2:17" x14ac:dyDescent="0.25">
      <c r="B496" s="71"/>
      <c r="C496" s="65"/>
      <c r="D496" s="55"/>
      <c r="E496" s="65"/>
      <c r="F496" s="166"/>
      <c r="G496" s="167"/>
      <c r="H496" s="166"/>
      <c r="I496" s="72"/>
      <c r="J496" s="55"/>
      <c r="K496" s="72"/>
      <c r="L496" s="55"/>
      <c r="M496" s="174"/>
      <c r="N496" s="73" t="str">
        <f>IF(ISBLANK(C496),"",_xlfn.IFNA(INDEX(inbound_data[],MATCH(Outbound_data[[#This Row],[STOCK CODE OUT]],Generated_Stockcode,0),10),""))</f>
        <v/>
      </c>
      <c r="O496" s="73" t="str">
        <f>IF(ISBLANK(C496),"",_xlfn.IFNA(INDEX(inbound_data[],MATCH(Outbound_data[[#This Row],[STOCK CODE OUT]],Generated_Stockcode,0),12),""))</f>
        <v/>
      </c>
      <c r="P496" s="73" t="str">
        <f>IF(ISBLANK(C496),"",_xlfn.IFNA(INDEX(inbound_data[],MATCH(Outbound_data[[#This Row],[STOCK CODE OUT]],Generated_Stockcode,0),23),""))</f>
        <v/>
      </c>
      <c r="Q496" s="73" t="str">
        <f>IF(ISBLANK(C496),"",_xlfn.IFNA(INDEX(inbound_data[],MATCH(Outbound_data[[#This Row],[STOCK CODE OUT]],Generated_Stockcode,0),13),""))</f>
        <v/>
      </c>
    </row>
    <row r="497" spans="2:17" x14ac:dyDescent="0.25">
      <c r="B497" s="71"/>
      <c r="C497" s="65"/>
      <c r="D497" s="55"/>
      <c r="E497" s="65"/>
      <c r="F497" s="166"/>
      <c r="G497" s="167"/>
      <c r="H497" s="166"/>
      <c r="I497" s="72"/>
      <c r="J497" s="55"/>
      <c r="K497" s="72"/>
      <c r="L497" s="55"/>
      <c r="M497" s="174"/>
      <c r="N497" s="73" t="str">
        <f>IF(ISBLANK(C497),"",_xlfn.IFNA(INDEX(inbound_data[],MATCH(Outbound_data[[#This Row],[STOCK CODE OUT]],Generated_Stockcode,0),10),""))</f>
        <v/>
      </c>
      <c r="O497" s="73" t="str">
        <f>IF(ISBLANK(C497),"",_xlfn.IFNA(INDEX(inbound_data[],MATCH(Outbound_data[[#This Row],[STOCK CODE OUT]],Generated_Stockcode,0),12),""))</f>
        <v/>
      </c>
      <c r="P497" s="73" t="str">
        <f>IF(ISBLANK(C497),"",_xlfn.IFNA(INDEX(inbound_data[],MATCH(Outbound_data[[#This Row],[STOCK CODE OUT]],Generated_Stockcode,0),23),""))</f>
        <v/>
      </c>
      <c r="Q497" s="73" t="str">
        <f>IF(ISBLANK(C497),"",_xlfn.IFNA(INDEX(inbound_data[],MATCH(Outbound_data[[#This Row],[STOCK CODE OUT]],Generated_Stockcode,0),13),""))</f>
        <v/>
      </c>
    </row>
    <row r="498" spans="2:17" x14ac:dyDescent="0.25">
      <c r="B498" s="71"/>
      <c r="C498" s="65"/>
      <c r="D498" s="55"/>
      <c r="E498" s="65"/>
      <c r="F498" s="166"/>
      <c r="G498" s="167"/>
      <c r="H498" s="166"/>
      <c r="I498" s="72"/>
      <c r="J498" s="55"/>
      <c r="K498" s="72"/>
      <c r="L498" s="55"/>
      <c r="M498" s="174"/>
      <c r="N498" s="73" t="str">
        <f>IF(ISBLANK(C498),"",_xlfn.IFNA(INDEX(inbound_data[],MATCH(Outbound_data[[#This Row],[STOCK CODE OUT]],Generated_Stockcode,0),10),""))</f>
        <v/>
      </c>
      <c r="O498" s="73" t="str">
        <f>IF(ISBLANK(C498),"",_xlfn.IFNA(INDEX(inbound_data[],MATCH(Outbound_data[[#This Row],[STOCK CODE OUT]],Generated_Stockcode,0),12),""))</f>
        <v/>
      </c>
      <c r="P498" s="73" t="str">
        <f>IF(ISBLANK(C498),"",_xlfn.IFNA(INDEX(inbound_data[],MATCH(Outbound_data[[#This Row],[STOCK CODE OUT]],Generated_Stockcode,0),23),""))</f>
        <v/>
      </c>
      <c r="Q498" s="73" t="str">
        <f>IF(ISBLANK(C498),"",_xlfn.IFNA(INDEX(inbound_data[],MATCH(Outbound_data[[#This Row],[STOCK CODE OUT]],Generated_Stockcode,0),13),""))</f>
        <v/>
      </c>
    </row>
    <row r="499" spans="2:17" x14ac:dyDescent="0.25">
      <c r="B499" s="71"/>
      <c r="C499" s="65"/>
      <c r="D499" s="55"/>
      <c r="E499" s="65"/>
      <c r="F499" s="166"/>
      <c r="G499" s="167"/>
      <c r="H499" s="166"/>
      <c r="I499" s="72"/>
      <c r="J499" s="55"/>
      <c r="K499" s="72"/>
      <c r="L499" s="55"/>
      <c r="M499" s="174"/>
      <c r="N499" s="73" t="str">
        <f>IF(ISBLANK(C499),"",_xlfn.IFNA(INDEX(inbound_data[],MATCH(Outbound_data[[#This Row],[STOCK CODE OUT]],Generated_Stockcode,0),10),""))</f>
        <v/>
      </c>
      <c r="O499" s="73" t="str">
        <f>IF(ISBLANK(C499),"",_xlfn.IFNA(INDEX(inbound_data[],MATCH(Outbound_data[[#This Row],[STOCK CODE OUT]],Generated_Stockcode,0),12),""))</f>
        <v/>
      </c>
      <c r="P499" s="73" t="str">
        <f>IF(ISBLANK(C499),"",_xlfn.IFNA(INDEX(inbound_data[],MATCH(Outbound_data[[#This Row],[STOCK CODE OUT]],Generated_Stockcode,0),23),""))</f>
        <v/>
      </c>
      <c r="Q499" s="73" t="str">
        <f>IF(ISBLANK(C499),"",_xlfn.IFNA(INDEX(inbound_data[],MATCH(Outbound_data[[#This Row],[STOCK CODE OUT]],Generated_Stockcode,0),13),""))</f>
        <v/>
      </c>
    </row>
    <row r="500" spans="2:17" x14ac:dyDescent="0.25">
      <c r="B500" s="71"/>
      <c r="C500" s="65"/>
      <c r="D500" s="55"/>
      <c r="E500" s="65"/>
      <c r="F500" s="166"/>
      <c r="G500" s="167"/>
      <c r="H500" s="166"/>
      <c r="I500" s="72"/>
      <c r="J500" s="55"/>
      <c r="K500" s="72"/>
      <c r="L500" s="55"/>
      <c r="M500" s="174"/>
      <c r="N500" s="73" t="str">
        <f>IF(ISBLANK(C500),"",_xlfn.IFNA(INDEX(inbound_data[],MATCH(Outbound_data[[#This Row],[STOCK CODE OUT]],Generated_Stockcode,0),10),""))</f>
        <v/>
      </c>
      <c r="O500" s="73" t="str">
        <f>IF(ISBLANK(C500),"",_xlfn.IFNA(INDEX(inbound_data[],MATCH(Outbound_data[[#This Row],[STOCK CODE OUT]],Generated_Stockcode,0),12),""))</f>
        <v/>
      </c>
      <c r="P500" s="73" t="str">
        <f>IF(ISBLANK(C500),"",_xlfn.IFNA(INDEX(inbound_data[],MATCH(Outbound_data[[#This Row],[STOCK CODE OUT]],Generated_Stockcode,0),23),""))</f>
        <v/>
      </c>
      <c r="Q500" s="73" t="str">
        <f>IF(ISBLANK(C500),"",_xlfn.IFNA(INDEX(inbound_data[],MATCH(Outbound_data[[#This Row],[STOCK CODE OUT]],Generated_Stockcode,0),13),""))</f>
        <v/>
      </c>
    </row>
    <row r="501" spans="2:17" x14ac:dyDescent="0.25">
      <c r="B501" s="71"/>
      <c r="C501" s="65"/>
      <c r="D501" s="55"/>
      <c r="E501" s="65"/>
      <c r="F501" s="166"/>
      <c r="G501" s="167"/>
      <c r="H501" s="166"/>
      <c r="I501" s="72"/>
      <c r="J501" s="55"/>
      <c r="K501" s="72"/>
      <c r="L501" s="55"/>
      <c r="M501" s="174"/>
      <c r="N501" s="73" t="str">
        <f>IF(ISBLANK(C501),"",_xlfn.IFNA(INDEX(inbound_data[],MATCH(Outbound_data[[#This Row],[STOCK CODE OUT]],Generated_Stockcode,0),10),""))</f>
        <v/>
      </c>
      <c r="O501" s="73" t="str">
        <f>IF(ISBLANK(C501),"",_xlfn.IFNA(INDEX(inbound_data[],MATCH(Outbound_data[[#This Row],[STOCK CODE OUT]],Generated_Stockcode,0),12),""))</f>
        <v/>
      </c>
      <c r="P501" s="73" t="str">
        <f>IF(ISBLANK(C501),"",_xlfn.IFNA(INDEX(inbound_data[],MATCH(Outbound_data[[#This Row],[STOCK CODE OUT]],Generated_Stockcode,0),23),""))</f>
        <v/>
      </c>
      <c r="Q501" s="73" t="str">
        <f>IF(ISBLANK(C501),"",_xlfn.IFNA(INDEX(inbound_data[],MATCH(Outbound_data[[#This Row],[STOCK CODE OUT]],Generated_Stockcode,0),13),""))</f>
        <v/>
      </c>
    </row>
    <row r="502" spans="2:17" x14ac:dyDescent="0.25">
      <c r="B502" s="71"/>
      <c r="C502" s="65"/>
      <c r="D502" s="55"/>
      <c r="E502" s="65"/>
      <c r="F502" s="166"/>
      <c r="G502" s="167"/>
      <c r="H502" s="166"/>
      <c r="I502" s="72"/>
      <c r="J502" s="55"/>
      <c r="K502" s="72"/>
      <c r="L502" s="55"/>
      <c r="M502" s="174"/>
      <c r="N502" s="73" t="str">
        <f>IF(ISBLANK(C502),"",_xlfn.IFNA(INDEX(inbound_data[],MATCH(Outbound_data[[#This Row],[STOCK CODE OUT]],Generated_Stockcode,0),10),""))</f>
        <v/>
      </c>
      <c r="O502" s="73" t="str">
        <f>IF(ISBLANK(C502),"",_xlfn.IFNA(INDEX(inbound_data[],MATCH(Outbound_data[[#This Row],[STOCK CODE OUT]],Generated_Stockcode,0),12),""))</f>
        <v/>
      </c>
      <c r="P502" s="73" t="str">
        <f>IF(ISBLANK(C502),"",_xlfn.IFNA(INDEX(inbound_data[],MATCH(Outbound_data[[#This Row],[STOCK CODE OUT]],Generated_Stockcode,0),23),""))</f>
        <v/>
      </c>
      <c r="Q502" s="73" t="str">
        <f>IF(ISBLANK(C502),"",_xlfn.IFNA(INDEX(inbound_data[],MATCH(Outbound_data[[#This Row],[STOCK CODE OUT]],Generated_Stockcode,0),13),""))</f>
        <v/>
      </c>
    </row>
    <row r="503" spans="2:17" x14ac:dyDescent="0.25">
      <c r="B503" s="71"/>
      <c r="C503" s="65"/>
      <c r="D503" s="55"/>
      <c r="E503" s="65"/>
      <c r="F503" s="166"/>
      <c r="G503" s="167"/>
      <c r="H503" s="166"/>
      <c r="I503" s="72"/>
      <c r="J503" s="55"/>
      <c r="K503" s="72"/>
      <c r="L503" s="55"/>
      <c r="M503" s="174"/>
      <c r="N503" s="73" t="str">
        <f>IF(ISBLANK(C503),"",_xlfn.IFNA(INDEX(inbound_data[],MATCH(Outbound_data[[#This Row],[STOCK CODE OUT]],Generated_Stockcode,0),10),""))</f>
        <v/>
      </c>
      <c r="O503" s="73" t="str">
        <f>IF(ISBLANK(C503),"",_xlfn.IFNA(INDEX(inbound_data[],MATCH(Outbound_data[[#This Row],[STOCK CODE OUT]],Generated_Stockcode,0),12),""))</f>
        <v/>
      </c>
      <c r="P503" s="73" t="str">
        <f>IF(ISBLANK(C503),"",_xlfn.IFNA(INDEX(inbound_data[],MATCH(Outbound_data[[#This Row],[STOCK CODE OUT]],Generated_Stockcode,0),23),""))</f>
        <v/>
      </c>
      <c r="Q503" s="73" t="str">
        <f>IF(ISBLANK(C503),"",_xlfn.IFNA(INDEX(inbound_data[],MATCH(Outbound_data[[#This Row],[STOCK CODE OUT]],Generated_Stockcode,0),13),""))</f>
        <v/>
      </c>
    </row>
    <row r="504" spans="2:17" x14ac:dyDescent="0.25">
      <c r="B504" s="71"/>
      <c r="C504" s="65"/>
      <c r="D504" s="55"/>
      <c r="E504" s="65"/>
      <c r="F504" s="166"/>
      <c r="G504" s="167"/>
      <c r="H504" s="166"/>
      <c r="I504" s="72"/>
      <c r="J504" s="55"/>
      <c r="K504" s="72"/>
      <c r="L504" s="55"/>
      <c r="M504" s="174"/>
      <c r="N504" s="73" t="str">
        <f>IF(ISBLANK(C504),"",_xlfn.IFNA(INDEX(inbound_data[],MATCH(Outbound_data[[#This Row],[STOCK CODE OUT]],Generated_Stockcode,0),10),""))</f>
        <v/>
      </c>
      <c r="O504" s="73" t="str">
        <f>IF(ISBLANK(C504),"",_xlfn.IFNA(INDEX(inbound_data[],MATCH(Outbound_data[[#This Row],[STOCK CODE OUT]],Generated_Stockcode,0),12),""))</f>
        <v/>
      </c>
      <c r="P504" s="73" t="str">
        <f>IF(ISBLANK(C504),"",_xlfn.IFNA(INDEX(inbound_data[],MATCH(Outbound_data[[#This Row],[STOCK CODE OUT]],Generated_Stockcode,0),23),""))</f>
        <v/>
      </c>
      <c r="Q504" s="73" t="str">
        <f>IF(ISBLANK(C504),"",_xlfn.IFNA(INDEX(inbound_data[],MATCH(Outbound_data[[#This Row],[STOCK CODE OUT]],Generated_Stockcode,0),13),""))</f>
        <v/>
      </c>
    </row>
    <row r="505" spans="2:17" x14ac:dyDescent="0.25">
      <c r="B505" s="71"/>
      <c r="C505" s="65"/>
      <c r="D505" s="55"/>
      <c r="E505" s="65"/>
      <c r="F505" s="166"/>
      <c r="G505" s="167"/>
      <c r="H505" s="166"/>
      <c r="I505" s="72"/>
      <c r="J505" s="55"/>
      <c r="K505" s="72"/>
      <c r="L505" s="55"/>
      <c r="M505" s="174"/>
      <c r="N505" s="73" t="str">
        <f>IF(ISBLANK(C505),"",_xlfn.IFNA(INDEX(inbound_data[],MATCH(Outbound_data[[#This Row],[STOCK CODE OUT]],Generated_Stockcode,0),10),""))</f>
        <v/>
      </c>
      <c r="O505" s="73" t="str">
        <f>IF(ISBLANK(C505),"",_xlfn.IFNA(INDEX(inbound_data[],MATCH(Outbound_data[[#This Row],[STOCK CODE OUT]],Generated_Stockcode,0),12),""))</f>
        <v/>
      </c>
      <c r="P505" s="73" t="str">
        <f>IF(ISBLANK(C505),"",_xlfn.IFNA(INDEX(inbound_data[],MATCH(Outbound_data[[#This Row],[STOCK CODE OUT]],Generated_Stockcode,0),23),""))</f>
        <v/>
      </c>
      <c r="Q505" s="73" t="str">
        <f>IF(ISBLANK(C505),"",_xlfn.IFNA(INDEX(inbound_data[],MATCH(Outbound_data[[#This Row],[STOCK CODE OUT]],Generated_Stockcode,0),13),""))</f>
        <v/>
      </c>
    </row>
    <row r="506" spans="2:17" x14ac:dyDescent="0.25">
      <c r="B506" s="71"/>
      <c r="C506" s="65"/>
      <c r="D506" s="55"/>
      <c r="E506" s="65"/>
      <c r="F506" s="166"/>
      <c r="G506" s="167"/>
      <c r="H506" s="166"/>
      <c r="I506" s="72"/>
      <c r="J506" s="55"/>
      <c r="K506" s="72"/>
      <c r="L506" s="55"/>
      <c r="M506" s="174"/>
      <c r="N506" s="73" t="str">
        <f>IF(ISBLANK(C506),"",_xlfn.IFNA(INDEX(inbound_data[],MATCH(Outbound_data[[#This Row],[STOCK CODE OUT]],Generated_Stockcode,0),10),""))</f>
        <v/>
      </c>
      <c r="O506" s="73" t="str">
        <f>IF(ISBLANK(C506),"",_xlfn.IFNA(INDEX(inbound_data[],MATCH(Outbound_data[[#This Row],[STOCK CODE OUT]],Generated_Stockcode,0),12),""))</f>
        <v/>
      </c>
      <c r="P506" s="73" t="str">
        <f>IF(ISBLANK(C506),"",_xlfn.IFNA(INDEX(inbound_data[],MATCH(Outbound_data[[#This Row],[STOCK CODE OUT]],Generated_Stockcode,0),23),""))</f>
        <v/>
      </c>
      <c r="Q506" s="73" t="str">
        <f>IF(ISBLANK(C506),"",_xlfn.IFNA(INDEX(inbound_data[],MATCH(Outbound_data[[#This Row],[STOCK CODE OUT]],Generated_Stockcode,0),13),""))</f>
        <v/>
      </c>
    </row>
    <row r="507" spans="2:17" x14ac:dyDescent="0.25">
      <c r="B507" s="71"/>
      <c r="C507" s="65"/>
      <c r="D507" s="55"/>
      <c r="E507" s="65"/>
      <c r="F507" s="166"/>
      <c r="G507" s="167"/>
      <c r="H507" s="166"/>
      <c r="I507" s="72"/>
      <c r="J507" s="55"/>
      <c r="K507" s="72"/>
      <c r="L507" s="55"/>
      <c r="M507" s="174"/>
      <c r="N507" s="73" t="str">
        <f>IF(ISBLANK(C507),"",_xlfn.IFNA(INDEX(inbound_data[],MATCH(Outbound_data[[#This Row],[STOCK CODE OUT]],Generated_Stockcode,0),10),""))</f>
        <v/>
      </c>
      <c r="O507" s="73" t="str">
        <f>IF(ISBLANK(C507),"",_xlfn.IFNA(INDEX(inbound_data[],MATCH(Outbound_data[[#This Row],[STOCK CODE OUT]],Generated_Stockcode,0),12),""))</f>
        <v/>
      </c>
      <c r="P507" s="73" t="str">
        <f>IF(ISBLANK(C507),"",_xlfn.IFNA(INDEX(inbound_data[],MATCH(Outbound_data[[#This Row],[STOCK CODE OUT]],Generated_Stockcode,0),23),""))</f>
        <v/>
      </c>
      <c r="Q507" s="73" t="str">
        <f>IF(ISBLANK(C507),"",_xlfn.IFNA(INDEX(inbound_data[],MATCH(Outbound_data[[#This Row],[STOCK CODE OUT]],Generated_Stockcode,0),13),""))</f>
        <v/>
      </c>
    </row>
    <row r="508" spans="2:17" x14ac:dyDescent="0.25">
      <c r="B508" s="71"/>
      <c r="C508" s="65"/>
      <c r="D508" s="55"/>
      <c r="E508" s="65"/>
      <c r="F508" s="166"/>
      <c r="G508" s="167"/>
      <c r="H508" s="166"/>
      <c r="I508" s="72"/>
      <c r="J508" s="55"/>
      <c r="K508" s="72"/>
      <c r="L508" s="55"/>
      <c r="M508" s="174"/>
      <c r="N508" s="73" t="str">
        <f>IF(ISBLANK(C508),"",_xlfn.IFNA(INDEX(inbound_data[],MATCH(Outbound_data[[#This Row],[STOCK CODE OUT]],Generated_Stockcode,0),10),""))</f>
        <v/>
      </c>
      <c r="O508" s="73" t="str">
        <f>IF(ISBLANK(C508),"",_xlfn.IFNA(INDEX(inbound_data[],MATCH(Outbound_data[[#This Row],[STOCK CODE OUT]],Generated_Stockcode,0),12),""))</f>
        <v/>
      </c>
      <c r="P508" s="73" t="str">
        <f>IF(ISBLANK(C508),"",_xlfn.IFNA(INDEX(inbound_data[],MATCH(Outbound_data[[#This Row],[STOCK CODE OUT]],Generated_Stockcode,0),23),""))</f>
        <v/>
      </c>
      <c r="Q508" s="73" t="str">
        <f>IF(ISBLANK(C508),"",_xlfn.IFNA(INDEX(inbound_data[],MATCH(Outbound_data[[#This Row],[STOCK CODE OUT]],Generated_Stockcode,0),13),""))</f>
        <v/>
      </c>
    </row>
    <row r="509" spans="2:17" x14ac:dyDescent="0.25">
      <c r="B509" s="71"/>
      <c r="C509" s="65"/>
      <c r="D509" s="55"/>
      <c r="E509" s="65"/>
      <c r="F509" s="166"/>
      <c r="G509" s="167"/>
      <c r="H509" s="166"/>
      <c r="I509" s="72"/>
      <c r="J509" s="55"/>
      <c r="K509" s="72"/>
      <c r="L509" s="55"/>
      <c r="M509" s="174"/>
      <c r="N509" s="73" t="str">
        <f>IF(ISBLANK(C509),"",_xlfn.IFNA(INDEX(inbound_data[],MATCH(Outbound_data[[#This Row],[STOCK CODE OUT]],Generated_Stockcode,0),10),""))</f>
        <v/>
      </c>
      <c r="O509" s="73" t="str">
        <f>IF(ISBLANK(C509),"",_xlfn.IFNA(INDEX(inbound_data[],MATCH(Outbound_data[[#This Row],[STOCK CODE OUT]],Generated_Stockcode,0),12),""))</f>
        <v/>
      </c>
      <c r="P509" s="73" t="str">
        <f>IF(ISBLANK(C509),"",_xlfn.IFNA(INDEX(inbound_data[],MATCH(Outbound_data[[#This Row],[STOCK CODE OUT]],Generated_Stockcode,0),23),""))</f>
        <v/>
      </c>
      <c r="Q509" s="73" t="str">
        <f>IF(ISBLANK(C509),"",_xlfn.IFNA(INDEX(inbound_data[],MATCH(Outbound_data[[#This Row],[STOCK CODE OUT]],Generated_Stockcode,0),13),""))</f>
        <v/>
      </c>
    </row>
    <row r="510" spans="2:17" x14ac:dyDescent="0.25">
      <c r="B510" s="71"/>
      <c r="C510" s="65"/>
      <c r="D510" s="55"/>
      <c r="E510" s="65"/>
      <c r="F510" s="166"/>
      <c r="G510" s="167"/>
      <c r="H510" s="166"/>
      <c r="I510" s="72"/>
      <c r="J510" s="55"/>
      <c r="K510" s="72"/>
      <c r="L510" s="55"/>
      <c r="M510" s="174"/>
      <c r="N510" s="73" t="str">
        <f>IF(ISBLANK(C510),"",_xlfn.IFNA(INDEX(inbound_data[],MATCH(Outbound_data[[#This Row],[STOCK CODE OUT]],Generated_Stockcode,0),10),""))</f>
        <v/>
      </c>
      <c r="O510" s="73" t="str">
        <f>IF(ISBLANK(C510),"",_xlfn.IFNA(INDEX(inbound_data[],MATCH(Outbound_data[[#This Row],[STOCK CODE OUT]],Generated_Stockcode,0),12),""))</f>
        <v/>
      </c>
      <c r="P510" s="73" t="str">
        <f>IF(ISBLANK(C510),"",_xlfn.IFNA(INDEX(inbound_data[],MATCH(Outbound_data[[#This Row],[STOCK CODE OUT]],Generated_Stockcode,0),23),""))</f>
        <v/>
      </c>
      <c r="Q510" s="73" t="str">
        <f>IF(ISBLANK(C510),"",_xlfn.IFNA(INDEX(inbound_data[],MATCH(Outbound_data[[#This Row],[STOCK CODE OUT]],Generated_Stockcode,0),13),""))</f>
        <v/>
      </c>
    </row>
    <row r="511" spans="2:17" x14ac:dyDescent="0.25">
      <c r="B511" s="71"/>
      <c r="C511" s="65"/>
      <c r="D511" s="55"/>
      <c r="E511" s="65"/>
      <c r="F511" s="166"/>
      <c r="G511" s="167"/>
      <c r="H511" s="166"/>
      <c r="I511" s="72"/>
      <c r="J511" s="55"/>
      <c r="K511" s="72"/>
      <c r="L511" s="55"/>
      <c r="M511" s="174"/>
      <c r="N511" s="73" t="str">
        <f>IF(ISBLANK(C511),"",_xlfn.IFNA(INDEX(inbound_data[],MATCH(Outbound_data[[#This Row],[STOCK CODE OUT]],Generated_Stockcode,0),10),""))</f>
        <v/>
      </c>
      <c r="O511" s="73" t="str">
        <f>IF(ISBLANK(C511),"",_xlfn.IFNA(INDEX(inbound_data[],MATCH(Outbound_data[[#This Row],[STOCK CODE OUT]],Generated_Stockcode,0),12),""))</f>
        <v/>
      </c>
      <c r="P511" s="73" t="str">
        <f>IF(ISBLANK(C511),"",_xlfn.IFNA(INDEX(inbound_data[],MATCH(Outbound_data[[#This Row],[STOCK CODE OUT]],Generated_Stockcode,0),23),""))</f>
        <v/>
      </c>
      <c r="Q511" s="73" t="str">
        <f>IF(ISBLANK(C511),"",_xlfn.IFNA(INDEX(inbound_data[],MATCH(Outbound_data[[#This Row],[STOCK CODE OUT]],Generated_Stockcode,0),13),""))</f>
        <v/>
      </c>
    </row>
    <row r="512" spans="2:17" x14ac:dyDescent="0.25">
      <c r="B512" s="71"/>
      <c r="C512" s="65"/>
      <c r="D512" s="55"/>
      <c r="E512" s="65"/>
      <c r="F512" s="166"/>
      <c r="G512" s="167"/>
      <c r="H512" s="166"/>
      <c r="I512" s="72"/>
      <c r="J512" s="55"/>
      <c r="K512" s="72"/>
      <c r="L512" s="55"/>
      <c r="M512" s="174"/>
      <c r="N512" s="73" t="str">
        <f>IF(ISBLANK(C512),"",_xlfn.IFNA(INDEX(inbound_data[],MATCH(Outbound_data[[#This Row],[STOCK CODE OUT]],Generated_Stockcode,0),10),""))</f>
        <v/>
      </c>
      <c r="O512" s="73" t="str">
        <f>IF(ISBLANK(C512),"",_xlfn.IFNA(INDEX(inbound_data[],MATCH(Outbound_data[[#This Row],[STOCK CODE OUT]],Generated_Stockcode,0),12),""))</f>
        <v/>
      </c>
      <c r="P512" s="73" t="str">
        <f>IF(ISBLANK(C512),"",_xlfn.IFNA(INDEX(inbound_data[],MATCH(Outbound_data[[#This Row],[STOCK CODE OUT]],Generated_Stockcode,0),23),""))</f>
        <v/>
      </c>
      <c r="Q512" s="73" t="str">
        <f>IF(ISBLANK(C512),"",_xlfn.IFNA(INDEX(inbound_data[],MATCH(Outbound_data[[#This Row],[STOCK CODE OUT]],Generated_Stockcode,0),13),""))</f>
        <v/>
      </c>
    </row>
    <row r="513" spans="2:17" x14ac:dyDescent="0.25">
      <c r="B513" s="71"/>
      <c r="C513" s="65"/>
      <c r="D513" s="55"/>
      <c r="E513" s="65"/>
      <c r="F513" s="166"/>
      <c r="G513" s="167"/>
      <c r="H513" s="166"/>
      <c r="I513" s="72"/>
      <c r="J513" s="55"/>
      <c r="K513" s="72"/>
      <c r="L513" s="55"/>
      <c r="M513" s="174"/>
      <c r="N513" s="73" t="str">
        <f>IF(ISBLANK(C513),"",_xlfn.IFNA(INDEX(inbound_data[],MATCH(Outbound_data[[#This Row],[STOCK CODE OUT]],Generated_Stockcode,0),10),""))</f>
        <v/>
      </c>
      <c r="O513" s="73" t="str">
        <f>IF(ISBLANK(C513),"",_xlfn.IFNA(INDEX(inbound_data[],MATCH(Outbound_data[[#This Row],[STOCK CODE OUT]],Generated_Stockcode,0),12),""))</f>
        <v/>
      </c>
      <c r="P513" s="73" t="str">
        <f>IF(ISBLANK(C513),"",_xlfn.IFNA(INDEX(inbound_data[],MATCH(Outbound_data[[#This Row],[STOCK CODE OUT]],Generated_Stockcode,0),23),""))</f>
        <v/>
      </c>
      <c r="Q513" s="73" t="str">
        <f>IF(ISBLANK(C513),"",_xlfn.IFNA(INDEX(inbound_data[],MATCH(Outbound_data[[#This Row],[STOCK CODE OUT]],Generated_Stockcode,0),13),""))</f>
        <v/>
      </c>
    </row>
    <row r="514" spans="2:17" x14ac:dyDescent="0.25">
      <c r="B514" s="71"/>
      <c r="C514" s="65"/>
      <c r="D514" s="55"/>
      <c r="E514" s="65"/>
      <c r="F514" s="166"/>
      <c r="G514" s="167"/>
      <c r="H514" s="166"/>
      <c r="I514" s="72"/>
      <c r="J514" s="55"/>
      <c r="K514" s="72"/>
      <c r="L514" s="55"/>
      <c r="M514" s="174"/>
      <c r="N514" s="73" t="str">
        <f>IF(ISBLANK(C514),"",_xlfn.IFNA(INDEX(inbound_data[],MATCH(Outbound_data[[#This Row],[STOCK CODE OUT]],Generated_Stockcode,0),10),""))</f>
        <v/>
      </c>
      <c r="O514" s="73" t="str">
        <f>IF(ISBLANK(C514),"",_xlfn.IFNA(INDEX(inbound_data[],MATCH(Outbound_data[[#This Row],[STOCK CODE OUT]],Generated_Stockcode,0),12),""))</f>
        <v/>
      </c>
      <c r="P514" s="73" t="str">
        <f>IF(ISBLANK(C514),"",_xlfn.IFNA(INDEX(inbound_data[],MATCH(Outbound_data[[#This Row],[STOCK CODE OUT]],Generated_Stockcode,0),23),""))</f>
        <v/>
      </c>
      <c r="Q514" s="73" t="str">
        <f>IF(ISBLANK(C514),"",_xlfn.IFNA(INDEX(inbound_data[],MATCH(Outbound_data[[#This Row],[STOCK CODE OUT]],Generated_Stockcode,0),13),""))</f>
        <v/>
      </c>
    </row>
    <row r="515" spans="2:17" x14ac:dyDescent="0.25">
      <c r="B515" s="71"/>
      <c r="C515" s="65"/>
      <c r="D515" s="55"/>
      <c r="E515" s="65"/>
      <c r="F515" s="166"/>
      <c r="G515" s="167"/>
      <c r="H515" s="166"/>
      <c r="I515" s="72"/>
      <c r="J515" s="55"/>
      <c r="K515" s="72"/>
      <c r="L515" s="55"/>
      <c r="M515" s="174"/>
      <c r="N515" s="73" t="str">
        <f>IF(ISBLANK(C515),"",_xlfn.IFNA(INDEX(inbound_data[],MATCH(Outbound_data[[#This Row],[STOCK CODE OUT]],Generated_Stockcode,0),10),""))</f>
        <v/>
      </c>
      <c r="O515" s="73" t="str">
        <f>IF(ISBLANK(C515),"",_xlfn.IFNA(INDEX(inbound_data[],MATCH(Outbound_data[[#This Row],[STOCK CODE OUT]],Generated_Stockcode,0),12),""))</f>
        <v/>
      </c>
      <c r="P515" s="73" t="str">
        <f>IF(ISBLANK(C515),"",_xlfn.IFNA(INDEX(inbound_data[],MATCH(Outbound_data[[#This Row],[STOCK CODE OUT]],Generated_Stockcode,0),23),""))</f>
        <v/>
      </c>
      <c r="Q515" s="73" t="str">
        <f>IF(ISBLANK(C515),"",_xlfn.IFNA(INDEX(inbound_data[],MATCH(Outbound_data[[#This Row],[STOCK CODE OUT]],Generated_Stockcode,0),13),""))</f>
        <v/>
      </c>
    </row>
    <row r="516" spans="2:17" x14ac:dyDescent="0.25">
      <c r="B516" s="71"/>
      <c r="C516" s="65"/>
      <c r="D516" s="55"/>
      <c r="E516" s="65"/>
      <c r="F516" s="166"/>
      <c r="G516" s="167"/>
      <c r="H516" s="166"/>
      <c r="I516" s="72"/>
      <c r="J516" s="55"/>
      <c r="K516" s="72"/>
      <c r="L516" s="55"/>
      <c r="M516" s="174"/>
      <c r="N516" s="73" t="str">
        <f>IF(ISBLANK(C516),"",_xlfn.IFNA(INDEX(inbound_data[],MATCH(Outbound_data[[#This Row],[STOCK CODE OUT]],Generated_Stockcode,0),10),""))</f>
        <v/>
      </c>
      <c r="O516" s="73" t="str">
        <f>IF(ISBLANK(C516),"",_xlfn.IFNA(INDEX(inbound_data[],MATCH(Outbound_data[[#This Row],[STOCK CODE OUT]],Generated_Stockcode,0),12),""))</f>
        <v/>
      </c>
      <c r="P516" s="73" t="str">
        <f>IF(ISBLANK(C516),"",_xlfn.IFNA(INDEX(inbound_data[],MATCH(Outbound_data[[#This Row],[STOCK CODE OUT]],Generated_Stockcode,0),23),""))</f>
        <v/>
      </c>
      <c r="Q516" s="73" t="str">
        <f>IF(ISBLANK(C516),"",_xlfn.IFNA(INDEX(inbound_data[],MATCH(Outbound_data[[#This Row],[STOCK CODE OUT]],Generated_Stockcode,0),13),""))</f>
        <v/>
      </c>
    </row>
    <row r="517" spans="2:17" x14ac:dyDescent="0.25">
      <c r="B517" s="71"/>
      <c r="C517" s="65"/>
      <c r="D517" s="55"/>
      <c r="E517" s="65"/>
      <c r="F517" s="166"/>
      <c r="G517" s="167"/>
      <c r="H517" s="166"/>
      <c r="I517" s="72"/>
      <c r="J517" s="55"/>
      <c r="K517" s="72"/>
      <c r="L517" s="55"/>
      <c r="M517" s="174"/>
      <c r="N517" s="73" t="str">
        <f>IF(ISBLANK(C517),"",_xlfn.IFNA(INDEX(inbound_data[],MATCH(Outbound_data[[#This Row],[STOCK CODE OUT]],Generated_Stockcode,0),10),""))</f>
        <v/>
      </c>
      <c r="O517" s="73" t="str">
        <f>IF(ISBLANK(C517),"",_xlfn.IFNA(INDEX(inbound_data[],MATCH(Outbound_data[[#This Row],[STOCK CODE OUT]],Generated_Stockcode,0),12),""))</f>
        <v/>
      </c>
      <c r="P517" s="73" t="str">
        <f>IF(ISBLANK(C517),"",_xlfn.IFNA(INDEX(inbound_data[],MATCH(Outbound_data[[#This Row],[STOCK CODE OUT]],Generated_Stockcode,0),23),""))</f>
        <v/>
      </c>
      <c r="Q517" s="73" t="str">
        <f>IF(ISBLANK(C517),"",_xlfn.IFNA(INDEX(inbound_data[],MATCH(Outbound_data[[#This Row],[STOCK CODE OUT]],Generated_Stockcode,0),13),""))</f>
        <v/>
      </c>
    </row>
    <row r="518" spans="2:17" x14ac:dyDescent="0.25">
      <c r="B518" s="71"/>
      <c r="C518" s="65"/>
      <c r="D518" s="55"/>
      <c r="E518" s="65"/>
      <c r="F518" s="166"/>
      <c r="G518" s="167"/>
      <c r="H518" s="166"/>
      <c r="I518" s="72"/>
      <c r="J518" s="55"/>
      <c r="K518" s="72"/>
      <c r="L518" s="55"/>
      <c r="M518" s="174"/>
      <c r="N518" s="73" t="str">
        <f>IF(ISBLANK(C518),"",_xlfn.IFNA(INDEX(inbound_data[],MATCH(Outbound_data[[#This Row],[STOCK CODE OUT]],Generated_Stockcode,0),10),""))</f>
        <v/>
      </c>
      <c r="O518" s="73" t="str">
        <f>IF(ISBLANK(C518),"",_xlfn.IFNA(INDEX(inbound_data[],MATCH(Outbound_data[[#This Row],[STOCK CODE OUT]],Generated_Stockcode,0),12),""))</f>
        <v/>
      </c>
      <c r="P518" s="73" t="str">
        <f>IF(ISBLANK(C518),"",_xlfn.IFNA(INDEX(inbound_data[],MATCH(Outbound_data[[#This Row],[STOCK CODE OUT]],Generated_Stockcode,0),23),""))</f>
        <v/>
      </c>
      <c r="Q518" s="73" t="str">
        <f>IF(ISBLANK(C518),"",_xlfn.IFNA(INDEX(inbound_data[],MATCH(Outbound_data[[#This Row],[STOCK CODE OUT]],Generated_Stockcode,0),13),""))</f>
        <v/>
      </c>
    </row>
    <row r="519" spans="2:17" x14ac:dyDescent="0.25">
      <c r="B519" s="71"/>
      <c r="C519" s="65"/>
      <c r="D519" s="55"/>
      <c r="E519" s="65"/>
      <c r="F519" s="166"/>
      <c r="G519" s="167"/>
      <c r="H519" s="166"/>
      <c r="I519" s="72"/>
      <c r="J519" s="55"/>
      <c r="K519" s="72"/>
      <c r="L519" s="55"/>
      <c r="M519" s="174"/>
      <c r="N519" s="73" t="str">
        <f>IF(ISBLANK(C519),"",_xlfn.IFNA(INDEX(inbound_data[],MATCH(Outbound_data[[#This Row],[STOCK CODE OUT]],Generated_Stockcode,0),10),""))</f>
        <v/>
      </c>
      <c r="O519" s="73" t="str">
        <f>IF(ISBLANK(C519),"",_xlfn.IFNA(INDEX(inbound_data[],MATCH(Outbound_data[[#This Row],[STOCK CODE OUT]],Generated_Stockcode,0),12),""))</f>
        <v/>
      </c>
      <c r="P519" s="73" t="str">
        <f>IF(ISBLANK(C519),"",_xlfn.IFNA(INDEX(inbound_data[],MATCH(Outbound_data[[#This Row],[STOCK CODE OUT]],Generated_Stockcode,0),23),""))</f>
        <v/>
      </c>
      <c r="Q519" s="73" t="str">
        <f>IF(ISBLANK(C519),"",_xlfn.IFNA(INDEX(inbound_data[],MATCH(Outbound_data[[#This Row],[STOCK CODE OUT]],Generated_Stockcode,0),13),""))</f>
        <v/>
      </c>
    </row>
    <row r="520" spans="2:17" x14ac:dyDescent="0.25">
      <c r="B520" s="71"/>
      <c r="C520" s="65"/>
      <c r="D520" s="55"/>
      <c r="E520" s="65"/>
      <c r="F520" s="166"/>
      <c r="G520" s="167"/>
      <c r="H520" s="166"/>
      <c r="I520" s="72"/>
      <c r="J520" s="55"/>
      <c r="K520" s="72"/>
      <c r="L520" s="55"/>
      <c r="M520" s="174"/>
      <c r="N520" s="73" t="str">
        <f>IF(ISBLANK(C520),"",_xlfn.IFNA(INDEX(inbound_data[],MATCH(Outbound_data[[#This Row],[STOCK CODE OUT]],Generated_Stockcode,0),10),""))</f>
        <v/>
      </c>
      <c r="O520" s="73" t="str">
        <f>IF(ISBLANK(C520),"",_xlfn.IFNA(INDEX(inbound_data[],MATCH(Outbound_data[[#This Row],[STOCK CODE OUT]],Generated_Stockcode,0),12),""))</f>
        <v/>
      </c>
      <c r="P520" s="73" t="str">
        <f>IF(ISBLANK(C520),"",_xlfn.IFNA(INDEX(inbound_data[],MATCH(Outbound_data[[#This Row],[STOCK CODE OUT]],Generated_Stockcode,0),23),""))</f>
        <v/>
      </c>
      <c r="Q520" s="73" t="str">
        <f>IF(ISBLANK(C520),"",_xlfn.IFNA(INDEX(inbound_data[],MATCH(Outbound_data[[#This Row],[STOCK CODE OUT]],Generated_Stockcode,0),13),""))</f>
        <v/>
      </c>
    </row>
    <row r="521" spans="2:17" x14ac:dyDescent="0.25">
      <c r="B521" s="71"/>
      <c r="C521" s="65"/>
      <c r="D521" s="55"/>
      <c r="E521" s="65"/>
      <c r="F521" s="166"/>
      <c r="G521" s="167"/>
      <c r="H521" s="166"/>
      <c r="I521" s="72"/>
      <c r="J521" s="55"/>
      <c r="K521" s="72"/>
      <c r="L521" s="55"/>
      <c r="M521" s="174"/>
      <c r="N521" s="73" t="str">
        <f>IF(ISBLANK(C521),"",_xlfn.IFNA(INDEX(inbound_data[],MATCH(Outbound_data[[#This Row],[STOCK CODE OUT]],Generated_Stockcode,0),10),""))</f>
        <v/>
      </c>
      <c r="O521" s="73" t="str">
        <f>IF(ISBLANK(C521),"",_xlfn.IFNA(INDEX(inbound_data[],MATCH(Outbound_data[[#This Row],[STOCK CODE OUT]],Generated_Stockcode,0),12),""))</f>
        <v/>
      </c>
      <c r="P521" s="73" t="str">
        <f>IF(ISBLANK(C521),"",_xlfn.IFNA(INDEX(inbound_data[],MATCH(Outbound_data[[#This Row],[STOCK CODE OUT]],Generated_Stockcode,0),23),""))</f>
        <v/>
      </c>
      <c r="Q521" s="73" t="str">
        <f>IF(ISBLANK(C521),"",_xlfn.IFNA(INDEX(inbound_data[],MATCH(Outbound_data[[#This Row],[STOCK CODE OUT]],Generated_Stockcode,0),13),""))</f>
        <v/>
      </c>
    </row>
    <row r="522" spans="2:17" x14ac:dyDescent="0.25">
      <c r="B522" s="71"/>
      <c r="C522" s="65"/>
      <c r="D522" s="55"/>
      <c r="E522" s="65"/>
      <c r="F522" s="166"/>
      <c r="G522" s="167"/>
      <c r="H522" s="166"/>
      <c r="I522" s="72"/>
      <c r="J522" s="55"/>
      <c r="K522" s="72"/>
      <c r="L522" s="55"/>
      <c r="M522" s="174"/>
      <c r="N522" s="73" t="str">
        <f>IF(ISBLANK(C522),"",_xlfn.IFNA(INDEX(inbound_data[],MATCH(Outbound_data[[#This Row],[STOCK CODE OUT]],Generated_Stockcode,0),10),""))</f>
        <v/>
      </c>
      <c r="O522" s="73" t="str">
        <f>IF(ISBLANK(C522),"",_xlfn.IFNA(INDEX(inbound_data[],MATCH(Outbound_data[[#This Row],[STOCK CODE OUT]],Generated_Stockcode,0),12),""))</f>
        <v/>
      </c>
      <c r="P522" s="73" t="str">
        <f>IF(ISBLANK(C522),"",_xlfn.IFNA(INDEX(inbound_data[],MATCH(Outbound_data[[#This Row],[STOCK CODE OUT]],Generated_Stockcode,0),23),""))</f>
        <v/>
      </c>
      <c r="Q522" s="73" t="str">
        <f>IF(ISBLANK(C522),"",_xlfn.IFNA(INDEX(inbound_data[],MATCH(Outbound_data[[#This Row],[STOCK CODE OUT]],Generated_Stockcode,0),13),""))</f>
        <v/>
      </c>
    </row>
    <row r="523" spans="2:17" x14ac:dyDescent="0.25">
      <c r="B523" s="71"/>
      <c r="C523" s="65"/>
      <c r="D523" s="55"/>
      <c r="E523" s="65"/>
      <c r="F523" s="166"/>
      <c r="G523" s="167"/>
      <c r="H523" s="166"/>
      <c r="I523" s="72"/>
      <c r="J523" s="55"/>
      <c r="K523" s="72"/>
      <c r="L523" s="55"/>
      <c r="M523" s="174"/>
      <c r="N523" s="73" t="str">
        <f>IF(ISBLANK(C523),"",_xlfn.IFNA(INDEX(inbound_data[],MATCH(Outbound_data[[#This Row],[STOCK CODE OUT]],Generated_Stockcode,0),10),""))</f>
        <v/>
      </c>
      <c r="O523" s="73" t="str">
        <f>IF(ISBLANK(C523),"",_xlfn.IFNA(INDEX(inbound_data[],MATCH(Outbound_data[[#This Row],[STOCK CODE OUT]],Generated_Stockcode,0),12),""))</f>
        <v/>
      </c>
      <c r="P523" s="73" t="str">
        <f>IF(ISBLANK(C523),"",_xlfn.IFNA(INDEX(inbound_data[],MATCH(Outbound_data[[#This Row],[STOCK CODE OUT]],Generated_Stockcode,0),23),""))</f>
        <v/>
      </c>
      <c r="Q523" s="73" t="str">
        <f>IF(ISBLANK(C523),"",_xlfn.IFNA(INDEX(inbound_data[],MATCH(Outbound_data[[#This Row],[STOCK CODE OUT]],Generated_Stockcode,0),13),""))</f>
        <v/>
      </c>
    </row>
    <row r="524" spans="2:17" x14ac:dyDescent="0.25">
      <c r="B524" s="71"/>
      <c r="C524" s="65"/>
      <c r="D524" s="55"/>
      <c r="E524" s="65"/>
      <c r="F524" s="166"/>
      <c r="G524" s="167"/>
      <c r="H524" s="166"/>
      <c r="I524" s="72"/>
      <c r="J524" s="55"/>
      <c r="K524" s="72"/>
      <c r="L524" s="55"/>
      <c r="M524" s="174"/>
      <c r="N524" s="73" t="str">
        <f>IF(ISBLANK(C524),"",_xlfn.IFNA(INDEX(inbound_data[],MATCH(Outbound_data[[#This Row],[STOCK CODE OUT]],Generated_Stockcode,0),10),""))</f>
        <v/>
      </c>
      <c r="O524" s="73" t="str">
        <f>IF(ISBLANK(C524),"",_xlfn.IFNA(INDEX(inbound_data[],MATCH(Outbound_data[[#This Row],[STOCK CODE OUT]],Generated_Stockcode,0),12),""))</f>
        <v/>
      </c>
      <c r="P524" s="73" t="str">
        <f>IF(ISBLANK(C524),"",_xlfn.IFNA(INDEX(inbound_data[],MATCH(Outbound_data[[#This Row],[STOCK CODE OUT]],Generated_Stockcode,0),23),""))</f>
        <v/>
      </c>
      <c r="Q524" s="73" t="str">
        <f>IF(ISBLANK(C524),"",_xlfn.IFNA(INDEX(inbound_data[],MATCH(Outbound_data[[#This Row],[STOCK CODE OUT]],Generated_Stockcode,0),13),""))</f>
        <v/>
      </c>
    </row>
    <row r="525" spans="2:17" x14ac:dyDescent="0.25">
      <c r="B525" s="71"/>
      <c r="C525" s="65"/>
      <c r="D525" s="55"/>
      <c r="E525" s="65"/>
      <c r="F525" s="166"/>
      <c r="G525" s="167"/>
      <c r="H525" s="166"/>
      <c r="I525" s="72"/>
      <c r="J525" s="55"/>
      <c r="K525" s="72"/>
      <c r="L525" s="55"/>
      <c r="M525" s="174"/>
      <c r="N525" s="73" t="str">
        <f>IF(ISBLANK(C525),"",_xlfn.IFNA(INDEX(inbound_data[],MATCH(Outbound_data[[#This Row],[STOCK CODE OUT]],Generated_Stockcode,0),10),""))</f>
        <v/>
      </c>
      <c r="O525" s="73" t="str">
        <f>IF(ISBLANK(C525),"",_xlfn.IFNA(INDEX(inbound_data[],MATCH(Outbound_data[[#This Row],[STOCK CODE OUT]],Generated_Stockcode,0),12),""))</f>
        <v/>
      </c>
      <c r="P525" s="73" t="str">
        <f>IF(ISBLANK(C525),"",_xlfn.IFNA(INDEX(inbound_data[],MATCH(Outbound_data[[#This Row],[STOCK CODE OUT]],Generated_Stockcode,0),23),""))</f>
        <v/>
      </c>
      <c r="Q525" s="73" t="str">
        <f>IF(ISBLANK(C525),"",_xlfn.IFNA(INDEX(inbound_data[],MATCH(Outbound_data[[#This Row],[STOCK CODE OUT]],Generated_Stockcode,0),13),""))</f>
        <v/>
      </c>
    </row>
    <row r="526" spans="2:17" x14ac:dyDescent="0.25">
      <c r="B526" s="71"/>
      <c r="C526" s="65"/>
      <c r="D526" s="55"/>
      <c r="E526" s="65"/>
      <c r="F526" s="166"/>
      <c r="G526" s="167"/>
      <c r="H526" s="166"/>
      <c r="I526" s="72"/>
      <c r="J526" s="55"/>
      <c r="K526" s="72"/>
      <c r="L526" s="55"/>
      <c r="M526" s="174"/>
      <c r="N526" s="73" t="str">
        <f>IF(ISBLANK(C526),"",_xlfn.IFNA(INDEX(inbound_data[],MATCH(Outbound_data[[#This Row],[STOCK CODE OUT]],Generated_Stockcode,0),10),""))</f>
        <v/>
      </c>
      <c r="O526" s="73" t="str">
        <f>IF(ISBLANK(C526),"",_xlfn.IFNA(INDEX(inbound_data[],MATCH(Outbound_data[[#This Row],[STOCK CODE OUT]],Generated_Stockcode,0),12),""))</f>
        <v/>
      </c>
      <c r="P526" s="73" t="str">
        <f>IF(ISBLANK(C526),"",_xlfn.IFNA(INDEX(inbound_data[],MATCH(Outbound_data[[#This Row],[STOCK CODE OUT]],Generated_Stockcode,0),23),""))</f>
        <v/>
      </c>
      <c r="Q526" s="73" t="str">
        <f>IF(ISBLANK(C526),"",_xlfn.IFNA(INDEX(inbound_data[],MATCH(Outbound_data[[#This Row],[STOCK CODE OUT]],Generated_Stockcode,0),13),""))</f>
        <v/>
      </c>
    </row>
    <row r="527" spans="2:17" x14ac:dyDescent="0.25">
      <c r="B527" s="71"/>
      <c r="C527" s="65"/>
      <c r="D527" s="55"/>
      <c r="E527" s="65"/>
      <c r="F527" s="166"/>
      <c r="G527" s="167"/>
      <c r="H527" s="166"/>
      <c r="I527" s="72"/>
      <c r="J527" s="55"/>
      <c r="K527" s="72"/>
      <c r="L527" s="55"/>
      <c r="M527" s="174"/>
      <c r="N527" s="73" t="str">
        <f>IF(ISBLANK(C527),"",_xlfn.IFNA(INDEX(inbound_data[],MATCH(Outbound_data[[#This Row],[STOCK CODE OUT]],Generated_Stockcode,0),10),""))</f>
        <v/>
      </c>
      <c r="O527" s="73" t="str">
        <f>IF(ISBLANK(C527),"",_xlfn.IFNA(INDEX(inbound_data[],MATCH(Outbound_data[[#This Row],[STOCK CODE OUT]],Generated_Stockcode,0),12),""))</f>
        <v/>
      </c>
      <c r="P527" s="73" t="str">
        <f>IF(ISBLANK(C527),"",_xlfn.IFNA(INDEX(inbound_data[],MATCH(Outbound_data[[#This Row],[STOCK CODE OUT]],Generated_Stockcode,0),23),""))</f>
        <v/>
      </c>
      <c r="Q527" s="73" t="str">
        <f>IF(ISBLANK(C527),"",_xlfn.IFNA(INDEX(inbound_data[],MATCH(Outbound_data[[#This Row],[STOCK CODE OUT]],Generated_Stockcode,0),13),""))</f>
        <v/>
      </c>
    </row>
    <row r="528" spans="2:17" x14ac:dyDescent="0.25">
      <c r="B528" s="71"/>
      <c r="C528" s="65"/>
      <c r="D528" s="55"/>
      <c r="E528" s="65"/>
      <c r="F528" s="166"/>
      <c r="G528" s="167"/>
      <c r="H528" s="166"/>
      <c r="I528" s="72"/>
      <c r="J528" s="55"/>
      <c r="K528" s="72"/>
      <c r="L528" s="55"/>
      <c r="M528" s="174"/>
      <c r="N528" s="73" t="str">
        <f>IF(ISBLANK(C528),"",_xlfn.IFNA(INDEX(inbound_data[],MATCH(Outbound_data[[#This Row],[STOCK CODE OUT]],Generated_Stockcode,0),10),""))</f>
        <v/>
      </c>
      <c r="O528" s="73" t="str">
        <f>IF(ISBLANK(C528),"",_xlfn.IFNA(INDEX(inbound_data[],MATCH(Outbound_data[[#This Row],[STOCK CODE OUT]],Generated_Stockcode,0),12),""))</f>
        <v/>
      </c>
      <c r="P528" s="73" t="str">
        <f>IF(ISBLANK(C528),"",_xlfn.IFNA(INDEX(inbound_data[],MATCH(Outbound_data[[#This Row],[STOCK CODE OUT]],Generated_Stockcode,0),23),""))</f>
        <v/>
      </c>
      <c r="Q528" s="73" t="str">
        <f>IF(ISBLANK(C528),"",_xlfn.IFNA(INDEX(inbound_data[],MATCH(Outbound_data[[#This Row],[STOCK CODE OUT]],Generated_Stockcode,0),13),""))</f>
        <v/>
      </c>
    </row>
    <row r="529" spans="2:17" x14ac:dyDescent="0.25">
      <c r="B529" s="71"/>
      <c r="C529" s="65"/>
      <c r="D529" s="55"/>
      <c r="E529" s="65"/>
      <c r="F529" s="166"/>
      <c r="G529" s="167"/>
      <c r="H529" s="166"/>
      <c r="I529" s="72"/>
      <c r="J529" s="55"/>
      <c r="K529" s="72"/>
      <c r="L529" s="55"/>
      <c r="M529" s="174"/>
      <c r="N529" s="73" t="str">
        <f>IF(ISBLANK(C529),"",_xlfn.IFNA(INDEX(inbound_data[],MATCH(Outbound_data[[#This Row],[STOCK CODE OUT]],Generated_Stockcode,0),10),""))</f>
        <v/>
      </c>
      <c r="O529" s="73" t="str">
        <f>IF(ISBLANK(C529),"",_xlfn.IFNA(INDEX(inbound_data[],MATCH(Outbound_data[[#This Row],[STOCK CODE OUT]],Generated_Stockcode,0),12),""))</f>
        <v/>
      </c>
      <c r="P529" s="73" t="str">
        <f>IF(ISBLANK(C529),"",_xlfn.IFNA(INDEX(inbound_data[],MATCH(Outbound_data[[#This Row],[STOCK CODE OUT]],Generated_Stockcode,0),23),""))</f>
        <v/>
      </c>
      <c r="Q529" s="73" t="str">
        <f>IF(ISBLANK(C529),"",_xlfn.IFNA(INDEX(inbound_data[],MATCH(Outbound_data[[#This Row],[STOCK CODE OUT]],Generated_Stockcode,0),13),""))</f>
        <v/>
      </c>
    </row>
    <row r="530" spans="2:17" x14ac:dyDescent="0.25">
      <c r="B530" s="71"/>
      <c r="C530" s="65"/>
      <c r="D530" s="55"/>
      <c r="E530" s="65"/>
      <c r="F530" s="166"/>
      <c r="G530" s="167"/>
      <c r="H530" s="166"/>
      <c r="I530" s="72"/>
      <c r="J530" s="55"/>
      <c r="K530" s="72"/>
      <c r="L530" s="55"/>
      <c r="M530" s="174"/>
      <c r="N530" s="73" t="str">
        <f>IF(ISBLANK(C530),"",_xlfn.IFNA(INDEX(inbound_data[],MATCH(Outbound_data[[#This Row],[STOCK CODE OUT]],Generated_Stockcode,0),10),""))</f>
        <v/>
      </c>
      <c r="O530" s="73" t="str">
        <f>IF(ISBLANK(C530),"",_xlfn.IFNA(INDEX(inbound_data[],MATCH(Outbound_data[[#This Row],[STOCK CODE OUT]],Generated_Stockcode,0),12),""))</f>
        <v/>
      </c>
      <c r="P530" s="73" t="str">
        <f>IF(ISBLANK(C530),"",_xlfn.IFNA(INDEX(inbound_data[],MATCH(Outbound_data[[#This Row],[STOCK CODE OUT]],Generated_Stockcode,0),23),""))</f>
        <v/>
      </c>
      <c r="Q530" s="73" t="str">
        <f>IF(ISBLANK(C530),"",_xlfn.IFNA(INDEX(inbound_data[],MATCH(Outbound_data[[#This Row],[STOCK CODE OUT]],Generated_Stockcode,0),13),""))</f>
        <v/>
      </c>
    </row>
    <row r="531" spans="2:17" x14ac:dyDescent="0.25">
      <c r="B531" s="71"/>
      <c r="C531" s="65"/>
      <c r="D531" s="55"/>
      <c r="E531" s="65"/>
      <c r="F531" s="166"/>
      <c r="G531" s="167"/>
      <c r="H531" s="166"/>
      <c r="I531" s="72"/>
      <c r="J531" s="55"/>
      <c r="K531" s="72"/>
      <c r="L531" s="55"/>
      <c r="M531" s="174"/>
      <c r="N531" s="73" t="str">
        <f>IF(ISBLANK(C531),"",_xlfn.IFNA(INDEX(inbound_data[],MATCH(Outbound_data[[#This Row],[STOCK CODE OUT]],Generated_Stockcode,0),10),""))</f>
        <v/>
      </c>
      <c r="O531" s="73" t="str">
        <f>IF(ISBLANK(C531),"",_xlfn.IFNA(INDEX(inbound_data[],MATCH(Outbound_data[[#This Row],[STOCK CODE OUT]],Generated_Stockcode,0),12),""))</f>
        <v/>
      </c>
      <c r="P531" s="73" t="str">
        <f>IF(ISBLANK(C531),"",_xlfn.IFNA(INDEX(inbound_data[],MATCH(Outbound_data[[#This Row],[STOCK CODE OUT]],Generated_Stockcode,0),23),""))</f>
        <v/>
      </c>
      <c r="Q531" s="73" t="str">
        <f>IF(ISBLANK(C531),"",_xlfn.IFNA(INDEX(inbound_data[],MATCH(Outbound_data[[#This Row],[STOCK CODE OUT]],Generated_Stockcode,0),13),""))</f>
        <v/>
      </c>
    </row>
    <row r="532" spans="2:17" x14ac:dyDescent="0.25">
      <c r="B532" s="71"/>
      <c r="C532" s="65"/>
      <c r="D532" s="55"/>
      <c r="E532" s="65"/>
      <c r="F532" s="166"/>
      <c r="G532" s="167"/>
      <c r="H532" s="166"/>
      <c r="I532" s="72"/>
      <c r="J532" s="55"/>
      <c r="K532" s="72"/>
      <c r="L532" s="55"/>
      <c r="M532" s="174"/>
      <c r="N532" s="73" t="str">
        <f>IF(ISBLANK(C532),"",_xlfn.IFNA(INDEX(inbound_data[],MATCH(Outbound_data[[#This Row],[STOCK CODE OUT]],Generated_Stockcode,0),10),""))</f>
        <v/>
      </c>
      <c r="O532" s="73" t="str">
        <f>IF(ISBLANK(C532),"",_xlfn.IFNA(INDEX(inbound_data[],MATCH(Outbound_data[[#This Row],[STOCK CODE OUT]],Generated_Stockcode,0),12),""))</f>
        <v/>
      </c>
      <c r="P532" s="73" t="str">
        <f>IF(ISBLANK(C532),"",_xlfn.IFNA(INDEX(inbound_data[],MATCH(Outbound_data[[#This Row],[STOCK CODE OUT]],Generated_Stockcode,0),23),""))</f>
        <v/>
      </c>
      <c r="Q532" s="73" t="str">
        <f>IF(ISBLANK(C532),"",_xlfn.IFNA(INDEX(inbound_data[],MATCH(Outbound_data[[#This Row],[STOCK CODE OUT]],Generated_Stockcode,0),13),""))</f>
        <v/>
      </c>
    </row>
    <row r="533" spans="2:17" x14ac:dyDescent="0.25">
      <c r="B533" s="71"/>
      <c r="C533" s="65"/>
      <c r="D533" s="55"/>
      <c r="E533" s="65"/>
      <c r="F533" s="166"/>
      <c r="G533" s="167"/>
      <c r="H533" s="166"/>
      <c r="I533" s="72"/>
      <c r="J533" s="55"/>
      <c r="K533" s="72"/>
      <c r="L533" s="55"/>
      <c r="M533" s="174"/>
      <c r="N533" s="73" t="str">
        <f>IF(ISBLANK(C533),"",_xlfn.IFNA(INDEX(inbound_data[],MATCH(Outbound_data[[#This Row],[STOCK CODE OUT]],Generated_Stockcode,0),10),""))</f>
        <v/>
      </c>
      <c r="O533" s="73" t="str">
        <f>IF(ISBLANK(C533),"",_xlfn.IFNA(INDEX(inbound_data[],MATCH(Outbound_data[[#This Row],[STOCK CODE OUT]],Generated_Stockcode,0),12),""))</f>
        <v/>
      </c>
      <c r="P533" s="73" t="str">
        <f>IF(ISBLANK(C533),"",_xlfn.IFNA(INDEX(inbound_data[],MATCH(Outbound_data[[#This Row],[STOCK CODE OUT]],Generated_Stockcode,0),23),""))</f>
        <v/>
      </c>
      <c r="Q533" s="73" t="str">
        <f>IF(ISBLANK(C533),"",_xlfn.IFNA(INDEX(inbound_data[],MATCH(Outbound_data[[#This Row],[STOCK CODE OUT]],Generated_Stockcode,0),13),""))</f>
        <v/>
      </c>
    </row>
    <row r="534" spans="2:17" x14ac:dyDescent="0.25">
      <c r="B534" s="71"/>
      <c r="C534" s="65"/>
      <c r="D534" s="55"/>
      <c r="E534" s="65"/>
      <c r="F534" s="166"/>
      <c r="G534" s="167"/>
      <c r="H534" s="166"/>
      <c r="I534" s="72"/>
      <c r="J534" s="55"/>
      <c r="K534" s="72"/>
      <c r="L534" s="55"/>
      <c r="M534" s="174"/>
      <c r="N534" s="73" t="str">
        <f>IF(ISBLANK(C534),"",_xlfn.IFNA(INDEX(inbound_data[],MATCH(Outbound_data[[#This Row],[STOCK CODE OUT]],Generated_Stockcode,0),10),""))</f>
        <v/>
      </c>
      <c r="O534" s="73" t="str">
        <f>IF(ISBLANK(C534),"",_xlfn.IFNA(INDEX(inbound_data[],MATCH(Outbound_data[[#This Row],[STOCK CODE OUT]],Generated_Stockcode,0),12),""))</f>
        <v/>
      </c>
      <c r="P534" s="73" t="str">
        <f>IF(ISBLANK(C534),"",_xlfn.IFNA(INDEX(inbound_data[],MATCH(Outbound_data[[#This Row],[STOCK CODE OUT]],Generated_Stockcode,0),23),""))</f>
        <v/>
      </c>
      <c r="Q534" s="73" t="str">
        <f>IF(ISBLANK(C534),"",_xlfn.IFNA(INDEX(inbound_data[],MATCH(Outbound_data[[#This Row],[STOCK CODE OUT]],Generated_Stockcode,0),13),""))</f>
        <v/>
      </c>
    </row>
    <row r="535" spans="2:17" x14ac:dyDescent="0.25">
      <c r="B535" s="71"/>
      <c r="C535" s="65"/>
      <c r="D535" s="55"/>
      <c r="E535" s="65"/>
      <c r="F535" s="166"/>
      <c r="G535" s="167"/>
      <c r="H535" s="166"/>
      <c r="I535" s="72"/>
      <c r="J535" s="55"/>
      <c r="K535" s="72"/>
      <c r="L535" s="55"/>
      <c r="M535" s="174"/>
      <c r="N535" s="73" t="str">
        <f>IF(ISBLANK(C535),"",_xlfn.IFNA(INDEX(inbound_data[],MATCH(Outbound_data[[#This Row],[STOCK CODE OUT]],Generated_Stockcode,0),10),""))</f>
        <v/>
      </c>
      <c r="O535" s="73" t="str">
        <f>IF(ISBLANK(C535),"",_xlfn.IFNA(INDEX(inbound_data[],MATCH(Outbound_data[[#This Row],[STOCK CODE OUT]],Generated_Stockcode,0),12),""))</f>
        <v/>
      </c>
      <c r="P535" s="73" t="str">
        <f>IF(ISBLANK(C535),"",_xlfn.IFNA(INDEX(inbound_data[],MATCH(Outbound_data[[#This Row],[STOCK CODE OUT]],Generated_Stockcode,0),23),""))</f>
        <v/>
      </c>
      <c r="Q535" s="73" t="str">
        <f>IF(ISBLANK(C535),"",_xlfn.IFNA(INDEX(inbound_data[],MATCH(Outbound_data[[#This Row],[STOCK CODE OUT]],Generated_Stockcode,0),13),""))</f>
        <v/>
      </c>
    </row>
    <row r="536" spans="2:17" x14ac:dyDescent="0.25">
      <c r="B536" s="71"/>
      <c r="C536" s="65"/>
      <c r="D536" s="55"/>
      <c r="E536" s="65"/>
      <c r="F536" s="166"/>
      <c r="G536" s="167"/>
      <c r="H536" s="166"/>
      <c r="I536" s="72"/>
      <c r="J536" s="55"/>
      <c r="K536" s="72"/>
      <c r="L536" s="55"/>
      <c r="M536" s="174"/>
      <c r="N536" s="73" t="str">
        <f>IF(ISBLANK(C536),"",_xlfn.IFNA(INDEX(inbound_data[],MATCH(Outbound_data[[#This Row],[STOCK CODE OUT]],Generated_Stockcode,0),10),""))</f>
        <v/>
      </c>
      <c r="O536" s="73" t="str">
        <f>IF(ISBLANK(C536),"",_xlfn.IFNA(INDEX(inbound_data[],MATCH(Outbound_data[[#This Row],[STOCK CODE OUT]],Generated_Stockcode,0),12),""))</f>
        <v/>
      </c>
      <c r="P536" s="73" t="str">
        <f>IF(ISBLANK(C536),"",_xlfn.IFNA(INDEX(inbound_data[],MATCH(Outbound_data[[#This Row],[STOCK CODE OUT]],Generated_Stockcode,0),23),""))</f>
        <v/>
      </c>
      <c r="Q536" s="73" t="str">
        <f>IF(ISBLANK(C536),"",_xlfn.IFNA(INDEX(inbound_data[],MATCH(Outbound_data[[#This Row],[STOCK CODE OUT]],Generated_Stockcode,0),13),""))</f>
        <v/>
      </c>
    </row>
    <row r="537" spans="2:17" x14ac:dyDescent="0.25">
      <c r="B537" s="71"/>
      <c r="C537" s="65"/>
      <c r="D537" s="55"/>
      <c r="E537" s="65"/>
      <c r="F537" s="166"/>
      <c r="G537" s="167"/>
      <c r="H537" s="166"/>
      <c r="I537" s="72"/>
      <c r="J537" s="55"/>
      <c r="K537" s="72"/>
      <c r="L537" s="55"/>
      <c r="M537" s="174"/>
      <c r="N537" s="73" t="str">
        <f>IF(ISBLANK(C537),"",_xlfn.IFNA(INDEX(inbound_data[],MATCH(Outbound_data[[#This Row],[STOCK CODE OUT]],Generated_Stockcode,0),10),""))</f>
        <v/>
      </c>
      <c r="O537" s="73" t="str">
        <f>IF(ISBLANK(C537),"",_xlfn.IFNA(INDEX(inbound_data[],MATCH(Outbound_data[[#This Row],[STOCK CODE OUT]],Generated_Stockcode,0),12),""))</f>
        <v/>
      </c>
      <c r="P537" s="73" t="str">
        <f>IF(ISBLANK(C537),"",_xlfn.IFNA(INDEX(inbound_data[],MATCH(Outbound_data[[#This Row],[STOCK CODE OUT]],Generated_Stockcode,0),23),""))</f>
        <v/>
      </c>
      <c r="Q537" s="73" t="str">
        <f>IF(ISBLANK(C537),"",_xlfn.IFNA(INDEX(inbound_data[],MATCH(Outbound_data[[#This Row],[STOCK CODE OUT]],Generated_Stockcode,0),13),""))</f>
        <v/>
      </c>
    </row>
    <row r="538" spans="2:17" x14ac:dyDescent="0.25">
      <c r="B538" s="71"/>
      <c r="C538" s="65"/>
      <c r="D538" s="55"/>
      <c r="E538" s="65"/>
      <c r="F538" s="166"/>
      <c r="G538" s="167"/>
      <c r="H538" s="166"/>
      <c r="I538" s="72"/>
      <c r="J538" s="55"/>
      <c r="K538" s="72"/>
      <c r="L538" s="55"/>
      <c r="M538" s="174"/>
      <c r="N538" s="73" t="str">
        <f>IF(ISBLANK(C538),"",_xlfn.IFNA(INDEX(inbound_data[],MATCH(Outbound_data[[#This Row],[STOCK CODE OUT]],Generated_Stockcode,0),10),""))</f>
        <v/>
      </c>
      <c r="O538" s="73" t="str">
        <f>IF(ISBLANK(C538),"",_xlfn.IFNA(INDEX(inbound_data[],MATCH(Outbound_data[[#This Row],[STOCK CODE OUT]],Generated_Stockcode,0),12),""))</f>
        <v/>
      </c>
      <c r="P538" s="73" t="str">
        <f>IF(ISBLANK(C538),"",_xlfn.IFNA(INDEX(inbound_data[],MATCH(Outbound_data[[#This Row],[STOCK CODE OUT]],Generated_Stockcode,0),23),""))</f>
        <v/>
      </c>
      <c r="Q538" s="73" t="str">
        <f>IF(ISBLANK(C538),"",_xlfn.IFNA(INDEX(inbound_data[],MATCH(Outbound_data[[#This Row],[STOCK CODE OUT]],Generated_Stockcode,0),13),""))</f>
        <v/>
      </c>
    </row>
    <row r="539" spans="2:17" x14ac:dyDescent="0.25">
      <c r="B539" s="71"/>
      <c r="C539" s="65"/>
      <c r="D539" s="55"/>
      <c r="E539" s="65"/>
      <c r="F539" s="166"/>
      <c r="G539" s="167"/>
      <c r="H539" s="166"/>
      <c r="I539" s="72"/>
      <c r="J539" s="55"/>
      <c r="K539" s="72"/>
      <c r="L539" s="55"/>
      <c r="M539" s="174"/>
      <c r="N539" s="73" t="str">
        <f>IF(ISBLANK(C539),"",_xlfn.IFNA(INDEX(inbound_data[],MATCH(Outbound_data[[#This Row],[STOCK CODE OUT]],Generated_Stockcode,0),10),""))</f>
        <v/>
      </c>
      <c r="O539" s="73" t="str">
        <f>IF(ISBLANK(C539),"",_xlfn.IFNA(INDEX(inbound_data[],MATCH(Outbound_data[[#This Row],[STOCK CODE OUT]],Generated_Stockcode,0),12),""))</f>
        <v/>
      </c>
      <c r="P539" s="73" t="str">
        <f>IF(ISBLANK(C539),"",_xlfn.IFNA(INDEX(inbound_data[],MATCH(Outbound_data[[#This Row],[STOCK CODE OUT]],Generated_Stockcode,0),23),""))</f>
        <v/>
      </c>
      <c r="Q539" s="73" t="str">
        <f>IF(ISBLANK(C539),"",_xlfn.IFNA(INDEX(inbound_data[],MATCH(Outbound_data[[#This Row],[STOCK CODE OUT]],Generated_Stockcode,0),13),""))</f>
        <v/>
      </c>
    </row>
    <row r="540" spans="2:17" x14ac:dyDescent="0.25">
      <c r="B540" s="71"/>
      <c r="C540" s="65"/>
      <c r="D540" s="55"/>
      <c r="E540" s="65"/>
      <c r="F540" s="166"/>
      <c r="G540" s="167"/>
      <c r="H540" s="166"/>
      <c r="I540" s="72"/>
      <c r="J540" s="55"/>
      <c r="K540" s="72"/>
      <c r="L540" s="55"/>
      <c r="M540" s="174"/>
      <c r="N540" s="73" t="str">
        <f>IF(ISBLANK(C540),"",_xlfn.IFNA(INDEX(inbound_data[],MATCH(Outbound_data[[#This Row],[STOCK CODE OUT]],Generated_Stockcode,0),10),""))</f>
        <v/>
      </c>
      <c r="O540" s="73" t="str">
        <f>IF(ISBLANK(C540),"",_xlfn.IFNA(INDEX(inbound_data[],MATCH(Outbound_data[[#This Row],[STOCK CODE OUT]],Generated_Stockcode,0),12),""))</f>
        <v/>
      </c>
      <c r="P540" s="73" t="str">
        <f>IF(ISBLANK(C540),"",_xlfn.IFNA(INDEX(inbound_data[],MATCH(Outbound_data[[#This Row],[STOCK CODE OUT]],Generated_Stockcode,0),23),""))</f>
        <v/>
      </c>
      <c r="Q540" s="73" t="str">
        <f>IF(ISBLANK(C540),"",_xlfn.IFNA(INDEX(inbound_data[],MATCH(Outbound_data[[#This Row],[STOCK CODE OUT]],Generated_Stockcode,0),13),""))</f>
        <v/>
      </c>
    </row>
    <row r="541" spans="2:17" x14ac:dyDescent="0.25">
      <c r="B541" s="71"/>
      <c r="C541" s="65"/>
      <c r="D541" s="55"/>
      <c r="E541" s="65"/>
      <c r="F541" s="166"/>
      <c r="G541" s="167"/>
      <c r="H541" s="166"/>
      <c r="I541" s="72"/>
      <c r="J541" s="55"/>
      <c r="K541" s="72"/>
      <c r="L541" s="55"/>
      <c r="M541" s="174"/>
      <c r="N541" s="73" t="str">
        <f>IF(ISBLANK(C541),"",_xlfn.IFNA(INDEX(inbound_data[],MATCH(Outbound_data[[#This Row],[STOCK CODE OUT]],Generated_Stockcode,0),10),""))</f>
        <v/>
      </c>
      <c r="O541" s="73" t="str">
        <f>IF(ISBLANK(C541),"",_xlfn.IFNA(INDEX(inbound_data[],MATCH(Outbound_data[[#This Row],[STOCK CODE OUT]],Generated_Stockcode,0),12),""))</f>
        <v/>
      </c>
      <c r="P541" s="73" t="str">
        <f>IF(ISBLANK(C541),"",_xlfn.IFNA(INDEX(inbound_data[],MATCH(Outbound_data[[#This Row],[STOCK CODE OUT]],Generated_Stockcode,0),23),""))</f>
        <v/>
      </c>
      <c r="Q541" s="73" t="str">
        <f>IF(ISBLANK(C541),"",_xlfn.IFNA(INDEX(inbound_data[],MATCH(Outbound_data[[#This Row],[STOCK CODE OUT]],Generated_Stockcode,0),13),""))</f>
        <v/>
      </c>
    </row>
    <row r="542" spans="2:17" x14ac:dyDescent="0.25">
      <c r="B542" s="71"/>
      <c r="C542" s="65"/>
      <c r="D542" s="55"/>
      <c r="E542" s="65"/>
      <c r="F542" s="166"/>
      <c r="G542" s="167"/>
      <c r="H542" s="166"/>
      <c r="I542" s="72"/>
      <c r="J542" s="55"/>
      <c r="K542" s="72"/>
      <c r="L542" s="55"/>
      <c r="M542" s="174"/>
      <c r="N542" s="73" t="str">
        <f>IF(ISBLANK(C542),"",_xlfn.IFNA(INDEX(inbound_data[],MATCH(Outbound_data[[#This Row],[STOCK CODE OUT]],Generated_Stockcode,0),10),""))</f>
        <v/>
      </c>
      <c r="O542" s="73" t="str">
        <f>IF(ISBLANK(C542),"",_xlfn.IFNA(INDEX(inbound_data[],MATCH(Outbound_data[[#This Row],[STOCK CODE OUT]],Generated_Stockcode,0),12),""))</f>
        <v/>
      </c>
      <c r="P542" s="73" t="str">
        <f>IF(ISBLANK(C542),"",_xlfn.IFNA(INDEX(inbound_data[],MATCH(Outbound_data[[#This Row],[STOCK CODE OUT]],Generated_Stockcode,0),23),""))</f>
        <v/>
      </c>
      <c r="Q542" s="73" t="str">
        <f>IF(ISBLANK(C542),"",_xlfn.IFNA(INDEX(inbound_data[],MATCH(Outbound_data[[#This Row],[STOCK CODE OUT]],Generated_Stockcode,0),13),""))</f>
        <v/>
      </c>
    </row>
    <row r="543" spans="2:17" x14ac:dyDescent="0.25">
      <c r="B543" s="71"/>
      <c r="C543" s="65"/>
      <c r="D543" s="55"/>
      <c r="E543" s="65"/>
      <c r="F543" s="166"/>
      <c r="G543" s="167"/>
      <c r="H543" s="166"/>
      <c r="I543" s="72"/>
      <c r="J543" s="55"/>
      <c r="K543" s="72"/>
      <c r="L543" s="55"/>
      <c r="M543" s="174"/>
      <c r="N543" s="73" t="str">
        <f>IF(ISBLANK(C543),"",_xlfn.IFNA(INDEX(inbound_data[],MATCH(Outbound_data[[#This Row],[STOCK CODE OUT]],Generated_Stockcode,0),10),""))</f>
        <v/>
      </c>
      <c r="O543" s="73" t="str">
        <f>IF(ISBLANK(C543),"",_xlfn.IFNA(INDEX(inbound_data[],MATCH(Outbound_data[[#This Row],[STOCK CODE OUT]],Generated_Stockcode,0),12),""))</f>
        <v/>
      </c>
      <c r="P543" s="73" t="str">
        <f>IF(ISBLANK(C543),"",_xlfn.IFNA(INDEX(inbound_data[],MATCH(Outbound_data[[#This Row],[STOCK CODE OUT]],Generated_Stockcode,0),23),""))</f>
        <v/>
      </c>
      <c r="Q543" s="73" t="str">
        <f>IF(ISBLANK(C543),"",_xlfn.IFNA(INDEX(inbound_data[],MATCH(Outbound_data[[#This Row],[STOCK CODE OUT]],Generated_Stockcode,0),13),""))</f>
        <v/>
      </c>
    </row>
    <row r="544" spans="2:17" x14ac:dyDescent="0.25">
      <c r="B544" s="71"/>
      <c r="C544" s="65"/>
      <c r="D544" s="55"/>
      <c r="E544" s="65"/>
      <c r="F544" s="166"/>
      <c r="G544" s="167"/>
      <c r="H544" s="166"/>
      <c r="I544" s="72"/>
      <c r="J544" s="55"/>
      <c r="K544" s="72"/>
      <c r="L544" s="55"/>
      <c r="M544" s="174"/>
      <c r="N544" s="73" t="str">
        <f>IF(ISBLANK(C544),"",_xlfn.IFNA(INDEX(inbound_data[],MATCH(Outbound_data[[#This Row],[STOCK CODE OUT]],Generated_Stockcode,0),10),""))</f>
        <v/>
      </c>
      <c r="O544" s="73" t="str">
        <f>IF(ISBLANK(C544),"",_xlfn.IFNA(INDEX(inbound_data[],MATCH(Outbound_data[[#This Row],[STOCK CODE OUT]],Generated_Stockcode,0),12),""))</f>
        <v/>
      </c>
      <c r="P544" s="73" t="str">
        <f>IF(ISBLANK(C544),"",_xlfn.IFNA(INDEX(inbound_data[],MATCH(Outbound_data[[#This Row],[STOCK CODE OUT]],Generated_Stockcode,0),23),""))</f>
        <v/>
      </c>
      <c r="Q544" s="73" t="str">
        <f>IF(ISBLANK(C544),"",_xlfn.IFNA(INDEX(inbound_data[],MATCH(Outbound_data[[#This Row],[STOCK CODE OUT]],Generated_Stockcode,0),13),""))</f>
        <v/>
      </c>
    </row>
    <row r="545" spans="2:17" x14ac:dyDescent="0.25">
      <c r="B545" s="71"/>
      <c r="C545" s="65"/>
      <c r="D545" s="55"/>
      <c r="E545" s="65"/>
      <c r="F545" s="166"/>
      <c r="G545" s="167"/>
      <c r="H545" s="166"/>
      <c r="I545" s="72"/>
      <c r="J545" s="55"/>
      <c r="K545" s="72"/>
      <c r="L545" s="55"/>
      <c r="M545" s="174"/>
      <c r="N545" s="73" t="str">
        <f>IF(ISBLANK(C545),"",_xlfn.IFNA(INDEX(inbound_data[],MATCH(Outbound_data[[#This Row],[STOCK CODE OUT]],Generated_Stockcode,0),10),""))</f>
        <v/>
      </c>
      <c r="O545" s="73" t="str">
        <f>IF(ISBLANK(C545),"",_xlfn.IFNA(INDEX(inbound_data[],MATCH(Outbound_data[[#This Row],[STOCK CODE OUT]],Generated_Stockcode,0),12),""))</f>
        <v/>
      </c>
      <c r="P545" s="73" t="str">
        <f>IF(ISBLANK(C545),"",_xlfn.IFNA(INDEX(inbound_data[],MATCH(Outbound_data[[#This Row],[STOCK CODE OUT]],Generated_Stockcode,0),23),""))</f>
        <v/>
      </c>
      <c r="Q545" s="73" t="str">
        <f>IF(ISBLANK(C545),"",_xlfn.IFNA(INDEX(inbound_data[],MATCH(Outbound_data[[#This Row],[STOCK CODE OUT]],Generated_Stockcode,0),13),""))</f>
        <v/>
      </c>
    </row>
    <row r="546" spans="2:17" x14ac:dyDescent="0.25">
      <c r="B546" s="71"/>
      <c r="C546" s="65"/>
      <c r="D546" s="55"/>
      <c r="E546" s="65"/>
      <c r="F546" s="166"/>
      <c r="G546" s="167"/>
      <c r="H546" s="166"/>
      <c r="I546" s="72"/>
      <c r="J546" s="55"/>
      <c r="K546" s="72"/>
      <c r="L546" s="55"/>
      <c r="M546" s="174"/>
      <c r="N546" s="73" t="str">
        <f>IF(ISBLANK(C546),"",_xlfn.IFNA(INDEX(inbound_data[],MATCH(Outbound_data[[#This Row],[STOCK CODE OUT]],Generated_Stockcode,0),10),""))</f>
        <v/>
      </c>
      <c r="O546" s="73" t="str">
        <f>IF(ISBLANK(C546),"",_xlfn.IFNA(INDEX(inbound_data[],MATCH(Outbound_data[[#This Row],[STOCK CODE OUT]],Generated_Stockcode,0),12),""))</f>
        <v/>
      </c>
      <c r="P546" s="73" t="str">
        <f>IF(ISBLANK(C546),"",_xlfn.IFNA(INDEX(inbound_data[],MATCH(Outbound_data[[#This Row],[STOCK CODE OUT]],Generated_Stockcode,0),23),""))</f>
        <v/>
      </c>
      <c r="Q546" s="73" t="str">
        <f>IF(ISBLANK(C546),"",_xlfn.IFNA(INDEX(inbound_data[],MATCH(Outbound_data[[#This Row],[STOCK CODE OUT]],Generated_Stockcode,0),13),""))</f>
        <v/>
      </c>
    </row>
    <row r="547" spans="2:17" x14ac:dyDescent="0.25">
      <c r="B547" s="71"/>
      <c r="C547" s="65"/>
      <c r="D547" s="55"/>
      <c r="E547" s="65"/>
      <c r="F547" s="166"/>
      <c r="G547" s="167"/>
      <c r="H547" s="166"/>
      <c r="I547" s="72"/>
      <c r="J547" s="55"/>
      <c r="K547" s="72"/>
      <c r="L547" s="55"/>
      <c r="M547" s="174"/>
      <c r="N547" s="73" t="str">
        <f>IF(ISBLANK(C547),"",_xlfn.IFNA(INDEX(inbound_data[],MATCH(Outbound_data[[#This Row],[STOCK CODE OUT]],Generated_Stockcode,0),10),""))</f>
        <v/>
      </c>
      <c r="O547" s="73" t="str">
        <f>IF(ISBLANK(C547),"",_xlfn.IFNA(INDEX(inbound_data[],MATCH(Outbound_data[[#This Row],[STOCK CODE OUT]],Generated_Stockcode,0),12),""))</f>
        <v/>
      </c>
      <c r="P547" s="73" t="str">
        <f>IF(ISBLANK(C547),"",_xlfn.IFNA(INDEX(inbound_data[],MATCH(Outbound_data[[#This Row],[STOCK CODE OUT]],Generated_Stockcode,0),23),""))</f>
        <v/>
      </c>
      <c r="Q547" s="73" t="str">
        <f>IF(ISBLANK(C547),"",_xlfn.IFNA(INDEX(inbound_data[],MATCH(Outbound_data[[#This Row],[STOCK CODE OUT]],Generated_Stockcode,0),13),""))</f>
        <v/>
      </c>
    </row>
    <row r="548" spans="2:17" x14ac:dyDescent="0.25">
      <c r="B548" s="71"/>
      <c r="C548" s="65"/>
      <c r="D548" s="55"/>
      <c r="E548" s="65"/>
      <c r="F548" s="166"/>
      <c r="G548" s="167"/>
      <c r="H548" s="166"/>
      <c r="I548" s="72"/>
      <c r="J548" s="55"/>
      <c r="K548" s="72"/>
      <c r="L548" s="55"/>
      <c r="M548" s="174"/>
      <c r="N548" s="73" t="str">
        <f>IF(ISBLANK(C548),"",_xlfn.IFNA(INDEX(inbound_data[],MATCH(Outbound_data[[#This Row],[STOCK CODE OUT]],Generated_Stockcode,0),10),""))</f>
        <v/>
      </c>
      <c r="O548" s="73" t="str">
        <f>IF(ISBLANK(C548),"",_xlfn.IFNA(INDEX(inbound_data[],MATCH(Outbound_data[[#This Row],[STOCK CODE OUT]],Generated_Stockcode,0),12),""))</f>
        <v/>
      </c>
      <c r="P548" s="73" t="str">
        <f>IF(ISBLANK(C548),"",_xlfn.IFNA(INDEX(inbound_data[],MATCH(Outbound_data[[#This Row],[STOCK CODE OUT]],Generated_Stockcode,0),23),""))</f>
        <v/>
      </c>
      <c r="Q548" s="73" t="str">
        <f>IF(ISBLANK(C548),"",_xlfn.IFNA(INDEX(inbound_data[],MATCH(Outbound_data[[#This Row],[STOCK CODE OUT]],Generated_Stockcode,0),13),""))</f>
        <v/>
      </c>
    </row>
    <row r="549" spans="2:17" x14ac:dyDescent="0.25">
      <c r="B549" s="71"/>
      <c r="C549" s="65"/>
      <c r="D549" s="55"/>
      <c r="E549" s="65"/>
      <c r="F549" s="166"/>
      <c r="G549" s="167"/>
      <c r="H549" s="166"/>
      <c r="I549" s="72"/>
      <c r="J549" s="55"/>
      <c r="K549" s="72"/>
      <c r="L549" s="55"/>
      <c r="M549" s="174"/>
      <c r="N549" s="73" t="str">
        <f>IF(ISBLANK(C549),"",_xlfn.IFNA(INDEX(inbound_data[],MATCH(Outbound_data[[#This Row],[STOCK CODE OUT]],Generated_Stockcode,0),10),""))</f>
        <v/>
      </c>
      <c r="O549" s="73" t="str">
        <f>IF(ISBLANK(C549),"",_xlfn.IFNA(INDEX(inbound_data[],MATCH(Outbound_data[[#This Row],[STOCK CODE OUT]],Generated_Stockcode,0),12),""))</f>
        <v/>
      </c>
      <c r="P549" s="73" t="str">
        <f>IF(ISBLANK(C549),"",_xlfn.IFNA(INDEX(inbound_data[],MATCH(Outbound_data[[#This Row],[STOCK CODE OUT]],Generated_Stockcode,0),23),""))</f>
        <v/>
      </c>
      <c r="Q549" s="73" t="str">
        <f>IF(ISBLANK(C549),"",_xlfn.IFNA(INDEX(inbound_data[],MATCH(Outbound_data[[#This Row],[STOCK CODE OUT]],Generated_Stockcode,0),13),""))</f>
        <v/>
      </c>
    </row>
    <row r="550" spans="2:17" x14ac:dyDescent="0.25">
      <c r="B550" s="71"/>
      <c r="C550" s="65"/>
      <c r="D550" s="55"/>
      <c r="E550" s="65"/>
      <c r="F550" s="166"/>
      <c r="G550" s="167"/>
      <c r="H550" s="166"/>
      <c r="I550" s="72"/>
      <c r="J550" s="55"/>
      <c r="K550" s="72"/>
      <c r="L550" s="55"/>
      <c r="M550" s="174"/>
      <c r="N550" s="73" t="str">
        <f>IF(ISBLANK(C550),"",_xlfn.IFNA(INDEX(inbound_data[],MATCH(Outbound_data[[#This Row],[STOCK CODE OUT]],Generated_Stockcode,0),10),""))</f>
        <v/>
      </c>
      <c r="O550" s="73" t="str">
        <f>IF(ISBLANK(C550),"",_xlfn.IFNA(INDEX(inbound_data[],MATCH(Outbound_data[[#This Row],[STOCK CODE OUT]],Generated_Stockcode,0),12),""))</f>
        <v/>
      </c>
      <c r="P550" s="73" t="str">
        <f>IF(ISBLANK(C550),"",_xlfn.IFNA(INDEX(inbound_data[],MATCH(Outbound_data[[#This Row],[STOCK CODE OUT]],Generated_Stockcode,0),23),""))</f>
        <v/>
      </c>
      <c r="Q550" s="73" t="str">
        <f>IF(ISBLANK(C550),"",_xlfn.IFNA(INDEX(inbound_data[],MATCH(Outbound_data[[#This Row],[STOCK CODE OUT]],Generated_Stockcode,0),13),""))</f>
        <v/>
      </c>
    </row>
    <row r="551" spans="2:17" x14ac:dyDescent="0.25">
      <c r="B551" s="71"/>
      <c r="C551" s="65"/>
      <c r="D551" s="55"/>
      <c r="E551" s="65"/>
      <c r="F551" s="166"/>
      <c r="G551" s="167"/>
      <c r="H551" s="166"/>
      <c r="I551" s="72"/>
      <c r="J551" s="55"/>
      <c r="K551" s="72"/>
      <c r="L551" s="55"/>
      <c r="M551" s="174"/>
      <c r="N551" s="73" t="str">
        <f>IF(ISBLANK(C551),"",_xlfn.IFNA(INDEX(inbound_data[],MATCH(Outbound_data[[#This Row],[STOCK CODE OUT]],Generated_Stockcode,0),10),""))</f>
        <v/>
      </c>
      <c r="O551" s="73" t="str">
        <f>IF(ISBLANK(C551),"",_xlfn.IFNA(INDEX(inbound_data[],MATCH(Outbound_data[[#This Row],[STOCK CODE OUT]],Generated_Stockcode,0),12),""))</f>
        <v/>
      </c>
      <c r="P551" s="73" t="str">
        <f>IF(ISBLANK(C551),"",_xlfn.IFNA(INDEX(inbound_data[],MATCH(Outbound_data[[#This Row],[STOCK CODE OUT]],Generated_Stockcode,0),23),""))</f>
        <v/>
      </c>
      <c r="Q551" s="73" t="str">
        <f>IF(ISBLANK(C551),"",_xlfn.IFNA(INDEX(inbound_data[],MATCH(Outbound_data[[#This Row],[STOCK CODE OUT]],Generated_Stockcode,0),13),""))</f>
        <v/>
      </c>
    </row>
    <row r="552" spans="2:17" x14ac:dyDescent="0.25">
      <c r="B552" s="71"/>
      <c r="C552" s="65"/>
      <c r="D552" s="55"/>
      <c r="E552" s="65"/>
      <c r="F552" s="166"/>
      <c r="G552" s="167"/>
      <c r="H552" s="166"/>
      <c r="I552" s="72"/>
      <c r="J552" s="55"/>
      <c r="K552" s="72"/>
      <c r="L552" s="55"/>
      <c r="M552" s="174"/>
      <c r="N552" s="73" t="str">
        <f>IF(ISBLANK(C552),"",_xlfn.IFNA(INDEX(inbound_data[],MATCH(Outbound_data[[#This Row],[STOCK CODE OUT]],Generated_Stockcode,0),10),""))</f>
        <v/>
      </c>
      <c r="O552" s="73" t="str">
        <f>IF(ISBLANK(C552),"",_xlfn.IFNA(INDEX(inbound_data[],MATCH(Outbound_data[[#This Row],[STOCK CODE OUT]],Generated_Stockcode,0),12),""))</f>
        <v/>
      </c>
      <c r="P552" s="73" t="str">
        <f>IF(ISBLANK(C552),"",_xlfn.IFNA(INDEX(inbound_data[],MATCH(Outbound_data[[#This Row],[STOCK CODE OUT]],Generated_Stockcode,0),23),""))</f>
        <v/>
      </c>
      <c r="Q552" s="73" t="str">
        <f>IF(ISBLANK(C552),"",_xlfn.IFNA(INDEX(inbound_data[],MATCH(Outbound_data[[#This Row],[STOCK CODE OUT]],Generated_Stockcode,0),13),""))</f>
        <v/>
      </c>
    </row>
    <row r="553" spans="2:17" x14ac:dyDescent="0.25">
      <c r="B553" s="71"/>
      <c r="C553" s="65"/>
      <c r="D553" s="55"/>
      <c r="E553" s="65"/>
      <c r="F553" s="166"/>
      <c r="G553" s="167"/>
      <c r="H553" s="166"/>
      <c r="I553" s="72"/>
      <c r="J553" s="55"/>
      <c r="K553" s="72"/>
      <c r="L553" s="55"/>
      <c r="M553" s="174"/>
      <c r="N553" s="73" t="str">
        <f>IF(ISBLANK(C553),"",_xlfn.IFNA(INDEX(inbound_data[],MATCH(Outbound_data[[#This Row],[STOCK CODE OUT]],Generated_Stockcode,0),10),""))</f>
        <v/>
      </c>
      <c r="O553" s="73" t="str">
        <f>IF(ISBLANK(C553),"",_xlfn.IFNA(INDEX(inbound_data[],MATCH(Outbound_data[[#This Row],[STOCK CODE OUT]],Generated_Stockcode,0),12),""))</f>
        <v/>
      </c>
      <c r="P553" s="73" t="str">
        <f>IF(ISBLANK(C553),"",_xlfn.IFNA(INDEX(inbound_data[],MATCH(Outbound_data[[#This Row],[STOCK CODE OUT]],Generated_Stockcode,0),23),""))</f>
        <v/>
      </c>
      <c r="Q553" s="73" t="str">
        <f>IF(ISBLANK(C553),"",_xlfn.IFNA(INDEX(inbound_data[],MATCH(Outbound_data[[#This Row],[STOCK CODE OUT]],Generated_Stockcode,0),13),""))</f>
        <v/>
      </c>
    </row>
    <row r="554" spans="2:17" x14ac:dyDescent="0.25">
      <c r="B554" s="71"/>
      <c r="C554" s="65"/>
      <c r="D554" s="55"/>
      <c r="E554" s="65"/>
      <c r="F554" s="166"/>
      <c r="G554" s="167"/>
      <c r="H554" s="166"/>
      <c r="I554" s="72"/>
      <c r="J554" s="55"/>
      <c r="K554" s="72"/>
      <c r="L554" s="55"/>
      <c r="M554" s="174"/>
      <c r="N554" s="73" t="str">
        <f>IF(ISBLANK(C554),"",_xlfn.IFNA(INDEX(inbound_data[],MATCH(Outbound_data[[#This Row],[STOCK CODE OUT]],Generated_Stockcode,0),10),""))</f>
        <v/>
      </c>
      <c r="O554" s="73" t="str">
        <f>IF(ISBLANK(C554),"",_xlfn.IFNA(INDEX(inbound_data[],MATCH(Outbound_data[[#This Row],[STOCK CODE OUT]],Generated_Stockcode,0),12),""))</f>
        <v/>
      </c>
      <c r="P554" s="73" t="str">
        <f>IF(ISBLANK(C554),"",_xlfn.IFNA(INDEX(inbound_data[],MATCH(Outbound_data[[#This Row],[STOCK CODE OUT]],Generated_Stockcode,0),23),""))</f>
        <v/>
      </c>
      <c r="Q554" s="73" t="str">
        <f>IF(ISBLANK(C554),"",_xlfn.IFNA(INDEX(inbound_data[],MATCH(Outbound_data[[#This Row],[STOCK CODE OUT]],Generated_Stockcode,0),13),""))</f>
        <v/>
      </c>
    </row>
    <row r="555" spans="2:17" x14ac:dyDescent="0.25">
      <c r="B555" s="71"/>
      <c r="C555" s="65"/>
      <c r="D555" s="55"/>
      <c r="E555" s="65"/>
      <c r="F555" s="166"/>
      <c r="G555" s="167"/>
      <c r="H555" s="166"/>
      <c r="I555" s="72"/>
      <c r="J555" s="55"/>
      <c r="K555" s="72"/>
      <c r="L555" s="55"/>
      <c r="M555" s="174"/>
      <c r="N555" s="73" t="str">
        <f>IF(ISBLANK(C555),"",_xlfn.IFNA(INDEX(inbound_data[],MATCH(Outbound_data[[#This Row],[STOCK CODE OUT]],Generated_Stockcode,0),10),""))</f>
        <v/>
      </c>
      <c r="O555" s="73" t="str">
        <f>IF(ISBLANK(C555),"",_xlfn.IFNA(INDEX(inbound_data[],MATCH(Outbound_data[[#This Row],[STOCK CODE OUT]],Generated_Stockcode,0),12),""))</f>
        <v/>
      </c>
      <c r="P555" s="73" t="str">
        <f>IF(ISBLANK(C555),"",_xlfn.IFNA(INDEX(inbound_data[],MATCH(Outbound_data[[#This Row],[STOCK CODE OUT]],Generated_Stockcode,0),23),""))</f>
        <v/>
      </c>
      <c r="Q555" s="73" t="str">
        <f>IF(ISBLANK(C555),"",_xlfn.IFNA(INDEX(inbound_data[],MATCH(Outbound_data[[#This Row],[STOCK CODE OUT]],Generated_Stockcode,0),13),""))</f>
        <v/>
      </c>
    </row>
    <row r="556" spans="2:17" x14ac:dyDescent="0.25">
      <c r="B556" s="71"/>
      <c r="C556" s="65"/>
      <c r="D556" s="55"/>
      <c r="E556" s="65"/>
      <c r="F556" s="166"/>
      <c r="G556" s="167"/>
      <c r="H556" s="166"/>
      <c r="I556" s="72"/>
      <c r="J556" s="55"/>
      <c r="K556" s="72"/>
      <c r="L556" s="55"/>
      <c r="M556" s="174"/>
      <c r="N556" s="73" t="str">
        <f>IF(ISBLANK(C556),"",_xlfn.IFNA(INDEX(inbound_data[],MATCH(Outbound_data[[#This Row],[STOCK CODE OUT]],Generated_Stockcode,0),10),""))</f>
        <v/>
      </c>
      <c r="O556" s="73" t="str">
        <f>IF(ISBLANK(C556),"",_xlfn.IFNA(INDEX(inbound_data[],MATCH(Outbound_data[[#This Row],[STOCK CODE OUT]],Generated_Stockcode,0),12),""))</f>
        <v/>
      </c>
      <c r="P556" s="73" t="str">
        <f>IF(ISBLANK(C556),"",_xlfn.IFNA(INDEX(inbound_data[],MATCH(Outbound_data[[#This Row],[STOCK CODE OUT]],Generated_Stockcode,0),23),""))</f>
        <v/>
      </c>
      <c r="Q556" s="73" t="str">
        <f>IF(ISBLANK(C556),"",_xlfn.IFNA(INDEX(inbound_data[],MATCH(Outbound_data[[#This Row],[STOCK CODE OUT]],Generated_Stockcode,0),13),""))</f>
        <v/>
      </c>
    </row>
    <row r="557" spans="2:17" x14ac:dyDescent="0.25">
      <c r="B557" s="71"/>
      <c r="C557" s="65"/>
      <c r="D557" s="55"/>
      <c r="E557" s="65"/>
      <c r="F557" s="166"/>
      <c r="G557" s="167"/>
      <c r="H557" s="166"/>
      <c r="I557" s="72"/>
      <c r="J557" s="55"/>
      <c r="K557" s="72"/>
      <c r="L557" s="55"/>
      <c r="M557" s="174"/>
      <c r="N557" s="73" t="str">
        <f>IF(ISBLANK(C557),"",_xlfn.IFNA(INDEX(inbound_data[],MATCH(Outbound_data[[#This Row],[STOCK CODE OUT]],Generated_Stockcode,0),10),""))</f>
        <v/>
      </c>
      <c r="O557" s="73" t="str">
        <f>IF(ISBLANK(C557),"",_xlfn.IFNA(INDEX(inbound_data[],MATCH(Outbound_data[[#This Row],[STOCK CODE OUT]],Generated_Stockcode,0),12),""))</f>
        <v/>
      </c>
      <c r="P557" s="73" t="str">
        <f>IF(ISBLANK(C557),"",_xlfn.IFNA(INDEX(inbound_data[],MATCH(Outbound_data[[#This Row],[STOCK CODE OUT]],Generated_Stockcode,0),23),""))</f>
        <v/>
      </c>
      <c r="Q557" s="73" t="str">
        <f>IF(ISBLANK(C557),"",_xlfn.IFNA(INDEX(inbound_data[],MATCH(Outbound_data[[#This Row],[STOCK CODE OUT]],Generated_Stockcode,0),13),""))</f>
        <v/>
      </c>
    </row>
    <row r="558" spans="2:17" x14ac:dyDescent="0.25">
      <c r="B558" s="71"/>
      <c r="C558" s="65"/>
      <c r="D558" s="55"/>
      <c r="E558" s="65"/>
      <c r="F558" s="166"/>
      <c r="G558" s="167"/>
      <c r="H558" s="166"/>
      <c r="I558" s="72"/>
      <c r="J558" s="55"/>
      <c r="K558" s="72"/>
      <c r="L558" s="55"/>
      <c r="M558" s="174"/>
      <c r="N558" s="73" t="str">
        <f>IF(ISBLANK(C558),"",_xlfn.IFNA(INDEX(inbound_data[],MATCH(Outbound_data[[#This Row],[STOCK CODE OUT]],Generated_Stockcode,0),10),""))</f>
        <v/>
      </c>
      <c r="O558" s="73" t="str">
        <f>IF(ISBLANK(C558),"",_xlfn.IFNA(INDEX(inbound_data[],MATCH(Outbound_data[[#This Row],[STOCK CODE OUT]],Generated_Stockcode,0),12),""))</f>
        <v/>
      </c>
      <c r="P558" s="73" t="str">
        <f>IF(ISBLANK(C558),"",_xlfn.IFNA(INDEX(inbound_data[],MATCH(Outbound_data[[#This Row],[STOCK CODE OUT]],Generated_Stockcode,0),23),""))</f>
        <v/>
      </c>
      <c r="Q558" s="73" t="str">
        <f>IF(ISBLANK(C558),"",_xlfn.IFNA(INDEX(inbound_data[],MATCH(Outbound_data[[#This Row],[STOCK CODE OUT]],Generated_Stockcode,0),13),""))</f>
        <v/>
      </c>
    </row>
    <row r="559" spans="2:17" x14ac:dyDescent="0.25">
      <c r="B559" s="71"/>
      <c r="C559" s="65"/>
      <c r="D559" s="55"/>
      <c r="E559" s="65"/>
      <c r="F559" s="166"/>
      <c r="G559" s="167"/>
      <c r="H559" s="166"/>
      <c r="I559" s="72"/>
      <c r="J559" s="55"/>
      <c r="K559" s="72"/>
      <c r="L559" s="55"/>
      <c r="M559" s="174"/>
      <c r="N559" s="73" t="str">
        <f>IF(ISBLANK(C559),"",_xlfn.IFNA(INDEX(inbound_data[],MATCH(Outbound_data[[#This Row],[STOCK CODE OUT]],Generated_Stockcode,0),10),""))</f>
        <v/>
      </c>
      <c r="O559" s="73" t="str">
        <f>IF(ISBLANK(C559),"",_xlfn.IFNA(INDEX(inbound_data[],MATCH(Outbound_data[[#This Row],[STOCK CODE OUT]],Generated_Stockcode,0),12),""))</f>
        <v/>
      </c>
      <c r="P559" s="73" t="str">
        <f>IF(ISBLANK(C559),"",_xlfn.IFNA(INDEX(inbound_data[],MATCH(Outbound_data[[#This Row],[STOCK CODE OUT]],Generated_Stockcode,0),23),""))</f>
        <v/>
      </c>
      <c r="Q559" s="73" t="str">
        <f>IF(ISBLANK(C559),"",_xlfn.IFNA(INDEX(inbound_data[],MATCH(Outbound_data[[#This Row],[STOCK CODE OUT]],Generated_Stockcode,0),13),""))</f>
        <v/>
      </c>
    </row>
    <row r="560" spans="2:17" x14ac:dyDescent="0.25">
      <c r="B560" s="71"/>
      <c r="C560" s="65"/>
      <c r="D560" s="55"/>
      <c r="E560" s="65"/>
      <c r="F560" s="166"/>
      <c r="G560" s="167"/>
      <c r="H560" s="166"/>
      <c r="I560" s="72"/>
      <c r="J560" s="55"/>
      <c r="K560" s="72"/>
      <c r="L560" s="55"/>
      <c r="M560" s="174"/>
      <c r="N560" s="73" t="str">
        <f>IF(ISBLANK(C560),"",_xlfn.IFNA(INDEX(inbound_data[],MATCH(Outbound_data[[#This Row],[STOCK CODE OUT]],Generated_Stockcode,0),10),""))</f>
        <v/>
      </c>
      <c r="O560" s="73" t="str">
        <f>IF(ISBLANK(C560),"",_xlfn.IFNA(INDEX(inbound_data[],MATCH(Outbound_data[[#This Row],[STOCK CODE OUT]],Generated_Stockcode,0),12),""))</f>
        <v/>
      </c>
      <c r="P560" s="73" t="str">
        <f>IF(ISBLANK(C560),"",_xlfn.IFNA(INDEX(inbound_data[],MATCH(Outbound_data[[#This Row],[STOCK CODE OUT]],Generated_Stockcode,0),23),""))</f>
        <v/>
      </c>
      <c r="Q560" s="73" t="str">
        <f>IF(ISBLANK(C560),"",_xlfn.IFNA(INDEX(inbound_data[],MATCH(Outbound_data[[#This Row],[STOCK CODE OUT]],Generated_Stockcode,0),13),""))</f>
        <v/>
      </c>
    </row>
    <row r="561" spans="2:17" x14ac:dyDescent="0.25">
      <c r="B561" s="71"/>
      <c r="C561" s="65"/>
      <c r="D561" s="55"/>
      <c r="E561" s="65"/>
      <c r="F561" s="166"/>
      <c r="G561" s="167"/>
      <c r="H561" s="166"/>
      <c r="I561" s="72"/>
      <c r="J561" s="55"/>
      <c r="K561" s="72"/>
      <c r="L561" s="55"/>
      <c r="M561" s="174"/>
      <c r="N561" s="73" t="str">
        <f>IF(ISBLANK(C561),"",_xlfn.IFNA(INDEX(inbound_data[],MATCH(Outbound_data[[#This Row],[STOCK CODE OUT]],Generated_Stockcode,0),10),""))</f>
        <v/>
      </c>
      <c r="O561" s="73" t="str">
        <f>IF(ISBLANK(C561),"",_xlfn.IFNA(INDEX(inbound_data[],MATCH(Outbound_data[[#This Row],[STOCK CODE OUT]],Generated_Stockcode,0),12),""))</f>
        <v/>
      </c>
      <c r="P561" s="73" t="str">
        <f>IF(ISBLANK(C561),"",_xlfn.IFNA(INDEX(inbound_data[],MATCH(Outbound_data[[#This Row],[STOCK CODE OUT]],Generated_Stockcode,0),23),""))</f>
        <v/>
      </c>
      <c r="Q561" s="73" t="str">
        <f>IF(ISBLANK(C561),"",_xlfn.IFNA(INDEX(inbound_data[],MATCH(Outbound_data[[#This Row],[STOCK CODE OUT]],Generated_Stockcode,0),13),""))</f>
        <v/>
      </c>
    </row>
    <row r="562" spans="2:17" x14ac:dyDescent="0.25">
      <c r="B562" s="71"/>
      <c r="C562" s="65"/>
      <c r="D562" s="55"/>
      <c r="E562" s="65"/>
      <c r="F562" s="166"/>
      <c r="G562" s="167"/>
      <c r="H562" s="166"/>
      <c r="I562" s="72"/>
      <c r="J562" s="55"/>
      <c r="K562" s="72"/>
      <c r="L562" s="55"/>
      <c r="M562" s="174"/>
      <c r="N562" s="73" t="str">
        <f>IF(ISBLANK(C562),"",_xlfn.IFNA(INDEX(inbound_data[],MATCH(Outbound_data[[#This Row],[STOCK CODE OUT]],Generated_Stockcode,0),10),""))</f>
        <v/>
      </c>
      <c r="O562" s="73" t="str">
        <f>IF(ISBLANK(C562),"",_xlfn.IFNA(INDEX(inbound_data[],MATCH(Outbound_data[[#This Row],[STOCK CODE OUT]],Generated_Stockcode,0),12),""))</f>
        <v/>
      </c>
      <c r="P562" s="73" t="str">
        <f>IF(ISBLANK(C562),"",_xlfn.IFNA(INDEX(inbound_data[],MATCH(Outbound_data[[#This Row],[STOCK CODE OUT]],Generated_Stockcode,0),23),""))</f>
        <v/>
      </c>
      <c r="Q562" s="73" t="str">
        <f>IF(ISBLANK(C562),"",_xlfn.IFNA(INDEX(inbound_data[],MATCH(Outbound_data[[#This Row],[STOCK CODE OUT]],Generated_Stockcode,0),13),""))</f>
        <v/>
      </c>
    </row>
    <row r="563" spans="2:17" x14ac:dyDescent="0.25">
      <c r="B563" s="71"/>
      <c r="C563" s="65"/>
      <c r="D563" s="55"/>
      <c r="E563" s="65"/>
      <c r="F563" s="166"/>
      <c r="G563" s="167"/>
      <c r="H563" s="166"/>
      <c r="I563" s="72"/>
      <c r="J563" s="55"/>
      <c r="K563" s="72"/>
      <c r="L563" s="55"/>
      <c r="M563" s="174"/>
      <c r="N563" s="73" t="str">
        <f>IF(ISBLANK(C563),"",_xlfn.IFNA(INDEX(inbound_data[],MATCH(Outbound_data[[#This Row],[STOCK CODE OUT]],Generated_Stockcode,0),10),""))</f>
        <v/>
      </c>
      <c r="O563" s="73" t="str">
        <f>IF(ISBLANK(C563),"",_xlfn.IFNA(INDEX(inbound_data[],MATCH(Outbound_data[[#This Row],[STOCK CODE OUT]],Generated_Stockcode,0),12),""))</f>
        <v/>
      </c>
      <c r="P563" s="73" t="str">
        <f>IF(ISBLANK(C563),"",_xlfn.IFNA(INDEX(inbound_data[],MATCH(Outbound_data[[#This Row],[STOCK CODE OUT]],Generated_Stockcode,0),23),""))</f>
        <v/>
      </c>
      <c r="Q563" s="73" t="str">
        <f>IF(ISBLANK(C563),"",_xlfn.IFNA(INDEX(inbound_data[],MATCH(Outbound_data[[#This Row],[STOCK CODE OUT]],Generated_Stockcode,0),13),""))</f>
        <v/>
      </c>
    </row>
    <row r="564" spans="2:17" x14ac:dyDescent="0.25">
      <c r="B564" s="71"/>
      <c r="C564" s="65"/>
      <c r="D564" s="55"/>
      <c r="E564" s="65"/>
      <c r="F564" s="166"/>
      <c r="G564" s="167"/>
      <c r="H564" s="166"/>
      <c r="I564" s="72"/>
      <c r="J564" s="55"/>
      <c r="K564" s="72"/>
      <c r="L564" s="55"/>
      <c r="M564" s="174"/>
      <c r="N564" s="73" t="str">
        <f>IF(ISBLANK(C564),"",_xlfn.IFNA(INDEX(inbound_data[],MATCH(Outbound_data[[#This Row],[STOCK CODE OUT]],Generated_Stockcode,0),10),""))</f>
        <v/>
      </c>
      <c r="O564" s="73" t="str">
        <f>IF(ISBLANK(C564),"",_xlfn.IFNA(INDEX(inbound_data[],MATCH(Outbound_data[[#This Row],[STOCK CODE OUT]],Generated_Stockcode,0),12),""))</f>
        <v/>
      </c>
      <c r="P564" s="73" t="str">
        <f>IF(ISBLANK(C564),"",_xlfn.IFNA(INDEX(inbound_data[],MATCH(Outbound_data[[#This Row],[STOCK CODE OUT]],Generated_Stockcode,0),23),""))</f>
        <v/>
      </c>
      <c r="Q564" s="73" t="str">
        <f>IF(ISBLANK(C564),"",_xlfn.IFNA(INDEX(inbound_data[],MATCH(Outbound_data[[#This Row],[STOCK CODE OUT]],Generated_Stockcode,0),13),""))</f>
        <v/>
      </c>
    </row>
    <row r="565" spans="2:17" x14ac:dyDescent="0.25">
      <c r="B565" s="71"/>
      <c r="C565" s="65"/>
      <c r="D565" s="55"/>
      <c r="E565" s="65"/>
      <c r="F565" s="166"/>
      <c r="G565" s="167"/>
      <c r="H565" s="166"/>
      <c r="I565" s="72"/>
      <c r="J565" s="55"/>
      <c r="K565" s="72"/>
      <c r="L565" s="55"/>
      <c r="M565" s="174"/>
      <c r="N565" s="73" t="str">
        <f>IF(ISBLANK(C565),"",_xlfn.IFNA(INDEX(inbound_data[],MATCH(Outbound_data[[#This Row],[STOCK CODE OUT]],Generated_Stockcode,0),10),""))</f>
        <v/>
      </c>
      <c r="O565" s="73" t="str">
        <f>IF(ISBLANK(C565),"",_xlfn.IFNA(INDEX(inbound_data[],MATCH(Outbound_data[[#This Row],[STOCK CODE OUT]],Generated_Stockcode,0),12),""))</f>
        <v/>
      </c>
      <c r="P565" s="73" t="str">
        <f>IF(ISBLANK(C565),"",_xlfn.IFNA(INDEX(inbound_data[],MATCH(Outbound_data[[#This Row],[STOCK CODE OUT]],Generated_Stockcode,0),23),""))</f>
        <v/>
      </c>
      <c r="Q565" s="73" t="str">
        <f>IF(ISBLANK(C565),"",_xlfn.IFNA(INDEX(inbound_data[],MATCH(Outbound_data[[#This Row],[STOCK CODE OUT]],Generated_Stockcode,0),13),""))</f>
        <v/>
      </c>
    </row>
    <row r="566" spans="2:17" x14ac:dyDescent="0.25">
      <c r="B566" s="71"/>
      <c r="C566" s="65"/>
      <c r="D566" s="55"/>
      <c r="E566" s="65"/>
      <c r="F566" s="166"/>
      <c r="G566" s="167"/>
      <c r="H566" s="166"/>
      <c r="I566" s="72"/>
      <c r="J566" s="55"/>
      <c r="K566" s="72"/>
      <c r="L566" s="55"/>
      <c r="M566" s="174"/>
      <c r="N566" s="73" t="str">
        <f>IF(ISBLANK(C566),"",_xlfn.IFNA(INDEX(inbound_data[],MATCH(Outbound_data[[#This Row],[STOCK CODE OUT]],Generated_Stockcode,0),10),""))</f>
        <v/>
      </c>
      <c r="O566" s="73" t="str">
        <f>IF(ISBLANK(C566),"",_xlfn.IFNA(INDEX(inbound_data[],MATCH(Outbound_data[[#This Row],[STOCK CODE OUT]],Generated_Stockcode,0),12),""))</f>
        <v/>
      </c>
      <c r="P566" s="73" t="str">
        <f>IF(ISBLANK(C566),"",_xlfn.IFNA(INDEX(inbound_data[],MATCH(Outbound_data[[#This Row],[STOCK CODE OUT]],Generated_Stockcode,0),23),""))</f>
        <v/>
      </c>
      <c r="Q566" s="73" t="str">
        <f>IF(ISBLANK(C566),"",_xlfn.IFNA(INDEX(inbound_data[],MATCH(Outbound_data[[#This Row],[STOCK CODE OUT]],Generated_Stockcode,0),13),""))</f>
        <v/>
      </c>
    </row>
    <row r="567" spans="2:17" x14ac:dyDescent="0.25">
      <c r="B567" s="71"/>
      <c r="C567" s="65"/>
      <c r="D567" s="55"/>
      <c r="E567" s="65"/>
      <c r="F567" s="166"/>
      <c r="G567" s="167"/>
      <c r="H567" s="166"/>
      <c r="I567" s="72"/>
      <c r="J567" s="55"/>
      <c r="K567" s="72"/>
      <c r="L567" s="55"/>
      <c r="M567" s="174"/>
      <c r="N567" s="73" t="str">
        <f>IF(ISBLANK(C567),"",_xlfn.IFNA(INDEX(inbound_data[],MATCH(Outbound_data[[#This Row],[STOCK CODE OUT]],Generated_Stockcode,0),10),""))</f>
        <v/>
      </c>
      <c r="O567" s="73" t="str">
        <f>IF(ISBLANK(C567),"",_xlfn.IFNA(INDEX(inbound_data[],MATCH(Outbound_data[[#This Row],[STOCK CODE OUT]],Generated_Stockcode,0),12),""))</f>
        <v/>
      </c>
      <c r="P567" s="73" t="str">
        <f>IF(ISBLANK(C567),"",_xlfn.IFNA(INDEX(inbound_data[],MATCH(Outbound_data[[#This Row],[STOCK CODE OUT]],Generated_Stockcode,0),23),""))</f>
        <v/>
      </c>
      <c r="Q567" s="73" t="str">
        <f>IF(ISBLANK(C567),"",_xlfn.IFNA(INDEX(inbound_data[],MATCH(Outbound_data[[#This Row],[STOCK CODE OUT]],Generated_Stockcode,0),13),""))</f>
        <v/>
      </c>
    </row>
    <row r="568" spans="2:17" x14ac:dyDescent="0.25">
      <c r="B568" s="71"/>
      <c r="C568" s="65"/>
      <c r="D568" s="55"/>
      <c r="E568" s="65"/>
      <c r="F568" s="166"/>
      <c r="G568" s="167"/>
      <c r="H568" s="166"/>
      <c r="I568" s="72"/>
      <c r="J568" s="55"/>
      <c r="K568" s="72"/>
      <c r="L568" s="55"/>
      <c r="M568" s="174"/>
      <c r="N568" s="73" t="str">
        <f>IF(ISBLANK(C568),"",_xlfn.IFNA(INDEX(inbound_data[],MATCH(Outbound_data[[#This Row],[STOCK CODE OUT]],Generated_Stockcode,0),10),""))</f>
        <v/>
      </c>
      <c r="O568" s="73" t="str">
        <f>IF(ISBLANK(C568),"",_xlfn.IFNA(INDEX(inbound_data[],MATCH(Outbound_data[[#This Row],[STOCK CODE OUT]],Generated_Stockcode,0),12),""))</f>
        <v/>
      </c>
      <c r="P568" s="73" t="str">
        <f>IF(ISBLANK(C568),"",_xlfn.IFNA(INDEX(inbound_data[],MATCH(Outbound_data[[#This Row],[STOCK CODE OUT]],Generated_Stockcode,0),23),""))</f>
        <v/>
      </c>
      <c r="Q568" s="73" t="str">
        <f>IF(ISBLANK(C568),"",_xlfn.IFNA(INDEX(inbound_data[],MATCH(Outbound_data[[#This Row],[STOCK CODE OUT]],Generated_Stockcode,0),13),""))</f>
        <v/>
      </c>
    </row>
    <row r="569" spans="2:17" x14ac:dyDescent="0.25">
      <c r="B569" s="71"/>
      <c r="C569" s="65"/>
      <c r="D569" s="55"/>
      <c r="E569" s="65"/>
      <c r="F569" s="166"/>
      <c r="G569" s="167"/>
      <c r="H569" s="166"/>
      <c r="I569" s="72"/>
      <c r="J569" s="55"/>
      <c r="K569" s="72"/>
      <c r="L569" s="55"/>
      <c r="M569" s="174"/>
      <c r="N569" s="73" t="str">
        <f>IF(ISBLANK(C569),"",_xlfn.IFNA(INDEX(inbound_data[],MATCH(Outbound_data[[#This Row],[STOCK CODE OUT]],Generated_Stockcode,0),10),""))</f>
        <v/>
      </c>
      <c r="O569" s="73" t="str">
        <f>IF(ISBLANK(C569),"",_xlfn.IFNA(INDEX(inbound_data[],MATCH(Outbound_data[[#This Row],[STOCK CODE OUT]],Generated_Stockcode,0),12),""))</f>
        <v/>
      </c>
      <c r="P569" s="73" t="str">
        <f>IF(ISBLANK(C569),"",_xlfn.IFNA(INDEX(inbound_data[],MATCH(Outbound_data[[#This Row],[STOCK CODE OUT]],Generated_Stockcode,0),23),""))</f>
        <v/>
      </c>
      <c r="Q569" s="73" t="str">
        <f>IF(ISBLANK(C569),"",_xlfn.IFNA(INDEX(inbound_data[],MATCH(Outbound_data[[#This Row],[STOCK CODE OUT]],Generated_Stockcode,0),13),""))</f>
        <v/>
      </c>
    </row>
    <row r="570" spans="2:17" x14ac:dyDescent="0.25">
      <c r="B570" s="71"/>
      <c r="C570" s="65"/>
      <c r="D570" s="55"/>
      <c r="E570" s="65"/>
      <c r="F570" s="166"/>
      <c r="G570" s="167"/>
      <c r="H570" s="166"/>
      <c r="I570" s="72"/>
      <c r="J570" s="55"/>
      <c r="K570" s="72"/>
      <c r="L570" s="55"/>
      <c r="M570" s="174"/>
      <c r="N570" s="73" t="str">
        <f>IF(ISBLANK(C570),"",_xlfn.IFNA(INDEX(inbound_data[],MATCH(Outbound_data[[#This Row],[STOCK CODE OUT]],Generated_Stockcode,0),10),""))</f>
        <v/>
      </c>
      <c r="O570" s="73" t="str">
        <f>IF(ISBLANK(C570),"",_xlfn.IFNA(INDEX(inbound_data[],MATCH(Outbound_data[[#This Row],[STOCK CODE OUT]],Generated_Stockcode,0),12),""))</f>
        <v/>
      </c>
      <c r="P570" s="73" t="str">
        <f>IF(ISBLANK(C570),"",_xlfn.IFNA(INDEX(inbound_data[],MATCH(Outbound_data[[#This Row],[STOCK CODE OUT]],Generated_Stockcode,0),23),""))</f>
        <v/>
      </c>
      <c r="Q570" s="73" t="str">
        <f>IF(ISBLANK(C570),"",_xlfn.IFNA(INDEX(inbound_data[],MATCH(Outbound_data[[#This Row],[STOCK CODE OUT]],Generated_Stockcode,0),13),""))</f>
        <v/>
      </c>
    </row>
    <row r="571" spans="2:17" x14ac:dyDescent="0.25">
      <c r="B571" s="71"/>
      <c r="C571" s="65"/>
      <c r="D571" s="55"/>
      <c r="E571" s="65"/>
      <c r="F571" s="166"/>
      <c r="G571" s="167"/>
      <c r="H571" s="166"/>
      <c r="I571" s="72"/>
      <c r="J571" s="55"/>
      <c r="K571" s="72"/>
      <c r="L571" s="55"/>
      <c r="M571" s="174"/>
      <c r="N571" s="73" t="str">
        <f>IF(ISBLANK(C571),"",_xlfn.IFNA(INDEX(inbound_data[],MATCH(Outbound_data[[#This Row],[STOCK CODE OUT]],Generated_Stockcode,0),10),""))</f>
        <v/>
      </c>
      <c r="O571" s="73" t="str">
        <f>IF(ISBLANK(C571),"",_xlfn.IFNA(INDEX(inbound_data[],MATCH(Outbound_data[[#This Row],[STOCK CODE OUT]],Generated_Stockcode,0),12),""))</f>
        <v/>
      </c>
      <c r="P571" s="73" t="str">
        <f>IF(ISBLANK(C571),"",_xlfn.IFNA(INDEX(inbound_data[],MATCH(Outbound_data[[#This Row],[STOCK CODE OUT]],Generated_Stockcode,0),23),""))</f>
        <v/>
      </c>
      <c r="Q571" s="73" t="str">
        <f>IF(ISBLANK(C571),"",_xlfn.IFNA(INDEX(inbound_data[],MATCH(Outbound_data[[#This Row],[STOCK CODE OUT]],Generated_Stockcode,0),13),""))</f>
        <v/>
      </c>
    </row>
    <row r="572" spans="2:17" x14ac:dyDescent="0.25">
      <c r="B572" s="71"/>
      <c r="C572" s="65"/>
      <c r="D572" s="55"/>
      <c r="E572" s="65"/>
      <c r="F572" s="166"/>
      <c r="G572" s="167"/>
      <c r="H572" s="166"/>
      <c r="I572" s="72"/>
      <c r="J572" s="55"/>
      <c r="K572" s="72"/>
      <c r="L572" s="55"/>
      <c r="M572" s="174"/>
      <c r="N572" s="73" t="str">
        <f>IF(ISBLANK(C572),"",_xlfn.IFNA(INDEX(inbound_data[],MATCH(Outbound_data[[#This Row],[STOCK CODE OUT]],Generated_Stockcode,0),10),""))</f>
        <v/>
      </c>
      <c r="O572" s="73" t="str">
        <f>IF(ISBLANK(C572),"",_xlfn.IFNA(INDEX(inbound_data[],MATCH(Outbound_data[[#This Row],[STOCK CODE OUT]],Generated_Stockcode,0),12),""))</f>
        <v/>
      </c>
      <c r="P572" s="73" t="str">
        <f>IF(ISBLANK(C572),"",_xlfn.IFNA(INDEX(inbound_data[],MATCH(Outbound_data[[#This Row],[STOCK CODE OUT]],Generated_Stockcode,0),23),""))</f>
        <v/>
      </c>
      <c r="Q572" s="73" t="str">
        <f>IF(ISBLANK(C572),"",_xlfn.IFNA(INDEX(inbound_data[],MATCH(Outbound_data[[#This Row],[STOCK CODE OUT]],Generated_Stockcode,0),13),""))</f>
        <v/>
      </c>
    </row>
    <row r="573" spans="2:17" x14ac:dyDescent="0.25">
      <c r="B573" s="71"/>
      <c r="C573" s="65"/>
      <c r="D573" s="55"/>
      <c r="E573" s="65"/>
      <c r="F573" s="166"/>
      <c r="G573" s="167"/>
      <c r="H573" s="166"/>
      <c r="I573" s="72"/>
      <c r="J573" s="55"/>
      <c r="K573" s="72"/>
      <c r="L573" s="55"/>
      <c r="M573" s="174"/>
      <c r="N573" s="73" t="str">
        <f>IF(ISBLANK(C573),"",_xlfn.IFNA(INDEX(inbound_data[],MATCH(Outbound_data[[#This Row],[STOCK CODE OUT]],Generated_Stockcode,0),10),""))</f>
        <v/>
      </c>
      <c r="O573" s="73" t="str">
        <f>IF(ISBLANK(C573),"",_xlfn.IFNA(INDEX(inbound_data[],MATCH(Outbound_data[[#This Row],[STOCK CODE OUT]],Generated_Stockcode,0),12),""))</f>
        <v/>
      </c>
      <c r="P573" s="73" t="str">
        <f>IF(ISBLANK(C573),"",_xlfn.IFNA(INDEX(inbound_data[],MATCH(Outbound_data[[#This Row],[STOCK CODE OUT]],Generated_Stockcode,0),23),""))</f>
        <v/>
      </c>
      <c r="Q573" s="73" t="str">
        <f>IF(ISBLANK(C573),"",_xlfn.IFNA(INDEX(inbound_data[],MATCH(Outbound_data[[#This Row],[STOCK CODE OUT]],Generated_Stockcode,0),13),""))</f>
        <v/>
      </c>
    </row>
    <row r="574" spans="2:17" x14ac:dyDescent="0.25">
      <c r="B574" s="71"/>
      <c r="C574" s="65"/>
      <c r="D574" s="55"/>
      <c r="E574" s="65"/>
      <c r="F574" s="166"/>
      <c r="G574" s="167"/>
      <c r="H574" s="166"/>
      <c r="I574" s="72"/>
      <c r="J574" s="55"/>
      <c r="K574" s="72"/>
      <c r="L574" s="55"/>
      <c r="M574" s="174"/>
      <c r="N574" s="73" t="str">
        <f>IF(ISBLANK(C574),"",_xlfn.IFNA(INDEX(inbound_data[],MATCH(Outbound_data[[#This Row],[STOCK CODE OUT]],Generated_Stockcode,0),10),""))</f>
        <v/>
      </c>
      <c r="O574" s="73" t="str">
        <f>IF(ISBLANK(C574),"",_xlfn.IFNA(INDEX(inbound_data[],MATCH(Outbound_data[[#This Row],[STOCK CODE OUT]],Generated_Stockcode,0),12),""))</f>
        <v/>
      </c>
      <c r="P574" s="73" t="str">
        <f>IF(ISBLANK(C574),"",_xlfn.IFNA(INDEX(inbound_data[],MATCH(Outbound_data[[#This Row],[STOCK CODE OUT]],Generated_Stockcode,0),23),""))</f>
        <v/>
      </c>
      <c r="Q574" s="73" t="str">
        <f>IF(ISBLANK(C574),"",_xlfn.IFNA(INDEX(inbound_data[],MATCH(Outbound_data[[#This Row],[STOCK CODE OUT]],Generated_Stockcode,0),13),""))</f>
        <v/>
      </c>
    </row>
    <row r="575" spans="2:17" x14ac:dyDescent="0.25">
      <c r="B575" s="71"/>
      <c r="C575" s="65"/>
      <c r="D575" s="55"/>
      <c r="E575" s="65"/>
      <c r="F575" s="166"/>
      <c r="G575" s="167"/>
      <c r="H575" s="166"/>
      <c r="I575" s="72"/>
      <c r="J575" s="55"/>
      <c r="K575" s="72"/>
      <c r="L575" s="55"/>
      <c r="M575" s="174"/>
      <c r="N575" s="73" t="str">
        <f>IF(ISBLANK(C575),"",_xlfn.IFNA(INDEX(inbound_data[],MATCH(Outbound_data[[#This Row],[STOCK CODE OUT]],Generated_Stockcode,0),10),""))</f>
        <v/>
      </c>
      <c r="O575" s="73" t="str">
        <f>IF(ISBLANK(C575),"",_xlfn.IFNA(INDEX(inbound_data[],MATCH(Outbound_data[[#This Row],[STOCK CODE OUT]],Generated_Stockcode,0),12),""))</f>
        <v/>
      </c>
      <c r="P575" s="73" t="str">
        <f>IF(ISBLANK(C575),"",_xlfn.IFNA(INDEX(inbound_data[],MATCH(Outbound_data[[#This Row],[STOCK CODE OUT]],Generated_Stockcode,0),23),""))</f>
        <v/>
      </c>
      <c r="Q575" s="73" t="str">
        <f>IF(ISBLANK(C575),"",_xlfn.IFNA(INDEX(inbound_data[],MATCH(Outbound_data[[#This Row],[STOCK CODE OUT]],Generated_Stockcode,0),13),""))</f>
        <v/>
      </c>
    </row>
    <row r="576" spans="2:17" x14ac:dyDescent="0.25">
      <c r="B576" s="71"/>
      <c r="C576" s="65"/>
      <c r="D576" s="55"/>
      <c r="E576" s="65"/>
      <c r="F576" s="166"/>
      <c r="G576" s="167"/>
      <c r="H576" s="166"/>
      <c r="I576" s="72"/>
      <c r="J576" s="55"/>
      <c r="K576" s="72"/>
      <c r="L576" s="55"/>
      <c r="M576" s="174"/>
      <c r="N576" s="73" t="str">
        <f>IF(ISBLANK(C576),"",_xlfn.IFNA(INDEX(inbound_data[],MATCH(Outbound_data[[#This Row],[STOCK CODE OUT]],Generated_Stockcode,0),10),""))</f>
        <v/>
      </c>
      <c r="O576" s="73" t="str">
        <f>IF(ISBLANK(C576),"",_xlfn.IFNA(INDEX(inbound_data[],MATCH(Outbound_data[[#This Row],[STOCK CODE OUT]],Generated_Stockcode,0),12),""))</f>
        <v/>
      </c>
      <c r="P576" s="73" t="str">
        <f>IF(ISBLANK(C576),"",_xlfn.IFNA(INDEX(inbound_data[],MATCH(Outbound_data[[#This Row],[STOCK CODE OUT]],Generated_Stockcode,0),23),""))</f>
        <v/>
      </c>
      <c r="Q576" s="73" t="str">
        <f>IF(ISBLANK(C576),"",_xlfn.IFNA(INDEX(inbound_data[],MATCH(Outbound_data[[#This Row],[STOCK CODE OUT]],Generated_Stockcode,0),13),""))</f>
        <v/>
      </c>
    </row>
    <row r="577" spans="2:17" x14ac:dyDescent="0.25">
      <c r="B577" s="71"/>
      <c r="C577" s="65"/>
      <c r="D577" s="55"/>
      <c r="E577" s="65"/>
      <c r="F577" s="166"/>
      <c r="G577" s="167"/>
      <c r="H577" s="166"/>
      <c r="I577" s="72"/>
      <c r="J577" s="55"/>
      <c r="K577" s="72"/>
      <c r="L577" s="55"/>
      <c r="M577" s="174"/>
      <c r="N577" s="73" t="str">
        <f>IF(ISBLANK(C577),"",_xlfn.IFNA(INDEX(inbound_data[],MATCH(Outbound_data[[#This Row],[STOCK CODE OUT]],Generated_Stockcode,0),10),""))</f>
        <v/>
      </c>
      <c r="O577" s="73" t="str">
        <f>IF(ISBLANK(C577),"",_xlfn.IFNA(INDEX(inbound_data[],MATCH(Outbound_data[[#This Row],[STOCK CODE OUT]],Generated_Stockcode,0),12),""))</f>
        <v/>
      </c>
      <c r="P577" s="73" t="str">
        <f>IF(ISBLANK(C577),"",_xlfn.IFNA(INDEX(inbound_data[],MATCH(Outbound_data[[#This Row],[STOCK CODE OUT]],Generated_Stockcode,0),23),""))</f>
        <v/>
      </c>
      <c r="Q577" s="73" t="str">
        <f>IF(ISBLANK(C577),"",_xlfn.IFNA(INDEX(inbound_data[],MATCH(Outbound_data[[#This Row],[STOCK CODE OUT]],Generated_Stockcode,0),13),""))</f>
        <v/>
      </c>
    </row>
    <row r="578" spans="2:17" x14ac:dyDescent="0.25">
      <c r="B578" s="71"/>
      <c r="C578" s="65"/>
      <c r="D578" s="55"/>
      <c r="E578" s="65"/>
      <c r="F578" s="166"/>
      <c r="G578" s="167"/>
      <c r="H578" s="166"/>
      <c r="I578" s="72"/>
      <c r="J578" s="55"/>
      <c r="K578" s="72"/>
      <c r="L578" s="55"/>
      <c r="M578" s="174"/>
      <c r="N578" s="73" t="str">
        <f>IF(ISBLANK(C578),"",_xlfn.IFNA(INDEX(inbound_data[],MATCH(Outbound_data[[#This Row],[STOCK CODE OUT]],Generated_Stockcode,0),10),""))</f>
        <v/>
      </c>
      <c r="O578" s="73" t="str">
        <f>IF(ISBLANK(C578),"",_xlfn.IFNA(INDEX(inbound_data[],MATCH(Outbound_data[[#This Row],[STOCK CODE OUT]],Generated_Stockcode,0),12),""))</f>
        <v/>
      </c>
      <c r="P578" s="73" t="str">
        <f>IF(ISBLANK(C578),"",_xlfn.IFNA(INDEX(inbound_data[],MATCH(Outbound_data[[#This Row],[STOCK CODE OUT]],Generated_Stockcode,0),23),""))</f>
        <v/>
      </c>
      <c r="Q578" s="73" t="str">
        <f>IF(ISBLANK(C578),"",_xlfn.IFNA(INDEX(inbound_data[],MATCH(Outbound_data[[#This Row],[STOCK CODE OUT]],Generated_Stockcode,0),13),""))</f>
        <v/>
      </c>
    </row>
    <row r="579" spans="2:17" x14ac:dyDescent="0.25">
      <c r="B579" s="71"/>
      <c r="C579" s="65"/>
      <c r="D579" s="55"/>
      <c r="E579" s="65"/>
      <c r="F579" s="166"/>
      <c r="G579" s="167"/>
      <c r="H579" s="166"/>
      <c r="I579" s="72"/>
      <c r="J579" s="55"/>
      <c r="K579" s="72"/>
      <c r="L579" s="55"/>
      <c r="M579" s="174"/>
      <c r="N579" s="73" t="str">
        <f>IF(ISBLANK(C579),"",_xlfn.IFNA(INDEX(inbound_data[],MATCH(Outbound_data[[#This Row],[STOCK CODE OUT]],Generated_Stockcode,0),10),""))</f>
        <v/>
      </c>
      <c r="O579" s="73" t="str">
        <f>IF(ISBLANK(C579),"",_xlfn.IFNA(INDEX(inbound_data[],MATCH(Outbound_data[[#This Row],[STOCK CODE OUT]],Generated_Stockcode,0),12),""))</f>
        <v/>
      </c>
      <c r="P579" s="73" t="str">
        <f>IF(ISBLANK(C579),"",_xlfn.IFNA(INDEX(inbound_data[],MATCH(Outbound_data[[#This Row],[STOCK CODE OUT]],Generated_Stockcode,0),23),""))</f>
        <v/>
      </c>
      <c r="Q579" s="73" t="str">
        <f>IF(ISBLANK(C579),"",_xlfn.IFNA(INDEX(inbound_data[],MATCH(Outbound_data[[#This Row],[STOCK CODE OUT]],Generated_Stockcode,0),13),""))</f>
        <v/>
      </c>
    </row>
    <row r="580" spans="2:17" x14ac:dyDescent="0.25">
      <c r="B580" s="71"/>
      <c r="C580" s="65"/>
      <c r="D580" s="55"/>
      <c r="E580" s="65"/>
      <c r="F580" s="166"/>
      <c r="G580" s="167"/>
      <c r="H580" s="166"/>
      <c r="I580" s="72"/>
      <c r="J580" s="55"/>
      <c r="K580" s="72"/>
      <c r="L580" s="55"/>
      <c r="M580" s="174"/>
      <c r="N580" s="73" t="str">
        <f>IF(ISBLANK(C580),"",_xlfn.IFNA(INDEX(inbound_data[],MATCH(Outbound_data[[#This Row],[STOCK CODE OUT]],Generated_Stockcode,0),10),""))</f>
        <v/>
      </c>
      <c r="O580" s="73" t="str">
        <f>IF(ISBLANK(C580),"",_xlfn.IFNA(INDEX(inbound_data[],MATCH(Outbound_data[[#This Row],[STOCK CODE OUT]],Generated_Stockcode,0),12),""))</f>
        <v/>
      </c>
      <c r="P580" s="73" t="str">
        <f>IF(ISBLANK(C580),"",_xlfn.IFNA(INDEX(inbound_data[],MATCH(Outbound_data[[#This Row],[STOCK CODE OUT]],Generated_Stockcode,0),23),""))</f>
        <v/>
      </c>
      <c r="Q580" s="73" t="str">
        <f>IF(ISBLANK(C580),"",_xlfn.IFNA(INDEX(inbound_data[],MATCH(Outbound_data[[#This Row],[STOCK CODE OUT]],Generated_Stockcode,0),13),""))</f>
        <v/>
      </c>
    </row>
    <row r="581" spans="2:17" x14ac:dyDescent="0.25">
      <c r="B581" s="71"/>
      <c r="C581" s="65"/>
      <c r="D581" s="55"/>
      <c r="E581" s="65"/>
      <c r="F581" s="166"/>
      <c r="G581" s="167"/>
      <c r="H581" s="166"/>
      <c r="I581" s="72"/>
      <c r="J581" s="55"/>
      <c r="K581" s="72"/>
      <c r="L581" s="55"/>
      <c r="M581" s="174"/>
      <c r="N581" s="73" t="str">
        <f>IF(ISBLANK(C581),"",_xlfn.IFNA(INDEX(inbound_data[],MATCH(Outbound_data[[#This Row],[STOCK CODE OUT]],Generated_Stockcode,0),10),""))</f>
        <v/>
      </c>
      <c r="O581" s="73" t="str">
        <f>IF(ISBLANK(C581),"",_xlfn.IFNA(INDEX(inbound_data[],MATCH(Outbound_data[[#This Row],[STOCK CODE OUT]],Generated_Stockcode,0),12),""))</f>
        <v/>
      </c>
      <c r="P581" s="73" t="str">
        <f>IF(ISBLANK(C581),"",_xlfn.IFNA(INDEX(inbound_data[],MATCH(Outbound_data[[#This Row],[STOCK CODE OUT]],Generated_Stockcode,0),23),""))</f>
        <v/>
      </c>
      <c r="Q581" s="73" t="str">
        <f>IF(ISBLANK(C581),"",_xlfn.IFNA(INDEX(inbound_data[],MATCH(Outbound_data[[#This Row],[STOCK CODE OUT]],Generated_Stockcode,0),13),""))</f>
        <v/>
      </c>
    </row>
    <row r="582" spans="2:17" x14ac:dyDescent="0.25">
      <c r="B582" s="71"/>
      <c r="C582" s="65"/>
      <c r="D582" s="55"/>
      <c r="E582" s="65"/>
      <c r="F582" s="166"/>
      <c r="G582" s="167"/>
      <c r="H582" s="166"/>
      <c r="I582" s="72"/>
      <c r="J582" s="55"/>
      <c r="K582" s="72"/>
      <c r="L582" s="55"/>
      <c r="M582" s="174"/>
      <c r="N582" s="73" t="str">
        <f>IF(ISBLANK(C582),"",_xlfn.IFNA(INDEX(inbound_data[],MATCH(Outbound_data[[#This Row],[STOCK CODE OUT]],Generated_Stockcode,0),10),""))</f>
        <v/>
      </c>
      <c r="O582" s="73" t="str">
        <f>IF(ISBLANK(C582),"",_xlfn.IFNA(INDEX(inbound_data[],MATCH(Outbound_data[[#This Row],[STOCK CODE OUT]],Generated_Stockcode,0),12),""))</f>
        <v/>
      </c>
      <c r="P582" s="73" t="str">
        <f>IF(ISBLANK(C582),"",_xlfn.IFNA(INDEX(inbound_data[],MATCH(Outbound_data[[#This Row],[STOCK CODE OUT]],Generated_Stockcode,0),23),""))</f>
        <v/>
      </c>
      <c r="Q582" s="73" t="str">
        <f>IF(ISBLANK(C582),"",_xlfn.IFNA(INDEX(inbound_data[],MATCH(Outbound_data[[#This Row],[STOCK CODE OUT]],Generated_Stockcode,0),13),""))</f>
        <v/>
      </c>
    </row>
    <row r="583" spans="2:17" x14ac:dyDescent="0.25">
      <c r="B583" s="71"/>
      <c r="C583" s="65"/>
      <c r="D583" s="55"/>
      <c r="E583" s="65"/>
      <c r="F583" s="166"/>
      <c r="G583" s="167"/>
      <c r="H583" s="166"/>
      <c r="I583" s="72"/>
      <c r="J583" s="55"/>
      <c r="K583" s="72"/>
      <c r="L583" s="55"/>
      <c r="M583" s="174"/>
      <c r="N583" s="73" t="str">
        <f>IF(ISBLANK(C583),"",_xlfn.IFNA(INDEX(inbound_data[],MATCH(Outbound_data[[#This Row],[STOCK CODE OUT]],Generated_Stockcode,0),10),""))</f>
        <v/>
      </c>
      <c r="O583" s="73" t="str">
        <f>IF(ISBLANK(C583),"",_xlfn.IFNA(INDEX(inbound_data[],MATCH(Outbound_data[[#This Row],[STOCK CODE OUT]],Generated_Stockcode,0),12),""))</f>
        <v/>
      </c>
      <c r="P583" s="73" t="str">
        <f>IF(ISBLANK(C583),"",_xlfn.IFNA(INDEX(inbound_data[],MATCH(Outbound_data[[#This Row],[STOCK CODE OUT]],Generated_Stockcode,0),23),""))</f>
        <v/>
      </c>
      <c r="Q583" s="73" t="str">
        <f>IF(ISBLANK(C583),"",_xlfn.IFNA(INDEX(inbound_data[],MATCH(Outbound_data[[#This Row],[STOCK CODE OUT]],Generated_Stockcode,0),13),""))</f>
        <v/>
      </c>
    </row>
    <row r="584" spans="2:17" x14ac:dyDescent="0.25">
      <c r="B584" s="71"/>
      <c r="C584" s="65"/>
      <c r="D584" s="55"/>
      <c r="E584" s="65"/>
      <c r="F584" s="166"/>
      <c r="G584" s="167"/>
      <c r="H584" s="166"/>
      <c r="I584" s="72"/>
      <c r="J584" s="55"/>
      <c r="K584" s="72"/>
      <c r="L584" s="55"/>
      <c r="M584" s="174"/>
      <c r="N584" s="73" t="str">
        <f>IF(ISBLANK(C584),"",_xlfn.IFNA(INDEX(inbound_data[],MATCH(Outbound_data[[#This Row],[STOCK CODE OUT]],Generated_Stockcode,0),10),""))</f>
        <v/>
      </c>
      <c r="O584" s="73" t="str">
        <f>IF(ISBLANK(C584),"",_xlfn.IFNA(INDEX(inbound_data[],MATCH(Outbound_data[[#This Row],[STOCK CODE OUT]],Generated_Stockcode,0),12),""))</f>
        <v/>
      </c>
      <c r="P584" s="73" t="str">
        <f>IF(ISBLANK(C584),"",_xlfn.IFNA(INDEX(inbound_data[],MATCH(Outbound_data[[#This Row],[STOCK CODE OUT]],Generated_Stockcode,0),23),""))</f>
        <v/>
      </c>
      <c r="Q584" s="73" t="str">
        <f>IF(ISBLANK(C584),"",_xlfn.IFNA(INDEX(inbound_data[],MATCH(Outbound_data[[#This Row],[STOCK CODE OUT]],Generated_Stockcode,0),13),""))</f>
        <v/>
      </c>
    </row>
    <row r="585" spans="2:17" x14ac:dyDescent="0.25">
      <c r="B585" s="71"/>
      <c r="C585" s="65"/>
      <c r="D585" s="55"/>
      <c r="E585" s="65"/>
      <c r="F585" s="166"/>
      <c r="G585" s="167"/>
      <c r="H585" s="166"/>
      <c r="I585" s="72"/>
      <c r="J585" s="55"/>
      <c r="K585" s="72"/>
      <c r="L585" s="55"/>
      <c r="M585" s="174"/>
      <c r="N585" s="73" t="str">
        <f>IF(ISBLANK(C585),"",_xlfn.IFNA(INDEX(inbound_data[],MATCH(Outbound_data[[#This Row],[STOCK CODE OUT]],Generated_Stockcode,0),10),""))</f>
        <v/>
      </c>
      <c r="O585" s="73" t="str">
        <f>IF(ISBLANK(C585),"",_xlfn.IFNA(INDEX(inbound_data[],MATCH(Outbound_data[[#This Row],[STOCK CODE OUT]],Generated_Stockcode,0),12),""))</f>
        <v/>
      </c>
      <c r="P585" s="73" t="str">
        <f>IF(ISBLANK(C585),"",_xlfn.IFNA(INDEX(inbound_data[],MATCH(Outbound_data[[#This Row],[STOCK CODE OUT]],Generated_Stockcode,0),23),""))</f>
        <v/>
      </c>
      <c r="Q585" s="73" t="str">
        <f>IF(ISBLANK(C585),"",_xlfn.IFNA(INDEX(inbound_data[],MATCH(Outbound_data[[#This Row],[STOCK CODE OUT]],Generated_Stockcode,0),13),""))</f>
        <v/>
      </c>
    </row>
    <row r="586" spans="2:17" x14ac:dyDescent="0.25">
      <c r="B586" s="71"/>
      <c r="C586" s="65"/>
      <c r="D586" s="55"/>
      <c r="E586" s="65"/>
      <c r="F586" s="166"/>
      <c r="G586" s="167"/>
      <c r="H586" s="166"/>
      <c r="I586" s="72"/>
      <c r="J586" s="55"/>
      <c r="K586" s="72"/>
      <c r="L586" s="55"/>
      <c r="M586" s="174"/>
      <c r="N586" s="73" t="str">
        <f>IF(ISBLANK(C586),"",_xlfn.IFNA(INDEX(inbound_data[],MATCH(Outbound_data[[#This Row],[STOCK CODE OUT]],Generated_Stockcode,0),10),""))</f>
        <v/>
      </c>
      <c r="O586" s="73" t="str">
        <f>IF(ISBLANK(C586),"",_xlfn.IFNA(INDEX(inbound_data[],MATCH(Outbound_data[[#This Row],[STOCK CODE OUT]],Generated_Stockcode,0),12),""))</f>
        <v/>
      </c>
      <c r="P586" s="73" t="str">
        <f>IF(ISBLANK(C586),"",_xlfn.IFNA(INDEX(inbound_data[],MATCH(Outbound_data[[#This Row],[STOCK CODE OUT]],Generated_Stockcode,0),23),""))</f>
        <v/>
      </c>
      <c r="Q586" s="73" t="str">
        <f>IF(ISBLANK(C586),"",_xlfn.IFNA(INDEX(inbound_data[],MATCH(Outbound_data[[#This Row],[STOCK CODE OUT]],Generated_Stockcode,0),13),""))</f>
        <v/>
      </c>
    </row>
    <row r="587" spans="2:17" x14ac:dyDescent="0.25">
      <c r="B587" s="71"/>
      <c r="C587" s="65"/>
      <c r="D587" s="55"/>
      <c r="E587" s="65"/>
      <c r="F587" s="166"/>
      <c r="G587" s="167"/>
      <c r="H587" s="166"/>
      <c r="I587" s="72"/>
      <c r="J587" s="55"/>
      <c r="K587" s="72"/>
      <c r="L587" s="55"/>
      <c r="M587" s="174"/>
      <c r="N587" s="73" t="str">
        <f>IF(ISBLANK(C587),"",_xlfn.IFNA(INDEX(inbound_data[],MATCH(Outbound_data[[#This Row],[STOCK CODE OUT]],Generated_Stockcode,0),10),""))</f>
        <v/>
      </c>
      <c r="O587" s="73" t="str">
        <f>IF(ISBLANK(C587),"",_xlfn.IFNA(INDEX(inbound_data[],MATCH(Outbound_data[[#This Row],[STOCK CODE OUT]],Generated_Stockcode,0),12),""))</f>
        <v/>
      </c>
      <c r="P587" s="73" t="str">
        <f>IF(ISBLANK(C587),"",_xlfn.IFNA(INDEX(inbound_data[],MATCH(Outbound_data[[#This Row],[STOCK CODE OUT]],Generated_Stockcode,0),23),""))</f>
        <v/>
      </c>
      <c r="Q587" s="73" t="str">
        <f>IF(ISBLANK(C587),"",_xlfn.IFNA(INDEX(inbound_data[],MATCH(Outbound_data[[#This Row],[STOCK CODE OUT]],Generated_Stockcode,0),13),""))</f>
        <v/>
      </c>
    </row>
    <row r="588" spans="2:17" x14ac:dyDescent="0.25">
      <c r="B588" s="71"/>
      <c r="C588" s="65"/>
      <c r="D588" s="55"/>
      <c r="E588" s="65"/>
      <c r="F588" s="166"/>
      <c r="G588" s="167"/>
      <c r="H588" s="166"/>
      <c r="I588" s="72"/>
      <c r="J588" s="55"/>
      <c r="K588" s="72"/>
      <c r="L588" s="55"/>
      <c r="M588" s="174"/>
      <c r="N588" s="73" t="str">
        <f>IF(ISBLANK(C588),"",_xlfn.IFNA(INDEX(inbound_data[],MATCH(Outbound_data[[#This Row],[STOCK CODE OUT]],Generated_Stockcode,0),10),""))</f>
        <v/>
      </c>
      <c r="O588" s="73" t="str">
        <f>IF(ISBLANK(C588),"",_xlfn.IFNA(INDEX(inbound_data[],MATCH(Outbound_data[[#This Row],[STOCK CODE OUT]],Generated_Stockcode,0),12),""))</f>
        <v/>
      </c>
      <c r="P588" s="73" t="str">
        <f>IF(ISBLANK(C588),"",_xlfn.IFNA(INDEX(inbound_data[],MATCH(Outbound_data[[#This Row],[STOCK CODE OUT]],Generated_Stockcode,0),23),""))</f>
        <v/>
      </c>
      <c r="Q588" s="73" t="str">
        <f>IF(ISBLANK(C588),"",_xlfn.IFNA(INDEX(inbound_data[],MATCH(Outbound_data[[#This Row],[STOCK CODE OUT]],Generated_Stockcode,0),13),""))</f>
        <v/>
      </c>
    </row>
    <row r="589" spans="2:17" x14ac:dyDescent="0.25">
      <c r="B589" s="71"/>
      <c r="C589" s="65"/>
      <c r="D589" s="55"/>
      <c r="E589" s="65"/>
      <c r="F589" s="166"/>
      <c r="G589" s="167"/>
      <c r="H589" s="166"/>
      <c r="I589" s="72"/>
      <c r="J589" s="55"/>
      <c r="K589" s="72"/>
      <c r="L589" s="55"/>
      <c r="M589" s="174"/>
      <c r="N589" s="73" t="str">
        <f>IF(ISBLANK(C589),"",_xlfn.IFNA(INDEX(inbound_data[],MATCH(Outbound_data[[#This Row],[STOCK CODE OUT]],Generated_Stockcode,0),10),""))</f>
        <v/>
      </c>
      <c r="O589" s="73" t="str">
        <f>IF(ISBLANK(C589),"",_xlfn.IFNA(INDEX(inbound_data[],MATCH(Outbound_data[[#This Row],[STOCK CODE OUT]],Generated_Stockcode,0),12),""))</f>
        <v/>
      </c>
      <c r="P589" s="73" t="str">
        <f>IF(ISBLANK(C589),"",_xlfn.IFNA(INDEX(inbound_data[],MATCH(Outbound_data[[#This Row],[STOCK CODE OUT]],Generated_Stockcode,0),23),""))</f>
        <v/>
      </c>
      <c r="Q589" s="73" t="str">
        <f>IF(ISBLANK(C589),"",_xlfn.IFNA(INDEX(inbound_data[],MATCH(Outbound_data[[#This Row],[STOCK CODE OUT]],Generated_Stockcode,0),13),""))</f>
        <v/>
      </c>
    </row>
    <row r="590" spans="2:17" x14ac:dyDescent="0.25">
      <c r="B590" s="71"/>
      <c r="C590" s="65"/>
      <c r="D590" s="55"/>
      <c r="E590" s="65"/>
      <c r="F590" s="166"/>
      <c r="G590" s="167"/>
      <c r="H590" s="166"/>
      <c r="I590" s="72"/>
      <c r="J590" s="55"/>
      <c r="K590" s="72"/>
      <c r="L590" s="55"/>
      <c r="M590" s="174"/>
      <c r="N590" s="73" t="str">
        <f>IF(ISBLANK(C590),"",_xlfn.IFNA(INDEX(inbound_data[],MATCH(Outbound_data[[#This Row],[STOCK CODE OUT]],Generated_Stockcode,0),10),""))</f>
        <v/>
      </c>
      <c r="O590" s="73" t="str">
        <f>IF(ISBLANK(C590),"",_xlfn.IFNA(INDEX(inbound_data[],MATCH(Outbound_data[[#This Row],[STOCK CODE OUT]],Generated_Stockcode,0),12),""))</f>
        <v/>
      </c>
      <c r="P590" s="73" t="str">
        <f>IF(ISBLANK(C590),"",_xlfn.IFNA(INDEX(inbound_data[],MATCH(Outbound_data[[#This Row],[STOCK CODE OUT]],Generated_Stockcode,0),23),""))</f>
        <v/>
      </c>
      <c r="Q590" s="73" t="str">
        <f>IF(ISBLANK(C590),"",_xlfn.IFNA(INDEX(inbound_data[],MATCH(Outbound_data[[#This Row],[STOCK CODE OUT]],Generated_Stockcode,0),13),""))</f>
        <v/>
      </c>
    </row>
    <row r="591" spans="2:17" x14ac:dyDescent="0.25">
      <c r="B591" s="71"/>
      <c r="C591" s="65"/>
      <c r="D591" s="55"/>
      <c r="E591" s="65"/>
      <c r="F591" s="166"/>
      <c r="G591" s="167"/>
      <c r="H591" s="166"/>
      <c r="I591" s="72"/>
      <c r="J591" s="55"/>
      <c r="K591" s="72"/>
      <c r="L591" s="55"/>
      <c r="M591" s="174"/>
      <c r="N591" s="73" t="str">
        <f>IF(ISBLANK(C591),"",_xlfn.IFNA(INDEX(inbound_data[],MATCH(Outbound_data[[#This Row],[STOCK CODE OUT]],Generated_Stockcode,0),10),""))</f>
        <v/>
      </c>
      <c r="O591" s="73" t="str">
        <f>IF(ISBLANK(C591),"",_xlfn.IFNA(INDEX(inbound_data[],MATCH(Outbound_data[[#This Row],[STOCK CODE OUT]],Generated_Stockcode,0),12),""))</f>
        <v/>
      </c>
      <c r="P591" s="73" t="str">
        <f>IF(ISBLANK(C591),"",_xlfn.IFNA(INDEX(inbound_data[],MATCH(Outbound_data[[#This Row],[STOCK CODE OUT]],Generated_Stockcode,0),23),""))</f>
        <v/>
      </c>
      <c r="Q591" s="73" t="str">
        <f>IF(ISBLANK(C591),"",_xlfn.IFNA(INDEX(inbound_data[],MATCH(Outbound_data[[#This Row],[STOCK CODE OUT]],Generated_Stockcode,0),13),""))</f>
        <v/>
      </c>
    </row>
    <row r="592" spans="2:17" x14ac:dyDescent="0.25">
      <c r="B592" s="71"/>
      <c r="C592" s="65"/>
      <c r="D592" s="55"/>
      <c r="E592" s="65"/>
      <c r="F592" s="166"/>
      <c r="G592" s="167"/>
      <c r="H592" s="166"/>
      <c r="I592" s="72"/>
      <c r="J592" s="55"/>
      <c r="K592" s="72"/>
      <c r="L592" s="55"/>
      <c r="M592" s="174"/>
      <c r="N592" s="73" t="str">
        <f>IF(ISBLANK(C592),"",_xlfn.IFNA(INDEX(inbound_data[],MATCH(Outbound_data[[#This Row],[STOCK CODE OUT]],Generated_Stockcode,0),10),""))</f>
        <v/>
      </c>
      <c r="O592" s="73" t="str">
        <f>IF(ISBLANK(C592),"",_xlfn.IFNA(INDEX(inbound_data[],MATCH(Outbound_data[[#This Row],[STOCK CODE OUT]],Generated_Stockcode,0),12),""))</f>
        <v/>
      </c>
      <c r="P592" s="73" t="str">
        <f>IF(ISBLANK(C592),"",_xlfn.IFNA(INDEX(inbound_data[],MATCH(Outbound_data[[#This Row],[STOCK CODE OUT]],Generated_Stockcode,0),23),""))</f>
        <v/>
      </c>
      <c r="Q592" s="73" t="str">
        <f>IF(ISBLANK(C592),"",_xlfn.IFNA(INDEX(inbound_data[],MATCH(Outbound_data[[#This Row],[STOCK CODE OUT]],Generated_Stockcode,0),13),""))</f>
        <v/>
      </c>
    </row>
    <row r="593" spans="2:17" x14ac:dyDescent="0.25">
      <c r="B593" s="71"/>
      <c r="C593" s="65"/>
      <c r="D593" s="55"/>
      <c r="E593" s="65"/>
      <c r="F593" s="166"/>
      <c r="G593" s="167"/>
      <c r="H593" s="166"/>
      <c r="I593" s="72"/>
      <c r="J593" s="55"/>
      <c r="K593" s="72"/>
      <c r="L593" s="55"/>
      <c r="M593" s="174"/>
      <c r="N593" s="73" t="str">
        <f>IF(ISBLANK(C593),"",_xlfn.IFNA(INDEX(inbound_data[],MATCH(Outbound_data[[#This Row],[STOCK CODE OUT]],Generated_Stockcode,0),10),""))</f>
        <v/>
      </c>
      <c r="O593" s="73" t="str">
        <f>IF(ISBLANK(C593),"",_xlfn.IFNA(INDEX(inbound_data[],MATCH(Outbound_data[[#This Row],[STOCK CODE OUT]],Generated_Stockcode,0),12),""))</f>
        <v/>
      </c>
      <c r="P593" s="73" t="str">
        <f>IF(ISBLANK(C593),"",_xlfn.IFNA(INDEX(inbound_data[],MATCH(Outbound_data[[#This Row],[STOCK CODE OUT]],Generated_Stockcode,0),23),""))</f>
        <v/>
      </c>
      <c r="Q593" s="73" t="str">
        <f>IF(ISBLANK(C593),"",_xlfn.IFNA(INDEX(inbound_data[],MATCH(Outbound_data[[#This Row],[STOCK CODE OUT]],Generated_Stockcode,0),13),""))</f>
        <v/>
      </c>
    </row>
    <row r="594" spans="2:17" x14ac:dyDescent="0.25">
      <c r="B594" s="71"/>
      <c r="C594" s="65"/>
      <c r="D594" s="55"/>
      <c r="E594" s="65"/>
      <c r="F594" s="166"/>
      <c r="G594" s="167"/>
      <c r="H594" s="166"/>
      <c r="I594" s="72"/>
      <c r="J594" s="55"/>
      <c r="K594" s="72"/>
      <c r="L594" s="55"/>
      <c r="M594" s="174"/>
      <c r="N594" s="73" t="str">
        <f>IF(ISBLANK(C594),"",_xlfn.IFNA(INDEX(inbound_data[],MATCH(Outbound_data[[#This Row],[STOCK CODE OUT]],Generated_Stockcode,0),10),""))</f>
        <v/>
      </c>
      <c r="O594" s="73" t="str">
        <f>IF(ISBLANK(C594),"",_xlfn.IFNA(INDEX(inbound_data[],MATCH(Outbound_data[[#This Row],[STOCK CODE OUT]],Generated_Stockcode,0),12),""))</f>
        <v/>
      </c>
      <c r="P594" s="73" t="str">
        <f>IF(ISBLANK(C594),"",_xlfn.IFNA(INDEX(inbound_data[],MATCH(Outbound_data[[#This Row],[STOCK CODE OUT]],Generated_Stockcode,0),23),""))</f>
        <v/>
      </c>
      <c r="Q594" s="73" t="str">
        <f>IF(ISBLANK(C594),"",_xlfn.IFNA(INDEX(inbound_data[],MATCH(Outbound_data[[#This Row],[STOCK CODE OUT]],Generated_Stockcode,0),13),""))</f>
        <v/>
      </c>
    </row>
    <row r="595" spans="2:17" x14ac:dyDescent="0.25">
      <c r="B595" s="71"/>
      <c r="C595" s="65"/>
      <c r="D595" s="55"/>
      <c r="E595" s="65"/>
      <c r="F595" s="166"/>
      <c r="G595" s="167"/>
      <c r="H595" s="166"/>
      <c r="I595" s="72"/>
      <c r="J595" s="55"/>
      <c r="K595" s="72"/>
      <c r="L595" s="55"/>
      <c r="M595" s="174"/>
      <c r="N595" s="73" t="str">
        <f>IF(ISBLANK(C595),"",_xlfn.IFNA(INDEX(inbound_data[],MATCH(Outbound_data[[#This Row],[STOCK CODE OUT]],Generated_Stockcode,0),10),""))</f>
        <v/>
      </c>
      <c r="O595" s="73" t="str">
        <f>IF(ISBLANK(C595),"",_xlfn.IFNA(INDEX(inbound_data[],MATCH(Outbound_data[[#This Row],[STOCK CODE OUT]],Generated_Stockcode,0),12),""))</f>
        <v/>
      </c>
      <c r="P595" s="73" t="str">
        <f>IF(ISBLANK(C595),"",_xlfn.IFNA(INDEX(inbound_data[],MATCH(Outbound_data[[#This Row],[STOCK CODE OUT]],Generated_Stockcode,0),23),""))</f>
        <v/>
      </c>
      <c r="Q595" s="73" t="str">
        <f>IF(ISBLANK(C595),"",_xlfn.IFNA(INDEX(inbound_data[],MATCH(Outbound_data[[#This Row],[STOCK CODE OUT]],Generated_Stockcode,0),13),""))</f>
        <v/>
      </c>
    </row>
    <row r="596" spans="2:17" x14ac:dyDescent="0.25">
      <c r="B596" s="71"/>
      <c r="C596" s="65"/>
      <c r="D596" s="55"/>
      <c r="E596" s="65"/>
      <c r="F596" s="166"/>
      <c r="G596" s="167"/>
      <c r="H596" s="166"/>
      <c r="I596" s="72"/>
      <c r="J596" s="55"/>
      <c r="K596" s="72"/>
      <c r="L596" s="55"/>
      <c r="M596" s="174"/>
      <c r="N596" s="73" t="str">
        <f>IF(ISBLANK(C596),"",_xlfn.IFNA(INDEX(inbound_data[],MATCH(Outbound_data[[#This Row],[STOCK CODE OUT]],Generated_Stockcode,0),10),""))</f>
        <v/>
      </c>
      <c r="O596" s="73" t="str">
        <f>IF(ISBLANK(C596),"",_xlfn.IFNA(INDEX(inbound_data[],MATCH(Outbound_data[[#This Row],[STOCK CODE OUT]],Generated_Stockcode,0),12),""))</f>
        <v/>
      </c>
      <c r="P596" s="73" t="str">
        <f>IF(ISBLANK(C596),"",_xlfn.IFNA(INDEX(inbound_data[],MATCH(Outbound_data[[#This Row],[STOCK CODE OUT]],Generated_Stockcode,0),23),""))</f>
        <v/>
      </c>
      <c r="Q596" s="73" t="str">
        <f>IF(ISBLANK(C596),"",_xlfn.IFNA(INDEX(inbound_data[],MATCH(Outbound_data[[#This Row],[STOCK CODE OUT]],Generated_Stockcode,0),13),""))</f>
        <v/>
      </c>
    </row>
    <row r="597" spans="2:17" x14ac:dyDescent="0.25">
      <c r="B597" s="71"/>
      <c r="C597" s="65"/>
      <c r="D597" s="55"/>
      <c r="E597" s="65"/>
      <c r="F597" s="166"/>
      <c r="G597" s="167"/>
      <c r="H597" s="166"/>
      <c r="I597" s="72"/>
      <c r="J597" s="55"/>
      <c r="K597" s="72"/>
      <c r="L597" s="55"/>
      <c r="M597" s="174"/>
      <c r="N597" s="73" t="str">
        <f>IF(ISBLANK(C597),"",_xlfn.IFNA(INDEX(inbound_data[],MATCH(Outbound_data[[#This Row],[STOCK CODE OUT]],Generated_Stockcode,0),10),""))</f>
        <v/>
      </c>
      <c r="O597" s="73" t="str">
        <f>IF(ISBLANK(C597),"",_xlfn.IFNA(INDEX(inbound_data[],MATCH(Outbound_data[[#This Row],[STOCK CODE OUT]],Generated_Stockcode,0),12),""))</f>
        <v/>
      </c>
      <c r="P597" s="73" t="str">
        <f>IF(ISBLANK(C597),"",_xlfn.IFNA(INDEX(inbound_data[],MATCH(Outbound_data[[#This Row],[STOCK CODE OUT]],Generated_Stockcode,0),23),""))</f>
        <v/>
      </c>
      <c r="Q597" s="73" t="str">
        <f>IF(ISBLANK(C597),"",_xlfn.IFNA(INDEX(inbound_data[],MATCH(Outbound_data[[#This Row],[STOCK CODE OUT]],Generated_Stockcode,0),13),""))</f>
        <v/>
      </c>
    </row>
    <row r="598" spans="2:17" x14ac:dyDescent="0.25">
      <c r="B598" s="71"/>
      <c r="C598" s="65"/>
      <c r="D598" s="55"/>
      <c r="E598" s="65"/>
      <c r="F598" s="166"/>
      <c r="G598" s="167"/>
      <c r="H598" s="166"/>
      <c r="I598" s="72"/>
      <c r="J598" s="55"/>
      <c r="K598" s="72"/>
      <c r="L598" s="55"/>
      <c r="M598" s="174"/>
      <c r="N598" s="73" t="str">
        <f>IF(ISBLANK(C598),"",_xlfn.IFNA(INDEX(inbound_data[],MATCH(Outbound_data[[#This Row],[STOCK CODE OUT]],Generated_Stockcode,0),10),""))</f>
        <v/>
      </c>
      <c r="O598" s="73" t="str">
        <f>IF(ISBLANK(C598),"",_xlfn.IFNA(INDEX(inbound_data[],MATCH(Outbound_data[[#This Row],[STOCK CODE OUT]],Generated_Stockcode,0),12),""))</f>
        <v/>
      </c>
      <c r="P598" s="73" t="str">
        <f>IF(ISBLANK(C598),"",_xlfn.IFNA(INDEX(inbound_data[],MATCH(Outbound_data[[#This Row],[STOCK CODE OUT]],Generated_Stockcode,0),23),""))</f>
        <v/>
      </c>
      <c r="Q598" s="73" t="str">
        <f>IF(ISBLANK(C598),"",_xlfn.IFNA(INDEX(inbound_data[],MATCH(Outbound_data[[#This Row],[STOCK CODE OUT]],Generated_Stockcode,0),13),""))</f>
        <v/>
      </c>
    </row>
    <row r="599" spans="2:17" x14ac:dyDescent="0.25">
      <c r="B599" s="71"/>
      <c r="C599" s="65"/>
      <c r="D599" s="55"/>
      <c r="E599" s="65"/>
      <c r="F599" s="166"/>
      <c r="G599" s="167"/>
      <c r="H599" s="166"/>
      <c r="I599" s="72"/>
      <c r="J599" s="55"/>
      <c r="K599" s="72"/>
      <c r="L599" s="55"/>
      <c r="M599" s="174"/>
      <c r="N599" s="73" t="str">
        <f>IF(ISBLANK(C599),"",_xlfn.IFNA(INDEX(inbound_data[],MATCH(Outbound_data[[#This Row],[STOCK CODE OUT]],Generated_Stockcode,0),10),""))</f>
        <v/>
      </c>
      <c r="O599" s="73" t="str">
        <f>IF(ISBLANK(C599),"",_xlfn.IFNA(INDEX(inbound_data[],MATCH(Outbound_data[[#This Row],[STOCK CODE OUT]],Generated_Stockcode,0),12),""))</f>
        <v/>
      </c>
      <c r="P599" s="73" t="str">
        <f>IF(ISBLANK(C599),"",_xlfn.IFNA(INDEX(inbound_data[],MATCH(Outbound_data[[#This Row],[STOCK CODE OUT]],Generated_Stockcode,0),23),""))</f>
        <v/>
      </c>
      <c r="Q599" s="73" t="str">
        <f>IF(ISBLANK(C599),"",_xlfn.IFNA(INDEX(inbound_data[],MATCH(Outbound_data[[#This Row],[STOCK CODE OUT]],Generated_Stockcode,0),13),""))</f>
        <v/>
      </c>
    </row>
    <row r="600" spans="2:17" x14ac:dyDescent="0.25">
      <c r="B600" s="71"/>
      <c r="C600" s="65"/>
      <c r="D600" s="55"/>
      <c r="E600" s="65"/>
      <c r="F600" s="166"/>
      <c r="G600" s="167"/>
      <c r="H600" s="166"/>
      <c r="I600" s="72"/>
      <c r="J600" s="55"/>
      <c r="K600" s="72"/>
      <c r="L600" s="55"/>
      <c r="M600" s="174"/>
      <c r="N600" s="73" t="str">
        <f>IF(ISBLANK(C600),"",_xlfn.IFNA(INDEX(inbound_data[],MATCH(Outbound_data[[#This Row],[STOCK CODE OUT]],Generated_Stockcode,0),10),""))</f>
        <v/>
      </c>
      <c r="O600" s="73" t="str">
        <f>IF(ISBLANK(C600),"",_xlfn.IFNA(INDEX(inbound_data[],MATCH(Outbound_data[[#This Row],[STOCK CODE OUT]],Generated_Stockcode,0),12),""))</f>
        <v/>
      </c>
      <c r="P600" s="73" t="str">
        <f>IF(ISBLANK(C600),"",_xlfn.IFNA(INDEX(inbound_data[],MATCH(Outbound_data[[#This Row],[STOCK CODE OUT]],Generated_Stockcode,0),23),""))</f>
        <v/>
      </c>
      <c r="Q600" s="73" t="str">
        <f>IF(ISBLANK(C600),"",_xlfn.IFNA(INDEX(inbound_data[],MATCH(Outbound_data[[#This Row],[STOCK CODE OUT]],Generated_Stockcode,0),13),""))</f>
        <v/>
      </c>
    </row>
    <row r="601" spans="2:17" x14ac:dyDescent="0.25">
      <c r="B601" s="71"/>
      <c r="C601" s="65"/>
      <c r="D601" s="55"/>
      <c r="E601" s="65"/>
      <c r="F601" s="166"/>
      <c r="G601" s="167"/>
      <c r="H601" s="166"/>
      <c r="I601" s="72"/>
      <c r="J601" s="55"/>
      <c r="K601" s="72"/>
      <c r="L601" s="55"/>
      <c r="M601" s="174"/>
      <c r="N601" s="73" t="str">
        <f>IF(ISBLANK(C601),"",_xlfn.IFNA(INDEX(inbound_data[],MATCH(Outbound_data[[#This Row],[STOCK CODE OUT]],Generated_Stockcode,0),10),""))</f>
        <v/>
      </c>
      <c r="O601" s="73" t="str">
        <f>IF(ISBLANK(C601),"",_xlfn.IFNA(INDEX(inbound_data[],MATCH(Outbound_data[[#This Row],[STOCK CODE OUT]],Generated_Stockcode,0),12),""))</f>
        <v/>
      </c>
      <c r="P601" s="73" t="str">
        <f>IF(ISBLANK(C601),"",_xlfn.IFNA(INDEX(inbound_data[],MATCH(Outbound_data[[#This Row],[STOCK CODE OUT]],Generated_Stockcode,0),23),""))</f>
        <v/>
      </c>
      <c r="Q601" s="73" t="str">
        <f>IF(ISBLANK(C601),"",_xlfn.IFNA(INDEX(inbound_data[],MATCH(Outbound_data[[#This Row],[STOCK CODE OUT]],Generated_Stockcode,0),13),""))</f>
        <v/>
      </c>
    </row>
    <row r="602" spans="2:17" x14ac:dyDescent="0.25">
      <c r="B602" s="71"/>
      <c r="C602" s="65"/>
      <c r="D602" s="55"/>
      <c r="E602" s="65"/>
      <c r="F602" s="166"/>
      <c r="G602" s="167"/>
      <c r="H602" s="166"/>
      <c r="I602" s="72"/>
      <c r="J602" s="55"/>
      <c r="K602" s="72"/>
      <c r="L602" s="55"/>
      <c r="M602" s="174"/>
      <c r="N602" s="73" t="str">
        <f>IF(ISBLANK(C602),"",_xlfn.IFNA(INDEX(inbound_data[],MATCH(Outbound_data[[#This Row],[STOCK CODE OUT]],Generated_Stockcode,0),10),""))</f>
        <v/>
      </c>
      <c r="O602" s="73" t="str">
        <f>IF(ISBLANK(C602),"",_xlfn.IFNA(INDEX(inbound_data[],MATCH(Outbound_data[[#This Row],[STOCK CODE OUT]],Generated_Stockcode,0),12),""))</f>
        <v/>
      </c>
      <c r="P602" s="73" t="str">
        <f>IF(ISBLANK(C602),"",_xlfn.IFNA(INDEX(inbound_data[],MATCH(Outbound_data[[#This Row],[STOCK CODE OUT]],Generated_Stockcode,0),23),""))</f>
        <v/>
      </c>
      <c r="Q602" s="73" t="str">
        <f>IF(ISBLANK(C602),"",_xlfn.IFNA(INDEX(inbound_data[],MATCH(Outbound_data[[#This Row],[STOCK CODE OUT]],Generated_Stockcode,0),13),""))</f>
        <v/>
      </c>
    </row>
    <row r="603" spans="2:17" x14ac:dyDescent="0.25">
      <c r="B603" s="71"/>
      <c r="C603" s="65"/>
      <c r="D603" s="55"/>
      <c r="E603" s="65"/>
      <c r="F603" s="166"/>
      <c r="G603" s="167"/>
      <c r="H603" s="166"/>
      <c r="I603" s="72"/>
      <c r="J603" s="55"/>
      <c r="K603" s="72"/>
      <c r="L603" s="55"/>
      <c r="M603" s="174"/>
      <c r="N603" s="73" t="str">
        <f>IF(ISBLANK(C603),"",_xlfn.IFNA(INDEX(inbound_data[],MATCH(Outbound_data[[#This Row],[STOCK CODE OUT]],Generated_Stockcode,0),10),""))</f>
        <v/>
      </c>
      <c r="O603" s="73" t="str">
        <f>IF(ISBLANK(C603),"",_xlfn.IFNA(INDEX(inbound_data[],MATCH(Outbound_data[[#This Row],[STOCK CODE OUT]],Generated_Stockcode,0),12),""))</f>
        <v/>
      </c>
      <c r="P603" s="73" t="str">
        <f>IF(ISBLANK(C603),"",_xlfn.IFNA(INDEX(inbound_data[],MATCH(Outbound_data[[#This Row],[STOCK CODE OUT]],Generated_Stockcode,0),23),""))</f>
        <v/>
      </c>
      <c r="Q603" s="73" t="str">
        <f>IF(ISBLANK(C603),"",_xlfn.IFNA(INDEX(inbound_data[],MATCH(Outbound_data[[#This Row],[STOCK CODE OUT]],Generated_Stockcode,0),13),""))</f>
        <v/>
      </c>
    </row>
    <row r="604" spans="2:17" x14ac:dyDescent="0.25">
      <c r="B604" s="71"/>
      <c r="C604" s="65"/>
      <c r="D604" s="55"/>
      <c r="E604" s="65"/>
      <c r="F604" s="166"/>
      <c r="G604" s="167"/>
      <c r="H604" s="166"/>
      <c r="I604" s="72"/>
      <c r="J604" s="55"/>
      <c r="K604" s="72"/>
      <c r="L604" s="55"/>
      <c r="M604" s="174"/>
      <c r="N604" s="73" t="str">
        <f>IF(ISBLANK(C604),"",_xlfn.IFNA(INDEX(inbound_data[],MATCH(Outbound_data[[#This Row],[STOCK CODE OUT]],Generated_Stockcode,0),10),""))</f>
        <v/>
      </c>
      <c r="O604" s="73" t="str">
        <f>IF(ISBLANK(C604),"",_xlfn.IFNA(INDEX(inbound_data[],MATCH(Outbound_data[[#This Row],[STOCK CODE OUT]],Generated_Stockcode,0),12),""))</f>
        <v/>
      </c>
      <c r="P604" s="73" t="str">
        <f>IF(ISBLANK(C604),"",_xlfn.IFNA(INDEX(inbound_data[],MATCH(Outbound_data[[#This Row],[STOCK CODE OUT]],Generated_Stockcode,0),23),""))</f>
        <v/>
      </c>
      <c r="Q604" s="73" t="str">
        <f>IF(ISBLANK(C604),"",_xlfn.IFNA(INDEX(inbound_data[],MATCH(Outbound_data[[#This Row],[STOCK CODE OUT]],Generated_Stockcode,0),13),""))</f>
        <v/>
      </c>
    </row>
    <row r="605" spans="2:17" x14ac:dyDescent="0.25">
      <c r="B605" s="71"/>
      <c r="C605" s="65"/>
      <c r="D605" s="55"/>
      <c r="E605" s="65"/>
      <c r="F605" s="166"/>
      <c r="G605" s="167"/>
      <c r="H605" s="166"/>
      <c r="I605" s="72"/>
      <c r="J605" s="55"/>
      <c r="K605" s="72"/>
      <c r="L605" s="55"/>
      <c r="M605" s="174"/>
      <c r="N605" s="73" t="str">
        <f>IF(ISBLANK(C605),"",_xlfn.IFNA(INDEX(inbound_data[],MATCH(Outbound_data[[#This Row],[STOCK CODE OUT]],Generated_Stockcode,0),10),""))</f>
        <v/>
      </c>
      <c r="O605" s="73" t="str">
        <f>IF(ISBLANK(C605),"",_xlfn.IFNA(INDEX(inbound_data[],MATCH(Outbound_data[[#This Row],[STOCK CODE OUT]],Generated_Stockcode,0),12),""))</f>
        <v/>
      </c>
      <c r="P605" s="73" t="str">
        <f>IF(ISBLANK(C605),"",_xlfn.IFNA(INDEX(inbound_data[],MATCH(Outbound_data[[#This Row],[STOCK CODE OUT]],Generated_Stockcode,0),23),""))</f>
        <v/>
      </c>
      <c r="Q605" s="73" t="str">
        <f>IF(ISBLANK(C605),"",_xlfn.IFNA(INDEX(inbound_data[],MATCH(Outbound_data[[#This Row],[STOCK CODE OUT]],Generated_Stockcode,0),13),""))</f>
        <v/>
      </c>
    </row>
    <row r="606" spans="2:17" x14ac:dyDescent="0.25">
      <c r="B606" s="71"/>
      <c r="C606" s="65"/>
      <c r="D606" s="55"/>
      <c r="E606" s="65"/>
      <c r="F606" s="166"/>
      <c r="G606" s="167"/>
      <c r="H606" s="166"/>
      <c r="I606" s="72"/>
      <c r="J606" s="55"/>
      <c r="K606" s="72"/>
      <c r="L606" s="55"/>
      <c r="M606" s="174"/>
      <c r="N606" s="73" t="str">
        <f>IF(ISBLANK(C606),"",_xlfn.IFNA(INDEX(inbound_data[],MATCH(Outbound_data[[#This Row],[STOCK CODE OUT]],Generated_Stockcode,0),10),""))</f>
        <v/>
      </c>
      <c r="O606" s="73" t="str">
        <f>IF(ISBLANK(C606),"",_xlfn.IFNA(INDEX(inbound_data[],MATCH(Outbound_data[[#This Row],[STOCK CODE OUT]],Generated_Stockcode,0),12),""))</f>
        <v/>
      </c>
      <c r="P606" s="73" t="str">
        <f>IF(ISBLANK(C606),"",_xlfn.IFNA(INDEX(inbound_data[],MATCH(Outbound_data[[#This Row],[STOCK CODE OUT]],Generated_Stockcode,0),23),""))</f>
        <v/>
      </c>
      <c r="Q606" s="73" t="str">
        <f>IF(ISBLANK(C606),"",_xlfn.IFNA(INDEX(inbound_data[],MATCH(Outbound_data[[#This Row],[STOCK CODE OUT]],Generated_Stockcode,0),13),""))</f>
        <v/>
      </c>
    </row>
    <row r="607" spans="2:17" x14ac:dyDescent="0.25">
      <c r="B607" s="71"/>
      <c r="C607" s="65"/>
      <c r="D607" s="55"/>
      <c r="E607" s="65"/>
      <c r="F607" s="166"/>
      <c r="G607" s="167"/>
      <c r="H607" s="166"/>
      <c r="I607" s="72"/>
      <c r="J607" s="55"/>
      <c r="K607" s="72"/>
      <c r="L607" s="55"/>
      <c r="M607" s="174"/>
      <c r="N607" s="73" t="str">
        <f>IF(ISBLANK(C607),"",_xlfn.IFNA(INDEX(inbound_data[],MATCH(Outbound_data[[#This Row],[STOCK CODE OUT]],Generated_Stockcode,0),10),""))</f>
        <v/>
      </c>
      <c r="O607" s="73" t="str">
        <f>IF(ISBLANK(C607),"",_xlfn.IFNA(INDEX(inbound_data[],MATCH(Outbound_data[[#This Row],[STOCK CODE OUT]],Generated_Stockcode,0),12),""))</f>
        <v/>
      </c>
      <c r="P607" s="73" t="str">
        <f>IF(ISBLANK(C607),"",_xlfn.IFNA(INDEX(inbound_data[],MATCH(Outbound_data[[#This Row],[STOCK CODE OUT]],Generated_Stockcode,0),23),""))</f>
        <v/>
      </c>
      <c r="Q607" s="73" t="str">
        <f>IF(ISBLANK(C607),"",_xlfn.IFNA(INDEX(inbound_data[],MATCH(Outbound_data[[#This Row],[STOCK CODE OUT]],Generated_Stockcode,0),13),""))</f>
        <v/>
      </c>
    </row>
    <row r="608" spans="2:17" x14ac:dyDescent="0.25">
      <c r="B608" s="71"/>
      <c r="C608" s="65"/>
      <c r="D608" s="55"/>
      <c r="E608" s="65"/>
      <c r="F608" s="166"/>
      <c r="G608" s="167"/>
      <c r="H608" s="166"/>
      <c r="I608" s="72"/>
      <c r="J608" s="55"/>
      <c r="K608" s="72"/>
      <c r="L608" s="55"/>
      <c r="M608" s="174"/>
      <c r="N608" s="73" t="str">
        <f>IF(ISBLANK(C608),"",_xlfn.IFNA(INDEX(inbound_data[],MATCH(Outbound_data[[#This Row],[STOCK CODE OUT]],Generated_Stockcode,0),10),""))</f>
        <v/>
      </c>
      <c r="O608" s="73" t="str">
        <f>IF(ISBLANK(C608),"",_xlfn.IFNA(INDEX(inbound_data[],MATCH(Outbound_data[[#This Row],[STOCK CODE OUT]],Generated_Stockcode,0),12),""))</f>
        <v/>
      </c>
      <c r="P608" s="73" t="str">
        <f>IF(ISBLANK(C608),"",_xlfn.IFNA(INDEX(inbound_data[],MATCH(Outbound_data[[#This Row],[STOCK CODE OUT]],Generated_Stockcode,0),23),""))</f>
        <v/>
      </c>
      <c r="Q608" s="73" t="str">
        <f>IF(ISBLANK(C608),"",_xlfn.IFNA(INDEX(inbound_data[],MATCH(Outbound_data[[#This Row],[STOCK CODE OUT]],Generated_Stockcode,0),13),""))</f>
        <v/>
      </c>
    </row>
    <row r="609" spans="2:17" x14ac:dyDescent="0.25">
      <c r="B609" s="71"/>
      <c r="C609" s="65"/>
      <c r="D609" s="55"/>
      <c r="E609" s="65"/>
      <c r="F609" s="166"/>
      <c r="G609" s="167"/>
      <c r="H609" s="166"/>
      <c r="I609" s="72"/>
      <c r="J609" s="55"/>
      <c r="K609" s="72"/>
      <c r="L609" s="55"/>
      <c r="M609" s="174"/>
      <c r="N609" s="73" t="str">
        <f>IF(ISBLANK(C609),"",_xlfn.IFNA(INDEX(inbound_data[],MATCH(Outbound_data[[#This Row],[STOCK CODE OUT]],Generated_Stockcode,0),10),""))</f>
        <v/>
      </c>
      <c r="O609" s="73" t="str">
        <f>IF(ISBLANK(C609),"",_xlfn.IFNA(INDEX(inbound_data[],MATCH(Outbound_data[[#This Row],[STOCK CODE OUT]],Generated_Stockcode,0),12),""))</f>
        <v/>
      </c>
      <c r="P609" s="73" t="str">
        <f>IF(ISBLANK(C609),"",_xlfn.IFNA(INDEX(inbound_data[],MATCH(Outbound_data[[#This Row],[STOCK CODE OUT]],Generated_Stockcode,0),23),""))</f>
        <v/>
      </c>
      <c r="Q609" s="73" t="str">
        <f>IF(ISBLANK(C609),"",_xlfn.IFNA(INDEX(inbound_data[],MATCH(Outbound_data[[#This Row],[STOCK CODE OUT]],Generated_Stockcode,0),13),""))</f>
        <v/>
      </c>
    </row>
    <row r="610" spans="2:17" x14ac:dyDescent="0.25">
      <c r="B610" s="71"/>
      <c r="C610" s="65"/>
      <c r="D610" s="55"/>
      <c r="E610" s="65"/>
      <c r="F610" s="166"/>
      <c r="G610" s="167"/>
      <c r="H610" s="166"/>
      <c r="I610" s="72"/>
      <c r="J610" s="55"/>
      <c r="K610" s="72"/>
      <c r="L610" s="55"/>
      <c r="M610" s="174"/>
      <c r="N610" s="73" t="str">
        <f>IF(ISBLANK(C610),"",_xlfn.IFNA(INDEX(inbound_data[],MATCH(Outbound_data[[#This Row],[STOCK CODE OUT]],Generated_Stockcode,0),10),""))</f>
        <v/>
      </c>
      <c r="O610" s="73" t="str">
        <f>IF(ISBLANK(C610),"",_xlfn.IFNA(INDEX(inbound_data[],MATCH(Outbound_data[[#This Row],[STOCK CODE OUT]],Generated_Stockcode,0),12),""))</f>
        <v/>
      </c>
      <c r="P610" s="73" t="str">
        <f>IF(ISBLANK(C610),"",_xlfn.IFNA(INDEX(inbound_data[],MATCH(Outbound_data[[#This Row],[STOCK CODE OUT]],Generated_Stockcode,0),23),""))</f>
        <v/>
      </c>
      <c r="Q610" s="73" t="str">
        <f>IF(ISBLANK(C610),"",_xlfn.IFNA(INDEX(inbound_data[],MATCH(Outbound_data[[#This Row],[STOCK CODE OUT]],Generated_Stockcode,0),13),""))</f>
        <v/>
      </c>
    </row>
    <row r="611" spans="2:17" x14ac:dyDescent="0.25">
      <c r="B611" s="71"/>
      <c r="C611" s="65"/>
      <c r="D611" s="55"/>
      <c r="E611" s="65"/>
      <c r="F611" s="166"/>
      <c r="G611" s="167"/>
      <c r="H611" s="166"/>
      <c r="I611" s="72"/>
      <c r="J611" s="55"/>
      <c r="K611" s="72"/>
      <c r="L611" s="55"/>
      <c r="M611" s="174"/>
      <c r="N611" s="73" t="str">
        <f>IF(ISBLANK(C611),"",_xlfn.IFNA(INDEX(inbound_data[],MATCH(Outbound_data[[#This Row],[STOCK CODE OUT]],Generated_Stockcode,0),10),""))</f>
        <v/>
      </c>
      <c r="O611" s="73" t="str">
        <f>IF(ISBLANK(C611),"",_xlfn.IFNA(INDEX(inbound_data[],MATCH(Outbound_data[[#This Row],[STOCK CODE OUT]],Generated_Stockcode,0),12),""))</f>
        <v/>
      </c>
      <c r="P611" s="73" t="str">
        <f>IF(ISBLANK(C611),"",_xlfn.IFNA(INDEX(inbound_data[],MATCH(Outbound_data[[#This Row],[STOCK CODE OUT]],Generated_Stockcode,0),23),""))</f>
        <v/>
      </c>
      <c r="Q611" s="73" t="str">
        <f>IF(ISBLANK(C611),"",_xlfn.IFNA(INDEX(inbound_data[],MATCH(Outbound_data[[#This Row],[STOCK CODE OUT]],Generated_Stockcode,0),13),""))</f>
        <v/>
      </c>
    </row>
    <row r="612" spans="2:17" x14ac:dyDescent="0.25">
      <c r="B612" s="71"/>
      <c r="C612" s="65"/>
      <c r="D612" s="55"/>
      <c r="E612" s="65"/>
      <c r="F612" s="166"/>
      <c r="G612" s="167"/>
      <c r="H612" s="166"/>
      <c r="I612" s="72"/>
      <c r="J612" s="55"/>
      <c r="K612" s="72"/>
      <c r="L612" s="55"/>
      <c r="M612" s="174"/>
      <c r="N612" s="73" t="str">
        <f>IF(ISBLANK(C612),"",_xlfn.IFNA(INDEX(inbound_data[],MATCH(Outbound_data[[#This Row],[STOCK CODE OUT]],Generated_Stockcode,0),10),""))</f>
        <v/>
      </c>
      <c r="O612" s="73" t="str">
        <f>IF(ISBLANK(C612),"",_xlfn.IFNA(INDEX(inbound_data[],MATCH(Outbound_data[[#This Row],[STOCK CODE OUT]],Generated_Stockcode,0),12),""))</f>
        <v/>
      </c>
      <c r="P612" s="73" t="str">
        <f>IF(ISBLANK(C612),"",_xlfn.IFNA(INDEX(inbound_data[],MATCH(Outbound_data[[#This Row],[STOCK CODE OUT]],Generated_Stockcode,0),23),""))</f>
        <v/>
      </c>
      <c r="Q612" s="73" t="str">
        <f>IF(ISBLANK(C612),"",_xlfn.IFNA(INDEX(inbound_data[],MATCH(Outbound_data[[#This Row],[STOCK CODE OUT]],Generated_Stockcode,0),13),""))</f>
        <v/>
      </c>
    </row>
    <row r="613" spans="2:17" x14ac:dyDescent="0.25">
      <c r="B613" s="71"/>
      <c r="C613" s="65"/>
      <c r="D613" s="55"/>
      <c r="E613" s="65"/>
      <c r="F613" s="166"/>
      <c r="G613" s="167"/>
      <c r="H613" s="166"/>
      <c r="I613" s="72"/>
      <c r="J613" s="55"/>
      <c r="K613" s="72"/>
      <c r="L613" s="55"/>
      <c r="M613" s="174"/>
      <c r="N613" s="73" t="str">
        <f>IF(ISBLANK(C613),"",_xlfn.IFNA(INDEX(inbound_data[],MATCH(Outbound_data[[#This Row],[STOCK CODE OUT]],Generated_Stockcode,0),10),""))</f>
        <v/>
      </c>
      <c r="O613" s="73" t="str">
        <f>IF(ISBLANK(C613),"",_xlfn.IFNA(INDEX(inbound_data[],MATCH(Outbound_data[[#This Row],[STOCK CODE OUT]],Generated_Stockcode,0),12),""))</f>
        <v/>
      </c>
      <c r="P613" s="73" t="str">
        <f>IF(ISBLANK(C613),"",_xlfn.IFNA(INDEX(inbound_data[],MATCH(Outbound_data[[#This Row],[STOCK CODE OUT]],Generated_Stockcode,0),23),""))</f>
        <v/>
      </c>
      <c r="Q613" s="73" t="str">
        <f>IF(ISBLANK(C613),"",_xlfn.IFNA(INDEX(inbound_data[],MATCH(Outbound_data[[#This Row],[STOCK CODE OUT]],Generated_Stockcode,0),13),""))</f>
        <v/>
      </c>
    </row>
    <row r="614" spans="2:17" x14ac:dyDescent="0.25">
      <c r="B614" s="71"/>
      <c r="C614" s="65"/>
      <c r="D614" s="55"/>
      <c r="E614" s="65"/>
      <c r="F614" s="166"/>
      <c r="G614" s="167"/>
      <c r="H614" s="166"/>
      <c r="I614" s="72"/>
      <c r="J614" s="55"/>
      <c r="K614" s="72"/>
      <c r="L614" s="55"/>
      <c r="M614" s="174"/>
      <c r="N614" s="73" t="str">
        <f>IF(ISBLANK(C614),"",_xlfn.IFNA(INDEX(inbound_data[],MATCH(Outbound_data[[#This Row],[STOCK CODE OUT]],Generated_Stockcode,0),10),""))</f>
        <v/>
      </c>
      <c r="O614" s="73" t="str">
        <f>IF(ISBLANK(C614),"",_xlfn.IFNA(INDEX(inbound_data[],MATCH(Outbound_data[[#This Row],[STOCK CODE OUT]],Generated_Stockcode,0),12),""))</f>
        <v/>
      </c>
      <c r="P614" s="73" t="str">
        <f>IF(ISBLANK(C614),"",_xlfn.IFNA(INDEX(inbound_data[],MATCH(Outbound_data[[#This Row],[STOCK CODE OUT]],Generated_Stockcode,0),23),""))</f>
        <v/>
      </c>
      <c r="Q614" s="73" t="str">
        <f>IF(ISBLANK(C614),"",_xlfn.IFNA(INDEX(inbound_data[],MATCH(Outbound_data[[#This Row],[STOCK CODE OUT]],Generated_Stockcode,0),13),""))</f>
        <v/>
      </c>
    </row>
    <row r="615" spans="2:17" x14ac:dyDescent="0.25">
      <c r="B615" s="71"/>
      <c r="C615" s="65"/>
      <c r="D615" s="55"/>
      <c r="E615" s="65"/>
      <c r="F615" s="166"/>
      <c r="G615" s="167"/>
      <c r="H615" s="166"/>
      <c r="I615" s="72"/>
      <c r="J615" s="55"/>
      <c r="K615" s="72"/>
      <c r="L615" s="55"/>
      <c r="M615" s="174"/>
      <c r="N615" s="73" t="str">
        <f>IF(ISBLANK(C615),"",_xlfn.IFNA(INDEX(inbound_data[],MATCH(Outbound_data[[#This Row],[STOCK CODE OUT]],Generated_Stockcode,0),10),""))</f>
        <v/>
      </c>
      <c r="O615" s="73" t="str">
        <f>IF(ISBLANK(C615),"",_xlfn.IFNA(INDEX(inbound_data[],MATCH(Outbound_data[[#This Row],[STOCK CODE OUT]],Generated_Stockcode,0),12),""))</f>
        <v/>
      </c>
      <c r="P615" s="73" t="str">
        <f>IF(ISBLANK(C615),"",_xlfn.IFNA(INDEX(inbound_data[],MATCH(Outbound_data[[#This Row],[STOCK CODE OUT]],Generated_Stockcode,0),23),""))</f>
        <v/>
      </c>
      <c r="Q615" s="73" t="str">
        <f>IF(ISBLANK(C615),"",_xlfn.IFNA(INDEX(inbound_data[],MATCH(Outbound_data[[#This Row],[STOCK CODE OUT]],Generated_Stockcode,0),13),""))</f>
        <v/>
      </c>
    </row>
    <row r="616" spans="2:17" x14ac:dyDescent="0.25">
      <c r="B616" s="71"/>
      <c r="C616" s="65"/>
      <c r="D616" s="55"/>
      <c r="E616" s="65"/>
      <c r="F616" s="166"/>
      <c r="G616" s="167"/>
      <c r="H616" s="166"/>
      <c r="I616" s="72"/>
      <c r="J616" s="55"/>
      <c r="K616" s="72"/>
      <c r="L616" s="55"/>
      <c r="M616" s="174"/>
      <c r="N616" s="73" t="str">
        <f>IF(ISBLANK(C616),"",_xlfn.IFNA(INDEX(inbound_data[],MATCH(Outbound_data[[#This Row],[STOCK CODE OUT]],Generated_Stockcode,0),10),""))</f>
        <v/>
      </c>
      <c r="O616" s="73" t="str">
        <f>IF(ISBLANK(C616),"",_xlfn.IFNA(INDEX(inbound_data[],MATCH(Outbound_data[[#This Row],[STOCK CODE OUT]],Generated_Stockcode,0),12),""))</f>
        <v/>
      </c>
      <c r="P616" s="73" t="str">
        <f>IF(ISBLANK(C616),"",_xlfn.IFNA(INDEX(inbound_data[],MATCH(Outbound_data[[#This Row],[STOCK CODE OUT]],Generated_Stockcode,0),23),""))</f>
        <v/>
      </c>
      <c r="Q616" s="73" t="str">
        <f>IF(ISBLANK(C616),"",_xlfn.IFNA(INDEX(inbound_data[],MATCH(Outbound_data[[#This Row],[STOCK CODE OUT]],Generated_Stockcode,0),13),""))</f>
        <v/>
      </c>
    </row>
    <row r="617" spans="2:17" x14ac:dyDescent="0.25">
      <c r="B617" s="71"/>
      <c r="C617" s="65"/>
      <c r="D617" s="55"/>
      <c r="E617" s="65"/>
      <c r="F617" s="166"/>
      <c r="G617" s="167"/>
      <c r="H617" s="166"/>
      <c r="I617" s="72"/>
      <c r="J617" s="55"/>
      <c r="K617" s="72"/>
      <c r="L617" s="55"/>
      <c r="M617" s="174"/>
      <c r="N617" s="73" t="str">
        <f>IF(ISBLANK(C617),"",_xlfn.IFNA(INDEX(inbound_data[],MATCH(Outbound_data[[#This Row],[STOCK CODE OUT]],Generated_Stockcode,0),10),""))</f>
        <v/>
      </c>
      <c r="O617" s="73" t="str">
        <f>IF(ISBLANK(C617),"",_xlfn.IFNA(INDEX(inbound_data[],MATCH(Outbound_data[[#This Row],[STOCK CODE OUT]],Generated_Stockcode,0),12),""))</f>
        <v/>
      </c>
      <c r="P617" s="73" t="str">
        <f>IF(ISBLANK(C617),"",_xlfn.IFNA(INDEX(inbound_data[],MATCH(Outbound_data[[#This Row],[STOCK CODE OUT]],Generated_Stockcode,0),23),""))</f>
        <v/>
      </c>
      <c r="Q617" s="73" t="str">
        <f>IF(ISBLANK(C617),"",_xlfn.IFNA(INDEX(inbound_data[],MATCH(Outbound_data[[#This Row],[STOCK CODE OUT]],Generated_Stockcode,0),13),""))</f>
        <v/>
      </c>
    </row>
    <row r="618" spans="2:17" x14ac:dyDescent="0.25">
      <c r="B618" s="71"/>
      <c r="C618" s="65"/>
      <c r="D618" s="55"/>
      <c r="E618" s="65"/>
      <c r="F618" s="166"/>
      <c r="G618" s="167"/>
      <c r="H618" s="166"/>
      <c r="I618" s="72"/>
      <c r="J618" s="55"/>
      <c r="K618" s="72"/>
      <c r="L618" s="55"/>
      <c r="M618" s="174"/>
      <c r="N618" s="73" t="str">
        <f>IF(ISBLANK(C618),"",_xlfn.IFNA(INDEX(inbound_data[],MATCH(Outbound_data[[#This Row],[STOCK CODE OUT]],Generated_Stockcode,0),10),""))</f>
        <v/>
      </c>
      <c r="O618" s="73" t="str">
        <f>IF(ISBLANK(C618),"",_xlfn.IFNA(INDEX(inbound_data[],MATCH(Outbound_data[[#This Row],[STOCK CODE OUT]],Generated_Stockcode,0),12),""))</f>
        <v/>
      </c>
      <c r="P618" s="73" t="str">
        <f>IF(ISBLANK(C618),"",_xlfn.IFNA(INDEX(inbound_data[],MATCH(Outbound_data[[#This Row],[STOCK CODE OUT]],Generated_Stockcode,0),23),""))</f>
        <v/>
      </c>
      <c r="Q618" s="73" t="str">
        <f>IF(ISBLANK(C618),"",_xlfn.IFNA(INDEX(inbound_data[],MATCH(Outbound_data[[#This Row],[STOCK CODE OUT]],Generated_Stockcode,0),13),""))</f>
        <v/>
      </c>
    </row>
    <row r="619" spans="2:17" x14ac:dyDescent="0.25">
      <c r="B619" s="71"/>
      <c r="C619" s="65"/>
      <c r="D619" s="55"/>
      <c r="E619" s="65"/>
      <c r="F619" s="166"/>
      <c r="G619" s="167"/>
      <c r="H619" s="166"/>
      <c r="I619" s="72"/>
      <c r="J619" s="55"/>
      <c r="K619" s="72"/>
      <c r="L619" s="55"/>
      <c r="M619" s="174"/>
      <c r="N619" s="73" t="str">
        <f>IF(ISBLANK(C619),"",_xlfn.IFNA(INDEX(inbound_data[],MATCH(Outbound_data[[#This Row],[STOCK CODE OUT]],Generated_Stockcode,0),10),""))</f>
        <v/>
      </c>
      <c r="O619" s="73" t="str">
        <f>IF(ISBLANK(C619),"",_xlfn.IFNA(INDEX(inbound_data[],MATCH(Outbound_data[[#This Row],[STOCK CODE OUT]],Generated_Stockcode,0),12),""))</f>
        <v/>
      </c>
      <c r="P619" s="73" t="str">
        <f>IF(ISBLANK(C619),"",_xlfn.IFNA(INDEX(inbound_data[],MATCH(Outbound_data[[#This Row],[STOCK CODE OUT]],Generated_Stockcode,0),23),""))</f>
        <v/>
      </c>
      <c r="Q619" s="73" t="str">
        <f>IF(ISBLANK(C619),"",_xlfn.IFNA(INDEX(inbound_data[],MATCH(Outbound_data[[#This Row],[STOCK CODE OUT]],Generated_Stockcode,0),13),""))</f>
        <v/>
      </c>
    </row>
    <row r="620" spans="2:17" x14ac:dyDescent="0.25">
      <c r="B620" s="71"/>
      <c r="C620" s="65"/>
      <c r="D620" s="55"/>
      <c r="E620" s="65"/>
      <c r="F620" s="166"/>
      <c r="G620" s="167"/>
      <c r="H620" s="166"/>
      <c r="I620" s="72"/>
      <c r="J620" s="55"/>
      <c r="K620" s="72"/>
      <c r="L620" s="55"/>
      <c r="M620" s="174"/>
      <c r="N620" s="73" t="str">
        <f>IF(ISBLANK(C620),"",_xlfn.IFNA(INDEX(inbound_data[],MATCH(Outbound_data[[#This Row],[STOCK CODE OUT]],Generated_Stockcode,0),10),""))</f>
        <v/>
      </c>
      <c r="O620" s="73" t="str">
        <f>IF(ISBLANK(C620),"",_xlfn.IFNA(INDEX(inbound_data[],MATCH(Outbound_data[[#This Row],[STOCK CODE OUT]],Generated_Stockcode,0),12),""))</f>
        <v/>
      </c>
      <c r="P620" s="73" t="str">
        <f>IF(ISBLANK(C620),"",_xlfn.IFNA(INDEX(inbound_data[],MATCH(Outbound_data[[#This Row],[STOCK CODE OUT]],Generated_Stockcode,0),23),""))</f>
        <v/>
      </c>
      <c r="Q620" s="73" t="str">
        <f>IF(ISBLANK(C620),"",_xlfn.IFNA(INDEX(inbound_data[],MATCH(Outbound_data[[#This Row],[STOCK CODE OUT]],Generated_Stockcode,0),13),""))</f>
        <v/>
      </c>
    </row>
    <row r="621" spans="2:17" x14ac:dyDescent="0.25">
      <c r="B621" s="71"/>
      <c r="C621" s="65"/>
      <c r="D621" s="55"/>
      <c r="E621" s="65"/>
      <c r="F621" s="166"/>
      <c r="G621" s="167"/>
      <c r="H621" s="166"/>
      <c r="I621" s="72"/>
      <c r="J621" s="55"/>
      <c r="K621" s="72"/>
      <c r="L621" s="55"/>
      <c r="M621" s="174"/>
      <c r="N621" s="73" t="str">
        <f>IF(ISBLANK(C621),"",_xlfn.IFNA(INDEX(inbound_data[],MATCH(Outbound_data[[#This Row],[STOCK CODE OUT]],Generated_Stockcode,0),10),""))</f>
        <v/>
      </c>
      <c r="O621" s="73" t="str">
        <f>IF(ISBLANK(C621),"",_xlfn.IFNA(INDEX(inbound_data[],MATCH(Outbound_data[[#This Row],[STOCK CODE OUT]],Generated_Stockcode,0),12),""))</f>
        <v/>
      </c>
      <c r="P621" s="73" t="str">
        <f>IF(ISBLANK(C621),"",_xlfn.IFNA(INDEX(inbound_data[],MATCH(Outbound_data[[#This Row],[STOCK CODE OUT]],Generated_Stockcode,0),23),""))</f>
        <v/>
      </c>
      <c r="Q621" s="73" t="str">
        <f>IF(ISBLANK(C621),"",_xlfn.IFNA(INDEX(inbound_data[],MATCH(Outbound_data[[#This Row],[STOCK CODE OUT]],Generated_Stockcode,0),13),""))</f>
        <v/>
      </c>
    </row>
    <row r="622" spans="2:17" x14ac:dyDescent="0.25">
      <c r="B622" s="71"/>
      <c r="C622" s="65"/>
      <c r="D622" s="55"/>
      <c r="E622" s="65"/>
      <c r="F622" s="166"/>
      <c r="G622" s="167"/>
      <c r="H622" s="166"/>
      <c r="I622" s="72"/>
      <c r="J622" s="55"/>
      <c r="K622" s="72"/>
      <c r="L622" s="55"/>
      <c r="M622" s="174"/>
      <c r="N622" s="73" t="str">
        <f>IF(ISBLANK(C622),"",_xlfn.IFNA(INDEX(inbound_data[],MATCH(Outbound_data[[#This Row],[STOCK CODE OUT]],Generated_Stockcode,0),10),""))</f>
        <v/>
      </c>
      <c r="O622" s="73" t="str">
        <f>IF(ISBLANK(C622),"",_xlfn.IFNA(INDEX(inbound_data[],MATCH(Outbound_data[[#This Row],[STOCK CODE OUT]],Generated_Stockcode,0),12),""))</f>
        <v/>
      </c>
      <c r="P622" s="73" t="str">
        <f>IF(ISBLANK(C622),"",_xlfn.IFNA(INDEX(inbound_data[],MATCH(Outbound_data[[#This Row],[STOCK CODE OUT]],Generated_Stockcode,0),23),""))</f>
        <v/>
      </c>
      <c r="Q622" s="73" t="str">
        <f>IF(ISBLANK(C622),"",_xlfn.IFNA(INDEX(inbound_data[],MATCH(Outbound_data[[#This Row],[STOCK CODE OUT]],Generated_Stockcode,0),13),""))</f>
        <v/>
      </c>
    </row>
    <row r="623" spans="2:17" x14ac:dyDescent="0.25">
      <c r="B623" s="71"/>
      <c r="C623" s="65"/>
      <c r="D623" s="55"/>
      <c r="E623" s="65"/>
      <c r="F623" s="166"/>
      <c r="G623" s="167"/>
      <c r="H623" s="166"/>
      <c r="I623" s="72"/>
      <c r="J623" s="55"/>
      <c r="K623" s="72"/>
      <c r="L623" s="55"/>
      <c r="M623" s="174"/>
      <c r="N623" s="73" t="str">
        <f>IF(ISBLANK(C623),"",_xlfn.IFNA(INDEX(inbound_data[],MATCH(Outbound_data[[#This Row],[STOCK CODE OUT]],Generated_Stockcode,0),10),""))</f>
        <v/>
      </c>
      <c r="O623" s="73" t="str">
        <f>IF(ISBLANK(C623),"",_xlfn.IFNA(INDEX(inbound_data[],MATCH(Outbound_data[[#This Row],[STOCK CODE OUT]],Generated_Stockcode,0),12),""))</f>
        <v/>
      </c>
      <c r="P623" s="73" t="str">
        <f>IF(ISBLANK(C623),"",_xlfn.IFNA(INDEX(inbound_data[],MATCH(Outbound_data[[#This Row],[STOCK CODE OUT]],Generated_Stockcode,0),23),""))</f>
        <v/>
      </c>
      <c r="Q623" s="73" t="str">
        <f>IF(ISBLANK(C623),"",_xlfn.IFNA(INDEX(inbound_data[],MATCH(Outbound_data[[#This Row],[STOCK CODE OUT]],Generated_Stockcode,0),13),""))</f>
        <v/>
      </c>
    </row>
    <row r="624" spans="2:17" x14ac:dyDescent="0.25">
      <c r="B624" s="71"/>
      <c r="C624" s="65"/>
      <c r="D624" s="55"/>
      <c r="E624" s="65"/>
      <c r="F624" s="166"/>
      <c r="G624" s="167"/>
      <c r="H624" s="166"/>
      <c r="I624" s="72"/>
      <c r="J624" s="55"/>
      <c r="K624" s="72"/>
      <c r="L624" s="55"/>
      <c r="M624" s="174"/>
      <c r="N624" s="73" t="str">
        <f>IF(ISBLANK(C624),"",_xlfn.IFNA(INDEX(inbound_data[],MATCH(Outbound_data[[#This Row],[STOCK CODE OUT]],Generated_Stockcode,0),10),""))</f>
        <v/>
      </c>
      <c r="O624" s="73" t="str">
        <f>IF(ISBLANK(C624),"",_xlfn.IFNA(INDEX(inbound_data[],MATCH(Outbound_data[[#This Row],[STOCK CODE OUT]],Generated_Stockcode,0),12),""))</f>
        <v/>
      </c>
      <c r="P624" s="73" t="str">
        <f>IF(ISBLANK(C624),"",_xlfn.IFNA(INDEX(inbound_data[],MATCH(Outbound_data[[#This Row],[STOCK CODE OUT]],Generated_Stockcode,0),23),""))</f>
        <v/>
      </c>
      <c r="Q624" s="73" t="str">
        <f>IF(ISBLANK(C624),"",_xlfn.IFNA(INDEX(inbound_data[],MATCH(Outbound_data[[#This Row],[STOCK CODE OUT]],Generated_Stockcode,0),13),""))</f>
        <v/>
      </c>
    </row>
    <row r="625" spans="2:17" x14ac:dyDescent="0.25">
      <c r="B625" s="71"/>
      <c r="C625" s="65"/>
      <c r="D625" s="55"/>
      <c r="E625" s="65"/>
      <c r="F625" s="166"/>
      <c r="G625" s="167"/>
      <c r="H625" s="166"/>
      <c r="I625" s="72"/>
      <c r="J625" s="55"/>
      <c r="K625" s="72"/>
      <c r="L625" s="55"/>
      <c r="M625" s="174"/>
      <c r="N625" s="73" t="str">
        <f>IF(ISBLANK(C625),"",_xlfn.IFNA(INDEX(inbound_data[],MATCH(Outbound_data[[#This Row],[STOCK CODE OUT]],Generated_Stockcode,0),10),""))</f>
        <v/>
      </c>
      <c r="O625" s="73" t="str">
        <f>IF(ISBLANK(C625),"",_xlfn.IFNA(INDEX(inbound_data[],MATCH(Outbound_data[[#This Row],[STOCK CODE OUT]],Generated_Stockcode,0),12),""))</f>
        <v/>
      </c>
      <c r="P625" s="73" t="str">
        <f>IF(ISBLANK(C625),"",_xlfn.IFNA(INDEX(inbound_data[],MATCH(Outbound_data[[#This Row],[STOCK CODE OUT]],Generated_Stockcode,0),23),""))</f>
        <v/>
      </c>
      <c r="Q625" s="73" t="str">
        <f>IF(ISBLANK(C625),"",_xlfn.IFNA(INDEX(inbound_data[],MATCH(Outbound_data[[#This Row],[STOCK CODE OUT]],Generated_Stockcode,0),13),""))</f>
        <v/>
      </c>
    </row>
    <row r="626" spans="2:17" x14ac:dyDescent="0.25">
      <c r="B626" s="71"/>
      <c r="C626" s="65"/>
      <c r="D626" s="55"/>
      <c r="E626" s="65"/>
      <c r="F626" s="166"/>
      <c r="G626" s="167"/>
      <c r="H626" s="166"/>
      <c r="I626" s="72"/>
      <c r="J626" s="55"/>
      <c r="K626" s="72"/>
      <c r="L626" s="55"/>
      <c r="M626" s="174"/>
      <c r="N626" s="73" t="str">
        <f>IF(ISBLANK(C626),"",_xlfn.IFNA(INDEX(inbound_data[],MATCH(Outbound_data[[#This Row],[STOCK CODE OUT]],Generated_Stockcode,0),10),""))</f>
        <v/>
      </c>
      <c r="O626" s="73" t="str">
        <f>IF(ISBLANK(C626),"",_xlfn.IFNA(INDEX(inbound_data[],MATCH(Outbound_data[[#This Row],[STOCK CODE OUT]],Generated_Stockcode,0),12),""))</f>
        <v/>
      </c>
      <c r="P626" s="73" t="str">
        <f>IF(ISBLANK(C626),"",_xlfn.IFNA(INDEX(inbound_data[],MATCH(Outbound_data[[#This Row],[STOCK CODE OUT]],Generated_Stockcode,0),23),""))</f>
        <v/>
      </c>
      <c r="Q626" s="73" t="str">
        <f>IF(ISBLANK(C626),"",_xlfn.IFNA(INDEX(inbound_data[],MATCH(Outbound_data[[#This Row],[STOCK CODE OUT]],Generated_Stockcode,0),13),""))</f>
        <v/>
      </c>
    </row>
    <row r="627" spans="2:17" x14ac:dyDescent="0.25">
      <c r="B627" s="71"/>
      <c r="C627" s="65"/>
      <c r="D627" s="55"/>
      <c r="E627" s="65"/>
      <c r="F627" s="166"/>
      <c r="G627" s="167"/>
      <c r="H627" s="166"/>
      <c r="I627" s="72"/>
      <c r="J627" s="55"/>
      <c r="K627" s="72"/>
      <c r="L627" s="55"/>
      <c r="M627" s="174"/>
      <c r="N627" s="73" t="str">
        <f>IF(ISBLANK(C627),"",_xlfn.IFNA(INDEX(inbound_data[],MATCH(Outbound_data[[#This Row],[STOCK CODE OUT]],Generated_Stockcode,0),10),""))</f>
        <v/>
      </c>
      <c r="O627" s="73" t="str">
        <f>IF(ISBLANK(C627),"",_xlfn.IFNA(INDEX(inbound_data[],MATCH(Outbound_data[[#This Row],[STOCK CODE OUT]],Generated_Stockcode,0),12),""))</f>
        <v/>
      </c>
      <c r="P627" s="73" t="str">
        <f>IF(ISBLANK(C627),"",_xlfn.IFNA(INDEX(inbound_data[],MATCH(Outbound_data[[#This Row],[STOCK CODE OUT]],Generated_Stockcode,0),23),""))</f>
        <v/>
      </c>
      <c r="Q627" s="73" t="str">
        <f>IF(ISBLANK(C627),"",_xlfn.IFNA(INDEX(inbound_data[],MATCH(Outbound_data[[#This Row],[STOCK CODE OUT]],Generated_Stockcode,0),13),""))</f>
        <v/>
      </c>
    </row>
    <row r="628" spans="2:17" x14ac:dyDescent="0.25">
      <c r="B628" s="71"/>
      <c r="C628" s="65"/>
      <c r="D628" s="55"/>
      <c r="E628" s="65"/>
      <c r="F628" s="166"/>
      <c r="G628" s="167"/>
      <c r="H628" s="166"/>
      <c r="I628" s="72"/>
      <c r="J628" s="55"/>
      <c r="K628" s="72"/>
      <c r="L628" s="55"/>
      <c r="M628" s="174"/>
      <c r="N628" s="73" t="str">
        <f>IF(ISBLANK(C628),"",_xlfn.IFNA(INDEX(inbound_data[],MATCH(Outbound_data[[#This Row],[STOCK CODE OUT]],Generated_Stockcode,0),10),""))</f>
        <v/>
      </c>
      <c r="O628" s="73" t="str">
        <f>IF(ISBLANK(C628),"",_xlfn.IFNA(INDEX(inbound_data[],MATCH(Outbound_data[[#This Row],[STOCK CODE OUT]],Generated_Stockcode,0),12),""))</f>
        <v/>
      </c>
      <c r="P628" s="73" t="str">
        <f>IF(ISBLANK(C628),"",_xlfn.IFNA(INDEX(inbound_data[],MATCH(Outbound_data[[#This Row],[STOCK CODE OUT]],Generated_Stockcode,0),23),""))</f>
        <v/>
      </c>
      <c r="Q628" s="73" t="str">
        <f>IF(ISBLANK(C628),"",_xlfn.IFNA(INDEX(inbound_data[],MATCH(Outbound_data[[#This Row],[STOCK CODE OUT]],Generated_Stockcode,0),13),""))</f>
        <v/>
      </c>
    </row>
    <row r="629" spans="2:17" x14ac:dyDescent="0.25">
      <c r="B629" s="71"/>
      <c r="C629" s="65"/>
      <c r="D629" s="55"/>
      <c r="E629" s="65"/>
      <c r="F629" s="166"/>
      <c r="G629" s="167"/>
      <c r="H629" s="166"/>
      <c r="I629" s="72"/>
      <c r="J629" s="55"/>
      <c r="K629" s="72"/>
      <c r="L629" s="55"/>
      <c r="M629" s="174"/>
      <c r="N629" s="73" t="str">
        <f>IF(ISBLANK(C629),"",_xlfn.IFNA(INDEX(inbound_data[],MATCH(Outbound_data[[#This Row],[STOCK CODE OUT]],Generated_Stockcode,0),10),""))</f>
        <v/>
      </c>
      <c r="O629" s="73" t="str">
        <f>IF(ISBLANK(C629),"",_xlfn.IFNA(INDEX(inbound_data[],MATCH(Outbound_data[[#This Row],[STOCK CODE OUT]],Generated_Stockcode,0),12),""))</f>
        <v/>
      </c>
      <c r="P629" s="73" t="str">
        <f>IF(ISBLANK(C629),"",_xlfn.IFNA(INDEX(inbound_data[],MATCH(Outbound_data[[#This Row],[STOCK CODE OUT]],Generated_Stockcode,0),23),""))</f>
        <v/>
      </c>
      <c r="Q629" s="73" t="str">
        <f>IF(ISBLANK(C629),"",_xlfn.IFNA(INDEX(inbound_data[],MATCH(Outbound_data[[#This Row],[STOCK CODE OUT]],Generated_Stockcode,0),13),""))</f>
        <v/>
      </c>
    </row>
    <row r="630" spans="2:17" x14ac:dyDescent="0.25">
      <c r="B630" s="71"/>
      <c r="C630" s="65"/>
      <c r="D630" s="55"/>
      <c r="E630" s="65"/>
      <c r="F630" s="166"/>
      <c r="G630" s="167"/>
      <c r="H630" s="166"/>
      <c r="I630" s="72"/>
      <c r="J630" s="55"/>
      <c r="K630" s="72"/>
      <c r="L630" s="55"/>
      <c r="M630" s="174"/>
      <c r="N630" s="73" t="str">
        <f>IF(ISBLANK(C630),"",_xlfn.IFNA(INDEX(inbound_data[],MATCH(Outbound_data[[#This Row],[STOCK CODE OUT]],Generated_Stockcode,0),10),""))</f>
        <v/>
      </c>
      <c r="O630" s="73" t="str">
        <f>IF(ISBLANK(C630),"",_xlfn.IFNA(INDEX(inbound_data[],MATCH(Outbound_data[[#This Row],[STOCK CODE OUT]],Generated_Stockcode,0),12),""))</f>
        <v/>
      </c>
      <c r="P630" s="73" t="str">
        <f>IF(ISBLANK(C630),"",_xlfn.IFNA(INDEX(inbound_data[],MATCH(Outbound_data[[#This Row],[STOCK CODE OUT]],Generated_Stockcode,0),23),""))</f>
        <v/>
      </c>
      <c r="Q630" s="73" t="str">
        <f>IF(ISBLANK(C630),"",_xlfn.IFNA(INDEX(inbound_data[],MATCH(Outbound_data[[#This Row],[STOCK CODE OUT]],Generated_Stockcode,0),13),""))</f>
        <v/>
      </c>
    </row>
    <row r="631" spans="2:17" x14ac:dyDescent="0.25">
      <c r="B631" s="71"/>
      <c r="C631" s="65"/>
      <c r="D631" s="55"/>
      <c r="E631" s="65"/>
      <c r="F631" s="166"/>
      <c r="G631" s="167"/>
      <c r="H631" s="166"/>
      <c r="I631" s="72"/>
      <c r="J631" s="55"/>
      <c r="K631" s="72"/>
      <c r="L631" s="55"/>
      <c r="M631" s="174"/>
      <c r="N631" s="73" t="str">
        <f>IF(ISBLANK(C631),"",_xlfn.IFNA(INDEX(inbound_data[],MATCH(Outbound_data[[#This Row],[STOCK CODE OUT]],Generated_Stockcode,0),10),""))</f>
        <v/>
      </c>
      <c r="O631" s="73" t="str">
        <f>IF(ISBLANK(C631),"",_xlfn.IFNA(INDEX(inbound_data[],MATCH(Outbound_data[[#This Row],[STOCK CODE OUT]],Generated_Stockcode,0),12),""))</f>
        <v/>
      </c>
      <c r="P631" s="73" t="str">
        <f>IF(ISBLANK(C631),"",_xlfn.IFNA(INDEX(inbound_data[],MATCH(Outbound_data[[#This Row],[STOCK CODE OUT]],Generated_Stockcode,0),23),""))</f>
        <v/>
      </c>
      <c r="Q631" s="73" t="str">
        <f>IF(ISBLANK(C631),"",_xlfn.IFNA(INDEX(inbound_data[],MATCH(Outbound_data[[#This Row],[STOCK CODE OUT]],Generated_Stockcode,0),13),""))</f>
        <v/>
      </c>
    </row>
    <row r="632" spans="2:17" x14ac:dyDescent="0.25">
      <c r="B632" s="71"/>
      <c r="C632" s="65"/>
      <c r="D632" s="55"/>
      <c r="E632" s="65"/>
      <c r="F632" s="166"/>
      <c r="G632" s="167"/>
      <c r="H632" s="166"/>
      <c r="I632" s="72"/>
      <c r="J632" s="55"/>
      <c r="K632" s="72"/>
      <c r="L632" s="55"/>
      <c r="M632" s="174"/>
      <c r="N632" s="73" t="str">
        <f>IF(ISBLANK(C632),"",_xlfn.IFNA(INDEX(inbound_data[],MATCH(Outbound_data[[#This Row],[STOCK CODE OUT]],Generated_Stockcode,0),10),""))</f>
        <v/>
      </c>
      <c r="O632" s="73" t="str">
        <f>IF(ISBLANK(C632),"",_xlfn.IFNA(INDEX(inbound_data[],MATCH(Outbound_data[[#This Row],[STOCK CODE OUT]],Generated_Stockcode,0),12),""))</f>
        <v/>
      </c>
      <c r="P632" s="73" t="str">
        <f>IF(ISBLANK(C632),"",_xlfn.IFNA(INDEX(inbound_data[],MATCH(Outbound_data[[#This Row],[STOCK CODE OUT]],Generated_Stockcode,0),23),""))</f>
        <v/>
      </c>
      <c r="Q632" s="73" t="str">
        <f>IF(ISBLANK(C632),"",_xlfn.IFNA(INDEX(inbound_data[],MATCH(Outbound_data[[#This Row],[STOCK CODE OUT]],Generated_Stockcode,0),13),""))</f>
        <v/>
      </c>
    </row>
    <row r="633" spans="2:17" x14ac:dyDescent="0.25">
      <c r="B633" s="71"/>
      <c r="C633" s="65"/>
      <c r="D633" s="55"/>
      <c r="E633" s="65"/>
      <c r="F633" s="166"/>
      <c r="G633" s="167"/>
      <c r="H633" s="166"/>
      <c r="I633" s="72"/>
      <c r="J633" s="55"/>
      <c r="K633" s="72"/>
      <c r="L633" s="55"/>
      <c r="M633" s="174"/>
      <c r="N633" s="73" t="str">
        <f>IF(ISBLANK(C633),"",_xlfn.IFNA(INDEX(inbound_data[],MATCH(Outbound_data[[#This Row],[STOCK CODE OUT]],Generated_Stockcode,0),10),""))</f>
        <v/>
      </c>
      <c r="O633" s="73" t="str">
        <f>IF(ISBLANK(C633),"",_xlfn.IFNA(INDEX(inbound_data[],MATCH(Outbound_data[[#This Row],[STOCK CODE OUT]],Generated_Stockcode,0),12),""))</f>
        <v/>
      </c>
      <c r="P633" s="73" t="str">
        <f>IF(ISBLANK(C633),"",_xlfn.IFNA(INDEX(inbound_data[],MATCH(Outbound_data[[#This Row],[STOCK CODE OUT]],Generated_Stockcode,0),23),""))</f>
        <v/>
      </c>
      <c r="Q633" s="73" t="str">
        <f>IF(ISBLANK(C633),"",_xlfn.IFNA(INDEX(inbound_data[],MATCH(Outbound_data[[#This Row],[STOCK CODE OUT]],Generated_Stockcode,0),13),""))</f>
        <v/>
      </c>
    </row>
    <row r="634" spans="2:17" x14ac:dyDescent="0.25">
      <c r="B634" s="71"/>
      <c r="C634" s="65"/>
      <c r="D634" s="55"/>
      <c r="E634" s="65"/>
      <c r="F634" s="166"/>
      <c r="G634" s="167"/>
      <c r="H634" s="166"/>
      <c r="I634" s="72"/>
      <c r="J634" s="55"/>
      <c r="K634" s="72"/>
      <c r="L634" s="55"/>
      <c r="M634" s="174"/>
      <c r="N634" s="73" t="str">
        <f>IF(ISBLANK(C634),"",_xlfn.IFNA(INDEX(inbound_data[],MATCH(Outbound_data[[#This Row],[STOCK CODE OUT]],Generated_Stockcode,0),10),""))</f>
        <v/>
      </c>
      <c r="O634" s="73" t="str">
        <f>IF(ISBLANK(C634),"",_xlfn.IFNA(INDEX(inbound_data[],MATCH(Outbound_data[[#This Row],[STOCK CODE OUT]],Generated_Stockcode,0),12),""))</f>
        <v/>
      </c>
      <c r="P634" s="73" t="str">
        <f>IF(ISBLANK(C634),"",_xlfn.IFNA(INDEX(inbound_data[],MATCH(Outbound_data[[#This Row],[STOCK CODE OUT]],Generated_Stockcode,0),23),""))</f>
        <v/>
      </c>
      <c r="Q634" s="73" t="str">
        <f>IF(ISBLANK(C634),"",_xlfn.IFNA(INDEX(inbound_data[],MATCH(Outbound_data[[#This Row],[STOCK CODE OUT]],Generated_Stockcode,0),13),""))</f>
        <v/>
      </c>
    </row>
    <row r="635" spans="2:17" x14ac:dyDescent="0.25">
      <c r="B635" s="71"/>
      <c r="C635" s="65"/>
      <c r="D635" s="55"/>
      <c r="E635" s="65"/>
      <c r="F635" s="166"/>
      <c r="G635" s="167"/>
      <c r="H635" s="166"/>
      <c r="I635" s="72"/>
      <c r="J635" s="55"/>
      <c r="K635" s="72"/>
      <c r="L635" s="55"/>
      <c r="M635" s="174"/>
      <c r="N635" s="73" t="str">
        <f>IF(ISBLANK(C635),"",_xlfn.IFNA(INDEX(inbound_data[],MATCH(Outbound_data[[#This Row],[STOCK CODE OUT]],Generated_Stockcode,0),10),""))</f>
        <v/>
      </c>
      <c r="O635" s="73" t="str">
        <f>IF(ISBLANK(C635),"",_xlfn.IFNA(INDEX(inbound_data[],MATCH(Outbound_data[[#This Row],[STOCK CODE OUT]],Generated_Stockcode,0),12),""))</f>
        <v/>
      </c>
      <c r="P635" s="73" t="str">
        <f>IF(ISBLANK(C635),"",_xlfn.IFNA(INDEX(inbound_data[],MATCH(Outbound_data[[#This Row],[STOCK CODE OUT]],Generated_Stockcode,0),23),""))</f>
        <v/>
      </c>
      <c r="Q635" s="73" t="str">
        <f>IF(ISBLANK(C635),"",_xlfn.IFNA(INDEX(inbound_data[],MATCH(Outbound_data[[#This Row],[STOCK CODE OUT]],Generated_Stockcode,0),13),""))</f>
        <v/>
      </c>
    </row>
    <row r="636" spans="2:17" x14ac:dyDescent="0.25">
      <c r="B636" s="71"/>
      <c r="C636" s="65"/>
      <c r="D636" s="55"/>
      <c r="E636" s="65"/>
      <c r="F636" s="166"/>
      <c r="G636" s="167"/>
      <c r="H636" s="166"/>
      <c r="I636" s="72"/>
      <c r="J636" s="55"/>
      <c r="K636" s="72"/>
      <c r="L636" s="55"/>
      <c r="M636" s="174"/>
      <c r="N636" s="73" t="str">
        <f>IF(ISBLANK(C636),"",_xlfn.IFNA(INDEX(inbound_data[],MATCH(Outbound_data[[#This Row],[STOCK CODE OUT]],Generated_Stockcode,0),10),""))</f>
        <v/>
      </c>
      <c r="O636" s="73" t="str">
        <f>IF(ISBLANK(C636),"",_xlfn.IFNA(INDEX(inbound_data[],MATCH(Outbound_data[[#This Row],[STOCK CODE OUT]],Generated_Stockcode,0),12),""))</f>
        <v/>
      </c>
      <c r="P636" s="73" t="str">
        <f>IF(ISBLANK(C636),"",_xlfn.IFNA(INDEX(inbound_data[],MATCH(Outbound_data[[#This Row],[STOCK CODE OUT]],Generated_Stockcode,0),23),""))</f>
        <v/>
      </c>
      <c r="Q636" s="73" t="str">
        <f>IF(ISBLANK(C636),"",_xlfn.IFNA(INDEX(inbound_data[],MATCH(Outbound_data[[#This Row],[STOCK CODE OUT]],Generated_Stockcode,0),13),""))</f>
        <v/>
      </c>
    </row>
    <row r="637" spans="2:17" x14ac:dyDescent="0.25">
      <c r="B637" s="71"/>
      <c r="C637" s="65"/>
      <c r="D637" s="55"/>
      <c r="E637" s="65"/>
      <c r="F637" s="166"/>
      <c r="G637" s="167"/>
      <c r="H637" s="166"/>
      <c r="I637" s="72"/>
      <c r="J637" s="55"/>
      <c r="K637" s="72"/>
      <c r="L637" s="55"/>
      <c r="M637" s="174"/>
      <c r="N637" s="73" t="str">
        <f>IF(ISBLANK(C637),"",_xlfn.IFNA(INDEX(inbound_data[],MATCH(Outbound_data[[#This Row],[STOCK CODE OUT]],Generated_Stockcode,0),10),""))</f>
        <v/>
      </c>
      <c r="O637" s="73" t="str">
        <f>IF(ISBLANK(C637),"",_xlfn.IFNA(INDEX(inbound_data[],MATCH(Outbound_data[[#This Row],[STOCK CODE OUT]],Generated_Stockcode,0),12),""))</f>
        <v/>
      </c>
      <c r="P637" s="73" t="str">
        <f>IF(ISBLANK(C637),"",_xlfn.IFNA(INDEX(inbound_data[],MATCH(Outbound_data[[#This Row],[STOCK CODE OUT]],Generated_Stockcode,0),23),""))</f>
        <v/>
      </c>
      <c r="Q637" s="73" t="str">
        <f>IF(ISBLANK(C637),"",_xlfn.IFNA(INDEX(inbound_data[],MATCH(Outbound_data[[#This Row],[STOCK CODE OUT]],Generated_Stockcode,0),13),""))</f>
        <v/>
      </c>
    </row>
    <row r="638" spans="2:17" x14ac:dyDescent="0.25">
      <c r="B638" s="71"/>
      <c r="C638" s="65"/>
      <c r="D638" s="55"/>
      <c r="E638" s="65"/>
      <c r="F638" s="166"/>
      <c r="G638" s="167"/>
      <c r="H638" s="166"/>
      <c r="I638" s="72"/>
      <c r="J638" s="55"/>
      <c r="K638" s="72"/>
      <c r="L638" s="55"/>
      <c r="M638" s="174"/>
      <c r="N638" s="73" t="str">
        <f>IF(ISBLANK(C638),"",_xlfn.IFNA(INDEX(inbound_data[],MATCH(Outbound_data[[#This Row],[STOCK CODE OUT]],Generated_Stockcode,0),10),""))</f>
        <v/>
      </c>
      <c r="O638" s="73" t="str">
        <f>IF(ISBLANK(C638),"",_xlfn.IFNA(INDEX(inbound_data[],MATCH(Outbound_data[[#This Row],[STOCK CODE OUT]],Generated_Stockcode,0),12),""))</f>
        <v/>
      </c>
      <c r="P638" s="73" t="str">
        <f>IF(ISBLANK(C638),"",_xlfn.IFNA(INDEX(inbound_data[],MATCH(Outbound_data[[#This Row],[STOCK CODE OUT]],Generated_Stockcode,0),23),""))</f>
        <v/>
      </c>
      <c r="Q638" s="73" t="str">
        <f>IF(ISBLANK(C638),"",_xlfn.IFNA(INDEX(inbound_data[],MATCH(Outbound_data[[#This Row],[STOCK CODE OUT]],Generated_Stockcode,0),13),""))</f>
        <v/>
      </c>
    </row>
    <row r="639" spans="2:17" x14ac:dyDescent="0.25">
      <c r="B639" s="71"/>
      <c r="C639" s="65"/>
      <c r="D639" s="55"/>
      <c r="E639" s="65"/>
      <c r="F639" s="166"/>
      <c r="G639" s="167"/>
      <c r="H639" s="166"/>
      <c r="I639" s="72"/>
      <c r="J639" s="55"/>
      <c r="K639" s="72"/>
      <c r="L639" s="55"/>
      <c r="M639" s="174"/>
      <c r="N639" s="73" t="str">
        <f>IF(ISBLANK(C639),"",_xlfn.IFNA(INDEX(inbound_data[],MATCH(Outbound_data[[#This Row],[STOCK CODE OUT]],Generated_Stockcode,0),10),""))</f>
        <v/>
      </c>
      <c r="O639" s="73" t="str">
        <f>IF(ISBLANK(C639),"",_xlfn.IFNA(INDEX(inbound_data[],MATCH(Outbound_data[[#This Row],[STOCK CODE OUT]],Generated_Stockcode,0),12),""))</f>
        <v/>
      </c>
      <c r="P639" s="73" t="str">
        <f>IF(ISBLANK(C639),"",_xlfn.IFNA(INDEX(inbound_data[],MATCH(Outbound_data[[#This Row],[STOCK CODE OUT]],Generated_Stockcode,0),23),""))</f>
        <v/>
      </c>
      <c r="Q639" s="73" t="str">
        <f>IF(ISBLANK(C639),"",_xlfn.IFNA(INDEX(inbound_data[],MATCH(Outbound_data[[#This Row],[STOCK CODE OUT]],Generated_Stockcode,0),13),""))</f>
        <v/>
      </c>
    </row>
    <row r="640" spans="2:17" x14ac:dyDescent="0.25">
      <c r="B640" s="71"/>
      <c r="C640" s="65"/>
      <c r="D640" s="55"/>
      <c r="E640" s="65"/>
      <c r="F640" s="166"/>
      <c r="G640" s="167"/>
      <c r="H640" s="166"/>
      <c r="I640" s="72"/>
      <c r="J640" s="55"/>
      <c r="K640" s="72"/>
      <c r="L640" s="55"/>
      <c r="M640" s="174"/>
      <c r="N640" s="73" t="str">
        <f>IF(ISBLANK(C640),"",_xlfn.IFNA(INDEX(inbound_data[],MATCH(Outbound_data[[#This Row],[STOCK CODE OUT]],Generated_Stockcode,0),10),""))</f>
        <v/>
      </c>
      <c r="O640" s="73" t="str">
        <f>IF(ISBLANK(C640),"",_xlfn.IFNA(INDEX(inbound_data[],MATCH(Outbound_data[[#This Row],[STOCK CODE OUT]],Generated_Stockcode,0),12),""))</f>
        <v/>
      </c>
      <c r="P640" s="73" t="str">
        <f>IF(ISBLANK(C640),"",_xlfn.IFNA(INDEX(inbound_data[],MATCH(Outbound_data[[#This Row],[STOCK CODE OUT]],Generated_Stockcode,0),23),""))</f>
        <v/>
      </c>
      <c r="Q640" s="73" t="str">
        <f>IF(ISBLANK(C640),"",_xlfn.IFNA(INDEX(inbound_data[],MATCH(Outbound_data[[#This Row],[STOCK CODE OUT]],Generated_Stockcode,0),13),""))</f>
        <v/>
      </c>
    </row>
    <row r="641" spans="2:17" x14ac:dyDescent="0.25">
      <c r="B641" s="71"/>
      <c r="C641" s="65"/>
      <c r="D641" s="55"/>
      <c r="E641" s="65"/>
      <c r="F641" s="166"/>
      <c r="G641" s="167"/>
      <c r="H641" s="166"/>
      <c r="I641" s="72"/>
      <c r="J641" s="55"/>
      <c r="K641" s="72"/>
      <c r="L641" s="55"/>
      <c r="M641" s="174"/>
      <c r="N641" s="73" t="str">
        <f>IF(ISBLANK(C641),"",_xlfn.IFNA(INDEX(inbound_data[],MATCH(Outbound_data[[#This Row],[STOCK CODE OUT]],Generated_Stockcode,0),10),""))</f>
        <v/>
      </c>
      <c r="O641" s="73" t="str">
        <f>IF(ISBLANK(C641),"",_xlfn.IFNA(INDEX(inbound_data[],MATCH(Outbound_data[[#This Row],[STOCK CODE OUT]],Generated_Stockcode,0),12),""))</f>
        <v/>
      </c>
      <c r="P641" s="73" t="str">
        <f>IF(ISBLANK(C641),"",_xlfn.IFNA(INDEX(inbound_data[],MATCH(Outbound_data[[#This Row],[STOCK CODE OUT]],Generated_Stockcode,0),23),""))</f>
        <v/>
      </c>
      <c r="Q641" s="73" t="str">
        <f>IF(ISBLANK(C641),"",_xlfn.IFNA(INDEX(inbound_data[],MATCH(Outbound_data[[#This Row],[STOCK CODE OUT]],Generated_Stockcode,0),13),""))</f>
        <v/>
      </c>
    </row>
    <row r="642" spans="2:17" x14ac:dyDescent="0.25">
      <c r="B642" s="71"/>
      <c r="C642" s="65"/>
      <c r="D642" s="55"/>
      <c r="E642" s="65"/>
      <c r="F642" s="166"/>
      <c r="G642" s="167"/>
      <c r="H642" s="166"/>
      <c r="I642" s="72"/>
      <c r="J642" s="55"/>
      <c r="K642" s="72"/>
      <c r="L642" s="55"/>
      <c r="M642" s="174"/>
      <c r="N642" s="73" t="str">
        <f>IF(ISBLANK(C642),"",_xlfn.IFNA(INDEX(inbound_data[],MATCH(Outbound_data[[#This Row],[STOCK CODE OUT]],Generated_Stockcode,0),10),""))</f>
        <v/>
      </c>
      <c r="O642" s="73" t="str">
        <f>IF(ISBLANK(C642),"",_xlfn.IFNA(INDEX(inbound_data[],MATCH(Outbound_data[[#This Row],[STOCK CODE OUT]],Generated_Stockcode,0),12),""))</f>
        <v/>
      </c>
      <c r="P642" s="73" t="str">
        <f>IF(ISBLANK(C642),"",_xlfn.IFNA(INDEX(inbound_data[],MATCH(Outbound_data[[#This Row],[STOCK CODE OUT]],Generated_Stockcode,0),23),""))</f>
        <v/>
      </c>
      <c r="Q642" s="73" t="str">
        <f>IF(ISBLANK(C642),"",_xlfn.IFNA(INDEX(inbound_data[],MATCH(Outbound_data[[#This Row],[STOCK CODE OUT]],Generated_Stockcode,0),13),""))</f>
        <v/>
      </c>
    </row>
    <row r="643" spans="2:17" x14ac:dyDescent="0.25">
      <c r="B643" s="71"/>
      <c r="C643" s="65"/>
      <c r="D643" s="55"/>
      <c r="E643" s="65"/>
      <c r="F643" s="166"/>
      <c r="G643" s="167"/>
      <c r="H643" s="166"/>
      <c r="I643" s="72"/>
      <c r="J643" s="55"/>
      <c r="K643" s="72"/>
      <c r="L643" s="55"/>
      <c r="M643" s="174"/>
      <c r="N643" s="73" t="str">
        <f>IF(ISBLANK(C643),"",_xlfn.IFNA(INDEX(inbound_data[],MATCH(Outbound_data[[#This Row],[STOCK CODE OUT]],Generated_Stockcode,0),10),""))</f>
        <v/>
      </c>
      <c r="O643" s="73" t="str">
        <f>IF(ISBLANK(C643),"",_xlfn.IFNA(INDEX(inbound_data[],MATCH(Outbound_data[[#This Row],[STOCK CODE OUT]],Generated_Stockcode,0),12),""))</f>
        <v/>
      </c>
      <c r="P643" s="73" t="str">
        <f>IF(ISBLANK(C643),"",_xlfn.IFNA(INDEX(inbound_data[],MATCH(Outbound_data[[#This Row],[STOCK CODE OUT]],Generated_Stockcode,0),23),""))</f>
        <v/>
      </c>
      <c r="Q643" s="73" t="str">
        <f>IF(ISBLANK(C643),"",_xlfn.IFNA(INDEX(inbound_data[],MATCH(Outbound_data[[#This Row],[STOCK CODE OUT]],Generated_Stockcode,0),13),""))</f>
        <v/>
      </c>
    </row>
    <row r="644" spans="2:17" x14ac:dyDescent="0.25">
      <c r="B644" s="71"/>
      <c r="C644" s="65"/>
      <c r="D644" s="55"/>
      <c r="E644" s="65"/>
      <c r="F644" s="166"/>
      <c r="G644" s="167"/>
      <c r="H644" s="166"/>
      <c r="I644" s="72"/>
      <c r="J644" s="55"/>
      <c r="K644" s="72"/>
      <c r="L644" s="55"/>
      <c r="M644" s="174"/>
      <c r="N644" s="73" t="str">
        <f>IF(ISBLANK(C644),"",_xlfn.IFNA(INDEX(inbound_data[],MATCH(Outbound_data[[#This Row],[STOCK CODE OUT]],Generated_Stockcode,0),10),""))</f>
        <v/>
      </c>
      <c r="O644" s="73" t="str">
        <f>IF(ISBLANK(C644),"",_xlfn.IFNA(INDEX(inbound_data[],MATCH(Outbound_data[[#This Row],[STOCK CODE OUT]],Generated_Stockcode,0),12),""))</f>
        <v/>
      </c>
      <c r="P644" s="73" t="str">
        <f>IF(ISBLANK(C644),"",_xlfn.IFNA(INDEX(inbound_data[],MATCH(Outbound_data[[#This Row],[STOCK CODE OUT]],Generated_Stockcode,0),23),""))</f>
        <v/>
      </c>
      <c r="Q644" s="73" t="str">
        <f>IF(ISBLANK(C644),"",_xlfn.IFNA(INDEX(inbound_data[],MATCH(Outbound_data[[#This Row],[STOCK CODE OUT]],Generated_Stockcode,0),13),""))</f>
        <v/>
      </c>
    </row>
    <row r="645" spans="2:17" x14ac:dyDescent="0.25">
      <c r="B645" s="71"/>
      <c r="C645" s="65"/>
      <c r="D645" s="55"/>
      <c r="E645" s="65"/>
      <c r="F645" s="166"/>
      <c r="G645" s="167"/>
      <c r="H645" s="166"/>
      <c r="I645" s="72"/>
      <c r="J645" s="55"/>
      <c r="K645" s="72"/>
      <c r="L645" s="55"/>
      <c r="M645" s="174"/>
      <c r="N645" s="73" t="str">
        <f>IF(ISBLANK(C645),"",_xlfn.IFNA(INDEX(inbound_data[],MATCH(Outbound_data[[#This Row],[STOCK CODE OUT]],Generated_Stockcode,0),10),""))</f>
        <v/>
      </c>
      <c r="O645" s="73" t="str">
        <f>IF(ISBLANK(C645),"",_xlfn.IFNA(INDEX(inbound_data[],MATCH(Outbound_data[[#This Row],[STOCK CODE OUT]],Generated_Stockcode,0),12),""))</f>
        <v/>
      </c>
      <c r="P645" s="73" t="str">
        <f>IF(ISBLANK(C645),"",_xlfn.IFNA(INDEX(inbound_data[],MATCH(Outbound_data[[#This Row],[STOCK CODE OUT]],Generated_Stockcode,0),23),""))</f>
        <v/>
      </c>
      <c r="Q645" s="73" t="str">
        <f>IF(ISBLANK(C645),"",_xlfn.IFNA(INDEX(inbound_data[],MATCH(Outbound_data[[#This Row],[STOCK CODE OUT]],Generated_Stockcode,0),13),""))</f>
        <v/>
      </c>
    </row>
    <row r="646" spans="2:17" x14ac:dyDescent="0.25">
      <c r="B646" s="71"/>
      <c r="C646" s="65"/>
      <c r="D646" s="55"/>
      <c r="E646" s="65"/>
      <c r="F646" s="166"/>
      <c r="G646" s="167"/>
      <c r="H646" s="166"/>
      <c r="I646" s="72"/>
      <c r="J646" s="55"/>
      <c r="K646" s="72"/>
      <c r="L646" s="55"/>
      <c r="M646" s="174"/>
      <c r="N646" s="73" t="str">
        <f>IF(ISBLANK(C646),"",_xlfn.IFNA(INDEX(inbound_data[],MATCH(Outbound_data[[#This Row],[STOCK CODE OUT]],Generated_Stockcode,0),10),""))</f>
        <v/>
      </c>
      <c r="O646" s="73" t="str">
        <f>IF(ISBLANK(C646),"",_xlfn.IFNA(INDEX(inbound_data[],MATCH(Outbound_data[[#This Row],[STOCK CODE OUT]],Generated_Stockcode,0),12),""))</f>
        <v/>
      </c>
      <c r="P646" s="73" t="str">
        <f>IF(ISBLANK(C646),"",_xlfn.IFNA(INDEX(inbound_data[],MATCH(Outbound_data[[#This Row],[STOCK CODE OUT]],Generated_Stockcode,0),23),""))</f>
        <v/>
      </c>
      <c r="Q646" s="73" t="str">
        <f>IF(ISBLANK(C646),"",_xlfn.IFNA(INDEX(inbound_data[],MATCH(Outbound_data[[#This Row],[STOCK CODE OUT]],Generated_Stockcode,0),13),""))</f>
        <v/>
      </c>
    </row>
    <row r="647" spans="2:17" x14ac:dyDescent="0.25">
      <c r="B647" s="71"/>
      <c r="C647" s="65"/>
      <c r="D647" s="55"/>
      <c r="E647" s="65"/>
      <c r="F647" s="166"/>
      <c r="G647" s="167"/>
      <c r="H647" s="166"/>
      <c r="I647" s="72"/>
      <c r="J647" s="55"/>
      <c r="K647" s="72"/>
      <c r="L647" s="55"/>
      <c r="M647" s="174"/>
      <c r="N647" s="73" t="str">
        <f>IF(ISBLANK(C647),"",_xlfn.IFNA(INDEX(inbound_data[],MATCH(Outbound_data[[#This Row],[STOCK CODE OUT]],Generated_Stockcode,0),10),""))</f>
        <v/>
      </c>
      <c r="O647" s="73" t="str">
        <f>IF(ISBLANK(C647),"",_xlfn.IFNA(INDEX(inbound_data[],MATCH(Outbound_data[[#This Row],[STOCK CODE OUT]],Generated_Stockcode,0),12),""))</f>
        <v/>
      </c>
      <c r="P647" s="73" t="str">
        <f>IF(ISBLANK(C647),"",_xlfn.IFNA(INDEX(inbound_data[],MATCH(Outbound_data[[#This Row],[STOCK CODE OUT]],Generated_Stockcode,0),23),""))</f>
        <v/>
      </c>
      <c r="Q647" s="73" t="str">
        <f>IF(ISBLANK(C647),"",_xlfn.IFNA(INDEX(inbound_data[],MATCH(Outbound_data[[#This Row],[STOCK CODE OUT]],Generated_Stockcode,0),13),""))</f>
        <v/>
      </c>
    </row>
    <row r="648" spans="2:17" x14ac:dyDescent="0.25">
      <c r="B648" s="71"/>
      <c r="C648" s="65"/>
      <c r="D648" s="55"/>
      <c r="E648" s="65"/>
      <c r="F648" s="166"/>
      <c r="G648" s="167"/>
      <c r="H648" s="166"/>
      <c r="I648" s="72"/>
      <c r="J648" s="55"/>
      <c r="K648" s="72"/>
      <c r="L648" s="55"/>
      <c r="M648" s="174"/>
      <c r="N648" s="73" t="str">
        <f>IF(ISBLANK(C648),"",_xlfn.IFNA(INDEX(inbound_data[],MATCH(Outbound_data[[#This Row],[STOCK CODE OUT]],Generated_Stockcode,0),10),""))</f>
        <v/>
      </c>
      <c r="O648" s="73" t="str">
        <f>IF(ISBLANK(C648),"",_xlfn.IFNA(INDEX(inbound_data[],MATCH(Outbound_data[[#This Row],[STOCK CODE OUT]],Generated_Stockcode,0),12),""))</f>
        <v/>
      </c>
      <c r="P648" s="73" t="str">
        <f>IF(ISBLANK(C648),"",_xlfn.IFNA(INDEX(inbound_data[],MATCH(Outbound_data[[#This Row],[STOCK CODE OUT]],Generated_Stockcode,0),23),""))</f>
        <v/>
      </c>
      <c r="Q648" s="73" t="str">
        <f>IF(ISBLANK(C648),"",_xlfn.IFNA(INDEX(inbound_data[],MATCH(Outbound_data[[#This Row],[STOCK CODE OUT]],Generated_Stockcode,0),13),""))</f>
        <v/>
      </c>
    </row>
    <row r="649" spans="2:17" x14ac:dyDescent="0.25">
      <c r="B649" s="71"/>
      <c r="C649" s="65"/>
      <c r="D649" s="55"/>
      <c r="E649" s="65"/>
      <c r="F649" s="166"/>
      <c r="G649" s="167"/>
      <c r="H649" s="166"/>
      <c r="I649" s="72"/>
      <c r="J649" s="55"/>
      <c r="K649" s="72"/>
      <c r="L649" s="55"/>
      <c r="M649" s="174"/>
      <c r="N649" s="73" t="str">
        <f>IF(ISBLANK(C649),"",_xlfn.IFNA(INDEX(inbound_data[],MATCH(Outbound_data[[#This Row],[STOCK CODE OUT]],Generated_Stockcode,0),10),""))</f>
        <v/>
      </c>
      <c r="O649" s="73" t="str">
        <f>IF(ISBLANK(C649),"",_xlfn.IFNA(INDEX(inbound_data[],MATCH(Outbound_data[[#This Row],[STOCK CODE OUT]],Generated_Stockcode,0),12),""))</f>
        <v/>
      </c>
      <c r="P649" s="73" t="str">
        <f>IF(ISBLANK(C649),"",_xlfn.IFNA(INDEX(inbound_data[],MATCH(Outbound_data[[#This Row],[STOCK CODE OUT]],Generated_Stockcode,0),23),""))</f>
        <v/>
      </c>
      <c r="Q649" s="73" t="str">
        <f>IF(ISBLANK(C649),"",_xlfn.IFNA(INDEX(inbound_data[],MATCH(Outbound_data[[#This Row],[STOCK CODE OUT]],Generated_Stockcode,0),13),""))</f>
        <v/>
      </c>
    </row>
    <row r="650" spans="2:17" x14ac:dyDescent="0.25">
      <c r="B650" s="71"/>
      <c r="C650" s="65"/>
      <c r="D650" s="55"/>
      <c r="E650" s="65"/>
      <c r="F650" s="166"/>
      <c r="G650" s="167"/>
      <c r="H650" s="166"/>
      <c r="I650" s="72"/>
      <c r="J650" s="55"/>
      <c r="K650" s="72"/>
      <c r="L650" s="55"/>
      <c r="M650" s="174"/>
      <c r="N650" s="73" t="str">
        <f>IF(ISBLANK(C650),"",_xlfn.IFNA(INDEX(inbound_data[],MATCH(Outbound_data[[#This Row],[STOCK CODE OUT]],Generated_Stockcode,0),10),""))</f>
        <v/>
      </c>
      <c r="O650" s="73" t="str">
        <f>IF(ISBLANK(C650),"",_xlfn.IFNA(INDEX(inbound_data[],MATCH(Outbound_data[[#This Row],[STOCK CODE OUT]],Generated_Stockcode,0),12),""))</f>
        <v/>
      </c>
      <c r="P650" s="73" t="str">
        <f>IF(ISBLANK(C650),"",_xlfn.IFNA(INDEX(inbound_data[],MATCH(Outbound_data[[#This Row],[STOCK CODE OUT]],Generated_Stockcode,0),23),""))</f>
        <v/>
      </c>
      <c r="Q650" s="73" t="str">
        <f>IF(ISBLANK(C650),"",_xlfn.IFNA(INDEX(inbound_data[],MATCH(Outbound_data[[#This Row],[STOCK CODE OUT]],Generated_Stockcode,0),13),""))</f>
        <v/>
      </c>
    </row>
    <row r="651" spans="2:17" x14ac:dyDescent="0.25">
      <c r="B651" s="71"/>
      <c r="C651" s="65"/>
      <c r="D651" s="55"/>
      <c r="E651" s="65"/>
      <c r="F651" s="166"/>
      <c r="G651" s="167"/>
      <c r="H651" s="166"/>
      <c r="I651" s="72"/>
      <c r="J651" s="55"/>
      <c r="K651" s="72"/>
      <c r="L651" s="55"/>
      <c r="M651" s="174"/>
      <c r="N651" s="73" t="str">
        <f>IF(ISBLANK(C651),"",_xlfn.IFNA(INDEX(inbound_data[],MATCH(Outbound_data[[#This Row],[STOCK CODE OUT]],Generated_Stockcode,0),10),""))</f>
        <v/>
      </c>
      <c r="O651" s="73" t="str">
        <f>IF(ISBLANK(C651),"",_xlfn.IFNA(INDEX(inbound_data[],MATCH(Outbound_data[[#This Row],[STOCK CODE OUT]],Generated_Stockcode,0),12),""))</f>
        <v/>
      </c>
      <c r="P651" s="73" t="str">
        <f>IF(ISBLANK(C651),"",_xlfn.IFNA(INDEX(inbound_data[],MATCH(Outbound_data[[#This Row],[STOCK CODE OUT]],Generated_Stockcode,0),23),""))</f>
        <v/>
      </c>
      <c r="Q651" s="73" t="str">
        <f>IF(ISBLANK(C651),"",_xlfn.IFNA(INDEX(inbound_data[],MATCH(Outbound_data[[#This Row],[STOCK CODE OUT]],Generated_Stockcode,0),13),""))</f>
        <v/>
      </c>
    </row>
    <row r="652" spans="2:17" x14ac:dyDescent="0.25">
      <c r="B652" s="71"/>
      <c r="C652" s="65"/>
      <c r="D652" s="55"/>
      <c r="E652" s="65"/>
      <c r="F652" s="166"/>
      <c r="G652" s="167"/>
      <c r="H652" s="166"/>
      <c r="I652" s="72"/>
      <c r="J652" s="55"/>
      <c r="K652" s="72"/>
      <c r="L652" s="55"/>
      <c r="M652" s="174"/>
      <c r="N652" s="73" t="str">
        <f>IF(ISBLANK(C652),"",_xlfn.IFNA(INDEX(inbound_data[],MATCH(Outbound_data[[#This Row],[STOCK CODE OUT]],Generated_Stockcode,0),10),""))</f>
        <v/>
      </c>
      <c r="O652" s="73" t="str">
        <f>IF(ISBLANK(C652),"",_xlfn.IFNA(INDEX(inbound_data[],MATCH(Outbound_data[[#This Row],[STOCK CODE OUT]],Generated_Stockcode,0),12),""))</f>
        <v/>
      </c>
      <c r="P652" s="73" t="str">
        <f>IF(ISBLANK(C652),"",_xlfn.IFNA(INDEX(inbound_data[],MATCH(Outbound_data[[#This Row],[STOCK CODE OUT]],Generated_Stockcode,0),23),""))</f>
        <v/>
      </c>
      <c r="Q652" s="73" t="str">
        <f>IF(ISBLANK(C652),"",_xlfn.IFNA(INDEX(inbound_data[],MATCH(Outbound_data[[#This Row],[STOCK CODE OUT]],Generated_Stockcode,0),13),""))</f>
        <v/>
      </c>
    </row>
    <row r="653" spans="2:17" x14ac:dyDescent="0.25">
      <c r="B653" s="71"/>
      <c r="C653" s="65"/>
      <c r="D653" s="55"/>
      <c r="E653" s="65"/>
      <c r="F653" s="166"/>
      <c r="G653" s="167"/>
      <c r="H653" s="166"/>
      <c r="I653" s="72"/>
      <c r="J653" s="55"/>
      <c r="K653" s="72"/>
      <c r="L653" s="55"/>
      <c r="M653" s="174"/>
      <c r="N653" s="73" t="str">
        <f>IF(ISBLANK(C653),"",_xlfn.IFNA(INDEX(inbound_data[],MATCH(Outbound_data[[#This Row],[STOCK CODE OUT]],Generated_Stockcode,0),10),""))</f>
        <v/>
      </c>
      <c r="O653" s="73" t="str">
        <f>IF(ISBLANK(C653),"",_xlfn.IFNA(INDEX(inbound_data[],MATCH(Outbound_data[[#This Row],[STOCK CODE OUT]],Generated_Stockcode,0),12),""))</f>
        <v/>
      </c>
      <c r="P653" s="73" t="str">
        <f>IF(ISBLANK(C653),"",_xlfn.IFNA(INDEX(inbound_data[],MATCH(Outbound_data[[#This Row],[STOCK CODE OUT]],Generated_Stockcode,0),23),""))</f>
        <v/>
      </c>
      <c r="Q653" s="73" t="str">
        <f>IF(ISBLANK(C653),"",_xlfn.IFNA(INDEX(inbound_data[],MATCH(Outbound_data[[#This Row],[STOCK CODE OUT]],Generated_Stockcode,0),13),""))</f>
        <v/>
      </c>
    </row>
    <row r="654" spans="2:17" x14ac:dyDescent="0.25">
      <c r="B654" s="71"/>
      <c r="C654" s="65"/>
      <c r="D654" s="55"/>
      <c r="E654" s="65"/>
      <c r="F654" s="166"/>
      <c r="G654" s="167"/>
      <c r="H654" s="166"/>
      <c r="I654" s="72"/>
      <c r="J654" s="55"/>
      <c r="K654" s="72"/>
      <c r="L654" s="55"/>
      <c r="M654" s="174"/>
      <c r="N654" s="73" t="str">
        <f>IF(ISBLANK(C654),"",_xlfn.IFNA(INDEX(inbound_data[],MATCH(Outbound_data[[#This Row],[STOCK CODE OUT]],Generated_Stockcode,0),10),""))</f>
        <v/>
      </c>
      <c r="O654" s="73" t="str">
        <f>IF(ISBLANK(C654),"",_xlfn.IFNA(INDEX(inbound_data[],MATCH(Outbound_data[[#This Row],[STOCK CODE OUT]],Generated_Stockcode,0),12),""))</f>
        <v/>
      </c>
      <c r="P654" s="73" t="str">
        <f>IF(ISBLANK(C654),"",_xlfn.IFNA(INDEX(inbound_data[],MATCH(Outbound_data[[#This Row],[STOCK CODE OUT]],Generated_Stockcode,0),23),""))</f>
        <v/>
      </c>
      <c r="Q654" s="73" t="str">
        <f>IF(ISBLANK(C654),"",_xlfn.IFNA(INDEX(inbound_data[],MATCH(Outbound_data[[#This Row],[STOCK CODE OUT]],Generated_Stockcode,0),13),""))</f>
        <v/>
      </c>
    </row>
    <row r="655" spans="2:17" x14ac:dyDescent="0.25">
      <c r="B655" s="71"/>
      <c r="C655" s="65"/>
      <c r="D655" s="55"/>
      <c r="E655" s="65"/>
      <c r="F655" s="166"/>
      <c r="G655" s="167"/>
      <c r="H655" s="166"/>
      <c r="I655" s="72"/>
      <c r="J655" s="55"/>
      <c r="K655" s="72"/>
      <c r="L655" s="55"/>
      <c r="M655" s="174"/>
      <c r="N655" s="73" t="str">
        <f>IF(ISBLANK(C655),"",_xlfn.IFNA(INDEX(inbound_data[],MATCH(Outbound_data[[#This Row],[STOCK CODE OUT]],Generated_Stockcode,0),10),""))</f>
        <v/>
      </c>
      <c r="O655" s="73" t="str">
        <f>IF(ISBLANK(C655),"",_xlfn.IFNA(INDEX(inbound_data[],MATCH(Outbound_data[[#This Row],[STOCK CODE OUT]],Generated_Stockcode,0),12),""))</f>
        <v/>
      </c>
      <c r="P655" s="73" t="str">
        <f>IF(ISBLANK(C655),"",_xlfn.IFNA(INDEX(inbound_data[],MATCH(Outbound_data[[#This Row],[STOCK CODE OUT]],Generated_Stockcode,0),23),""))</f>
        <v/>
      </c>
      <c r="Q655" s="73" t="str">
        <f>IF(ISBLANK(C655),"",_xlfn.IFNA(INDEX(inbound_data[],MATCH(Outbound_data[[#This Row],[STOCK CODE OUT]],Generated_Stockcode,0),13),""))</f>
        <v/>
      </c>
    </row>
    <row r="656" spans="2:17" x14ac:dyDescent="0.25">
      <c r="B656" s="71"/>
      <c r="C656" s="65"/>
      <c r="D656" s="55"/>
      <c r="E656" s="65"/>
      <c r="F656" s="166"/>
      <c r="G656" s="167"/>
      <c r="H656" s="166"/>
      <c r="I656" s="72"/>
      <c r="J656" s="55"/>
      <c r="K656" s="72"/>
      <c r="L656" s="55"/>
      <c r="M656" s="174"/>
      <c r="N656" s="73" t="str">
        <f>IF(ISBLANK(C656),"",_xlfn.IFNA(INDEX(inbound_data[],MATCH(Outbound_data[[#This Row],[STOCK CODE OUT]],Generated_Stockcode,0),10),""))</f>
        <v/>
      </c>
      <c r="O656" s="73" t="str">
        <f>IF(ISBLANK(C656),"",_xlfn.IFNA(INDEX(inbound_data[],MATCH(Outbound_data[[#This Row],[STOCK CODE OUT]],Generated_Stockcode,0),12),""))</f>
        <v/>
      </c>
      <c r="P656" s="73" t="str">
        <f>IF(ISBLANK(C656),"",_xlfn.IFNA(INDEX(inbound_data[],MATCH(Outbound_data[[#This Row],[STOCK CODE OUT]],Generated_Stockcode,0),23),""))</f>
        <v/>
      </c>
      <c r="Q656" s="73" t="str">
        <f>IF(ISBLANK(C656),"",_xlfn.IFNA(INDEX(inbound_data[],MATCH(Outbound_data[[#This Row],[STOCK CODE OUT]],Generated_Stockcode,0),13),""))</f>
        <v/>
      </c>
    </row>
    <row r="657" spans="2:17" x14ac:dyDescent="0.25">
      <c r="B657" s="71"/>
      <c r="C657" s="65"/>
      <c r="D657" s="55"/>
      <c r="E657" s="65"/>
      <c r="F657" s="166"/>
      <c r="G657" s="167"/>
      <c r="H657" s="166"/>
      <c r="I657" s="72"/>
      <c r="J657" s="55"/>
      <c r="K657" s="72"/>
      <c r="L657" s="55"/>
      <c r="M657" s="174"/>
      <c r="N657" s="73" t="str">
        <f>IF(ISBLANK(C657),"",_xlfn.IFNA(INDEX(inbound_data[],MATCH(Outbound_data[[#This Row],[STOCK CODE OUT]],Generated_Stockcode,0),10),""))</f>
        <v/>
      </c>
      <c r="O657" s="73" t="str">
        <f>IF(ISBLANK(C657),"",_xlfn.IFNA(INDEX(inbound_data[],MATCH(Outbound_data[[#This Row],[STOCK CODE OUT]],Generated_Stockcode,0),12),""))</f>
        <v/>
      </c>
      <c r="P657" s="73" t="str">
        <f>IF(ISBLANK(C657),"",_xlfn.IFNA(INDEX(inbound_data[],MATCH(Outbound_data[[#This Row],[STOCK CODE OUT]],Generated_Stockcode,0),23),""))</f>
        <v/>
      </c>
      <c r="Q657" s="73" t="str">
        <f>IF(ISBLANK(C657),"",_xlfn.IFNA(INDEX(inbound_data[],MATCH(Outbound_data[[#This Row],[STOCK CODE OUT]],Generated_Stockcode,0),13),""))</f>
        <v/>
      </c>
    </row>
    <row r="658" spans="2:17" x14ac:dyDescent="0.25">
      <c r="B658" s="71"/>
      <c r="C658" s="65"/>
      <c r="D658" s="55"/>
      <c r="E658" s="65"/>
      <c r="F658" s="166"/>
      <c r="G658" s="167"/>
      <c r="H658" s="166"/>
      <c r="I658" s="72"/>
      <c r="J658" s="55"/>
      <c r="K658" s="72"/>
      <c r="L658" s="55"/>
      <c r="M658" s="174"/>
      <c r="N658" s="73" t="str">
        <f>IF(ISBLANK(C658),"",_xlfn.IFNA(INDEX(inbound_data[],MATCH(Outbound_data[[#This Row],[STOCK CODE OUT]],Generated_Stockcode,0),10),""))</f>
        <v/>
      </c>
      <c r="O658" s="73" t="str">
        <f>IF(ISBLANK(C658),"",_xlfn.IFNA(INDEX(inbound_data[],MATCH(Outbound_data[[#This Row],[STOCK CODE OUT]],Generated_Stockcode,0),12),""))</f>
        <v/>
      </c>
      <c r="P658" s="73" t="str">
        <f>IF(ISBLANK(C658),"",_xlfn.IFNA(INDEX(inbound_data[],MATCH(Outbound_data[[#This Row],[STOCK CODE OUT]],Generated_Stockcode,0),23),""))</f>
        <v/>
      </c>
      <c r="Q658" s="73" t="str">
        <f>IF(ISBLANK(C658),"",_xlfn.IFNA(INDEX(inbound_data[],MATCH(Outbound_data[[#This Row],[STOCK CODE OUT]],Generated_Stockcode,0),13),""))</f>
        <v/>
      </c>
    </row>
    <row r="659" spans="2:17" x14ac:dyDescent="0.25">
      <c r="B659" s="71"/>
      <c r="C659" s="65"/>
      <c r="D659" s="55"/>
      <c r="E659" s="65"/>
      <c r="F659" s="166"/>
      <c r="G659" s="167"/>
      <c r="H659" s="166"/>
      <c r="I659" s="72"/>
      <c r="J659" s="55"/>
      <c r="K659" s="72"/>
      <c r="L659" s="55"/>
      <c r="M659" s="174"/>
      <c r="N659" s="73" t="str">
        <f>IF(ISBLANK(C659),"",_xlfn.IFNA(INDEX(inbound_data[],MATCH(Outbound_data[[#This Row],[STOCK CODE OUT]],Generated_Stockcode,0),10),""))</f>
        <v/>
      </c>
      <c r="O659" s="73" t="str">
        <f>IF(ISBLANK(C659),"",_xlfn.IFNA(INDEX(inbound_data[],MATCH(Outbound_data[[#This Row],[STOCK CODE OUT]],Generated_Stockcode,0),12),""))</f>
        <v/>
      </c>
      <c r="P659" s="73" t="str">
        <f>IF(ISBLANK(C659),"",_xlfn.IFNA(INDEX(inbound_data[],MATCH(Outbound_data[[#This Row],[STOCK CODE OUT]],Generated_Stockcode,0),23),""))</f>
        <v/>
      </c>
      <c r="Q659" s="73" t="str">
        <f>IF(ISBLANK(C659),"",_xlfn.IFNA(INDEX(inbound_data[],MATCH(Outbound_data[[#This Row],[STOCK CODE OUT]],Generated_Stockcode,0),13),""))</f>
        <v/>
      </c>
    </row>
    <row r="660" spans="2:17" x14ac:dyDescent="0.25">
      <c r="B660" s="71"/>
      <c r="C660" s="65"/>
      <c r="D660" s="55"/>
      <c r="E660" s="65"/>
      <c r="F660" s="166"/>
      <c r="G660" s="167"/>
      <c r="H660" s="166"/>
      <c r="I660" s="72"/>
      <c r="J660" s="55"/>
      <c r="K660" s="72"/>
      <c r="L660" s="55"/>
      <c r="M660" s="174"/>
      <c r="N660" s="73" t="str">
        <f>IF(ISBLANK(C660),"",_xlfn.IFNA(INDEX(inbound_data[],MATCH(Outbound_data[[#This Row],[STOCK CODE OUT]],Generated_Stockcode,0),10),""))</f>
        <v/>
      </c>
      <c r="O660" s="73" t="str">
        <f>IF(ISBLANK(C660),"",_xlfn.IFNA(INDEX(inbound_data[],MATCH(Outbound_data[[#This Row],[STOCK CODE OUT]],Generated_Stockcode,0),12),""))</f>
        <v/>
      </c>
      <c r="P660" s="73" t="str">
        <f>IF(ISBLANK(C660),"",_xlfn.IFNA(INDEX(inbound_data[],MATCH(Outbound_data[[#This Row],[STOCK CODE OUT]],Generated_Stockcode,0),23),""))</f>
        <v/>
      </c>
      <c r="Q660" s="73" t="str">
        <f>IF(ISBLANK(C660),"",_xlfn.IFNA(INDEX(inbound_data[],MATCH(Outbound_data[[#This Row],[STOCK CODE OUT]],Generated_Stockcode,0),13),""))</f>
        <v/>
      </c>
    </row>
    <row r="661" spans="2:17" x14ac:dyDescent="0.25">
      <c r="B661" s="71"/>
      <c r="C661" s="65"/>
      <c r="D661" s="55"/>
      <c r="E661" s="65"/>
      <c r="F661" s="166"/>
      <c r="G661" s="167"/>
      <c r="H661" s="166"/>
      <c r="I661" s="72"/>
      <c r="J661" s="55"/>
      <c r="K661" s="72"/>
      <c r="L661" s="55"/>
      <c r="M661" s="174"/>
      <c r="N661" s="73" t="str">
        <f>IF(ISBLANK(C661),"",_xlfn.IFNA(INDEX(inbound_data[],MATCH(Outbound_data[[#This Row],[STOCK CODE OUT]],Generated_Stockcode,0),10),""))</f>
        <v/>
      </c>
      <c r="O661" s="73" t="str">
        <f>IF(ISBLANK(C661),"",_xlfn.IFNA(INDEX(inbound_data[],MATCH(Outbound_data[[#This Row],[STOCK CODE OUT]],Generated_Stockcode,0),12),""))</f>
        <v/>
      </c>
      <c r="P661" s="73" t="str">
        <f>IF(ISBLANK(C661),"",_xlfn.IFNA(INDEX(inbound_data[],MATCH(Outbound_data[[#This Row],[STOCK CODE OUT]],Generated_Stockcode,0),23),""))</f>
        <v/>
      </c>
      <c r="Q661" s="73" t="str">
        <f>IF(ISBLANK(C661),"",_xlfn.IFNA(INDEX(inbound_data[],MATCH(Outbound_data[[#This Row],[STOCK CODE OUT]],Generated_Stockcode,0),13),""))</f>
        <v/>
      </c>
    </row>
    <row r="662" spans="2:17" x14ac:dyDescent="0.25">
      <c r="B662" s="71"/>
      <c r="C662" s="65"/>
      <c r="D662" s="55"/>
      <c r="E662" s="65"/>
      <c r="F662" s="166"/>
      <c r="G662" s="167"/>
      <c r="H662" s="166"/>
      <c r="I662" s="72"/>
      <c r="J662" s="55"/>
      <c r="K662" s="72"/>
      <c r="L662" s="55"/>
      <c r="M662" s="174"/>
      <c r="N662" s="73" t="str">
        <f>IF(ISBLANK(C662),"",_xlfn.IFNA(INDEX(inbound_data[],MATCH(Outbound_data[[#This Row],[STOCK CODE OUT]],Generated_Stockcode,0),10),""))</f>
        <v/>
      </c>
      <c r="O662" s="73" t="str">
        <f>IF(ISBLANK(C662),"",_xlfn.IFNA(INDEX(inbound_data[],MATCH(Outbound_data[[#This Row],[STOCK CODE OUT]],Generated_Stockcode,0),12),""))</f>
        <v/>
      </c>
      <c r="P662" s="73" t="str">
        <f>IF(ISBLANK(C662),"",_xlfn.IFNA(INDEX(inbound_data[],MATCH(Outbound_data[[#This Row],[STOCK CODE OUT]],Generated_Stockcode,0),23),""))</f>
        <v/>
      </c>
      <c r="Q662" s="73" t="str">
        <f>IF(ISBLANK(C662),"",_xlfn.IFNA(INDEX(inbound_data[],MATCH(Outbound_data[[#This Row],[STOCK CODE OUT]],Generated_Stockcode,0),13),""))</f>
        <v/>
      </c>
    </row>
    <row r="663" spans="2:17" x14ac:dyDescent="0.25">
      <c r="B663" s="71"/>
      <c r="C663" s="65"/>
      <c r="D663" s="55"/>
      <c r="E663" s="65"/>
      <c r="F663" s="166"/>
      <c r="G663" s="167"/>
      <c r="H663" s="166"/>
      <c r="I663" s="72"/>
      <c r="J663" s="55"/>
      <c r="K663" s="72"/>
      <c r="L663" s="55"/>
      <c r="M663" s="174"/>
      <c r="N663" s="73" t="str">
        <f>IF(ISBLANK(C663),"",_xlfn.IFNA(INDEX(inbound_data[],MATCH(Outbound_data[[#This Row],[STOCK CODE OUT]],Generated_Stockcode,0),10),""))</f>
        <v/>
      </c>
      <c r="O663" s="73" t="str">
        <f>IF(ISBLANK(C663),"",_xlfn.IFNA(INDEX(inbound_data[],MATCH(Outbound_data[[#This Row],[STOCK CODE OUT]],Generated_Stockcode,0),12),""))</f>
        <v/>
      </c>
      <c r="P663" s="73" t="str">
        <f>IF(ISBLANK(C663),"",_xlfn.IFNA(INDEX(inbound_data[],MATCH(Outbound_data[[#This Row],[STOCK CODE OUT]],Generated_Stockcode,0),23),""))</f>
        <v/>
      </c>
      <c r="Q663" s="73" t="str">
        <f>IF(ISBLANK(C663),"",_xlfn.IFNA(INDEX(inbound_data[],MATCH(Outbound_data[[#This Row],[STOCK CODE OUT]],Generated_Stockcode,0),13),""))</f>
        <v/>
      </c>
    </row>
    <row r="664" spans="2:17" x14ac:dyDescent="0.25">
      <c r="B664" s="71"/>
      <c r="C664" s="65"/>
      <c r="D664" s="55"/>
      <c r="E664" s="65"/>
      <c r="F664" s="166"/>
      <c r="G664" s="167"/>
      <c r="H664" s="166"/>
      <c r="I664" s="72"/>
      <c r="J664" s="55"/>
      <c r="K664" s="72"/>
      <c r="L664" s="55"/>
      <c r="M664" s="174"/>
      <c r="N664" s="73" t="str">
        <f>IF(ISBLANK(C664),"",_xlfn.IFNA(INDEX(inbound_data[],MATCH(Outbound_data[[#This Row],[STOCK CODE OUT]],Generated_Stockcode,0),10),""))</f>
        <v/>
      </c>
      <c r="O664" s="73" t="str">
        <f>IF(ISBLANK(C664),"",_xlfn.IFNA(INDEX(inbound_data[],MATCH(Outbound_data[[#This Row],[STOCK CODE OUT]],Generated_Stockcode,0),12),""))</f>
        <v/>
      </c>
      <c r="P664" s="73" t="str">
        <f>IF(ISBLANK(C664),"",_xlfn.IFNA(INDEX(inbound_data[],MATCH(Outbound_data[[#This Row],[STOCK CODE OUT]],Generated_Stockcode,0),23),""))</f>
        <v/>
      </c>
      <c r="Q664" s="73" t="str">
        <f>IF(ISBLANK(C664),"",_xlfn.IFNA(INDEX(inbound_data[],MATCH(Outbound_data[[#This Row],[STOCK CODE OUT]],Generated_Stockcode,0),13),""))</f>
        <v/>
      </c>
    </row>
    <row r="665" spans="2:17" x14ac:dyDescent="0.25">
      <c r="B665" s="71"/>
      <c r="C665" s="65"/>
      <c r="D665" s="55"/>
      <c r="E665" s="65"/>
      <c r="F665" s="166"/>
      <c r="G665" s="167"/>
      <c r="H665" s="166"/>
      <c r="I665" s="72"/>
      <c r="J665" s="55"/>
      <c r="K665" s="72"/>
      <c r="L665" s="55"/>
      <c r="M665" s="174"/>
      <c r="N665" s="73" t="str">
        <f>IF(ISBLANK(C665),"",_xlfn.IFNA(INDEX(inbound_data[],MATCH(Outbound_data[[#This Row],[STOCK CODE OUT]],Generated_Stockcode,0),10),""))</f>
        <v/>
      </c>
      <c r="O665" s="73" t="str">
        <f>IF(ISBLANK(C665),"",_xlfn.IFNA(INDEX(inbound_data[],MATCH(Outbound_data[[#This Row],[STOCK CODE OUT]],Generated_Stockcode,0),12),""))</f>
        <v/>
      </c>
      <c r="P665" s="73" t="str">
        <f>IF(ISBLANK(C665),"",_xlfn.IFNA(INDEX(inbound_data[],MATCH(Outbound_data[[#This Row],[STOCK CODE OUT]],Generated_Stockcode,0),23),""))</f>
        <v/>
      </c>
      <c r="Q665" s="73" t="str">
        <f>IF(ISBLANK(C665),"",_xlfn.IFNA(INDEX(inbound_data[],MATCH(Outbound_data[[#This Row],[STOCK CODE OUT]],Generated_Stockcode,0),13),""))</f>
        <v/>
      </c>
    </row>
    <row r="666" spans="2:17" x14ac:dyDescent="0.25">
      <c r="B666" s="71"/>
      <c r="C666" s="65"/>
      <c r="D666" s="55"/>
      <c r="E666" s="65"/>
      <c r="F666" s="166"/>
      <c r="G666" s="167"/>
      <c r="H666" s="166"/>
      <c r="I666" s="72"/>
      <c r="J666" s="55"/>
      <c r="K666" s="72"/>
      <c r="L666" s="55"/>
      <c r="M666" s="174"/>
      <c r="N666" s="73" t="str">
        <f>IF(ISBLANK(C666),"",_xlfn.IFNA(INDEX(inbound_data[],MATCH(Outbound_data[[#This Row],[STOCK CODE OUT]],Generated_Stockcode,0),10),""))</f>
        <v/>
      </c>
      <c r="O666" s="73" t="str">
        <f>IF(ISBLANK(C666),"",_xlfn.IFNA(INDEX(inbound_data[],MATCH(Outbound_data[[#This Row],[STOCK CODE OUT]],Generated_Stockcode,0),12),""))</f>
        <v/>
      </c>
      <c r="P666" s="73" t="str">
        <f>IF(ISBLANK(C666),"",_xlfn.IFNA(INDEX(inbound_data[],MATCH(Outbound_data[[#This Row],[STOCK CODE OUT]],Generated_Stockcode,0),23),""))</f>
        <v/>
      </c>
      <c r="Q666" s="73" t="str">
        <f>IF(ISBLANK(C666),"",_xlfn.IFNA(INDEX(inbound_data[],MATCH(Outbound_data[[#This Row],[STOCK CODE OUT]],Generated_Stockcode,0),13),""))</f>
        <v/>
      </c>
    </row>
    <row r="667" spans="2:17" x14ac:dyDescent="0.25">
      <c r="B667" s="71"/>
      <c r="C667" s="65"/>
      <c r="D667" s="55"/>
      <c r="E667" s="65"/>
      <c r="F667" s="166"/>
      <c r="G667" s="167"/>
      <c r="H667" s="166"/>
      <c r="I667" s="72"/>
      <c r="J667" s="55"/>
      <c r="K667" s="72"/>
      <c r="L667" s="55"/>
      <c r="M667" s="174"/>
      <c r="N667" s="73" t="str">
        <f>IF(ISBLANK(C667),"",_xlfn.IFNA(INDEX(inbound_data[],MATCH(Outbound_data[[#This Row],[STOCK CODE OUT]],Generated_Stockcode,0),10),""))</f>
        <v/>
      </c>
      <c r="O667" s="73" t="str">
        <f>IF(ISBLANK(C667),"",_xlfn.IFNA(INDEX(inbound_data[],MATCH(Outbound_data[[#This Row],[STOCK CODE OUT]],Generated_Stockcode,0),12),""))</f>
        <v/>
      </c>
      <c r="P667" s="73" t="str">
        <f>IF(ISBLANK(C667),"",_xlfn.IFNA(INDEX(inbound_data[],MATCH(Outbound_data[[#This Row],[STOCK CODE OUT]],Generated_Stockcode,0),23),""))</f>
        <v/>
      </c>
      <c r="Q667" s="73" t="str">
        <f>IF(ISBLANK(C667),"",_xlfn.IFNA(INDEX(inbound_data[],MATCH(Outbound_data[[#This Row],[STOCK CODE OUT]],Generated_Stockcode,0),13),""))</f>
        <v/>
      </c>
    </row>
    <row r="668" spans="2:17" x14ac:dyDescent="0.25">
      <c r="B668" s="71"/>
      <c r="C668" s="65"/>
      <c r="D668" s="55"/>
      <c r="E668" s="65"/>
      <c r="F668" s="166"/>
      <c r="G668" s="167"/>
      <c r="H668" s="166"/>
      <c r="I668" s="72"/>
      <c r="J668" s="55"/>
      <c r="K668" s="72"/>
      <c r="L668" s="55"/>
      <c r="M668" s="174"/>
      <c r="N668" s="73" t="str">
        <f>IF(ISBLANK(C668),"",_xlfn.IFNA(INDEX(inbound_data[],MATCH(Outbound_data[[#This Row],[STOCK CODE OUT]],Generated_Stockcode,0),10),""))</f>
        <v/>
      </c>
      <c r="O668" s="73" t="str">
        <f>IF(ISBLANK(C668),"",_xlfn.IFNA(INDEX(inbound_data[],MATCH(Outbound_data[[#This Row],[STOCK CODE OUT]],Generated_Stockcode,0),12),""))</f>
        <v/>
      </c>
      <c r="P668" s="73" t="str">
        <f>IF(ISBLANK(C668),"",_xlfn.IFNA(INDEX(inbound_data[],MATCH(Outbound_data[[#This Row],[STOCK CODE OUT]],Generated_Stockcode,0),23),""))</f>
        <v/>
      </c>
      <c r="Q668" s="73" t="str">
        <f>IF(ISBLANK(C668),"",_xlfn.IFNA(INDEX(inbound_data[],MATCH(Outbound_data[[#This Row],[STOCK CODE OUT]],Generated_Stockcode,0),13),""))</f>
        <v/>
      </c>
    </row>
    <row r="669" spans="2:17" x14ac:dyDescent="0.25">
      <c r="B669" s="71"/>
      <c r="C669" s="65"/>
      <c r="D669" s="55"/>
      <c r="E669" s="65"/>
      <c r="F669" s="166"/>
      <c r="G669" s="167"/>
      <c r="H669" s="166"/>
      <c r="I669" s="72"/>
      <c r="J669" s="55"/>
      <c r="K669" s="72"/>
      <c r="L669" s="55"/>
      <c r="M669" s="174"/>
      <c r="N669" s="73" t="str">
        <f>IF(ISBLANK(C669),"",_xlfn.IFNA(INDEX(inbound_data[],MATCH(Outbound_data[[#This Row],[STOCK CODE OUT]],Generated_Stockcode,0),10),""))</f>
        <v/>
      </c>
      <c r="O669" s="73" t="str">
        <f>IF(ISBLANK(C669),"",_xlfn.IFNA(INDEX(inbound_data[],MATCH(Outbound_data[[#This Row],[STOCK CODE OUT]],Generated_Stockcode,0),12),""))</f>
        <v/>
      </c>
      <c r="P669" s="73" t="str">
        <f>IF(ISBLANK(C669),"",_xlfn.IFNA(INDEX(inbound_data[],MATCH(Outbound_data[[#This Row],[STOCK CODE OUT]],Generated_Stockcode,0),23),""))</f>
        <v/>
      </c>
      <c r="Q669" s="73" t="str">
        <f>IF(ISBLANK(C669),"",_xlfn.IFNA(INDEX(inbound_data[],MATCH(Outbound_data[[#This Row],[STOCK CODE OUT]],Generated_Stockcode,0),13),""))</f>
        <v/>
      </c>
    </row>
    <row r="670" spans="2:17" x14ac:dyDescent="0.25">
      <c r="B670" s="71"/>
      <c r="C670" s="65"/>
      <c r="D670" s="55"/>
      <c r="E670" s="65"/>
      <c r="F670" s="166"/>
      <c r="G670" s="167"/>
      <c r="H670" s="166"/>
      <c r="I670" s="72"/>
      <c r="J670" s="55"/>
      <c r="K670" s="72"/>
      <c r="L670" s="55"/>
      <c r="M670" s="174"/>
      <c r="N670" s="73" t="str">
        <f>IF(ISBLANK(C670),"",_xlfn.IFNA(INDEX(inbound_data[],MATCH(Outbound_data[[#This Row],[STOCK CODE OUT]],Generated_Stockcode,0),10),""))</f>
        <v/>
      </c>
      <c r="O670" s="73" t="str">
        <f>IF(ISBLANK(C670),"",_xlfn.IFNA(INDEX(inbound_data[],MATCH(Outbound_data[[#This Row],[STOCK CODE OUT]],Generated_Stockcode,0),12),""))</f>
        <v/>
      </c>
      <c r="P670" s="73" t="str">
        <f>IF(ISBLANK(C670),"",_xlfn.IFNA(INDEX(inbound_data[],MATCH(Outbound_data[[#This Row],[STOCK CODE OUT]],Generated_Stockcode,0),23),""))</f>
        <v/>
      </c>
      <c r="Q670" s="73" t="str">
        <f>IF(ISBLANK(C670),"",_xlfn.IFNA(INDEX(inbound_data[],MATCH(Outbound_data[[#This Row],[STOCK CODE OUT]],Generated_Stockcode,0),13),""))</f>
        <v/>
      </c>
    </row>
    <row r="671" spans="2:17" x14ac:dyDescent="0.25">
      <c r="B671" s="71"/>
      <c r="C671" s="65"/>
      <c r="D671" s="55"/>
      <c r="E671" s="65"/>
      <c r="F671" s="166"/>
      <c r="G671" s="167"/>
      <c r="H671" s="166"/>
      <c r="I671" s="72"/>
      <c r="J671" s="55"/>
      <c r="K671" s="72"/>
      <c r="L671" s="55"/>
      <c r="M671" s="174"/>
      <c r="N671" s="73" t="str">
        <f>IF(ISBLANK(C671),"",_xlfn.IFNA(INDEX(inbound_data[],MATCH(Outbound_data[[#This Row],[STOCK CODE OUT]],Generated_Stockcode,0),10),""))</f>
        <v/>
      </c>
      <c r="O671" s="73" t="str">
        <f>IF(ISBLANK(C671),"",_xlfn.IFNA(INDEX(inbound_data[],MATCH(Outbound_data[[#This Row],[STOCK CODE OUT]],Generated_Stockcode,0),12),""))</f>
        <v/>
      </c>
      <c r="P671" s="73" t="str">
        <f>IF(ISBLANK(C671),"",_xlfn.IFNA(INDEX(inbound_data[],MATCH(Outbound_data[[#This Row],[STOCK CODE OUT]],Generated_Stockcode,0),23),""))</f>
        <v/>
      </c>
      <c r="Q671" s="73" t="str">
        <f>IF(ISBLANK(C671),"",_xlfn.IFNA(INDEX(inbound_data[],MATCH(Outbound_data[[#This Row],[STOCK CODE OUT]],Generated_Stockcode,0),13),""))</f>
        <v/>
      </c>
    </row>
    <row r="672" spans="2:17" x14ac:dyDescent="0.25">
      <c r="B672" s="71"/>
      <c r="C672" s="65"/>
      <c r="D672" s="55"/>
      <c r="E672" s="65"/>
      <c r="F672" s="166"/>
      <c r="G672" s="167"/>
      <c r="H672" s="166"/>
      <c r="I672" s="72"/>
      <c r="J672" s="55"/>
      <c r="K672" s="72"/>
      <c r="L672" s="55"/>
      <c r="M672" s="174"/>
      <c r="N672" s="73" t="str">
        <f>IF(ISBLANK(C672),"",_xlfn.IFNA(INDEX(inbound_data[],MATCH(Outbound_data[[#This Row],[STOCK CODE OUT]],Generated_Stockcode,0),10),""))</f>
        <v/>
      </c>
      <c r="O672" s="73" t="str">
        <f>IF(ISBLANK(C672),"",_xlfn.IFNA(INDEX(inbound_data[],MATCH(Outbound_data[[#This Row],[STOCK CODE OUT]],Generated_Stockcode,0),12),""))</f>
        <v/>
      </c>
      <c r="P672" s="73" t="str">
        <f>IF(ISBLANK(C672),"",_xlfn.IFNA(INDEX(inbound_data[],MATCH(Outbound_data[[#This Row],[STOCK CODE OUT]],Generated_Stockcode,0),23),""))</f>
        <v/>
      </c>
      <c r="Q672" s="73" t="str">
        <f>IF(ISBLANK(C672),"",_xlfn.IFNA(INDEX(inbound_data[],MATCH(Outbound_data[[#This Row],[STOCK CODE OUT]],Generated_Stockcode,0),13),""))</f>
        <v/>
      </c>
    </row>
    <row r="673" spans="2:17" x14ac:dyDescent="0.25">
      <c r="B673" s="71"/>
      <c r="C673" s="65"/>
      <c r="D673" s="55"/>
      <c r="E673" s="65"/>
      <c r="F673" s="166"/>
      <c r="G673" s="167"/>
      <c r="H673" s="166"/>
      <c r="I673" s="72"/>
      <c r="J673" s="55"/>
      <c r="K673" s="72"/>
      <c r="L673" s="55"/>
      <c r="M673" s="174"/>
      <c r="N673" s="73" t="str">
        <f>IF(ISBLANK(C673),"",_xlfn.IFNA(INDEX(inbound_data[],MATCH(Outbound_data[[#This Row],[STOCK CODE OUT]],Generated_Stockcode,0),10),""))</f>
        <v/>
      </c>
      <c r="O673" s="73" t="str">
        <f>IF(ISBLANK(C673),"",_xlfn.IFNA(INDEX(inbound_data[],MATCH(Outbound_data[[#This Row],[STOCK CODE OUT]],Generated_Stockcode,0),12),""))</f>
        <v/>
      </c>
      <c r="P673" s="73" t="str">
        <f>IF(ISBLANK(C673),"",_xlfn.IFNA(INDEX(inbound_data[],MATCH(Outbound_data[[#This Row],[STOCK CODE OUT]],Generated_Stockcode,0),23),""))</f>
        <v/>
      </c>
      <c r="Q673" s="73" t="str">
        <f>IF(ISBLANK(C673),"",_xlfn.IFNA(INDEX(inbound_data[],MATCH(Outbound_data[[#This Row],[STOCK CODE OUT]],Generated_Stockcode,0),13),""))</f>
        <v/>
      </c>
    </row>
    <row r="674" spans="2:17" x14ac:dyDescent="0.25">
      <c r="B674" s="71"/>
      <c r="C674" s="65"/>
      <c r="D674" s="55"/>
      <c r="E674" s="65"/>
      <c r="F674" s="166"/>
      <c r="G674" s="167"/>
      <c r="H674" s="166"/>
      <c r="I674" s="72"/>
      <c r="J674" s="55"/>
      <c r="K674" s="72"/>
      <c r="L674" s="55"/>
      <c r="M674" s="174"/>
      <c r="N674" s="73" t="str">
        <f>IF(ISBLANK(C674),"",_xlfn.IFNA(INDEX(inbound_data[],MATCH(Outbound_data[[#This Row],[STOCK CODE OUT]],Generated_Stockcode,0),10),""))</f>
        <v/>
      </c>
      <c r="O674" s="73" t="str">
        <f>IF(ISBLANK(C674),"",_xlfn.IFNA(INDEX(inbound_data[],MATCH(Outbound_data[[#This Row],[STOCK CODE OUT]],Generated_Stockcode,0),12),""))</f>
        <v/>
      </c>
      <c r="P674" s="73" t="str">
        <f>IF(ISBLANK(C674),"",_xlfn.IFNA(INDEX(inbound_data[],MATCH(Outbound_data[[#This Row],[STOCK CODE OUT]],Generated_Stockcode,0),23),""))</f>
        <v/>
      </c>
      <c r="Q674" s="73" t="str">
        <f>IF(ISBLANK(C674),"",_xlfn.IFNA(INDEX(inbound_data[],MATCH(Outbound_data[[#This Row],[STOCK CODE OUT]],Generated_Stockcode,0),13),""))</f>
        <v/>
      </c>
    </row>
    <row r="675" spans="2:17" x14ac:dyDescent="0.25">
      <c r="B675" s="71"/>
      <c r="C675" s="65"/>
      <c r="D675" s="55"/>
      <c r="E675" s="65"/>
      <c r="F675" s="166"/>
      <c r="G675" s="167"/>
      <c r="H675" s="166"/>
      <c r="I675" s="72"/>
      <c r="J675" s="55"/>
      <c r="K675" s="72"/>
      <c r="L675" s="55"/>
      <c r="M675" s="174"/>
      <c r="N675" s="73" t="str">
        <f>IF(ISBLANK(C675),"",_xlfn.IFNA(INDEX(inbound_data[],MATCH(Outbound_data[[#This Row],[STOCK CODE OUT]],Generated_Stockcode,0),10),""))</f>
        <v/>
      </c>
      <c r="O675" s="73" t="str">
        <f>IF(ISBLANK(C675),"",_xlfn.IFNA(INDEX(inbound_data[],MATCH(Outbound_data[[#This Row],[STOCK CODE OUT]],Generated_Stockcode,0),12),""))</f>
        <v/>
      </c>
      <c r="P675" s="73" t="str">
        <f>IF(ISBLANK(C675),"",_xlfn.IFNA(INDEX(inbound_data[],MATCH(Outbound_data[[#This Row],[STOCK CODE OUT]],Generated_Stockcode,0),23),""))</f>
        <v/>
      </c>
      <c r="Q675" s="73" t="str">
        <f>IF(ISBLANK(C675),"",_xlfn.IFNA(INDEX(inbound_data[],MATCH(Outbound_data[[#This Row],[STOCK CODE OUT]],Generated_Stockcode,0),13),""))</f>
        <v/>
      </c>
    </row>
    <row r="676" spans="2:17" x14ac:dyDescent="0.25">
      <c r="B676" s="71"/>
      <c r="C676" s="65"/>
      <c r="D676" s="55"/>
      <c r="E676" s="65"/>
      <c r="F676" s="166"/>
      <c r="G676" s="167"/>
      <c r="H676" s="166"/>
      <c r="I676" s="72"/>
      <c r="J676" s="55"/>
      <c r="K676" s="72"/>
      <c r="L676" s="55"/>
      <c r="M676" s="174"/>
      <c r="N676" s="73" t="str">
        <f>IF(ISBLANK(C676),"",_xlfn.IFNA(INDEX(inbound_data[],MATCH(Outbound_data[[#This Row],[STOCK CODE OUT]],Generated_Stockcode,0),10),""))</f>
        <v/>
      </c>
      <c r="O676" s="73" t="str">
        <f>IF(ISBLANK(C676),"",_xlfn.IFNA(INDEX(inbound_data[],MATCH(Outbound_data[[#This Row],[STOCK CODE OUT]],Generated_Stockcode,0),12),""))</f>
        <v/>
      </c>
      <c r="P676" s="73" t="str">
        <f>IF(ISBLANK(C676),"",_xlfn.IFNA(INDEX(inbound_data[],MATCH(Outbound_data[[#This Row],[STOCK CODE OUT]],Generated_Stockcode,0),23),""))</f>
        <v/>
      </c>
      <c r="Q676" s="73" t="str">
        <f>IF(ISBLANK(C676),"",_xlfn.IFNA(INDEX(inbound_data[],MATCH(Outbound_data[[#This Row],[STOCK CODE OUT]],Generated_Stockcode,0),13),""))</f>
        <v/>
      </c>
    </row>
    <row r="677" spans="2:17" x14ac:dyDescent="0.25">
      <c r="B677" s="71"/>
      <c r="C677" s="65"/>
      <c r="D677" s="55"/>
      <c r="E677" s="65"/>
      <c r="F677" s="166"/>
      <c r="G677" s="167"/>
      <c r="H677" s="166"/>
      <c r="I677" s="72"/>
      <c r="J677" s="55"/>
      <c r="K677" s="72"/>
      <c r="L677" s="55"/>
      <c r="M677" s="174"/>
      <c r="N677" s="73" t="str">
        <f>IF(ISBLANK(C677),"",_xlfn.IFNA(INDEX(inbound_data[],MATCH(Outbound_data[[#This Row],[STOCK CODE OUT]],Generated_Stockcode,0),10),""))</f>
        <v/>
      </c>
      <c r="O677" s="73" t="str">
        <f>IF(ISBLANK(C677),"",_xlfn.IFNA(INDEX(inbound_data[],MATCH(Outbound_data[[#This Row],[STOCK CODE OUT]],Generated_Stockcode,0),12),""))</f>
        <v/>
      </c>
      <c r="P677" s="73" t="str">
        <f>IF(ISBLANK(C677),"",_xlfn.IFNA(INDEX(inbound_data[],MATCH(Outbound_data[[#This Row],[STOCK CODE OUT]],Generated_Stockcode,0),23),""))</f>
        <v/>
      </c>
      <c r="Q677" s="73" t="str">
        <f>IF(ISBLANK(C677),"",_xlfn.IFNA(INDEX(inbound_data[],MATCH(Outbound_data[[#This Row],[STOCK CODE OUT]],Generated_Stockcode,0),13),""))</f>
        <v/>
      </c>
    </row>
    <row r="678" spans="2:17" x14ac:dyDescent="0.25">
      <c r="B678" s="71"/>
      <c r="C678" s="65"/>
      <c r="D678" s="55"/>
      <c r="E678" s="65"/>
      <c r="F678" s="166"/>
      <c r="G678" s="167"/>
      <c r="H678" s="166"/>
      <c r="I678" s="72"/>
      <c r="J678" s="55"/>
      <c r="K678" s="72"/>
      <c r="L678" s="55"/>
      <c r="M678" s="174"/>
      <c r="N678" s="73" t="str">
        <f>IF(ISBLANK(C678),"",_xlfn.IFNA(INDEX(inbound_data[],MATCH(Outbound_data[[#This Row],[STOCK CODE OUT]],Generated_Stockcode,0),10),""))</f>
        <v/>
      </c>
      <c r="O678" s="73" t="str">
        <f>IF(ISBLANK(C678),"",_xlfn.IFNA(INDEX(inbound_data[],MATCH(Outbound_data[[#This Row],[STOCK CODE OUT]],Generated_Stockcode,0),12),""))</f>
        <v/>
      </c>
      <c r="P678" s="73" t="str">
        <f>IF(ISBLANK(C678),"",_xlfn.IFNA(INDEX(inbound_data[],MATCH(Outbound_data[[#This Row],[STOCK CODE OUT]],Generated_Stockcode,0),23),""))</f>
        <v/>
      </c>
      <c r="Q678" s="73" t="str">
        <f>IF(ISBLANK(C678),"",_xlfn.IFNA(INDEX(inbound_data[],MATCH(Outbound_data[[#This Row],[STOCK CODE OUT]],Generated_Stockcode,0),13),""))</f>
        <v/>
      </c>
    </row>
    <row r="679" spans="2:17" x14ac:dyDescent="0.25">
      <c r="B679" s="71"/>
      <c r="C679" s="65"/>
      <c r="D679" s="55"/>
      <c r="E679" s="65"/>
      <c r="F679" s="166"/>
      <c r="G679" s="167"/>
      <c r="H679" s="166"/>
      <c r="I679" s="72"/>
      <c r="J679" s="55"/>
      <c r="K679" s="72"/>
      <c r="L679" s="55"/>
      <c r="M679" s="174"/>
      <c r="N679" s="73" t="str">
        <f>IF(ISBLANK(C679),"",_xlfn.IFNA(INDEX(inbound_data[],MATCH(Outbound_data[[#This Row],[STOCK CODE OUT]],Generated_Stockcode,0),10),""))</f>
        <v/>
      </c>
      <c r="O679" s="73" t="str">
        <f>IF(ISBLANK(C679),"",_xlfn.IFNA(INDEX(inbound_data[],MATCH(Outbound_data[[#This Row],[STOCK CODE OUT]],Generated_Stockcode,0),12),""))</f>
        <v/>
      </c>
      <c r="P679" s="73" t="str">
        <f>IF(ISBLANK(C679),"",_xlfn.IFNA(INDEX(inbound_data[],MATCH(Outbound_data[[#This Row],[STOCK CODE OUT]],Generated_Stockcode,0),23),""))</f>
        <v/>
      </c>
      <c r="Q679" s="73" t="str">
        <f>IF(ISBLANK(C679),"",_xlfn.IFNA(INDEX(inbound_data[],MATCH(Outbound_data[[#This Row],[STOCK CODE OUT]],Generated_Stockcode,0),13),""))</f>
        <v/>
      </c>
    </row>
    <row r="680" spans="2:17" x14ac:dyDescent="0.25">
      <c r="B680" s="71"/>
      <c r="C680" s="65"/>
      <c r="D680" s="55"/>
      <c r="E680" s="65"/>
      <c r="F680" s="166"/>
      <c r="G680" s="167"/>
      <c r="H680" s="166"/>
      <c r="I680" s="72"/>
      <c r="J680" s="55"/>
      <c r="K680" s="72"/>
      <c r="L680" s="55"/>
      <c r="M680" s="174"/>
      <c r="N680" s="73" t="str">
        <f>IF(ISBLANK(C680),"",_xlfn.IFNA(INDEX(inbound_data[],MATCH(Outbound_data[[#This Row],[STOCK CODE OUT]],Generated_Stockcode,0),10),""))</f>
        <v/>
      </c>
      <c r="O680" s="73" t="str">
        <f>IF(ISBLANK(C680),"",_xlfn.IFNA(INDEX(inbound_data[],MATCH(Outbound_data[[#This Row],[STOCK CODE OUT]],Generated_Stockcode,0),12),""))</f>
        <v/>
      </c>
      <c r="P680" s="73" t="str">
        <f>IF(ISBLANK(C680),"",_xlfn.IFNA(INDEX(inbound_data[],MATCH(Outbound_data[[#This Row],[STOCK CODE OUT]],Generated_Stockcode,0),23),""))</f>
        <v/>
      </c>
      <c r="Q680" s="73" t="str">
        <f>IF(ISBLANK(C680),"",_xlfn.IFNA(INDEX(inbound_data[],MATCH(Outbound_data[[#This Row],[STOCK CODE OUT]],Generated_Stockcode,0),13),""))</f>
        <v/>
      </c>
    </row>
    <row r="681" spans="2:17" x14ac:dyDescent="0.25">
      <c r="B681" s="71"/>
      <c r="C681" s="65"/>
      <c r="D681" s="55"/>
      <c r="E681" s="65"/>
      <c r="F681" s="166"/>
      <c r="G681" s="167"/>
      <c r="H681" s="166"/>
      <c r="I681" s="72"/>
      <c r="J681" s="55"/>
      <c r="K681" s="72"/>
      <c r="L681" s="55"/>
      <c r="M681" s="174"/>
      <c r="N681" s="73" t="str">
        <f>IF(ISBLANK(C681),"",_xlfn.IFNA(INDEX(inbound_data[],MATCH(Outbound_data[[#This Row],[STOCK CODE OUT]],Generated_Stockcode,0),10),""))</f>
        <v/>
      </c>
      <c r="O681" s="73" t="str">
        <f>IF(ISBLANK(C681),"",_xlfn.IFNA(INDEX(inbound_data[],MATCH(Outbound_data[[#This Row],[STOCK CODE OUT]],Generated_Stockcode,0),12),""))</f>
        <v/>
      </c>
      <c r="P681" s="73" t="str">
        <f>IF(ISBLANK(C681),"",_xlfn.IFNA(INDEX(inbound_data[],MATCH(Outbound_data[[#This Row],[STOCK CODE OUT]],Generated_Stockcode,0),23),""))</f>
        <v/>
      </c>
      <c r="Q681" s="73" t="str">
        <f>IF(ISBLANK(C681),"",_xlfn.IFNA(INDEX(inbound_data[],MATCH(Outbound_data[[#This Row],[STOCK CODE OUT]],Generated_Stockcode,0),13),""))</f>
        <v/>
      </c>
    </row>
    <row r="682" spans="2:17" x14ac:dyDescent="0.25">
      <c r="B682" s="71"/>
      <c r="C682" s="65"/>
      <c r="D682" s="55"/>
      <c r="E682" s="65"/>
      <c r="F682" s="166"/>
      <c r="G682" s="167"/>
      <c r="H682" s="166"/>
      <c r="I682" s="72"/>
      <c r="J682" s="55"/>
      <c r="K682" s="72"/>
      <c r="L682" s="55"/>
      <c r="M682" s="174"/>
      <c r="N682" s="73" t="str">
        <f>IF(ISBLANK(C682),"",_xlfn.IFNA(INDEX(inbound_data[],MATCH(Outbound_data[[#This Row],[STOCK CODE OUT]],Generated_Stockcode,0),10),""))</f>
        <v/>
      </c>
      <c r="O682" s="73" t="str">
        <f>IF(ISBLANK(C682),"",_xlfn.IFNA(INDEX(inbound_data[],MATCH(Outbound_data[[#This Row],[STOCK CODE OUT]],Generated_Stockcode,0),12),""))</f>
        <v/>
      </c>
      <c r="P682" s="73" t="str">
        <f>IF(ISBLANK(C682),"",_xlfn.IFNA(INDEX(inbound_data[],MATCH(Outbound_data[[#This Row],[STOCK CODE OUT]],Generated_Stockcode,0),23),""))</f>
        <v/>
      </c>
      <c r="Q682" s="73" t="str">
        <f>IF(ISBLANK(C682),"",_xlfn.IFNA(INDEX(inbound_data[],MATCH(Outbound_data[[#This Row],[STOCK CODE OUT]],Generated_Stockcode,0),13),""))</f>
        <v/>
      </c>
    </row>
    <row r="683" spans="2:17" x14ac:dyDescent="0.25">
      <c r="B683" s="71"/>
      <c r="C683" s="65"/>
      <c r="D683" s="55"/>
      <c r="E683" s="65"/>
      <c r="F683" s="166"/>
      <c r="G683" s="167"/>
      <c r="H683" s="166"/>
      <c r="I683" s="72"/>
      <c r="J683" s="55"/>
      <c r="K683" s="72"/>
      <c r="L683" s="55"/>
      <c r="M683" s="174"/>
      <c r="N683" s="73" t="str">
        <f>IF(ISBLANK(C683),"",_xlfn.IFNA(INDEX(inbound_data[],MATCH(Outbound_data[[#This Row],[STOCK CODE OUT]],Generated_Stockcode,0),10),""))</f>
        <v/>
      </c>
      <c r="O683" s="73" t="str">
        <f>IF(ISBLANK(C683),"",_xlfn.IFNA(INDEX(inbound_data[],MATCH(Outbound_data[[#This Row],[STOCK CODE OUT]],Generated_Stockcode,0),12),""))</f>
        <v/>
      </c>
      <c r="P683" s="73" t="str">
        <f>IF(ISBLANK(C683),"",_xlfn.IFNA(INDEX(inbound_data[],MATCH(Outbound_data[[#This Row],[STOCK CODE OUT]],Generated_Stockcode,0),23),""))</f>
        <v/>
      </c>
      <c r="Q683" s="73" t="str">
        <f>IF(ISBLANK(C683),"",_xlfn.IFNA(INDEX(inbound_data[],MATCH(Outbound_data[[#This Row],[STOCK CODE OUT]],Generated_Stockcode,0),13),""))</f>
        <v/>
      </c>
    </row>
    <row r="684" spans="2:17" x14ac:dyDescent="0.25">
      <c r="B684" s="71"/>
      <c r="C684" s="65"/>
      <c r="D684" s="55"/>
      <c r="E684" s="65"/>
      <c r="F684" s="166"/>
      <c r="G684" s="167"/>
      <c r="H684" s="166"/>
      <c r="I684" s="72"/>
      <c r="J684" s="55"/>
      <c r="K684" s="72"/>
      <c r="L684" s="55"/>
      <c r="M684" s="174"/>
      <c r="N684" s="73" t="str">
        <f>IF(ISBLANK(C684),"",_xlfn.IFNA(INDEX(inbound_data[],MATCH(Outbound_data[[#This Row],[STOCK CODE OUT]],Generated_Stockcode,0),10),""))</f>
        <v/>
      </c>
      <c r="O684" s="73" t="str">
        <f>IF(ISBLANK(C684),"",_xlfn.IFNA(INDEX(inbound_data[],MATCH(Outbound_data[[#This Row],[STOCK CODE OUT]],Generated_Stockcode,0),12),""))</f>
        <v/>
      </c>
      <c r="P684" s="73" t="str">
        <f>IF(ISBLANK(C684),"",_xlfn.IFNA(INDEX(inbound_data[],MATCH(Outbound_data[[#This Row],[STOCK CODE OUT]],Generated_Stockcode,0),23),""))</f>
        <v/>
      </c>
      <c r="Q684" s="73" t="str">
        <f>IF(ISBLANK(C684),"",_xlfn.IFNA(INDEX(inbound_data[],MATCH(Outbound_data[[#This Row],[STOCK CODE OUT]],Generated_Stockcode,0),13),""))</f>
        <v/>
      </c>
    </row>
    <row r="685" spans="2:17" x14ac:dyDescent="0.25">
      <c r="B685" s="71"/>
      <c r="C685" s="65"/>
      <c r="D685" s="55"/>
      <c r="E685" s="65"/>
      <c r="F685" s="166"/>
      <c r="G685" s="167"/>
      <c r="H685" s="166"/>
      <c r="I685" s="72"/>
      <c r="J685" s="55"/>
      <c r="K685" s="72"/>
      <c r="L685" s="55"/>
      <c r="M685" s="174"/>
      <c r="N685" s="73" t="str">
        <f>IF(ISBLANK(C685),"",_xlfn.IFNA(INDEX(inbound_data[],MATCH(Outbound_data[[#This Row],[STOCK CODE OUT]],Generated_Stockcode,0),10),""))</f>
        <v/>
      </c>
      <c r="O685" s="73" t="str">
        <f>IF(ISBLANK(C685),"",_xlfn.IFNA(INDEX(inbound_data[],MATCH(Outbound_data[[#This Row],[STOCK CODE OUT]],Generated_Stockcode,0),12),""))</f>
        <v/>
      </c>
      <c r="P685" s="73" t="str">
        <f>IF(ISBLANK(C685),"",_xlfn.IFNA(INDEX(inbound_data[],MATCH(Outbound_data[[#This Row],[STOCK CODE OUT]],Generated_Stockcode,0),23),""))</f>
        <v/>
      </c>
      <c r="Q685" s="73" t="str">
        <f>IF(ISBLANK(C685),"",_xlfn.IFNA(INDEX(inbound_data[],MATCH(Outbound_data[[#This Row],[STOCK CODE OUT]],Generated_Stockcode,0),13),""))</f>
        <v/>
      </c>
    </row>
    <row r="686" spans="2:17" x14ac:dyDescent="0.25">
      <c r="B686" s="71"/>
      <c r="C686" s="65"/>
      <c r="D686" s="55"/>
      <c r="E686" s="65"/>
      <c r="F686" s="166"/>
      <c r="G686" s="167"/>
      <c r="H686" s="166"/>
      <c r="I686" s="72"/>
      <c r="J686" s="55"/>
      <c r="K686" s="72"/>
      <c r="L686" s="55"/>
      <c r="M686" s="174"/>
      <c r="N686" s="73" t="str">
        <f>IF(ISBLANK(C686),"",_xlfn.IFNA(INDEX(inbound_data[],MATCH(Outbound_data[[#This Row],[STOCK CODE OUT]],Generated_Stockcode,0),10),""))</f>
        <v/>
      </c>
      <c r="O686" s="73" t="str">
        <f>IF(ISBLANK(C686),"",_xlfn.IFNA(INDEX(inbound_data[],MATCH(Outbound_data[[#This Row],[STOCK CODE OUT]],Generated_Stockcode,0),12),""))</f>
        <v/>
      </c>
      <c r="P686" s="73" t="str">
        <f>IF(ISBLANK(C686),"",_xlfn.IFNA(INDEX(inbound_data[],MATCH(Outbound_data[[#This Row],[STOCK CODE OUT]],Generated_Stockcode,0),23),""))</f>
        <v/>
      </c>
      <c r="Q686" s="73" t="str">
        <f>IF(ISBLANK(C686),"",_xlfn.IFNA(INDEX(inbound_data[],MATCH(Outbound_data[[#This Row],[STOCK CODE OUT]],Generated_Stockcode,0),13),""))</f>
        <v/>
      </c>
    </row>
    <row r="687" spans="2:17" x14ac:dyDescent="0.25">
      <c r="B687" s="71"/>
      <c r="C687" s="65"/>
      <c r="D687" s="55"/>
      <c r="E687" s="65"/>
      <c r="F687" s="166"/>
      <c r="G687" s="167"/>
      <c r="H687" s="166"/>
      <c r="I687" s="72"/>
      <c r="J687" s="55"/>
      <c r="K687" s="72"/>
      <c r="L687" s="55"/>
      <c r="M687" s="174"/>
      <c r="N687" s="73" t="str">
        <f>IF(ISBLANK(C687),"",_xlfn.IFNA(INDEX(inbound_data[],MATCH(Outbound_data[[#This Row],[STOCK CODE OUT]],Generated_Stockcode,0),10),""))</f>
        <v/>
      </c>
      <c r="O687" s="73" t="str">
        <f>IF(ISBLANK(C687),"",_xlfn.IFNA(INDEX(inbound_data[],MATCH(Outbound_data[[#This Row],[STOCK CODE OUT]],Generated_Stockcode,0),12),""))</f>
        <v/>
      </c>
      <c r="P687" s="73" t="str">
        <f>IF(ISBLANK(C687),"",_xlfn.IFNA(INDEX(inbound_data[],MATCH(Outbound_data[[#This Row],[STOCK CODE OUT]],Generated_Stockcode,0),23),""))</f>
        <v/>
      </c>
      <c r="Q687" s="73" t="str">
        <f>IF(ISBLANK(C687),"",_xlfn.IFNA(INDEX(inbound_data[],MATCH(Outbound_data[[#This Row],[STOCK CODE OUT]],Generated_Stockcode,0),13),""))</f>
        <v/>
      </c>
    </row>
    <row r="688" spans="2:17" x14ac:dyDescent="0.25">
      <c r="B688" s="71"/>
      <c r="C688" s="65"/>
      <c r="D688" s="55"/>
      <c r="E688" s="65"/>
      <c r="F688" s="166"/>
      <c r="G688" s="167"/>
      <c r="H688" s="166"/>
      <c r="I688" s="72"/>
      <c r="J688" s="55"/>
      <c r="K688" s="72"/>
      <c r="L688" s="55"/>
      <c r="M688" s="174"/>
      <c r="N688" s="73" t="str">
        <f>IF(ISBLANK(C688),"",_xlfn.IFNA(INDEX(inbound_data[],MATCH(Outbound_data[[#This Row],[STOCK CODE OUT]],Generated_Stockcode,0),10),""))</f>
        <v/>
      </c>
      <c r="O688" s="73" t="str">
        <f>IF(ISBLANK(C688),"",_xlfn.IFNA(INDEX(inbound_data[],MATCH(Outbound_data[[#This Row],[STOCK CODE OUT]],Generated_Stockcode,0),12),""))</f>
        <v/>
      </c>
      <c r="P688" s="73" t="str">
        <f>IF(ISBLANK(C688),"",_xlfn.IFNA(INDEX(inbound_data[],MATCH(Outbound_data[[#This Row],[STOCK CODE OUT]],Generated_Stockcode,0),23),""))</f>
        <v/>
      </c>
      <c r="Q688" s="73" t="str">
        <f>IF(ISBLANK(C688),"",_xlfn.IFNA(INDEX(inbound_data[],MATCH(Outbound_data[[#This Row],[STOCK CODE OUT]],Generated_Stockcode,0),13),""))</f>
        <v/>
      </c>
    </row>
    <row r="689" spans="2:17" x14ac:dyDescent="0.25">
      <c r="B689" s="71"/>
      <c r="C689" s="65"/>
      <c r="D689" s="55"/>
      <c r="E689" s="65"/>
      <c r="F689" s="166"/>
      <c r="G689" s="167"/>
      <c r="H689" s="166"/>
      <c r="I689" s="72"/>
      <c r="J689" s="55"/>
      <c r="K689" s="72"/>
      <c r="L689" s="55"/>
      <c r="M689" s="174"/>
      <c r="N689" s="73" t="str">
        <f>IF(ISBLANK(C689),"",_xlfn.IFNA(INDEX(inbound_data[],MATCH(Outbound_data[[#This Row],[STOCK CODE OUT]],Generated_Stockcode,0),10),""))</f>
        <v/>
      </c>
      <c r="O689" s="73" t="str">
        <f>IF(ISBLANK(C689),"",_xlfn.IFNA(INDEX(inbound_data[],MATCH(Outbound_data[[#This Row],[STOCK CODE OUT]],Generated_Stockcode,0),12),""))</f>
        <v/>
      </c>
      <c r="P689" s="73" t="str">
        <f>IF(ISBLANK(C689),"",_xlfn.IFNA(INDEX(inbound_data[],MATCH(Outbound_data[[#This Row],[STOCK CODE OUT]],Generated_Stockcode,0),23),""))</f>
        <v/>
      </c>
      <c r="Q689" s="73" t="str">
        <f>IF(ISBLANK(C689),"",_xlfn.IFNA(INDEX(inbound_data[],MATCH(Outbound_data[[#This Row],[STOCK CODE OUT]],Generated_Stockcode,0),13),""))</f>
        <v/>
      </c>
    </row>
    <row r="690" spans="2:17" x14ac:dyDescent="0.25">
      <c r="B690" s="71"/>
      <c r="C690" s="65"/>
      <c r="D690" s="55"/>
      <c r="E690" s="65"/>
      <c r="F690" s="166"/>
      <c r="G690" s="167"/>
      <c r="H690" s="166"/>
      <c r="I690" s="72"/>
      <c r="J690" s="55"/>
      <c r="K690" s="72"/>
      <c r="L690" s="55"/>
      <c r="M690" s="174"/>
      <c r="N690" s="73" t="str">
        <f>IF(ISBLANK(C690),"",_xlfn.IFNA(INDEX(inbound_data[],MATCH(Outbound_data[[#This Row],[STOCK CODE OUT]],Generated_Stockcode,0),10),""))</f>
        <v/>
      </c>
      <c r="O690" s="73" t="str">
        <f>IF(ISBLANK(C690),"",_xlfn.IFNA(INDEX(inbound_data[],MATCH(Outbound_data[[#This Row],[STOCK CODE OUT]],Generated_Stockcode,0),12),""))</f>
        <v/>
      </c>
      <c r="P690" s="73" t="str">
        <f>IF(ISBLANK(C690),"",_xlfn.IFNA(INDEX(inbound_data[],MATCH(Outbound_data[[#This Row],[STOCK CODE OUT]],Generated_Stockcode,0),23),""))</f>
        <v/>
      </c>
      <c r="Q690" s="73" t="str">
        <f>IF(ISBLANK(C690),"",_xlfn.IFNA(INDEX(inbound_data[],MATCH(Outbound_data[[#This Row],[STOCK CODE OUT]],Generated_Stockcode,0),13),""))</f>
        <v/>
      </c>
    </row>
    <row r="691" spans="2:17" x14ac:dyDescent="0.25">
      <c r="B691" s="71"/>
      <c r="C691" s="65"/>
      <c r="D691" s="55"/>
      <c r="E691" s="65"/>
      <c r="F691" s="166"/>
      <c r="G691" s="167"/>
      <c r="H691" s="166"/>
      <c r="I691" s="72"/>
      <c r="J691" s="55"/>
      <c r="K691" s="72"/>
      <c r="L691" s="55"/>
      <c r="M691" s="174"/>
      <c r="N691" s="73" t="str">
        <f>IF(ISBLANK(C691),"",_xlfn.IFNA(INDEX(inbound_data[],MATCH(Outbound_data[[#This Row],[STOCK CODE OUT]],Generated_Stockcode,0),10),""))</f>
        <v/>
      </c>
      <c r="O691" s="73" t="str">
        <f>IF(ISBLANK(C691),"",_xlfn.IFNA(INDEX(inbound_data[],MATCH(Outbound_data[[#This Row],[STOCK CODE OUT]],Generated_Stockcode,0),12),""))</f>
        <v/>
      </c>
      <c r="P691" s="73" t="str">
        <f>IF(ISBLANK(C691),"",_xlfn.IFNA(INDEX(inbound_data[],MATCH(Outbound_data[[#This Row],[STOCK CODE OUT]],Generated_Stockcode,0),23),""))</f>
        <v/>
      </c>
      <c r="Q691" s="73" t="str">
        <f>IF(ISBLANK(C691),"",_xlfn.IFNA(INDEX(inbound_data[],MATCH(Outbound_data[[#This Row],[STOCK CODE OUT]],Generated_Stockcode,0),13),""))</f>
        <v/>
      </c>
    </row>
    <row r="692" spans="2:17" x14ac:dyDescent="0.25">
      <c r="B692" s="71"/>
      <c r="C692" s="65"/>
      <c r="D692" s="55"/>
      <c r="E692" s="65"/>
      <c r="F692" s="166"/>
      <c r="G692" s="167"/>
      <c r="H692" s="166"/>
      <c r="I692" s="72"/>
      <c r="J692" s="55"/>
      <c r="K692" s="72"/>
      <c r="L692" s="55"/>
      <c r="M692" s="174"/>
      <c r="N692" s="73" t="str">
        <f>IF(ISBLANK(C692),"",_xlfn.IFNA(INDEX(inbound_data[],MATCH(Outbound_data[[#This Row],[STOCK CODE OUT]],Generated_Stockcode,0),10),""))</f>
        <v/>
      </c>
      <c r="O692" s="73" t="str">
        <f>IF(ISBLANK(C692),"",_xlfn.IFNA(INDEX(inbound_data[],MATCH(Outbound_data[[#This Row],[STOCK CODE OUT]],Generated_Stockcode,0),12),""))</f>
        <v/>
      </c>
      <c r="P692" s="73" t="str">
        <f>IF(ISBLANK(C692),"",_xlfn.IFNA(INDEX(inbound_data[],MATCH(Outbound_data[[#This Row],[STOCK CODE OUT]],Generated_Stockcode,0),23),""))</f>
        <v/>
      </c>
      <c r="Q692" s="73" t="str">
        <f>IF(ISBLANK(C692),"",_xlfn.IFNA(INDEX(inbound_data[],MATCH(Outbound_data[[#This Row],[STOCK CODE OUT]],Generated_Stockcode,0),13),""))</f>
        <v/>
      </c>
    </row>
    <row r="693" spans="2:17" x14ac:dyDescent="0.25">
      <c r="B693" s="71"/>
      <c r="C693" s="65"/>
      <c r="D693" s="55"/>
      <c r="E693" s="65"/>
      <c r="F693" s="166"/>
      <c r="G693" s="167"/>
      <c r="H693" s="166"/>
      <c r="I693" s="72"/>
      <c r="J693" s="55"/>
      <c r="K693" s="72"/>
      <c r="L693" s="55"/>
      <c r="M693" s="174"/>
      <c r="N693" s="73" t="str">
        <f>IF(ISBLANK(C693),"",_xlfn.IFNA(INDEX(inbound_data[],MATCH(Outbound_data[[#This Row],[STOCK CODE OUT]],Generated_Stockcode,0),10),""))</f>
        <v/>
      </c>
      <c r="O693" s="73" t="str">
        <f>IF(ISBLANK(C693),"",_xlfn.IFNA(INDEX(inbound_data[],MATCH(Outbound_data[[#This Row],[STOCK CODE OUT]],Generated_Stockcode,0),12),""))</f>
        <v/>
      </c>
      <c r="P693" s="73" t="str">
        <f>IF(ISBLANK(C693),"",_xlfn.IFNA(INDEX(inbound_data[],MATCH(Outbound_data[[#This Row],[STOCK CODE OUT]],Generated_Stockcode,0),23),""))</f>
        <v/>
      </c>
      <c r="Q693" s="73" t="str">
        <f>IF(ISBLANK(C693),"",_xlfn.IFNA(INDEX(inbound_data[],MATCH(Outbound_data[[#This Row],[STOCK CODE OUT]],Generated_Stockcode,0),13),""))</f>
        <v/>
      </c>
    </row>
    <row r="694" spans="2:17" x14ac:dyDescent="0.25">
      <c r="B694" s="71"/>
      <c r="C694" s="65"/>
      <c r="D694" s="55"/>
      <c r="E694" s="65"/>
      <c r="F694" s="166"/>
      <c r="G694" s="167"/>
      <c r="H694" s="166"/>
      <c r="I694" s="72"/>
      <c r="J694" s="55"/>
      <c r="K694" s="72"/>
      <c r="L694" s="55"/>
      <c r="M694" s="174"/>
      <c r="N694" s="73" t="str">
        <f>IF(ISBLANK(C694),"",_xlfn.IFNA(INDEX(inbound_data[],MATCH(Outbound_data[[#This Row],[STOCK CODE OUT]],Generated_Stockcode,0),10),""))</f>
        <v/>
      </c>
      <c r="O694" s="73" t="str">
        <f>IF(ISBLANK(C694),"",_xlfn.IFNA(INDEX(inbound_data[],MATCH(Outbound_data[[#This Row],[STOCK CODE OUT]],Generated_Stockcode,0),12),""))</f>
        <v/>
      </c>
      <c r="P694" s="73" t="str">
        <f>IF(ISBLANK(C694),"",_xlfn.IFNA(INDEX(inbound_data[],MATCH(Outbound_data[[#This Row],[STOCK CODE OUT]],Generated_Stockcode,0),23),""))</f>
        <v/>
      </c>
      <c r="Q694" s="73" t="str">
        <f>IF(ISBLANK(C694),"",_xlfn.IFNA(INDEX(inbound_data[],MATCH(Outbound_data[[#This Row],[STOCK CODE OUT]],Generated_Stockcode,0),13),""))</f>
        <v/>
      </c>
    </row>
    <row r="695" spans="2:17" x14ac:dyDescent="0.25">
      <c r="B695" s="71"/>
      <c r="C695" s="65"/>
      <c r="D695" s="55"/>
      <c r="E695" s="65"/>
      <c r="F695" s="166"/>
      <c r="G695" s="167"/>
      <c r="H695" s="166"/>
      <c r="I695" s="72"/>
      <c r="J695" s="55"/>
      <c r="K695" s="72"/>
      <c r="L695" s="55"/>
      <c r="M695" s="174"/>
      <c r="N695" s="73" t="str">
        <f>IF(ISBLANK(C695),"",_xlfn.IFNA(INDEX(inbound_data[],MATCH(Outbound_data[[#This Row],[STOCK CODE OUT]],Generated_Stockcode,0),10),""))</f>
        <v/>
      </c>
      <c r="O695" s="73" t="str">
        <f>IF(ISBLANK(C695),"",_xlfn.IFNA(INDEX(inbound_data[],MATCH(Outbound_data[[#This Row],[STOCK CODE OUT]],Generated_Stockcode,0),12),""))</f>
        <v/>
      </c>
      <c r="P695" s="73" t="str">
        <f>IF(ISBLANK(C695),"",_xlfn.IFNA(INDEX(inbound_data[],MATCH(Outbound_data[[#This Row],[STOCK CODE OUT]],Generated_Stockcode,0),23),""))</f>
        <v/>
      </c>
      <c r="Q695" s="73" t="str">
        <f>IF(ISBLANK(C695),"",_xlfn.IFNA(INDEX(inbound_data[],MATCH(Outbound_data[[#This Row],[STOCK CODE OUT]],Generated_Stockcode,0),13),""))</f>
        <v/>
      </c>
    </row>
    <row r="696" spans="2:17" x14ac:dyDescent="0.25">
      <c r="B696" s="71"/>
      <c r="C696" s="65"/>
      <c r="D696" s="55"/>
      <c r="E696" s="65"/>
      <c r="F696" s="166"/>
      <c r="G696" s="167"/>
      <c r="H696" s="166"/>
      <c r="I696" s="72"/>
      <c r="J696" s="55"/>
      <c r="K696" s="72"/>
      <c r="L696" s="55"/>
      <c r="M696" s="174"/>
      <c r="N696" s="73" t="str">
        <f>IF(ISBLANK(C696),"",_xlfn.IFNA(INDEX(inbound_data[],MATCH(Outbound_data[[#This Row],[STOCK CODE OUT]],Generated_Stockcode,0),10),""))</f>
        <v/>
      </c>
      <c r="O696" s="73" t="str">
        <f>IF(ISBLANK(C696),"",_xlfn.IFNA(INDEX(inbound_data[],MATCH(Outbound_data[[#This Row],[STOCK CODE OUT]],Generated_Stockcode,0),12),""))</f>
        <v/>
      </c>
      <c r="P696" s="73" t="str">
        <f>IF(ISBLANK(C696),"",_xlfn.IFNA(INDEX(inbound_data[],MATCH(Outbound_data[[#This Row],[STOCK CODE OUT]],Generated_Stockcode,0),23),""))</f>
        <v/>
      </c>
      <c r="Q696" s="73" t="str">
        <f>IF(ISBLANK(C696),"",_xlfn.IFNA(INDEX(inbound_data[],MATCH(Outbound_data[[#This Row],[STOCK CODE OUT]],Generated_Stockcode,0),13),""))</f>
        <v/>
      </c>
    </row>
    <row r="697" spans="2:17" x14ac:dyDescent="0.25">
      <c r="B697" s="71"/>
      <c r="C697" s="65"/>
      <c r="D697" s="55"/>
      <c r="E697" s="65"/>
      <c r="F697" s="166"/>
      <c r="G697" s="167"/>
      <c r="H697" s="166"/>
      <c r="I697" s="72"/>
      <c r="J697" s="55"/>
      <c r="K697" s="72"/>
      <c r="L697" s="55"/>
      <c r="M697" s="174"/>
      <c r="N697" s="73" t="str">
        <f>IF(ISBLANK(C697),"",_xlfn.IFNA(INDEX(inbound_data[],MATCH(Outbound_data[[#This Row],[STOCK CODE OUT]],Generated_Stockcode,0),10),""))</f>
        <v/>
      </c>
      <c r="O697" s="73" t="str">
        <f>IF(ISBLANK(C697),"",_xlfn.IFNA(INDEX(inbound_data[],MATCH(Outbound_data[[#This Row],[STOCK CODE OUT]],Generated_Stockcode,0),12),""))</f>
        <v/>
      </c>
      <c r="P697" s="73" t="str">
        <f>IF(ISBLANK(C697),"",_xlfn.IFNA(INDEX(inbound_data[],MATCH(Outbound_data[[#This Row],[STOCK CODE OUT]],Generated_Stockcode,0),23),""))</f>
        <v/>
      </c>
      <c r="Q697" s="73" t="str">
        <f>IF(ISBLANK(C697),"",_xlfn.IFNA(INDEX(inbound_data[],MATCH(Outbound_data[[#This Row],[STOCK CODE OUT]],Generated_Stockcode,0),13),""))</f>
        <v/>
      </c>
    </row>
    <row r="698" spans="2:17" x14ac:dyDescent="0.25">
      <c r="B698" s="71"/>
      <c r="C698" s="65"/>
      <c r="D698" s="55"/>
      <c r="E698" s="65"/>
      <c r="F698" s="166"/>
      <c r="G698" s="167"/>
      <c r="H698" s="166"/>
      <c r="I698" s="72"/>
      <c r="J698" s="55"/>
      <c r="K698" s="72"/>
      <c r="L698" s="55"/>
      <c r="M698" s="174"/>
      <c r="N698" s="73" t="str">
        <f>IF(ISBLANK(C698),"",_xlfn.IFNA(INDEX(inbound_data[],MATCH(Outbound_data[[#This Row],[STOCK CODE OUT]],Generated_Stockcode,0),10),""))</f>
        <v/>
      </c>
      <c r="O698" s="73" t="str">
        <f>IF(ISBLANK(C698),"",_xlfn.IFNA(INDEX(inbound_data[],MATCH(Outbound_data[[#This Row],[STOCK CODE OUT]],Generated_Stockcode,0),12),""))</f>
        <v/>
      </c>
      <c r="P698" s="73" t="str">
        <f>IF(ISBLANK(C698),"",_xlfn.IFNA(INDEX(inbound_data[],MATCH(Outbound_data[[#This Row],[STOCK CODE OUT]],Generated_Stockcode,0),23),""))</f>
        <v/>
      </c>
      <c r="Q698" s="73" t="str">
        <f>IF(ISBLANK(C698),"",_xlfn.IFNA(INDEX(inbound_data[],MATCH(Outbound_data[[#This Row],[STOCK CODE OUT]],Generated_Stockcode,0),13),""))</f>
        <v/>
      </c>
    </row>
    <row r="699" spans="2:17" x14ac:dyDescent="0.25">
      <c r="B699" s="71"/>
      <c r="C699" s="65"/>
      <c r="D699" s="55"/>
      <c r="E699" s="65"/>
      <c r="F699" s="166"/>
      <c r="G699" s="167"/>
      <c r="H699" s="166"/>
      <c r="I699" s="72"/>
      <c r="J699" s="55"/>
      <c r="K699" s="72"/>
      <c r="L699" s="55"/>
      <c r="M699" s="174"/>
      <c r="N699" s="73" t="str">
        <f>IF(ISBLANK(C699),"",_xlfn.IFNA(INDEX(inbound_data[],MATCH(Outbound_data[[#This Row],[STOCK CODE OUT]],Generated_Stockcode,0),10),""))</f>
        <v/>
      </c>
      <c r="O699" s="73" t="str">
        <f>IF(ISBLANK(C699),"",_xlfn.IFNA(INDEX(inbound_data[],MATCH(Outbound_data[[#This Row],[STOCK CODE OUT]],Generated_Stockcode,0),12),""))</f>
        <v/>
      </c>
      <c r="P699" s="73" t="str">
        <f>IF(ISBLANK(C699),"",_xlfn.IFNA(INDEX(inbound_data[],MATCH(Outbound_data[[#This Row],[STOCK CODE OUT]],Generated_Stockcode,0),23),""))</f>
        <v/>
      </c>
      <c r="Q699" s="73" t="str">
        <f>IF(ISBLANK(C699),"",_xlfn.IFNA(INDEX(inbound_data[],MATCH(Outbound_data[[#This Row],[STOCK CODE OUT]],Generated_Stockcode,0),13),""))</f>
        <v/>
      </c>
    </row>
    <row r="700" spans="2:17" x14ac:dyDescent="0.25">
      <c r="B700" s="71"/>
      <c r="C700" s="65"/>
      <c r="D700" s="55"/>
      <c r="E700" s="65"/>
      <c r="F700" s="166"/>
      <c r="G700" s="167"/>
      <c r="H700" s="166"/>
      <c r="I700" s="72"/>
      <c r="J700" s="55"/>
      <c r="K700" s="72"/>
      <c r="L700" s="55"/>
      <c r="M700" s="174"/>
      <c r="N700" s="73" t="str">
        <f>IF(ISBLANK(C700),"",_xlfn.IFNA(INDEX(inbound_data[],MATCH(Outbound_data[[#This Row],[STOCK CODE OUT]],Generated_Stockcode,0),10),""))</f>
        <v/>
      </c>
      <c r="O700" s="73" t="str">
        <f>IF(ISBLANK(C700),"",_xlfn.IFNA(INDEX(inbound_data[],MATCH(Outbound_data[[#This Row],[STOCK CODE OUT]],Generated_Stockcode,0),12),""))</f>
        <v/>
      </c>
      <c r="P700" s="73" t="str">
        <f>IF(ISBLANK(C700),"",_xlfn.IFNA(INDEX(inbound_data[],MATCH(Outbound_data[[#This Row],[STOCK CODE OUT]],Generated_Stockcode,0),23),""))</f>
        <v/>
      </c>
      <c r="Q700" s="73" t="str">
        <f>IF(ISBLANK(C700),"",_xlfn.IFNA(INDEX(inbound_data[],MATCH(Outbound_data[[#This Row],[STOCK CODE OUT]],Generated_Stockcode,0),13),""))</f>
        <v/>
      </c>
    </row>
    <row r="701" spans="2:17" x14ac:dyDescent="0.25">
      <c r="B701" s="71"/>
      <c r="C701" s="65"/>
      <c r="D701" s="55"/>
      <c r="E701" s="65"/>
      <c r="F701" s="166"/>
      <c r="G701" s="167"/>
      <c r="H701" s="166"/>
      <c r="I701" s="72"/>
      <c r="J701" s="55"/>
      <c r="K701" s="72"/>
      <c r="L701" s="55"/>
      <c r="M701" s="174"/>
      <c r="N701" s="73" t="str">
        <f>IF(ISBLANK(C701),"",_xlfn.IFNA(INDEX(inbound_data[],MATCH(Outbound_data[[#This Row],[STOCK CODE OUT]],Generated_Stockcode,0),10),""))</f>
        <v/>
      </c>
      <c r="O701" s="73" t="str">
        <f>IF(ISBLANK(C701),"",_xlfn.IFNA(INDEX(inbound_data[],MATCH(Outbound_data[[#This Row],[STOCK CODE OUT]],Generated_Stockcode,0),12),""))</f>
        <v/>
      </c>
      <c r="P701" s="73" t="str">
        <f>IF(ISBLANK(C701),"",_xlfn.IFNA(INDEX(inbound_data[],MATCH(Outbound_data[[#This Row],[STOCK CODE OUT]],Generated_Stockcode,0),23),""))</f>
        <v/>
      </c>
      <c r="Q701" s="73" t="str">
        <f>IF(ISBLANK(C701),"",_xlfn.IFNA(INDEX(inbound_data[],MATCH(Outbound_data[[#This Row],[STOCK CODE OUT]],Generated_Stockcode,0),13),""))</f>
        <v/>
      </c>
    </row>
    <row r="702" spans="2:17" x14ac:dyDescent="0.25">
      <c r="B702" s="71"/>
      <c r="C702" s="65"/>
      <c r="D702" s="55"/>
      <c r="E702" s="65"/>
      <c r="F702" s="166"/>
      <c r="G702" s="167"/>
      <c r="H702" s="166"/>
      <c r="I702" s="72"/>
      <c r="J702" s="55"/>
      <c r="K702" s="72"/>
      <c r="L702" s="55"/>
      <c r="M702" s="174"/>
      <c r="N702" s="73" t="str">
        <f>IF(ISBLANK(C702),"",_xlfn.IFNA(INDEX(inbound_data[],MATCH(Outbound_data[[#This Row],[STOCK CODE OUT]],Generated_Stockcode,0),10),""))</f>
        <v/>
      </c>
      <c r="O702" s="73" t="str">
        <f>IF(ISBLANK(C702),"",_xlfn.IFNA(INDEX(inbound_data[],MATCH(Outbound_data[[#This Row],[STOCK CODE OUT]],Generated_Stockcode,0),12),""))</f>
        <v/>
      </c>
      <c r="P702" s="73" t="str">
        <f>IF(ISBLANK(C702),"",_xlfn.IFNA(INDEX(inbound_data[],MATCH(Outbound_data[[#This Row],[STOCK CODE OUT]],Generated_Stockcode,0),23),""))</f>
        <v/>
      </c>
      <c r="Q702" s="73" t="str">
        <f>IF(ISBLANK(C702),"",_xlfn.IFNA(INDEX(inbound_data[],MATCH(Outbound_data[[#This Row],[STOCK CODE OUT]],Generated_Stockcode,0),13),""))</f>
        <v/>
      </c>
    </row>
    <row r="703" spans="2:17" x14ac:dyDescent="0.25">
      <c r="B703" s="71"/>
      <c r="C703" s="65"/>
      <c r="D703" s="55"/>
      <c r="E703" s="65"/>
      <c r="F703" s="166"/>
      <c r="G703" s="167"/>
      <c r="H703" s="166"/>
      <c r="I703" s="72"/>
      <c r="J703" s="55"/>
      <c r="K703" s="72"/>
      <c r="L703" s="55"/>
      <c r="M703" s="174"/>
      <c r="N703" s="73" t="str">
        <f>IF(ISBLANK(C703),"",_xlfn.IFNA(INDEX(inbound_data[],MATCH(Outbound_data[[#This Row],[STOCK CODE OUT]],Generated_Stockcode,0),10),""))</f>
        <v/>
      </c>
      <c r="O703" s="73" t="str">
        <f>IF(ISBLANK(C703),"",_xlfn.IFNA(INDEX(inbound_data[],MATCH(Outbound_data[[#This Row],[STOCK CODE OUT]],Generated_Stockcode,0),12),""))</f>
        <v/>
      </c>
      <c r="P703" s="73" t="str">
        <f>IF(ISBLANK(C703),"",_xlfn.IFNA(INDEX(inbound_data[],MATCH(Outbound_data[[#This Row],[STOCK CODE OUT]],Generated_Stockcode,0),23),""))</f>
        <v/>
      </c>
      <c r="Q703" s="73" t="str">
        <f>IF(ISBLANK(C703),"",_xlfn.IFNA(INDEX(inbound_data[],MATCH(Outbound_data[[#This Row],[STOCK CODE OUT]],Generated_Stockcode,0),13),""))</f>
        <v/>
      </c>
    </row>
    <row r="704" spans="2:17" x14ac:dyDescent="0.25">
      <c r="B704" s="71"/>
      <c r="C704" s="65"/>
      <c r="D704" s="55"/>
      <c r="E704" s="65"/>
      <c r="F704" s="166"/>
      <c r="G704" s="167"/>
      <c r="H704" s="166"/>
      <c r="I704" s="72"/>
      <c r="J704" s="55"/>
      <c r="K704" s="72"/>
      <c r="L704" s="55"/>
      <c r="M704" s="174"/>
      <c r="N704" s="73" t="str">
        <f>IF(ISBLANK(C704),"",_xlfn.IFNA(INDEX(inbound_data[],MATCH(Outbound_data[[#This Row],[STOCK CODE OUT]],Generated_Stockcode,0),10),""))</f>
        <v/>
      </c>
      <c r="O704" s="73" t="str">
        <f>IF(ISBLANK(C704),"",_xlfn.IFNA(INDEX(inbound_data[],MATCH(Outbound_data[[#This Row],[STOCK CODE OUT]],Generated_Stockcode,0),12),""))</f>
        <v/>
      </c>
      <c r="P704" s="73" t="str">
        <f>IF(ISBLANK(C704),"",_xlfn.IFNA(INDEX(inbound_data[],MATCH(Outbound_data[[#This Row],[STOCK CODE OUT]],Generated_Stockcode,0),23),""))</f>
        <v/>
      </c>
      <c r="Q704" s="73" t="str">
        <f>IF(ISBLANK(C704),"",_xlfn.IFNA(INDEX(inbound_data[],MATCH(Outbound_data[[#This Row],[STOCK CODE OUT]],Generated_Stockcode,0),13),""))</f>
        <v/>
      </c>
    </row>
    <row r="705" spans="2:17" x14ac:dyDescent="0.25">
      <c r="B705" s="71"/>
      <c r="C705" s="65"/>
      <c r="D705" s="55"/>
      <c r="E705" s="65"/>
      <c r="F705" s="166"/>
      <c r="G705" s="167"/>
      <c r="H705" s="166"/>
      <c r="I705" s="72"/>
      <c r="J705" s="55"/>
      <c r="K705" s="72"/>
      <c r="L705" s="55"/>
      <c r="M705" s="174"/>
      <c r="N705" s="73" t="str">
        <f>IF(ISBLANK(C705),"",_xlfn.IFNA(INDEX(inbound_data[],MATCH(Outbound_data[[#This Row],[STOCK CODE OUT]],Generated_Stockcode,0),10),""))</f>
        <v/>
      </c>
      <c r="O705" s="73" t="str">
        <f>IF(ISBLANK(C705),"",_xlfn.IFNA(INDEX(inbound_data[],MATCH(Outbound_data[[#This Row],[STOCK CODE OUT]],Generated_Stockcode,0),12),""))</f>
        <v/>
      </c>
      <c r="P705" s="73" t="str">
        <f>IF(ISBLANK(C705),"",_xlfn.IFNA(INDEX(inbound_data[],MATCH(Outbound_data[[#This Row],[STOCK CODE OUT]],Generated_Stockcode,0),23),""))</f>
        <v/>
      </c>
      <c r="Q705" s="73" t="str">
        <f>IF(ISBLANK(C705),"",_xlfn.IFNA(INDEX(inbound_data[],MATCH(Outbound_data[[#This Row],[STOCK CODE OUT]],Generated_Stockcode,0),13),""))</f>
        <v/>
      </c>
    </row>
    <row r="706" spans="2:17" x14ac:dyDescent="0.25">
      <c r="B706" s="71"/>
      <c r="C706" s="65"/>
      <c r="D706" s="55"/>
      <c r="E706" s="65"/>
      <c r="F706" s="166"/>
      <c r="G706" s="167"/>
      <c r="H706" s="166"/>
      <c r="I706" s="72"/>
      <c r="J706" s="55"/>
      <c r="K706" s="72"/>
      <c r="L706" s="55"/>
      <c r="M706" s="174"/>
      <c r="N706" s="73" t="str">
        <f>IF(ISBLANK(C706),"",_xlfn.IFNA(INDEX(inbound_data[],MATCH(Outbound_data[[#This Row],[STOCK CODE OUT]],Generated_Stockcode,0),10),""))</f>
        <v/>
      </c>
      <c r="O706" s="73" t="str">
        <f>IF(ISBLANK(C706),"",_xlfn.IFNA(INDEX(inbound_data[],MATCH(Outbound_data[[#This Row],[STOCK CODE OUT]],Generated_Stockcode,0),12),""))</f>
        <v/>
      </c>
      <c r="P706" s="73" t="str">
        <f>IF(ISBLANK(C706),"",_xlfn.IFNA(INDEX(inbound_data[],MATCH(Outbound_data[[#This Row],[STOCK CODE OUT]],Generated_Stockcode,0),23),""))</f>
        <v/>
      </c>
      <c r="Q706" s="73" t="str">
        <f>IF(ISBLANK(C706),"",_xlfn.IFNA(INDEX(inbound_data[],MATCH(Outbound_data[[#This Row],[STOCK CODE OUT]],Generated_Stockcode,0),13),""))</f>
        <v/>
      </c>
    </row>
    <row r="707" spans="2:17" x14ac:dyDescent="0.25">
      <c r="B707" s="71"/>
      <c r="C707" s="65"/>
      <c r="D707" s="55"/>
      <c r="E707" s="65"/>
      <c r="F707" s="166"/>
      <c r="G707" s="167"/>
      <c r="H707" s="166"/>
      <c r="I707" s="72"/>
      <c r="J707" s="55"/>
      <c r="K707" s="72"/>
      <c r="L707" s="55"/>
      <c r="M707" s="174"/>
      <c r="N707" s="73" t="str">
        <f>IF(ISBLANK(C707),"",_xlfn.IFNA(INDEX(inbound_data[],MATCH(Outbound_data[[#This Row],[STOCK CODE OUT]],Generated_Stockcode,0),10),""))</f>
        <v/>
      </c>
      <c r="O707" s="73" t="str">
        <f>IF(ISBLANK(C707),"",_xlfn.IFNA(INDEX(inbound_data[],MATCH(Outbound_data[[#This Row],[STOCK CODE OUT]],Generated_Stockcode,0),12),""))</f>
        <v/>
      </c>
      <c r="P707" s="73" t="str">
        <f>IF(ISBLANK(C707),"",_xlfn.IFNA(INDEX(inbound_data[],MATCH(Outbound_data[[#This Row],[STOCK CODE OUT]],Generated_Stockcode,0),23),""))</f>
        <v/>
      </c>
      <c r="Q707" s="73" t="str">
        <f>IF(ISBLANK(C707),"",_xlfn.IFNA(INDEX(inbound_data[],MATCH(Outbound_data[[#This Row],[STOCK CODE OUT]],Generated_Stockcode,0),13),""))</f>
        <v/>
      </c>
    </row>
    <row r="708" spans="2:17" x14ac:dyDescent="0.25">
      <c r="B708" s="71"/>
      <c r="C708" s="65"/>
      <c r="D708" s="55"/>
      <c r="E708" s="65"/>
      <c r="F708" s="166"/>
      <c r="G708" s="167"/>
      <c r="H708" s="166"/>
      <c r="I708" s="72"/>
      <c r="J708" s="55"/>
      <c r="K708" s="72"/>
      <c r="L708" s="55"/>
      <c r="M708" s="174"/>
      <c r="N708" s="73" t="str">
        <f>IF(ISBLANK(C708),"",_xlfn.IFNA(INDEX(inbound_data[],MATCH(Outbound_data[[#This Row],[STOCK CODE OUT]],Generated_Stockcode,0),10),""))</f>
        <v/>
      </c>
      <c r="O708" s="73" t="str">
        <f>IF(ISBLANK(C708),"",_xlfn.IFNA(INDEX(inbound_data[],MATCH(Outbound_data[[#This Row],[STOCK CODE OUT]],Generated_Stockcode,0),12),""))</f>
        <v/>
      </c>
      <c r="P708" s="73" t="str">
        <f>IF(ISBLANK(C708),"",_xlfn.IFNA(INDEX(inbound_data[],MATCH(Outbound_data[[#This Row],[STOCK CODE OUT]],Generated_Stockcode,0),23),""))</f>
        <v/>
      </c>
      <c r="Q708" s="73" t="str">
        <f>IF(ISBLANK(C708),"",_xlfn.IFNA(INDEX(inbound_data[],MATCH(Outbound_data[[#This Row],[STOCK CODE OUT]],Generated_Stockcode,0),13),""))</f>
        <v/>
      </c>
    </row>
    <row r="709" spans="2:17" x14ac:dyDescent="0.25">
      <c r="B709" s="71"/>
      <c r="C709" s="65"/>
      <c r="D709" s="55"/>
      <c r="E709" s="65"/>
      <c r="F709" s="166"/>
      <c r="G709" s="167"/>
      <c r="H709" s="166"/>
      <c r="I709" s="72"/>
      <c r="J709" s="55"/>
      <c r="K709" s="72"/>
      <c r="L709" s="55"/>
      <c r="M709" s="174"/>
      <c r="N709" s="73" t="str">
        <f>IF(ISBLANK(C709),"",_xlfn.IFNA(INDEX(inbound_data[],MATCH(Outbound_data[[#This Row],[STOCK CODE OUT]],Generated_Stockcode,0),10),""))</f>
        <v/>
      </c>
      <c r="O709" s="73" t="str">
        <f>IF(ISBLANK(C709),"",_xlfn.IFNA(INDEX(inbound_data[],MATCH(Outbound_data[[#This Row],[STOCK CODE OUT]],Generated_Stockcode,0),12),""))</f>
        <v/>
      </c>
      <c r="P709" s="73" t="str">
        <f>IF(ISBLANK(C709),"",_xlfn.IFNA(INDEX(inbound_data[],MATCH(Outbound_data[[#This Row],[STOCK CODE OUT]],Generated_Stockcode,0),23),""))</f>
        <v/>
      </c>
      <c r="Q709" s="73" t="str">
        <f>IF(ISBLANK(C709),"",_xlfn.IFNA(INDEX(inbound_data[],MATCH(Outbound_data[[#This Row],[STOCK CODE OUT]],Generated_Stockcode,0),13),""))</f>
        <v/>
      </c>
    </row>
    <row r="710" spans="2:17" x14ac:dyDescent="0.25">
      <c r="B710" s="71"/>
      <c r="C710" s="65"/>
      <c r="D710" s="55"/>
      <c r="E710" s="65"/>
      <c r="F710" s="166"/>
      <c r="G710" s="167"/>
      <c r="H710" s="166"/>
      <c r="I710" s="72"/>
      <c r="J710" s="55"/>
      <c r="K710" s="72"/>
      <c r="L710" s="55"/>
      <c r="M710" s="174"/>
      <c r="N710" s="73" t="str">
        <f>IF(ISBLANK(C710),"",_xlfn.IFNA(INDEX(inbound_data[],MATCH(Outbound_data[[#This Row],[STOCK CODE OUT]],Generated_Stockcode,0),10),""))</f>
        <v/>
      </c>
      <c r="O710" s="73" t="str">
        <f>IF(ISBLANK(C710),"",_xlfn.IFNA(INDEX(inbound_data[],MATCH(Outbound_data[[#This Row],[STOCK CODE OUT]],Generated_Stockcode,0),12),""))</f>
        <v/>
      </c>
      <c r="P710" s="73" t="str">
        <f>IF(ISBLANK(C710),"",_xlfn.IFNA(INDEX(inbound_data[],MATCH(Outbound_data[[#This Row],[STOCK CODE OUT]],Generated_Stockcode,0),23),""))</f>
        <v/>
      </c>
      <c r="Q710" s="73" t="str">
        <f>IF(ISBLANK(C710),"",_xlfn.IFNA(INDEX(inbound_data[],MATCH(Outbound_data[[#This Row],[STOCK CODE OUT]],Generated_Stockcode,0),13),""))</f>
        <v/>
      </c>
    </row>
    <row r="711" spans="2:17" x14ac:dyDescent="0.25">
      <c r="B711" s="71"/>
      <c r="C711" s="65"/>
      <c r="D711" s="55"/>
      <c r="E711" s="65"/>
      <c r="F711" s="166"/>
      <c r="G711" s="167"/>
      <c r="H711" s="166"/>
      <c r="I711" s="72"/>
      <c r="J711" s="55"/>
      <c r="K711" s="72"/>
      <c r="L711" s="55"/>
      <c r="M711" s="174"/>
      <c r="N711" s="73" t="str">
        <f>IF(ISBLANK(C711),"",_xlfn.IFNA(INDEX(inbound_data[],MATCH(Outbound_data[[#This Row],[STOCK CODE OUT]],Generated_Stockcode,0),10),""))</f>
        <v/>
      </c>
      <c r="O711" s="73" t="str">
        <f>IF(ISBLANK(C711),"",_xlfn.IFNA(INDEX(inbound_data[],MATCH(Outbound_data[[#This Row],[STOCK CODE OUT]],Generated_Stockcode,0),12),""))</f>
        <v/>
      </c>
      <c r="P711" s="73" t="str">
        <f>IF(ISBLANK(C711),"",_xlfn.IFNA(INDEX(inbound_data[],MATCH(Outbound_data[[#This Row],[STOCK CODE OUT]],Generated_Stockcode,0),23),""))</f>
        <v/>
      </c>
      <c r="Q711" s="73" t="str">
        <f>IF(ISBLANK(C711),"",_xlfn.IFNA(INDEX(inbound_data[],MATCH(Outbound_data[[#This Row],[STOCK CODE OUT]],Generated_Stockcode,0),13),""))</f>
        <v/>
      </c>
    </row>
    <row r="712" spans="2:17" x14ac:dyDescent="0.25">
      <c r="B712" s="71"/>
      <c r="C712" s="65"/>
      <c r="D712" s="55"/>
      <c r="E712" s="65"/>
      <c r="F712" s="166"/>
      <c r="G712" s="167"/>
      <c r="H712" s="166"/>
      <c r="I712" s="72"/>
      <c r="J712" s="55"/>
      <c r="K712" s="72"/>
      <c r="L712" s="55"/>
      <c r="M712" s="174"/>
      <c r="N712" s="73" t="str">
        <f>IF(ISBLANK(C712),"",_xlfn.IFNA(INDEX(inbound_data[],MATCH(Outbound_data[[#This Row],[STOCK CODE OUT]],Generated_Stockcode,0),10),""))</f>
        <v/>
      </c>
      <c r="O712" s="73" t="str">
        <f>IF(ISBLANK(C712),"",_xlfn.IFNA(INDEX(inbound_data[],MATCH(Outbound_data[[#This Row],[STOCK CODE OUT]],Generated_Stockcode,0),12),""))</f>
        <v/>
      </c>
      <c r="P712" s="73" t="str">
        <f>IF(ISBLANK(C712),"",_xlfn.IFNA(INDEX(inbound_data[],MATCH(Outbound_data[[#This Row],[STOCK CODE OUT]],Generated_Stockcode,0),23),""))</f>
        <v/>
      </c>
      <c r="Q712" s="73" t="str">
        <f>IF(ISBLANK(C712),"",_xlfn.IFNA(INDEX(inbound_data[],MATCH(Outbound_data[[#This Row],[STOCK CODE OUT]],Generated_Stockcode,0),13),""))</f>
        <v/>
      </c>
    </row>
    <row r="713" spans="2:17" x14ac:dyDescent="0.25">
      <c r="B713" s="71"/>
      <c r="C713" s="65"/>
      <c r="D713" s="55"/>
      <c r="E713" s="65"/>
      <c r="F713" s="166"/>
      <c r="G713" s="167"/>
      <c r="H713" s="166"/>
      <c r="I713" s="72"/>
      <c r="J713" s="55"/>
      <c r="K713" s="72"/>
      <c r="L713" s="55"/>
      <c r="M713" s="174"/>
      <c r="N713" s="73" t="str">
        <f>IF(ISBLANK(C713),"",_xlfn.IFNA(INDEX(inbound_data[],MATCH(Outbound_data[[#This Row],[STOCK CODE OUT]],Generated_Stockcode,0),10),""))</f>
        <v/>
      </c>
      <c r="O713" s="73" t="str">
        <f>IF(ISBLANK(C713),"",_xlfn.IFNA(INDEX(inbound_data[],MATCH(Outbound_data[[#This Row],[STOCK CODE OUT]],Generated_Stockcode,0),12),""))</f>
        <v/>
      </c>
      <c r="P713" s="73" t="str">
        <f>IF(ISBLANK(C713),"",_xlfn.IFNA(INDEX(inbound_data[],MATCH(Outbound_data[[#This Row],[STOCK CODE OUT]],Generated_Stockcode,0),23),""))</f>
        <v/>
      </c>
      <c r="Q713" s="73" t="str">
        <f>IF(ISBLANK(C713),"",_xlfn.IFNA(INDEX(inbound_data[],MATCH(Outbound_data[[#This Row],[STOCK CODE OUT]],Generated_Stockcode,0),13),""))</f>
        <v/>
      </c>
    </row>
    <row r="714" spans="2:17" x14ac:dyDescent="0.25">
      <c r="B714" s="71"/>
      <c r="C714" s="65"/>
      <c r="D714" s="55"/>
      <c r="E714" s="65"/>
      <c r="F714" s="166"/>
      <c r="G714" s="167"/>
      <c r="H714" s="166"/>
      <c r="I714" s="72"/>
      <c r="J714" s="55"/>
      <c r="K714" s="72"/>
      <c r="L714" s="55"/>
      <c r="M714" s="174"/>
      <c r="N714" s="73" t="str">
        <f>IF(ISBLANK(C714),"",_xlfn.IFNA(INDEX(inbound_data[],MATCH(Outbound_data[[#This Row],[STOCK CODE OUT]],Generated_Stockcode,0),10),""))</f>
        <v/>
      </c>
      <c r="O714" s="73" t="str">
        <f>IF(ISBLANK(C714),"",_xlfn.IFNA(INDEX(inbound_data[],MATCH(Outbound_data[[#This Row],[STOCK CODE OUT]],Generated_Stockcode,0),12),""))</f>
        <v/>
      </c>
      <c r="P714" s="73" t="str">
        <f>IF(ISBLANK(C714),"",_xlfn.IFNA(INDEX(inbound_data[],MATCH(Outbound_data[[#This Row],[STOCK CODE OUT]],Generated_Stockcode,0),23),""))</f>
        <v/>
      </c>
      <c r="Q714" s="73" t="str">
        <f>IF(ISBLANK(C714),"",_xlfn.IFNA(INDEX(inbound_data[],MATCH(Outbound_data[[#This Row],[STOCK CODE OUT]],Generated_Stockcode,0),13),""))</f>
        <v/>
      </c>
    </row>
    <row r="715" spans="2:17" x14ac:dyDescent="0.25">
      <c r="B715" s="71"/>
      <c r="C715" s="65"/>
      <c r="D715" s="55"/>
      <c r="E715" s="65"/>
      <c r="F715" s="166"/>
      <c r="G715" s="167"/>
      <c r="H715" s="166"/>
      <c r="I715" s="72"/>
      <c r="J715" s="55"/>
      <c r="K715" s="72"/>
      <c r="L715" s="55"/>
      <c r="M715" s="174"/>
      <c r="N715" s="73" t="str">
        <f>IF(ISBLANK(C715),"",_xlfn.IFNA(INDEX(inbound_data[],MATCH(Outbound_data[[#This Row],[STOCK CODE OUT]],Generated_Stockcode,0),10),""))</f>
        <v/>
      </c>
      <c r="O715" s="73" t="str">
        <f>IF(ISBLANK(C715),"",_xlfn.IFNA(INDEX(inbound_data[],MATCH(Outbound_data[[#This Row],[STOCK CODE OUT]],Generated_Stockcode,0),12),""))</f>
        <v/>
      </c>
      <c r="P715" s="73" t="str">
        <f>IF(ISBLANK(C715),"",_xlfn.IFNA(INDEX(inbound_data[],MATCH(Outbound_data[[#This Row],[STOCK CODE OUT]],Generated_Stockcode,0),23),""))</f>
        <v/>
      </c>
      <c r="Q715" s="73" t="str">
        <f>IF(ISBLANK(C715),"",_xlfn.IFNA(INDEX(inbound_data[],MATCH(Outbound_data[[#This Row],[STOCK CODE OUT]],Generated_Stockcode,0),13),""))</f>
        <v/>
      </c>
    </row>
    <row r="716" spans="2:17" x14ac:dyDescent="0.25">
      <c r="B716" s="71"/>
      <c r="C716" s="65"/>
      <c r="D716" s="55"/>
      <c r="E716" s="65"/>
      <c r="F716" s="166"/>
      <c r="G716" s="167"/>
      <c r="H716" s="166"/>
      <c r="I716" s="72"/>
      <c r="J716" s="55"/>
      <c r="K716" s="72"/>
      <c r="L716" s="55"/>
      <c r="M716" s="174"/>
      <c r="N716" s="73" t="str">
        <f>IF(ISBLANK(C716),"",_xlfn.IFNA(INDEX(inbound_data[],MATCH(Outbound_data[[#This Row],[STOCK CODE OUT]],Generated_Stockcode,0),10),""))</f>
        <v/>
      </c>
      <c r="O716" s="73" t="str">
        <f>IF(ISBLANK(C716),"",_xlfn.IFNA(INDEX(inbound_data[],MATCH(Outbound_data[[#This Row],[STOCK CODE OUT]],Generated_Stockcode,0),12),""))</f>
        <v/>
      </c>
      <c r="P716" s="73" t="str">
        <f>IF(ISBLANK(C716),"",_xlfn.IFNA(INDEX(inbound_data[],MATCH(Outbound_data[[#This Row],[STOCK CODE OUT]],Generated_Stockcode,0),23),""))</f>
        <v/>
      </c>
      <c r="Q716" s="73" t="str">
        <f>IF(ISBLANK(C716),"",_xlfn.IFNA(INDEX(inbound_data[],MATCH(Outbound_data[[#This Row],[STOCK CODE OUT]],Generated_Stockcode,0),13),""))</f>
        <v/>
      </c>
    </row>
    <row r="717" spans="2:17" x14ac:dyDescent="0.25">
      <c r="B717" s="71"/>
      <c r="C717" s="65"/>
      <c r="D717" s="55"/>
      <c r="E717" s="65"/>
      <c r="F717" s="166"/>
      <c r="G717" s="167"/>
      <c r="H717" s="166"/>
      <c r="I717" s="72"/>
      <c r="J717" s="55"/>
      <c r="K717" s="72"/>
      <c r="L717" s="55"/>
      <c r="M717" s="174"/>
      <c r="N717" s="73" t="str">
        <f>IF(ISBLANK(C717),"",_xlfn.IFNA(INDEX(inbound_data[],MATCH(Outbound_data[[#This Row],[STOCK CODE OUT]],Generated_Stockcode,0),10),""))</f>
        <v/>
      </c>
      <c r="O717" s="73" t="str">
        <f>IF(ISBLANK(C717),"",_xlfn.IFNA(INDEX(inbound_data[],MATCH(Outbound_data[[#This Row],[STOCK CODE OUT]],Generated_Stockcode,0),12),""))</f>
        <v/>
      </c>
      <c r="P717" s="73" t="str">
        <f>IF(ISBLANK(C717),"",_xlfn.IFNA(INDEX(inbound_data[],MATCH(Outbound_data[[#This Row],[STOCK CODE OUT]],Generated_Stockcode,0),23),""))</f>
        <v/>
      </c>
      <c r="Q717" s="73" t="str">
        <f>IF(ISBLANK(C717),"",_xlfn.IFNA(INDEX(inbound_data[],MATCH(Outbound_data[[#This Row],[STOCK CODE OUT]],Generated_Stockcode,0),13),""))</f>
        <v/>
      </c>
    </row>
    <row r="718" spans="2:17" x14ac:dyDescent="0.25">
      <c r="B718" s="71"/>
      <c r="C718" s="65"/>
      <c r="D718" s="55"/>
      <c r="E718" s="65"/>
      <c r="F718" s="166"/>
      <c r="G718" s="167"/>
      <c r="H718" s="166"/>
      <c r="I718" s="72"/>
      <c r="J718" s="55"/>
      <c r="K718" s="72"/>
      <c r="L718" s="55"/>
      <c r="M718" s="174"/>
      <c r="N718" s="73" t="str">
        <f>IF(ISBLANK(C718),"",_xlfn.IFNA(INDEX(inbound_data[],MATCH(Outbound_data[[#This Row],[STOCK CODE OUT]],Generated_Stockcode,0),10),""))</f>
        <v/>
      </c>
      <c r="O718" s="73" t="str">
        <f>IF(ISBLANK(C718),"",_xlfn.IFNA(INDEX(inbound_data[],MATCH(Outbound_data[[#This Row],[STOCK CODE OUT]],Generated_Stockcode,0),12),""))</f>
        <v/>
      </c>
      <c r="P718" s="73" t="str">
        <f>IF(ISBLANK(C718),"",_xlfn.IFNA(INDEX(inbound_data[],MATCH(Outbound_data[[#This Row],[STOCK CODE OUT]],Generated_Stockcode,0),23),""))</f>
        <v/>
      </c>
      <c r="Q718" s="73" t="str">
        <f>IF(ISBLANK(C718),"",_xlfn.IFNA(INDEX(inbound_data[],MATCH(Outbound_data[[#This Row],[STOCK CODE OUT]],Generated_Stockcode,0),13),""))</f>
        <v/>
      </c>
    </row>
    <row r="719" spans="2:17" x14ac:dyDescent="0.25">
      <c r="B719" s="71"/>
      <c r="C719" s="65"/>
      <c r="D719" s="55"/>
      <c r="E719" s="65"/>
      <c r="F719" s="166"/>
      <c r="G719" s="167"/>
      <c r="H719" s="166"/>
      <c r="I719" s="72"/>
      <c r="J719" s="55"/>
      <c r="K719" s="72"/>
      <c r="L719" s="55"/>
      <c r="M719" s="174"/>
      <c r="N719" s="73" t="str">
        <f>IF(ISBLANK(C719),"",_xlfn.IFNA(INDEX(inbound_data[],MATCH(Outbound_data[[#This Row],[STOCK CODE OUT]],Generated_Stockcode,0),10),""))</f>
        <v/>
      </c>
      <c r="O719" s="73" t="str">
        <f>IF(ISBLANK(C719),"",_xlfn.IFNA(INDEX(inbound_data[],MATCH(Outbound_data[[#This Row],[STOCK CODE OUT]],Generated_Stockcode,0),12),""))</f>
        <v/>
      </c>
      <c r="P719" s="73" t="str">
        <f>IF(ISBLANK(C719),"",_xlfn.IFNA(INDEX(inbound_data[],MATCH(Outbound_data[[#This Row],[STOCK CODE OUT]],Generated_Stockcode,0),23),""))</f>
        <v/>
      </c>
      <c r="Q719" s="73" t="str">
        <f>IF(ISBLANK(C719),"",_xlfn.IFNA(INDEX(inbound_data[],MATCH(Outbound_data[[#This Row],[STOCK CODE OUT]],Generated_Stockcode,0),13),""))</f>
        <v/>
      </c>
    </row>
    <row r="720" spans="2:17" x14ac:dyDescent="0.25">
      <c r="B720" s="71"/>
      <c r="C720" s="65"/>
      <c r="D720" s="55"/>
      <c r="E720" s="65"/>
      <c r="F720" s="166"/>
      <c r="G720" s="167"/>
      <c r="H720" s="166"/>
      <c r="I720" s="72"/>
      <c r="J720" s="55"/>
      <c r="K720" s="72"/>
      <c r="L720" s="55"/>
      <c r="M720" s="174"/>
      <c r="N720" s="73" t="str">
        <f>IF(ISBLANK(C720),"",_xlfn.IFNA(INDEX(inbound_data[],MATCH(Outbound_data[[#This Row],[STOCK CODE OUT]],Generated_Stockcode,0),10),""))</f>
        <v/>
      </c>
      <c r="O720" s="73" t="str">
        <f>IF(ISBLANK(C720),"",_xlfn.IFNA(INDEX(inbound_data[],MATCH(Outbound_data[[#This Row],[STOCK CODE OUT]],Generated_Stockcode,0),12),""))</f>
        <v/>
      </c>
      <c r="P720" s="73" t="str">
        <f>IF(ISBLANK(C720),"",_xlfn.IFNA(INDEX(inbound_data[],MATCH(Outbound_data[[#This Row],[STOCK CODE OUT]],Generated_Stockcode,0),23),""))</f>
        <v/>
      </c>
      <c r="Q720" s="73" t="str">
        <f>IF(ISBLANK(C720),"",_xlfn.IFNA(INDEX(inbound_data[],MATCH(Outbound_data[[#This Row],[STOCK CODE OUT]],Generated_Stockcode,0),13),""))</f>
        <v/>
      </c>
    </row>
    <row r="721" spans="2:17" x14ac:dyDescent="0.25">
      <c r="B721" s="71"/>
      <c r="C721" s="65"/>
      <c r="D721" s="55"/>
      <c r="E721" s="65"/>
      <c r="F721" s="166"/>
      <c r="G721" s="167"/>
      <c r="H721" s="166"/>
      <c r="I721" s="72"/>
      <c r="J721" s="55"/>
      <c r="K721" s="72"/>
      <c r="L721" s="55"/>
      <c r="M721" s="174"/>
      <c r="N721" s="73" t="str">
        <f>IF(ISBLANK(C721),"",_xlfn.IFNA(INDEX(inbound_data[],MATCH(Outbound_data[[#This Row],[STOCK CODE OUT]],Generated_Stockcode,0),10),""))</f>
        <v/>
      </c>
      <c r="O721" s="73" t="str">
        <f>IF(ISBLANK(C721),"",_xlfn.IFNA(INDEX(inbound_data[],MATCH(Outbound_data[[#This Row],[STOCK CODE OUT]],Generated_Stockcode,0),12),""))</f>
        <v/>
      </c>
      <c r="P721" s="73" t="str">
        <f>IF(ISBLANK(C721),"",_xlfn.IFNA(INDEX(inbound_data[],MATCH(Outbound_data[[#This Row],[STOCK CODE OUT]],Generated_Stockcode,0),23),""))</f>
        <v/>
      </c>
      <c r="Q721" s="73" t="str">
        <f>IF(ISBLANK(C721),"",_xlfn.IFNA(INDEX(inbound_data[],MATCH(Outbound_data[[#This Row],[STOCK CODE OUT]],Generated_Stockcode,0),13),""))</f>
        <v/>
      </c>
    </row>
    <row r="722" spans="2:17" x14ac:dyDescent="0.25">
      <c r="B722" s="71"/>
      <c r="C722" s="65"/>
      <c r="D722" s="55"/>
      <c r="E722" s="65"/>
      <c r="F722" s="166"/>
      <c r="G722" s="167"/>
      <c r="H722" s="166"/>
      <c r="I722" s="72"/>
      <c r="J722" s="55"/>
      <c r="K722" s="72"/>
      <c r="L722" s="55"/>
      <c r="M722" s="174"/>
      <c r="N722" s="73" t="str">
        <f>IF(ISBLANK(C722),"",_xlfn.IFNA(INDEX(inbound_data[],MATCH(Outbound_data[[#This Row],[STOCK CODE OUT]],Generated_Stockcode,0),10),""))</f>
        <v/>
      </c>
      <c r="O722" s="73" t="str">
        <f>IF(ISBLANK(C722),"",_xlfn.IFNA(INDEX(inbound_data[],MATCH(Outbound_data[[#This Row],[STOCK CODE OUT]],Generated_Stockcode,0),12),""))</f>
        <v/>
      </c>
      <c r="P722" s="73" t="str">
        <f>IF(ISBLANK(C722),"",_xlfn.IFNA(INDEX(inbound_data[],MATCH(Outbound_data[[#This Row],[STOCK CODE OUT]],Generated_Stockcode,0),23),""))</f>
        <v/>
      </c>
      <c r="Q722" s="73" t="str">
        <f>IF(ISBLANK(C722),"",_xlfn.IFNA(INDEX(inbound_data[],MATCH(Outbound_data[[#This Row],[STOCK CODE OUT]],Generated_Stockcode,0),13),""))</f>
        <v/>
      </c>
    </row>
    <row r="723" spans="2:17" x14ac:dyDescent="0.25">
      <c r="B723" s="71"/>
      <c r="C723" s="65"/>
      <c r="D723" s="55"/>
      <c r="E723" s="65"/>
      <c r="F723" s="166"/>
      <c r="G723" s="167"/>
      <c r="H723" s="166"/>
      <c r="I723" s="72"/>
      <c r="J723" s="55"/>
      <c r="K723" s="72"/>
      <c r="L723" s="55"/>
      <c r="M723" s="174"/>
      <c r="N723" s="73" t="str">
        <f>IF(ISBLANK(C723),"",_xlfn.IFNA(INDEX(inbound_data[],MATCH(Outbound_data[[#This Row],[STOCK CODE OUT]],Generated_Stockcode,0),10),""))</f>
        <v/>
      </c>
      <c r="O723" s="73" t="str">
        <f>IF(ISBLANK(C723),"",_xlfn.IFNA(INDEX(inbound_data[],MATCH(Outbound_data[[#This Row],[STOCK CODE OUT]],Generated_Stockcode,0),12),""))</f>
        <v/>
      </c>
      <c r="P723" s="73" t="str">
        <f>IF(ISBLANK(C723),"",_xlfn.IFNA(INDEX(inbound_data[],MATCH(Outbound_data[[#This Row],[STOCK CODE OUT]],Generated_Stockcode,0),23),""))</f>
        <v/>
      </c>
      <c r="Q723" s="73" t="str">
        <f>IF(ISBLANK(C723),"",_xlfn.IFNA(INDEX(inbound_data[],MATCH(Outbound_data[[#This Row],[STOCK CODE OUT]],Generated_Stockcode,0),13),""))</f>
        <v/>
      </c>
    </row>
    <row r="724" spans="2:17" x14ac:dyDescent="0.25">
      <c r="B724" s="71"/>
      <c r="C724" s="65"/>
      <c r="D724" s="55"/>
      <c r="E724" s="65"/>
      <c r="F724" s="166"/>
      <c r="G724" s="167"/>
      <c r="H724" s="166"/>
      <c r="I724" s="72"/>
      <c r="J724" s="55"/>
      <c r="K724" s="72"/>
      <c r="L724" s="55"/>
      <c r="M724" s="174"/>
      <c r="N724" s="73" t="str">
        <f>IF(ISBLANK(C724),"",_xlfn.IFNA(INDEX(inbound_data[],MATCH(Outbound_data[[#This Row],[STOCK CODE OUT]],Generated_Stockcode,0),10),""))</f>
        <v/>
      </c>
      <c r="O724" s="73" t="str">
        <f>IF(ISBLANK(C724),"",_xlfn.IFNA(INDEX(inbound_data[],MATCH(Outbound_data[[#This Row],[STOCK CODE OUT]],Generated_Stockcode,0),12),""))</f>
        <v/>
      </c>
      <c r="P724" s="73" t="str">
        <f>IF(ISBLANK(C724),"",_xlfn.IFNA(INDEX(inbound_data[],MATCH(Outbound_data[[#This Row],[STOCK CODE OUT]],Generated_Stockcode,0),23),""))</f>
        <v/>
      </c>
      <c r="Q724" s="73" t="str">
        <f>IF(ISBLANK(C724),"",_xlfn.IFNA(INDEX(inbound_data[],MATCH(Outbound_data[[#This Row],[STOCK CODE OUT]],Generated_Stockcode,0),13),""))</f>
        <v/>
      </c>
    </row>
    <row r="725" spans="2:17" x14ac:dyDescent="0.25">
      <c r="B725" s="71"/>
      <c r="C725" s="65"/>
      <c r="D725" s="55"/>
      <c r="E725" s="65"/>
      <c r="F725" s="166"/>
      <c r="G725" s="167"/>
      <c r="H725" s="166"/>
      <c r="I725" s="72"/>
      <c r="J725" s="55"/>
      <c r="K725" s="72"/>
      <c r="L725" s="55"/>
      <c r="M725" s="174"/>
      <c r="N725" s="73" t="str">
        <f>IF(ISBLANK(C725),"",_xlfn.IFNA(INDEX(inbound_data[],MATCH(Outbound_data[[#This Row],[STOCK CODE OUT]],Generated_Stockcode,0),10),""))</f>
        <v/>
      </c>
      <c r="O725" s="73" t="str">
        <f>IF(ISBLANK(C725),"",_xlfn.IFNA(INDEX(inbound_data[],MATCH(Outbound_data[[#This Row],[STOCK CODE OUT]],Generated_Stockcode,0),12),""))</f>
        <v/>
      </c>
      <c r="P725" s="73" t="str">
        <f>IF(ISBLANK(C725),"",_xlfn.IFNA(INDEX(inbound_data[],MATCH(Outbound_data[[#This Row],[STOCK CODE OUT]],Generated_Stockcode,0),23),""))</f>
        <v/>
      </c>
      <c r="Q725" s="73" t="str">
        <f>IF(ISBLANK(C725),"",_xlfn.IFNA(INDEX(inbound_data[],MATCH(Outbound_data[[#This Row],[STOCK CODE OUT]],Generated_Stockcode,0),13),""))</f>
        <v/>
      </c>
    </row>
    <row r="726" spans="2:17" x14ac:dyDescent="0.25">
      <c r="B726" s="71"/>
      <c r="C726" s="65"/>
      <c r="D726" s="55"/>
      <c r="E726" s="65"/>
      <c r="F726" s="166"/>
      <c r="G726" s="167"/>
      <c r="H726" s="166"/>
      <c r="I726" s="72"/>
      <c r="J726" s="55"/>
      <c r="K726" s="72"/>
      <c r="L726" s="55"/>
      <c r="M726" s="174"/>
      <c r="N726" s="73" t="str">
        <f>IF(ISBLANK(C726),"",_xlfn.IFNA(INDEX(inbound_data[],MATCH(Outbound_data[[#This Row],[STOCK CODE OUT]],Generated_Stockcode,0),10),""))</f>
        <v/>
      </c>
      <c r="O726" s="73" t="str">
        <f>IF(ISBLANK(C726),"",_xlfn.IFNA(INDEX(inbound_data[],MATCH(Outbound_data[[#This Row],[STOCK CODE OUT]],Generated_Stockcode,0),12),""))</f>
        <v/>
      </c>
      <c r="P726" s="73" t="str">
        <f>IF(ISBLANK(C726),"",_xlfn.IFNA(INDEX(inbound_data[],MATCH(Outbound_data[[#This Row],[STOCK CODE OUT]],Generated_Stockcode,0),23),""))</f>
        <v/>
      </c>
      <c r="Q726" s="73" t="str">
        <f>IF(ISBLANK(C726),"",_xlfn.IFNA(INDEX(inbound_data[],MATCH(Outbound_data[[#This Row],[STOCK CODE OUT]],Generated_Stockcode,0),13),""))</f>
        <v/>
      </c>
    </row>
    <row r="727" spans="2:17" x14ac:dyDescent="0.25">
      <c r="B727" s="71"/>
      <c r="C727" s="65"/>
      <c r="D727" s="55"/>
      <c r="E727" s="65"/>
      <c r="F727" s="166"/>
      <c r="G727" s="167"/>
      <c r="H727" s="166"/>
      <c r="I727" s="72"/>
      <c r="J727" s="55"/>
      <c r="K727" s="72"/>
      <c r="L727" s="55"/>
      <c r="M727" s="174"/>
      <c r="N727" s="73" t="str">
        <f>IF(ISBLANK(C727),"",_xlfn.IFNA(INDEX(inbound_data[],MATCH(Outbound_data[[#This Row],[STOCK CODE OUT]],Generated_Stockcode,0),10),""))</f>
        <v/>
      </c>
      <c r="O727" s="73" t="str">
        <f>IF(ISBLANK(C727),"",_xlfn.IFNA(INDEX(inbound_data[],MATCH(Outbound_data[[#This Row],[STOCK CODE OUT]],Generated_Stockcode,0),12),""))</f>
        <v/>
      </c>
      <c r="P727" s="73" t="str">
        <f>IF(ISBLANK(C727),"",_xlfn.IFNA(INDEX(inbound_data[],MATCH(Outbound_data[[#This Row],[STOCK CODE OUT]],Generated_Stockcode,0),23),""))</f>
        <v/>
      </c>
      <c r="Q727" s="73" t="str">
        <f>IF(ISBLANK(C727),"",_xlfn.IFNA(INDEX(inbound_data[],MATCH(Outbound_data[[#This Row],[STOCK CODE OUT]],Generated_Stockcode,0),13),""))</f>
        <v/>
      </c>
    </row>
    <row r="728" spans="2:17" x14ac:dyDescent="0.25">
      <c r="B728" s="71"/>
      <c r="C728" s="65"/>
      <c r="D728" s="55"/>
      <c r="E728" s="65"/>
      <c r="F728" s="166"/>
      <c r="G728" s="167"/>
      <c r="H728" s="166"/>
      <c r="I728" s="72"/>
      <c r="J728" s="55"/>
      <c r="K728" s="72"/>
      <c r="L728" s="55"/>
      <c r="M728" s="174"/>
      <c r="N728" s="73" t="str">
        <f>IF(ISBLANK(C728),"",_xlfn.IFNA(INDEX(inbound_data[],MATCH(Outbound_data[[#This Row],[STOCK CODE OUT]],Generated_Stockcode,0),10),""))</f>
        <v/>
      </c>
      <c r="O728" s="73" t="str">
        <f>IF(ISBLANK(C728),"",_xlfn.IFNA(INDEX(inbound_data[],MATCH(Outbound_data[[#This Row],[STOCK CODE OUT]],Generated_Stockcode,0),12),""))</f>
        <v/>
      </c>
      <c r="P728" s="73" t="str">
        <f>IF(ISBLANK(C728),"",_xlfn.IFNA(INDEX(inbound_data[],MATCH(Outbound_data[[#This Row],[STOCK CODE OUT]],Generated_Stockcode,0),23),""))</f>
        <v/>
      </c>
      <c r="Q728" s="73" t="str">
        <f>IF(ISBLANK(C728),"",_xlfn.IFNA(INDEX(inbound_data[],MATCH(Outbound_data[[#This Row],[STOCK CODE OUT]],Generated_Stockcode,0),13),""))</f>
        <v/>
      </c>
    </row>
    <row r="729" spans="2:17" x14ac:dyDescent="0.25">
      <c r="B729" s="71"/>
      <c r="C729" s="65"/>
      <c r="D729" s="55"/>
      <c r="E729" s="65"/>
      <c r="F729" s="166"/>
      <c r="G729" s="167"/>
      <c r="H729" s="166"/>
      <c r="I729" s="72"/>
      <c r="J729" s="55"/>
      <c r="K729" s="72"/>
      <c r="L729" s="55"/>
      <c r="M729" s="174"/>
      <c r="N729" s="73" t="str">
        <f>IF(ISBLANK(C729),"",_xlfn.IFNA(INDEX(inbound_data[],MATCH(Outbound_data[[#This Row],[STOCK CODE OUT]],Generated_Stockcode,0),10),""))</f>
        <v/>
      </c>
      <c r="O729" s="73" t="str">
        <f>IF(ISBLANK(C729),"",_xlfn.IFNA(INDEX(inbound_data[],MATCH(Outbound_data[[#This Row],[STOCK CODE OUT]],Generated_Stockcode,0),12),""))</f>
        <v/>
      </c>
      <c r="P729" s="73" t="str">
        <f>IF(ISBLANK(C729),"",_xlfn.IFNA(INDEX(inbound_data[],MATCH(Outbound_data[[#This Row],[STOCK CODE OUT]],Generated_Stockcode,0),23),""))</f>
        <v/>
      </c>
      <c r="Q729" s="73" t="str">
        <f>IF(ISBLANK(C729),"",_xlfn.IFNA(INDEX(inbound_data[],MATCH(Outbound_data[[#This Row],[STOCK CODE OUT]],Generated_Stockcode,0),13),""))</f>
        <v/>
      </c>
    </row>
    <row r="730" spans="2:17" x14ac:dyDescent="0.25">
      <c r="B730" s="71"/>
      <c r="C730" s="65"/>
      <c r="D730" s="55"/>
      <c r="E730" s="65"/>
      <c r="F730" s="166"/>
      <c r="G730" s="167"/>
      <c r="H730" s="166"/>
      <c r="I730" s="72"/>
      <c r="J730" s="55"/>
      <c r="K730" s="72"/>
      <c r="L730" s="55"/>
      <c r="M730" s="174"/>
      <c r="N730" s="73" t="str">
        <f>IF(ISBLANK(C730),"",_xlfn.IFNA(INDEX(inbound_data[],MATCH(Outbound_data[[#This Row],[STOCK CODE OUT]],Generated_Stockcode,0),10),""))</f>
        <v/>
      </c>
      <c r="O730" s="73" t="str">
        <f>IF(ISBLANK(C730),"",_xlfn.IFNA(INDEX(inbound_data[],MATCH(Outbound_data[[#This Row],[STOCK CODE OUT]],Generated_Stockcode,0),12),""))</f>
        <v/>
      </c>
      <c r="P730" s="73" t="str">
        <f>IF(ISBLANK(C730),"",_xlfn.IFNA(INDEX(inbound_data[],MATCH(Outbound_data[[#This Row],[STOCK CODE OUT]],Generated_Stockcode,0),23),""))</f>
        <v/>
      </c>
      <c r="Q730" s="73" t="str">
        <f>IF(ISBLANK(C730),"",_xlfn.IFNA(INDEX(inbound_data[],MATCH(Outbound_data[[#This Row],[STOCK CODE OUT]],Generated_Stockcode,0),13),""))</f>
        <v/>
      </c>
    </row>
    <row r="731" spans="2:17" x14ac:dyDescent="0.25">
      <c r="B731" s="71"/>
      <c r="C731" s="65"/>
      <c r="D731" s="55"/>
      <c r="E731" s="65"/>
      <c r="F731" s="166"/>
      <c r="G731" s="167"/>
      <c r="H731" s="166"/>
      <c r="I731" s="72"/>
      <c r="J731" s="55"/>
      <c r="K731" s="72"/>
      <c r="L731" s="55"/>
      <c r="M731" s="174"/>
      <c r="N731" s="73" t="str">
        <f>IF(ISBLANK(C731),"",_xlfn.IFNA(INDEX(inbound_data[],MATCH(Outbound_data[[#This Row],[STOCK CODE OUT]],Generated_Stockcode,0),10),""))</f>
        <v/>
      </c>
      <c r="O731" s="73" t="str">
        <f>IF(ISBLANK(C731),"",_xlfn.IFNA(INDEX(inbound_data[],MATCH(Outbound_data[[#This Row],[STOCK CODE OUT]],Generated_Stockcode,0),12),""))</f>
        <v/>
      </c>
      <c r="P731" s="73" t="str">
        <f>IF(ISBLANK(C731),"",_xlfn.IFNA(INDEX(inbound_data[],MATCH(Outbound_data[[#This Row],[STOCK CODE OUT]],Generated_Stockcode,0),23),""))</f>
        <v/>
      </c>
      <c r="Q731" s="73" t="str">
        <f>IF(ISBLANK(C731),"",_xlfn.IFNA(INDEX(inbound_data[],MATCH(Outbound_data[[#This Row],[STOCK CODE OUT]],Generated_Stockcode,0),13),""))</f>
        <v/>
      </c>
    </row>
    <row r="732" spans="2:17" x14ac:dyDescent="0.25">
      <c r="B732" s="71"/>
      <c r="C732" s="65"/>
      <c r="D732" s="55"/>
      <c r="E732" s="65"/>
      <c r="F732" s="166"/>
      <c r="G732" s="167"/>
      <c r="H732" s="166"/>
      <c r="I732" s="72"/>
      <c r="J732" s="55"/>
      <c r="K732" s="72"/>
      <c r="L732" s="55"/>
      <c r="M732" s="174"/>
      <c r="N732" s="73" t="str">
        <f>IF(ISBLANK(C732),"",_xlfn.IFNA(INDEX(inbound_data[],MATCH(Outbound_data[[#This Row],[STOCK CODE OUT]],Generated_Stockcode,0),10),""))</f>
        <v/>
      </c>
      <c r="O732" s="73" t="str">
        <f>IF(ISBLANK(C732),"",_xlfn.IFNA(INDEX(inbound_data[],MATCH(Outbound_data[[#This Row],[STOCK CODE OUT]],Generated_Stockcode,0),12),""))</f>
        <v/>
      </c>
      <c r="P732" s="73" t="str">
        <f>IF(ISBLANK(C732),"",_xlfn.IFNA(INDEX(inbound_data[],MATCH(Outbound_data[[#This Row],[STOCK CODE OUT]],Generated_Stockcode,0),23),""))</f>
        <v/>
      </c>
      <c r="Q732" s="73" t="str">
        <f>IF(ISBLANK(C732),"",_xlfn.IFNA(INDEX(inbound_data[],MATCH(Outbound_data[[#This Row],[STOCK CODE OUT]],Generated_Stockcode,0),13),""))</f>
        <v/>
      </c>
    </row>
    <row r="733" spans="2:17" x14ac:dyDescent="0.25">
      <c r="B733" s="71"/>
      <c r="C733" s="65"/>
      <c r="D733" s="55"/>
      <c r="E733" s="65"/>
      <c r="F733" s="166"/>
      <c r="G733" s="167"/>
      <c r="H733" s="166"/>
      <c r="I733" s="72"/>
      <c r="J733" s="55"/>
      <c r="K733" s="72"/>
      <c r="L733" s="55"/>
      <c r="M733" s="174"/>
      <c r="N733" s="73" t="str">
        <f>IF(ISBLANK(C733),"",_xlfn.IFNA(INDEX(inbound_data[],MATCH(Outbound_data[[#This Row],[STOCK CODE OUT]],Generated_Stockcode,0),10),""))</f>
        <v/>
      </c>
      <c r="O733" s="73" t="str">
        <f>IF(ISBLANK(C733),"",_xlfn.IFNA(INDEX(inbound_data[],MATCH(Outbound_data[[#This Row],[STOCK CODE OUT]],Generated_Stockcode,0),12),""))</f>
        <v/>
      </c>
      <c r="P733" s="73" t="str">
        <f>IF(ISBLANK(C733),"",_xlfn.IFNA(INDEX(inbound_data[],MATCH(Outbound_data[[#This Row],[STOCK CODE OUT]],Generated_Stockcode,0),23),""))</f>
        <v/>
      </c>
      <c r="Q733" s="73" t="str">
        <f>IF(ISBLANK(C733),"",_xlfn.IFNA(INDEX(inbound_data[],MATCH(Outbound_data[[#This Row],[STOCK CODE OUT]],Generated_Stockcode,0),13),""))</f>
        <v/>
      </c>
    </row>
    <row r="734" spans="2:17" x14ac:dyDescent="0.25">
      <c r="B734" s="71"/>
      <c r="C734" s="65"/>
      <c r="D734" s="55"/>
      <c r="E734" s="65"/>
      <c r="F734" s="166"/>
      <c r="G734" s="167"/>
      <c r="H734" s="166"/>
      <c r="I734" s="72"/>
      <c r="J734" s="55"/>
      <c r="K734" s="72"/>
      <c r="L734" s="55"/>
      <c r="M734" s="174"/>
      <c r="N734" s="73" t="str">
        <f>IF(ISBLANK(C734),"",_xlfn.IFNA(INDEX(inbound_data[],MATCH(Outbound_data[[#This Row],[STOCK CODE OUT]],Generated_Stockcode,0),10),""))</f>
        <v/>
      </c>
      <c r="O734" s="73" t="str">
        <f>IF(ISBLANK(C734),"",_xlfn.IFNA(INDEX(inbound_data[],MATCH(Outbound_data[[#This Row],[STOCK CODE OUT]],Generated_Stockcode,0),12),""))</f>
        <v/>
      </c>
      <c r="P734" s="73" t="str">
        <f>IF(ISBLANK(C734),"",_xlfn.IFNA(INDEX(inbound_data[],MATCH(Outbound_data[[#This Row],[STOCK CODE OUT]],Generated_Stockcode,0),23),""))</f>
        <v/>
      </c>
      <c r="Q734" s="73" t="str">
        <f>IF(ISBLANK(C734),"",_xlfn.IFNA(INDEX(inbound_data[],MATCH(Outbound_data[[#This Row],[STOCK CODE OUT]],Generated_Stockcode,0),13),""))</f>
        <v/>
      </c>
    </row>
    <row r="735" spans="2:17" x14ac:dyDescent="0.25">
      <c r="B735" s="71"/>
      <c r="C735" s="65"/>
      <c r="D735" s="55"/>
      <c r="E735" s="65"/>
      <c r="F735" s="166"/>
      <c r="G735" s="167"/>
      <c r="H735" s="166"/>
      <c r="I735" s="72"/>
      <c r="J735" s="55"/>
      <c r="K735" s="72"/>
      <c r="L735" s="55"/>
      <c r="M735" s="174"/>
      <c r="N735" s="73" t="str">
        <f>IF(ISBLANK(C735),"",_xlfn.IFNA(INDEX(inbound_data[],MATCH(Outbound_data[[#This Row],[STOCK CODE OUT]],Generated_Stockcode,0),10),""))</f>
        <v/>
      </c>
      <c r="O735" s="73" t="str">
        <f>IF(ISBLANK(C735),"",_xlfn.IFNA(INDEX(inbound_data[],MATCH(Outbound_data[[#This Row],[STOCK CODE OUT]],Generated_Stockcode,0),12),""))</f>
        <v/>
      </c>
      <c r="P735" s="73" t="str">
        <f>IF(ISBLANK(C735),"",_xlfn.IFNA(INDEX(inbound_data[],MATCH(Outbound_data[[#This Row],[STOCK CODE OUT]],Generated_Stockcode,0),23),""))</f>
        <v/>
      </c>
      <c r="Q735" s="73" t="str">
        <f>IF(ISBLANK(C735),"",_xlfn.IFNA(INDEX(inbound_data[],MATCH(Outbound_data[[#This Row],[STOCK CODE OUT]],Generated_Stockcode,0),13),""))</f>
        <v/>
      </c>
    </row>
    <row r="736" spans="2:17" x14ac:dyDescent="0.25">
      <c r="B736" s="71"/>
      <c r="C736" s="65"/>
      <c r="D736" s="55"/>
      <c r="E736" s="65"/>
      <c r="F736" s="166"/>
      <c r="G736" s="167"/>
      <c r="H736" s="166"/>
      <c r="I736" s="72"/>
      <c r="J736" s="55"/>
      <c r="K736" s="72"/>
      <c r="L736" s="55"/>
      <c r="M736" s="174"/>
      <c r="N736" s="73" t="str">
        <f>IF(ISBLANK(C736),"",_xlfn.IFNA(INDEX(inbound_data[],MATCH(Outbound_data[[#This Row],[STOCK CODE OUT]],Generated_Stockcode,0),10),""))</f>
        <v/>
      </c>
      <c r="O736" s="73" t="str">
        <f>IF(ISBLANK(C736),"",_xlfn.IFNA(INDEX(inbound_data[],MATCH(Outbound_data[[#This Row],[STOCK CODE OUT]],Generated_Stockcode,0),12),""))</f>
        <v/>
      </c>
      <c r="P736" s="73" t="str">
        <f>IF(ISBLANK(C736),"",_xlfn.IFNA(INDEX(inbound_data[],MATCH(Outbound_data[[#This Row],[STOCK CODE OUT]],Generated_Stockcode,0),23),""))</f>
        <v/>
      </c>
      <c r="Q736" s="73" t="str">
        <f>IF(ISBLANK(C736),"",_xlfn.IFNA(INDEX(inbound_data[],MATCH(Outbound_data[[#This Row],[STOCK CODE OUT]],Generated_Stockcode,0),13),""))</f>
        <v/>
      </c>
    </row>
    <row r="737" spans="2:17" x14ac:dyDescent="0.25">
      <c r="B737" s="71"/>
      <c r="C737" s="65"/>
      <c r="D737" s="55"/>
      <c r="E737" s="65"/>
      <c r="F737" s="166"/>
      <c r="G737" s="167"/>
      <c r="H737" s="166"/>
      <c r="I737" s="72"/>
      <c r="J737" s="55"/>
      <c r="K737" s="72"/>
      <c r="L737" s="55"/>
      <c r="M737" s="174"/>
      <c r="N737" s="73" t="str">
        <f>IF(ISBLANK(C737),"",_xlfn.IFNA(INDEX(inbound_data[],MATCH(Outbound_data[[#This Row],[STOCK CODE OUT]],Generated_Stockcode,0),10),""))</f>
        <v/>
      </c>
      <c r="O737" s="73" t="str">
        <f>IF(ISBLANK(C737),"",_xlfn.IFNA(INDEX(inbound_data[],MATCH(Outbound_data[[#This Row],[STOCK CODE OUT]],Generated_Stockcode,0),12),""))</f>
        <v/>
      </c>
      <c r="P737" s="73" t="str">
        <f>IF(ISBLANK(C737),"",_xlfn.IFNA(INDEX(inbound_data[],MATCH(Outbound_data[[#This Row],[STOCK CODE OUT]],Generated_Stockcode,0),23),""))</f>
        <v/>
      </c>
      <c r="Q737" s="73" t="str">
        <f>IF(ISBLANK(C737),"",_xlfn.IFNA(INDEX(inbound_data[],MATCH(Outbound_data[[#This Row],[STOCK CODE OUT]],Generated_Stockcode,0),13),""))</f>
        <v/>
      </c>
    </row>
    <row r="738" spans="2:17" x14ac:dyDescent="0.25">
      <c r="B738" s="71"/>
      <c r="C738" s="65"/>
      <c r="D738" s="55"/>
      <c r="E738" s="65"/>
      <c r="F738" s="166"/>
      <c r="G738" s="167"/>
      <c r="H738" s="166"/>
      <c r="I738" s="72"/>
      <c r="J738" s="55"/>
      <c r="K738" s="72"/>
      <c r="L738" s="55"/>
      <c r="M738" s="174"/>
      <c r="N738" s="73" t="str">
        <f>IF(ISBLANK(C738),"",_xlfn.IFNA(INDEX(inbound_data[],MATCH(Outbound_data[[#This Row],[STOCK CODE OUT]],Generated_Stockcode,0),10),""))</f>
        <v/>
      </c>
      <c r="O738" s="73" t="str">
        <f>IF(ISBLANK(C738),"",_xlfn.IFNA(INDEX(inbound_data[],MATCH(Outbound_data[[#This Row],[STOCK CODE OUT]],Generated_Stockcode,0),12),""))</f>
        <v/>
      </c>
      <c r="P738" s="73" t="str">
        <f>IF(ISBLANK(C738),"",_xlfn.IFNA(INDEX(inbound_data[],MATCH(Outbound_data[[#This Row],[STOCK CODE OUT]],Generated_Stockcode,0),23),""))</f>
        <v/>
      </c>
      <c r="Q738" s="73" t="str">
        <f>IF(ISBLANK(C738),"",_xlfn.IFNA(INDEX(inbound_data[],MATCH(Outbound_data[[#This Row],[STOCK CODE OUT]],Generated_Stockcode,0),13),""))</f>
        <v/>
      </c>
    </row>
    <row r="739" spans="2:17" x14ac:dyDescent="0.25">
      <c r="B739" s="71"/>
      <c r="C739" s="65"/>
      <c r="D739" s="55"/>
      <c r="E739" s="65"/>
      <c r="F739" s="166"/>
      <c r="G739" s="167"/>
      <c r="H739" s="166"/>
      <c r="I739" s="72"/>
      <c r="J739" s="55"/>
      <c r="K739" s="72"/>
      <c r="L739" s="55"/>
      <c r="M739" s="174"/>
      <c r="N739" s="73" t="str">
        <f>IF(ISBLANK(C739),"",_xlfn.IFNA(INDEX(inbound_data[],MATCH(Outbound_data[[#This Row],[STOCK CODE OUT]],Generated_Stockcode,0),10),""))</f>
        <v/>
      </c>
      <c r="O739" s="73" t="str">
        <f>IF(ISBLANK(C739),"",_xlfn.IFNA(INDEX(inbound_data[],MATCH(Outbound_data[[#This Row],[STOCK CODE OUT]],Generated_Stockcode,0),12),""))</f>
        <v/>
      </c>
      <c r="P739" s="73" t="str">
        <f>IF(ISBLANK(C739),"",_xlfn.IFNA(INDEX(inbound_data[],MATCH(Outbound_data[[#This Row],[STOCK CODE OUT]],Generated_Stockcode,0),23),""))</f>
        <v/>
      </c>
      <c r="Q739" s="73" t="str">
        <f>IF(ISBLANK(C739),"",_xlfn.IFNA(INDEX(inbound_data[],MATCH(Outbound_data[[#This Row],[STOCK CODE OUT]],Generated_Stockcode,0),13),""))</f>
        <v/>
      </c>
    </row>
    <row r="740" spans="2:17" x14ac:dyDescent="0.25">
      <c r="B740" s="71"/>
      <c r="C740" s="65"/>
      <c r="D740" s="55"/>
      <c r="E740" s="65"/>
      <c r="F740" s="166"/>
      <c r="G740" s="167"/>
      <c r="H740" s="166"/>
      <c r="I740" s="72"/>
      <c r="J740" s="55"/>
      <c r="K740" s="72"/>
      <c r="L740" s="55"/>
      <c r="M740" s="174"/>
      <c r="N740" s="73" t="str">
        <f>IF(ISBLANK(C740),"",_xlfn.IFNA(INDEX(inbound_data[],MATCH(Outbound_data[[#This Row],[STOCK CODE OUT]],Generated_Stockcode,0),10),""))</f>
        <v/>
      </c>
      <c r="O740" s="73" t="str">
        <f>IF(ISBLANK(C740),"",_xlfn.IFNA(INDEX(inbound_data[],MATCH(Outbound_data[[#This Row],[STOCK CODE OUT]],Generated_Stockcode,0),12),""))</f>
        <v/>
      </c>
      <c r="P740" s="73" t="str">
        <f>IF(ISBLANK(C740),"",_xlfn.IFNA(INDEX(inbound_data[],MATCH(Outbound_data[[#This Row],[STOCK CODE OUT]],Generated_Stockcode,0),23),""))</f>
        <v/>
      </c>
      <c r="Q740" s="73" t="str">
        <f>IF(ISBLANK(C740),"",_xlfn.IFNA(INDEX(inbound_data[],MATCH(Outbound_data[[#This Row],[STOCK CODE OUT]],Generated_Stockcode,0),13),""))</f>
        <v/>
      </c>
    </row>
    <row r="741" spans="2:17" x14ac:dyDescent="0.25">
      <c r="B741" s="71"/>
      <c r="C741" s="65"/>
      <c r="D741" s="55"/>
      <c r="E741" s="65"/>
      <c r="F741" s="166"/>
      <c r="G741" s="167"/>
      <c r="H741" s="166"/>
      <c r="I741" s="72"/>
      <c r="J741" s="55"/>
      <c r="K741" s="72"/>
      <c r="L741" s="55"/>
      <c r="M741" s="174"/>
      <c r="N741" s="73" t="str">
        <f>IF(ISBLANK(C741),"",_xlfn.IFNA(INDEX(inbound_data[],MATCH(Outbound_data[[#This Row],[STOCK CODE OUT]],Generated_Stockcode,0),10),""))</f>
        <v/>
      </c>
      <c r="O741" s="73" t="str">
        <f>IF(ISBLANK(C741),"",_xlfn.IFNA(INDEX(inbound_data[],MATCH(Outbound_data[[#This Row],[STOCK CODE OUT]],Generated_Stockcode,0),12),""))</f>
        <v/>
      </c>
      <c r="P741" s="73" t="str">
        <f>IF(ISBLANK(C741),"",_xlfn.IFNA(INDEX(inbound_data[],MATCH(Outbound_data[[#This Row],[STOCK CODE OUT]],Generated_Stockcode,0),23),""))</f>
        <v/>
      </c>
      <c r="Q741" s="73" t="str">
        <f>IF(ISBLANK(C741),"",_xlfn.IFNA(INDEX(inbound_data[],MATCH(Outbound_data[[#This Row],[STOCK CODE OUT]],Generated_Stockcode,0),13),""))</f>
        <v/>
      </c>
    </row>
    <row r="742" spans="2:17" x14ac:dyDescent="0.25">
      <c r="B742" s="71"/>
      <c r="C742" s="65"/>
      <c r="D742" s="55"/>
      <c r="E742" s="65"/>
      <c r="F742" s="166"/>
      <c r="G742" s="167"/>
      <c r="H742" s="166"/>
      <c r="I742" s="72"/>
      <c r="J742" s="55"/>
      <c r="K742" s="72"/>
      <c r="L742" s="55"/>
      <c r="M742" s="174"/>
      <c r="N742" s="73" t="str">
        <f>IF(ISBLANK(C742),"",_xlfn.IFNA(INDEX(inbound_data[],MATCH(Outbound_data[[#This Row],[STOCK CODE OUT]],Generated_Stockcode,0),10),""))</f>
        <v/>
      </c>
      <c r="O742" s="73" t="str">
        <f>IF(ISBLANK(C742),"",_xlfn.IFNA(INDEX(inbound_data[],MATCH(Outbound_data[[#This Row],[STOCK CODE OUT]],Generated_Stockcode,0),12),""))</f>
        <v/>
      </c>
      <c r="P742" s="73" t="str">
        <f>IF(ISBLANK(C742),"",_xlfn.IFNA(INDEX(inbound_data[],MATCH(Outbound_data[[#This Row],[STOCK CODE OUT]],Generated_Stockcode,0),23),""))</f>
        <v/>
      </c>
      <c r="Q742" s="73" t="str">
        <f>IF(ISBLANK(C742),"",_xlfn.IFNA(INDEX(inbound_data[],MATCH(Outbound_data[[#This Row],[STOCK CODE OUT]],Generated_Stockcode,0),13),""))</f>
        <v/>
      </c>
    </row>
    <row r="743" spans="2:17" x14ac:dyDescent="0.25">
      <c r="B743" s="71"/>
      <c r="C743" s="65"/>
      <c r="D743" s="55"/>
      <c r="E743" s="65"/>
      <c r="F743" s="166"/>
      <c r="G743" s="167"/>
      <c r="H743" s="166"/>
      <c r="I743" s="72"/>
      <c r="J743" s="55"/>
      <c r="K743" s="72"/>
      <c r="L743" s="55"/>
      <c r="M743" s="174"/>
      <c r="N743" s="73" t="str">
        <f>IF(ISBLANK(C743),"",_xlfn.IFNA(INDEX(inbound_data[],MATCH(Outbound_data[[#This Row],[STOCK CODE OUT]],Generated_Stockcode,0),10),""))</f>
        <v/>
      </c>
      <c r="O743" s="73" t="str">
        <f>IF(ISBLANK(C743),"",_xlfn.IFNA(INDEX(inbound_data[],MATCH(Outbound_data[[#This Row],[STOCK CODE OUT]],Generated_Stockcode,0),12),""))</f>
        <v/>
      </c>
      <c r="P743" s="73" t="str">
        <f>IF(ISBLANK(C743),"",_xlfn.IFNA(INDEX(inbound_data[],MATCH(Outbound_data[[#This Row],[STOCK CODE OUT]],Generated_Stockcode,0),23),""))</f>
        <v/>
      </c>
      <c r="Q743" s="73" t="str">
        <f>IF(ISBLANK(C743),"",_xlfn.IFNA(INDEX(inbound_data[],MATCH(Outbound_data[[#This Row],[STOCK CODE OUT]],Generated_Stockcode,0),13),""))</f>
        <v/>
      </c>
    </row>
    <row r="744" spans="2:17" x14ac:dyDescent="0.25">
      <c r="B744" s="71"/>
      <c r="C744" s="65"/>
      <c r="D744" s="55"/>
      <c r="E744" s="65"/>
      <c r="F744" s="166"/>
      <c r="G744" s="167"/>
      <c r="H744" s="166"/>
      <c r="I744" s="72"/>
      <c r="J744" s="55"/>
      <c r="K744" s="72"/>
      <c r="L744" s="55"/>
      <c r="M744" s="174"/>
      <c r="N744" s="73" t="str">
        <f>IF(ISBLANK(C744),"",_xlfn.IFNA(INDEX(inbound_data[],MATCH(Outbound_data[[#This Row],[STOCK CODE OUT]],Generated_Stockcode,0),10),""))</f>
        <v/>
      </c>
      <c r="O744" s="73" t="str">
        <f>IF(ISBLANK(C744),"",_xlfn.IFNA(INDEX(inbound_data[],MATCH(Outbound_data[[#This Row],[STOCK CODE OUT]],Generated_Stockcode,0),12),""))</f>
        <v/>
      </c>
      <c r="P744" s="73" t="str">
        <f>IF(ISBLANK(C744),"",_xlfn.IFNA(INDEX(inbound_data[],MATCH(Outbound_data[[#This Row],[STOCK CODE OUT]],Generated_Stockcode,0),23),""))</f>
        <v/>
      </c>
      <c r="Q744" s="73" t="str">
        <f>IF(ISBLANK(C744),"",_xlfn.IFNA(INDEX(inbound_data[],MATCH(Outbound_data[[#This Row],[STOCK CODE OUT]],Generated_Stockcode,0),13),""))</f>
        <v/>
      </c>
    </row>
    <row r="745" spans="2:17" x14ac:dyDescent="0.25">
      <c r="B745" s="71"/>
      <c r="C745" s="65"/>
      <c r="D745" s="55"/>
      <c r="E745" s="65"/>
      <c r="F745" s="166"/>
      <c r="G745" s="167"/>
      <c r="H745" s="166"/>
      <c r="I745" s="72"/>
      <c r="J745" s="55"/>
      <c r="K745" s="72"/>
      <c r="L745" s="55"/>
      <c r="M745" s="174"/>
      <c r="N745" s="73" t="str">
        <f>IF(ISBLANK(C745),"",_xlfn.IFNA(INDEX(inbound_data[],MATCH(Outbound_data[[#This Row],[STOCK CODE OUT]],Generated_Stockcode,0),10),""))</f>
        <v/>
      </c>
      <c r="O745" s="73" t="str">
        <f>IF(ISBLANK(C745),"",_xlfn.IFNA(INDEX(inbound_data[],MATCH(Outbound_data[[#This Row],[STOCK CODE OUT]],Generated_Stockcode,0),12),""))</f>
        <v/>
      </c>
      <c r="P745" s="73" t="str">
        <f>IF(ISBLANK(C745),"",_xlfn.IFNA(INDEX(inbound_data[],MATCH(Outbound_data[[#This Row],[STOCK CODE OUT]],Generated_Stockcode,0),23),""))</f>
        <v/>
      </c>
      <c r="Q745" s="73" t="str">
        <f>IF(ISBLANK(C745),"",_xlfn.IFNA(INDEX(inbound_data[],MATCH(Outbound_data[[#This Row],[STOCK CODE OUT]],Generated_Stockcode,0),13),""))</f>
        <v/>
      </c>
    </row>
    <row r="746" spans="2:17" x14ac:dyDescent="0.25">
      <c r="B746" s="71"/>
      <c r="C746" s="65"/>
      <c r="D746" s="55"/>
      <c r="E746" s="65"/>
      <c r="F746" s="166"/>
      <c r="G746" s="167"/>
      <c r="H746" s="166"/>
      <c r="I746" s="72"/>
      <c r="J746" s="55"/>
      <c r="K746" s="72"/>
      <c r="L746" s="55"/>
      <c r="M746" s="174"/>
      <c r="N746" s="73" t="str">
        <f>IF(ISBLANK(C746),"",_xlfn.IFNA(INDEX(inbound_data[],MATCH(Outbound_data[[#This Row],[STOCK CODE OUT]],Generated_Stockcode,0),10),""))</f>
        <v/>
      </c>
      <c r="O746" s="73" t="str">
        <f>IF(ISBLANK(C746),"",_xlfn.IFNA(INDEX(inbound_data[],MATCH(Outbound_data[[#This Row],[STOCK CODE OUT]],Generated_Stockcode,0),12),""))</f>
        <v/>
      </c>
      <c r="P746" s="73" t="str">
        <f>IF(ISBLANK(C746),"",_xlfn.IFNA(INDEX(inbound_data[],MATCH(Outbound_data[[#This Row],[STOCK CODE OUT]],Generated_Stockcode,0),23),""))</f>
        <v/>
      </c>
      <c r="Q746" s="73" t="str">
        <f>IF(ISBLANK(C746),"",_xlfn.IFNA(INDEX(inbound_data[],MATCH(Outbound_data[[#This Row],[STOCK CODE OUT]],Generated_Stockcode,0),13),""))</f>
        <v/>
      </c>
    </row>
    <row r="747" spans="2:17" x14ac:dyDescent="0.25">
      <c r="B747" s="71"/>
      <c r="C747" s="65"/>
      <c r="D747" s="55"/>
      <c r="E747" s="65"/>
      <c r="F747" s="166"/>
      <c r="G747" s="167"/>
      <c r="H747" s="166"/>
      <c r="I747" s="72"/>
      <c r="J747" s="55"/>
      <c r="K747" s="72"/>
      <c r="L747" s="55"/>
      <c r="M747" s="174"/>
      <c r="N747" s="73" t="str">
        <f>IF(ISBLANK(C747),"",_xlfn.IFNA(INDEX(inbound_data[],MATCH(Outbound_data[[#This Row],[STOCK CODE OUT]],Generated_Stockcode,0),10),""))</f>
        <v/>
      </c>
      <c r="O747" s="73" t="str">
        <f>IF(ISBLANK(C747),"",_xlfn.IFNA(INDEX(inbound_data[],MATCH(Outbound_data[[#This Row],[STOCK CODE OUT]],Generated_Stockcode,0),12),""))</f>
        <v/>
      </c>
      <c r="P747" s="73" t="str">
        <f>IF(ISBLANK(C747),"",_xlfn.IFNA(INDEX(inbound_data[],MATCH(Outbound_data[[#This Row],[STOCK CODE OUT]],Generated_Stockcode,0),23),""))</f>
        <v/>
      </c>
      <c r="Q747" s="73" t="str">
        <f>IF(ISBLANK(C747),"",_xlfn.IFNA(INDEX(inbound_data[],MATCH(Outbound_data[[#This Row],[STOCK CODE OUT]],Generated_Stockcode,0),13),""))</f>
        <v/>
      </c>
    </row>
    <row r="748" spans="2:17" x14ac:dyDescent="0.25">
      <c r="B748" s="71"/>
      <c r="C748" s="65"/>
      <c r="D748" s="55"/>
      <c r="E748" s="65"/>
      <c r="F748" s="166"/>
      <c r="G748" s="167"/>
      <c r="H748" s="166"/>
      <c r="I748" s="72"/>
      <c r="J748" s="55"/>
      <c r="K748" s="72"/>
      <c r="L748" s="55"/>
      <c r="M748" s="174"/>
      <c r="N748" s="73" t="str">
        <f>IF(ISBLANK(C748),"",_xlfn.IFNA(INDEX(inbound_data[],MATCH(Outbound_data[[#This Row],[STOCK CODE OUT]],Generated_Stockcode,0),10),""))</f>
        <v/>
      </c>
      <c r="O748" s="73" t="str">
        <f>IF(ISBLANK(C748),"",_xlfn.IFNA(INDEX(inbound_data[],MATCH(Outbound_data[[#This Row],[STOCK CODE OUT]],Generated_Stockcode,0),12),""))</f>
        <v/>
      </c>
      <c r="P748" s="73" t="str">
        <f>IF(ISBLANK(C748),"",_xlfn.IFNA(INDEX(inbound_data[],MATCH(Outbound_data[[#This Row],[STOCK CODE OUT]],Generated_Stockcode,0),23),""))</f>
        <v/>
      </c>
      <c r="Q748" s="73" t="str">
        <f>IF(ISBLANK(C748),"",_xlfn.IFNA(INDEX(inbound_data[],MATCH(Outbound_data[[#This Row],[STOCK CODE OUT]],Generated_Stockcode,0),13),""))</f>
        <v/>
      </c>
    </row>
    <row r="749" spans="2:17" x14ac:dyDescent="0.25">
      <c r="B749" s="71"/>
      <c r="C749" s="65"/>
      <c r="D749" s="55"/>
      <c r="E749" s="65"/>
      <c r="F749" s="166"/>
      <c r="G749" s="167"/>
      <c r="H749" s="166"/>
      <c r="I749" s="72"/>
      <c r="J749" s="55"/>
      <c r="K749" s="72"/>
      <c r="L749" s="55"/>
      <c r="M749" s="174"/>
      <c r="N749" s="73" t="str">
        <f>IF(ISBLANK(C749),"",_xlfn.IFNA(INDEX(inbound_data[],MATCH(Outbound_data[[#This Row],[STOCK CODE OUT]],Generated_Stockcode,0),10),""))</f>
        <v/>
      </c>
      <c r="O749" s="73" t="str">
        <f>IF(ISBLANK(C749),"",_xlfn.IFNA(INDEX(inbound_data[],MATCH(Outbound_data[[#This Row],[STOCK CODE OUT]],Generated_Stockcode,0),12),""))</f>
        <v/>
      </c>
      <c r="P749" s="73" t="str">
        <f>IF(ISBLANK(C749),"",_xlfn.IFNA(INDEX(inbound_data[],MATCH(Outbound_data[[#This Row],[STOCK CODE OUT]],Generated_Stockcode,0),23),""))</f>
        <v/>
      </c>
      <c r="Q749" s="73" t="str">
        <f>IF(ISBLANK(C749),"",_xlfn.IFNA(INDEX(inbound_data[],MATCH(Outbound_data[[#This Row],[STOCK CODE OUT]],Generated_Stockcode,0),13),""))</f>
        <v/>
      </c>
    </row>
    <row r="750" spans="2:17" x14ac:dyDescent="0.25">
      <c r="B750" s="71"/>
      <c r="C750" s="65"/>
      <c r="D750" s="55"/>
      <c r="E750" s="65"/>
      <c r="F750" s="166"/>
      <c r="G750" s="167"/>
      <c r="H750" s="166"/>
      <c r="I750" s="72"/>
      <c r="J750" s="55"/>
      <c r="K750" s="72"/>
      <c r="L750" s="55"/>
      <c r="M750" s="174"/>
      <c r="N750" s="73" t="str">
        <f>IF(ISBLANK(C750),"",_xlfn.IFNA(INDEX(inbound_data[],MATCH(Outbound_data[[#This Row],[STOCK CODE OUT]],Generated_Stockcode,0),10),""))</f>
        <v/>
      </c>
      <c r="O750" s="73" t="str">
        <f>IF(ISBLANK(C750),"",_xlfn.IFNA(INDEX(inbound_data[],MATCH(Outbound_data[[#This Row],[STOCK CODE OUT]],Generated_Stockcode,0),12),""))</f>
        <v/>
      </c>
      <c r="P750" s="73" t="str">
        <f>IF(ISBLANK(C750),"",_xlfn.IFNA(INDEX(inbound_data[],MATCH(Outbound_data[[#This Row],[STOCK CODE OUT]],Generated_Stockcode,0),23),""))</f>
        <v/>
      </c>
      <c r="Q750" s="73" t="str">
        <f>IF(ISBLANK(C750),"",_xlfn.IFNA(INDEX(inbound_data[],MATCH(Outbound_data[[#This Row],[STOCK CODE OUT]],Generated_Stockcode,0),13),""))</f>
        <v/>
      </c>
    </row>
    <row r="751" spans="2:17" x14ac:dyDescent="0.25">
      <c r="B751" s="71"/>
      <c r="C751" s="65"/>
      <c r="D751" s="55"/>
      <c r="E751" s="65"/>
      <c r="F751" s="166"/>
      <c r="G751" s="167"/>
      <c r="H751" s="166"/>
      <c r="I751" s="72"/>
      <c r="J751" s="55"/>
      <c r="K751" s="72"/>
      <c r="L751" s="55"/>
      <c r="M751" s="174"/>
      <c r="N751" s="73" t="str">
        <f>IF(ISBLANK(C751),"",_xlfn.IFNA(INDEX(inbound_data[],MATCH(Outbound_data[[#This Row],[STOCK CODE OUT]],Generated_Stockcode,0),10),""))</f>
        <v/>
      </c>
      <c r="O751" s="73" t="str">
        <f>IF(ISBLANK(C751),"",_xlfn.IFNA(INDEX(inbound_data[],MATCH(Outbound_data[[#This Row],[STOCK CODE OUT]],Generated_Stockcode,0),12),""))</f>
        <v/>
      </c>
      <c r="P751" s="73" t="str">
        <f>IF(ISBLANK(C751),"",_xlfn.IFNA(INDEX(inbound_data[],MATCH(Outbound_data[[#This Row],[STOCK CODE OUT]],Generated_Stockcode,0),23),""))</f>
        <v/>
      </c>
      <c r="Q751" s="73" t="str">
        <f>IF(ISBLANK(C751),"",_xlfn.IFNA(INDEX(inbound_data[],MATCH(Outbound_data[[#This Row],[STOCK CODE OUT]],Generated_Stockcode,0),13),""))</f>
        <v/>
      </c>
    </row>
    <row r="752" spans="2:17" x14ac:dyDescent="0.25">
      <c r="B752" s="71"/>
      <c r="C752" s="65"/>
      <c r="D752" s="55"/>
      <c r="E752" s="65"/>
      <c r="F752" s="166"/>
      <c r="G752" s="167"/>
      <c r="H752" s="166"/>
      <c r="I752" s="72"/>
      <c r="J752" s="55"/>
      <c r="K752" s="72"/>
      <c r="L752" s="55"/>
      <c r="M752" s="174"/>
      <c r="N752" s="73" t="str">
        <f>IF(ISBLANK(C752),"",_xlfn.IFNA(INDEX(inbound_data[],MATCH(Outbound_data[[#This Row],[STOCK CODE OUT]],Generated_Stockcode,0),10),""))</f>
        <v/>
      </c>
      <c r="O752" s="73" t="str">
        <f>IF(ISBLANK(C752),"",_xlfn.IFNA(INDEX(inbound_data[],MATCH(Outbound_data[[#This Row],[STOCK CODE OUT]],Generated_Stockcode,0),12),""))</f>
        <v/>
      </c>
      <c r="P752" s="73" t="str">
        <f>IF(ISBLANK(C752),"",_xlfn.IFNA(INDEX(inbound_data[],MATCH(Outbound_data[[#This Row],[STOCK CODE OUT]],Generated_Stockcode,0),23),""))</f>
        <v/>
      </c>
      <c r="Q752" s="73" t="str">
        <f>IF(ISBLANK(C752),"",_xlfn.IFNA(INDEX(inbound_data[],MATCH(Outbound_data[[#This Row],[STOCK CODE OUT]],Generated_Stockcode,0),13),""))</f>
        <v/>
      </c>
    </row>
    <row r="753" spans="2:17" x14ac:dyDescent="0.25">
      <c r="B753" s="71"/>
      <c r="C753" s="65"/>
      <c r="D753" s="55"/>
      <c r="E753" s="65"/>
      <c r="F753" s="166"/>
      <c r="G753" s="167"/>
      <c r="H753" s="166"/>
      <c r="I753" s="72"/>
      <c r="J753" s="55"/>
      <c r="K753" s="72"/>
      <c r="L753" s="55"/>
      <c r="M753" s="174"/>
      <c r="N753" s="73" t="str">
        <f>IF(ISBLANK(C753),"",_xlfn.IFNA(INDEX(inbound_data[],MATCH(Outbound_data[[#This Row],[STOCK CODE OUT]],Generated_Stockcode,0),10),""))</f>
        <v/>
      </c>
      <c r="O753" s="73" t="str">
        <f>IF(ISBLANK(C753),"",_xlfn.IFNA(INDEX(inbound_data[],MATCH(Outbound_data[[#This Row],[STOCK CODE OUT]],Generated_Stockcode,0),12),""))</f>
        <v/>
      </c>
      <c r="P753" s="73" t="str">
        <f>IF(ISBLANK(C753),"",_xlfn.IFNA(INDEX(inbound_data[],MATCH(Outbound_data[[#This Row],[STOCK CODE OUT]],Generated_Stockcode,0),23),""))</f>
        <v/>
      </c>
      <c r="Q753" s="73" t="str">
        <f>IF(ISBLANK(C753),"",_xlfn.IFNA(INDEX(inbound_data[],MATCH(Outbound_data[[#This Row],[STOCK CODE OUT]],Generated_Stockcode,0),13),""))</f>
        <v/>
      </c>
    </row>
    <row r="754" spans="2:17" x14ac:dyDescent="0.25">
      <c r="B754" s="71"/>
      <c r="C754" s="65"/>
      <c r="D754" s="55"/>
      <c r="E754" s="65"/>
      <c r="F754" s="166"/>
      <c r="G754" s="167"/>
      <c r="H754" s="166"/>
      <c r="I754" s="72"/>
      <c r="J754" s="55"/>
      <c r="K754" s="72"/>
      <c r="L754" s="55"/>
      <c r="M754" s="174"/>
      <c r="N754" s="73" t="str">
        <f>IF(ISBLANK(C754),"",_xlfn.IFNA(INDEX(inbound_data[],MATCH(Outbound_data[[#This Row],[STOCK CODE OUT]],Generated_Stockcode,0),10),""))</f>
        <v/>
      </c>
      <c r="O754" s="73" t="str">
        <f>IF(ISBLANK(C754),"",_xlfn.IFNA(INDEX(inbound_data[],MATCH(Outbound_data[[#This Row],[STOCK CODE OUT]],Generated_Stockcode,0),12),""))</f>
        <v/>
      </c>
      <c r="P754" s="73" t="str">
        <f>IF(ISBLANK(C754),"",_xlfn.IFNA(INDEX(inbound_data[],MATCH(Outbound_data[[#This Row],[STOCK CODE OUT]],Generated_Stockcode,0),23),""))</f>
        <v/>
      </c>
      <c r="Q754" s="73" t="str">
        <f>IF(ISBLANK(C754),"",_xlfn.IFNA(INDEX(inbound_data[],MATCH(Outbound_data[[#This Row],[STOCK CODE OUT]],Generated_Stockcode,0),13),""))</f>
        <v/>
      </c>
    </row>
    <row r="755" spans="2:17" x14ac:dyDescent="0.25">
      <c r="B755" s="71"/>
      <c r="C755" s="65"/>
      <c r="D755" s="55"/>
      <c r="E755" s="65"/>
      <c r="F755" s="166"/>
      <c r="G755" s="167"/>
      <c r="H755" s="166"/>
      <c r="I755" s="72"/>
      <c r="J755" s="55"/>
      <c r="K755" s="72"/>
      <c r="L755" s="55"/>
      <c r="M755" s="174"/>
      <c r="N755" s="73" t="str">
        <f>IF(ISBLANK(C755),"",_xlfn.IFNA(INDEX(inbound_data[],MATCH(Outbound_data[[#This Row],[STOCK CODE OUT]],Generated_Stockcode,0),10),""))</f>
        <v/>
      </c>
      <c r="O755" s="73" t="str">
        <f>IF(ISBLANK(C755),"",_xlfn.IFNA(INDEX(inbound_data[],MATCH(Outbound_data[[#This Row],[STOCK CODE OUT]],Generated_Stockcode,0),12),""))</f>
        <v/>
      </c>
      <c r="P755" s="73" t="str">
        <f>IF(ISBLANK(C755),"",_xlfn.IFNA(INDEX(inbound_data[],MATCH(Outbound_data[[#This Row],[STOCK CODE OUT]],Generated_Stockcode,0),23),""))</f>
        <v/>
      </c>
      <c r="Q755" s="73" t="str">
        <f>IF(ISBLANK(C755),"",_xlfn.IFNA(INDEX(inbound_data[],MATCH(Outbound_data[[#This Row],[STOCK CODE OUT]],Generated_Stockcode,0),13),""))</f>
        <v/>
      </c>
    </row>
    <row r="756" spans="2:17" x14ac:dyDescent="0.25">
      <c r="B756" s="71"/>
      <c r="C756" s="65"/>
      <c r="D756" s="55"/>
      <c r="E756" s="65"/>
      <c r="F756" s="166"/>
      <c r="G756" s="167"/>
      <c r="H756" s="166"/>
      <c r="I756" s="72"/>
      <c r="J756" s="55"/>
      <c r="K756" s="72"/>
      <c r="L756" s="55"/>
      <c r="M756" s="174"/>
      <c r="N756" s="73" t="str">
        <f>IF(ISBLANK(C756),"",_xlfn.IFNA(INDEX(inbound_data[],MATCH(Outbound_data[[#This Row],[STOCK CODE OUT]],Generated_Stockcode,0),10),""))</f>
        <v/>
      </c>
      <c r="O756" s="73" t="str">
        <f>IF(ISBLANK(C756),"",_xlfn.IFNA(INDEX(inbound_data[],MATCH(Outbound_data[[#This Row],[STOCK CODE OUT]],Generated_Stockcode,0),12),""))</f>
        <v/>
      </c>
      <c r="P756" s="73" t="str">
        <f>IF(ISBLANK(C756),"",_xlfn.IFNA(INDEX(inbound_data[],MATCH(Outbound_data[[#This Row],[STOCK CODE OUT]],Generated_Stockcode,0),23),""))</f>
        <v/>
      </c>
      <c r="Q756" s="73" t="str">
        <f>IF(ISBLANK(C756),"",_xlfn.IFNA(INDEX(inbound_data[],MATCH(Outbound_data[[#This Row],[STOCK CODE OUT]],Generated_Stockcode,0),13),""))</f>
        <v/>
      </c>
    </row>
    <row r="757" spans="2:17" x14ac:dyDescent="0.25">
      <c r="B757" s="71"/>
      <c r="C757" s="65"/>
      <c r="D757" s="55"/>
      <c r="E757" s="65"/>
      <c r="F757" s="166"/>
      <c r="G757" s="167"/>
      <c r="H757" s="166"/>
      <c r="I757" s="72"/>
      <c r="J757" s="55"/>
      <c r="K757" s="72"/>
      <c r="L757" s="55"/>
      <c r="M757" s="174"/>
      <c r="N757" s="73" t="str">
        <f>IF(ISBLANK(C757),"",_xlfn.IFNA(INDEX(inbound_data[],MATCH(Outbound_data[[#This Row],[STOCK CODE OUT]],Generated_Stockcode,0),10),""))</f>
        <v/>
      </c>
      <c r="O757" s="73" t="str">
        <f>IF(ISBLANK(C757),"",_xlfn.IFNA(INDEX(inbound_data[],MATCH(Outbound_data[[#This Row],[STOCK CODE OUT]],Generated_Stockcode,0),12),""))</f>
        <v/>
      </c>
      <c r="P757" s="73" t="str">
        <f>IF(ISBLANK(C757),"",_xlfn.IFNA(INDEX(inbound_data[],MATCH(Outbound_data[[#This Row],[STOCK CODE OUT]],Generated_Stockcode,0),23),""))</f>
        <v/>
      </c>
      <c r="Q757" s="73" t="str">
        <f>IF(ISBLANK(C757),"",_xlfn.IFNA(INDEX(inbound_data[],MATCH(Outbound_data[[#This Row],[STOCK CODE OUT]],Generated_Stockcode,0),13),""))</f>
        <v/>
      </c>
    </row>
    <row r="758" spans="2:17" x14ac:dyDescent="0.25">
      <c r="B758" s="71"/>
      <c r="C758" s="65"/>
      <c r="D758" s="55"/>
      <c r="E758" s="65"/>
      <c r="F758" s="166"/>
      <c r="G758" s="167"/>
      <c r="H758" s="166"/>
      <c r="I758" s="72"/>
      <c r="J758" s="55"/>
      <c r="K758" s="72"/>
      <c r="L758" s="55"/>
      <c r="M758" s="174"/>
      <c r="N758" s="73" t="str">
        <f>IF(ISBLANK(C758),"",_xlfn.IFNA(INDEX(inbound_data[],MATCH(Outbound_data[[#This Row],[STOCK CODE OUT]],Generated_Stockcode,0),10),""))</f>
        <v/>
      </c>
      <c r="O758" s="73" t="str">
        <f>IF(ISBLANK(C758),"",_xlfn.IFNA(INDEX(inbound_data[],MATCH(Outbound_data[[#This Row],[STOCK CODE OUT]],Generated_Stockcode,0),12),""))</f>
        <v/>
      </c>
      <c r="P758" s="73" t="str">
        <f>IF(ISBLANK(C758),"",_xlfn.IFNA(INDEX(inbound_data[],MATCH(Outbound_data[[#This Row],[STOCK CODE OUT]],Generated_Stockcode,0),23),""))</f>
        <v/>
      </c>
      <c r="Q758" s="73" t="str">
        <f>IF(ISBLANK(C758),"",_xlfn.IFNA(INDEX(inbound_data[],MATCH(Outbound_data[[#This Row],[STOCK CODE OUT]],Generated_Stockcode,0),13),""))</f>
        <v/>
      </c>
    </row>
    <row r="759" spans="2:17" x14ac:dyDescent="0.25">
      <c r="B759" s="71"/>
      <c r="C759" s="65"/>
      <c r="D759" s="55"/>
      <c r="E759" s="65"/>
      <c r="F759" s="166"/>
      <c r="G759" s="167"/>
      <c r="H759" s="166"/>
      <c r="I759" s="72"/>
      <c r="J759" s="55"/>
      <c r="K759" s="72"/>
      <c r="L759" s="55"/>
      <c r="M759" s="174"/>
      <c r="N759" s="73" t="str">
        <f>IF(ISBLANK(C759),"",_xlfn.IFNA(INDEX(inbound_data[],MATCH(Outbound_data[[#This Row],[STOCK CODE OUT]],Generated_Stockcode,0),10),""))</f>
        <v/>
      </c>
      <c r="O759" s="73" t="str">
        <f>IF(ISBLANK(C759),"",_xlfn.IFNA(INDEX(inbound_data[],MATCH(Outbound_data[[#This Row],[STOCK CODE OUT]],Generated_Stockcode,0),12),""))</f>
        <v/>
      </c>
      <c r="P759" s="73" t="str">
        <f>IF(ISBLANK(C759),"",_xlfn.IFNA(INDEX(inbound_data[],MATCH(Outbound_data[[#This Row],[STOCK CODE OUT]],Generated_Stockcode,0),23),""))</f>
        <v/>
      </c>
      <c r="Q759" s="73" t="str">
        <f>IF(ISBLANK(C759),"",_xlfn.IFNA(INDEX(inbound_data[],MATCH(Outbound_data[[#This Row],[STOCK CODE OUT]],Generated_Stockcode,0),13),""))</f>
        <v/>
      </c>
    </row>
    <row r="760" spans="2:17" x14ac:dyDescent="0.25">
      <c r="B760" s="71"/>
      <c r="C760" s="65"/>
      <c r="D760" s="55"/>
      <c r="E760" s="65"/>
      <c r="F760" s="166"/>
      <c r="G760" s="167"/>
      <c r="H760" s="166"/>
      <c r="I760" s="72"/>
      <c r="J760" s="55"/>
      <c r="K760" s="72"/>
      <c r="L760" s="55"/>
      <c r="M760" s="174"/>
      <c r="N760" s="73" t="str">
        <f>IF(ISBLANK(C760),"",_xlfn.IFNA(INDEX(inbound_data[],MATCH(Outbound_data[[#This Row],[STOCK CODE OUT]],Generated_Stockcode,0),10),""))</f>
        <v/>
      </c>
      <c r="O760" s="73" t="str">
        <f>IF(ISBLANK(C760),"",_xlfn.IFNA(INDEX(inbound_data[],MATCH(Outbound_data[[#This Row],[STOCK CODE OUT]],Generated_Stockcode,0),12),""))</f>
        <v/>
      </c>
      <c r="P760" s="73" t="str">
        <f>IF(ISBLANK(C760),"",_xlfn.IFNA(INDEX(inbound_data[],MATCH(Outbound_data[[#This Row],[STOCK CODE OUT]],Generated_Stockcode,0),23),""))</f>
        <v/>
      </c>
      <c r="Q760" s="73" t="str">
        <f>IF(ISBLANK(C760),"",_xlfn.IFNA(INDEX(inbound_data[],MATCH(Outbound_data[[#This Row],[STOCK CODE OUT]],Generated_Stockcode,0),13),""))</f>
        <v/>
      </c>
    </row>
    <row r="761" spans="2:17" x14ac:dyDescent="0.25">
      <c r="B761" s="71"/>
      <c r="C761" s="65"/>
      <c r="D761" s="55"/>
      <c r="E761" s="65"/>
      <c r="F761" s="166"/>
      <c r="G761" s="167"/>
      <c r="H761" s="166"/>
      <c r="I761" s="72"/>
      <c r="J761" s="55"/>
      <c r="K761" s="72"/>
      <c r="L761" s="55"/>
      <c r="M761" s="174"/>
      <c r="N761" s="73" t="str">
        <f>IF(ISBLANK(C761),"",_xlfn.IFNA(INDEX(inbound_data[],MATCH(Outbound_data[[#This Row],[STOCK CODE OUT]],Generated_Stockcode,0),10),""))</f>
        <v/>
      </c>
      <c r="O761" s="73" t="str">
        <f>IF(ISBLANK(C761),"",_xlfn.IFNA(INDEX(inbound_data[],MATCH(Outbound_data[[#This Row],[STOCK CODE OUT]],Generated_Stockcode,0),12),""))</f>
        <v/>
      </c>
      <c r="P761" s="73" t="str">
        <f>IF(ISBLANK(C761),"",_xlfn.IFNA(INDEX(inbound_data[],MATCH(Outbound_data[[#This Row],[STOCK CODE OUT]],Generated_Stockcode,0),23),""))</f>
        <v/>
      </c>
      <c r="Q761" s="73" t="str">
        <f>IF(ISBLANK(C761),"",_xlfn.IFNA(INDEX(inbound_data[],MATCH(Outbound_data[[#This Row],[STOCK CODE OUT]],Generated_Stockcode,0),13),""))</f>
        <v/>
      </c>
    </row>
    <row r="762" spans="2:17" x14ac:dyDescent="0.25">
      <c r="B762" s="71"/>
      <c r="C762" s="65"/>
      <c r="D762" s="55"/>
      <c r="E762" s="65"/>
      <c r="F762" s="166"/>
      <c r="G762" s="167"/>
      <c r="H762" s="166"/>
      <c r="I762" s="72"/>
      <c r="J762" s="55"/>
      <c r="K762" s="72"/>
      <c r="L762" s="55"/>
      <c r="M762" s="174"/>
      <c r="N762" s="73" t="str">
        <f>IF(ISBLANK(C762),"",_xlfn.IFNA(INDEX(inbound_data[],MATCH(Outbound_data[[#This Row],[STOCK CODE OUT]],Generated_Stockcode,0),10),""))</f>
        <v/>
      </c>
      <c r="O762" s="73" t="str">
        <f>IF(ISBLANK(C762),"",_xlfn.IFNA(INDEX(inbound_data[],MATCH(Outbound_data[[#This Row],[STOCK CODE OUT]],Generated_Stockcode,0),12),""))</f>
        <v/>
      </c>
      <c r="P762" s="73" t="str">
        <f>IF(ISBLANK(C762),"",_xlfn.IFNA(INDEX(inbound_data[],MATCH(Outbound_data[[#This Row],[STOCK CODE OUT]],Generated_Stockcode,0),23),""))</f>
        <v/>
      </c>
      <c r="Q762" s="73" t="str">
        <f>IF(ISBLANK(C762),"",_xlfn.IFNA(INDEX(inbound_data[],MATCH(Outbound_data[[#This Row],[STOCK CODE OUT]],Generated_Stockcode,0),13),""))</f>
        <v/>
      </c>
    </row>
    <row r="763" spans="2:17" x14ac:dyDescent="0.25">
      <c r="B763" s="71"/>
      <c r="C763" s="65"/>
      <c r="D763" s="55"/>
      <c r="E763" s="65"/>
      <c r="F763" s="166"/>
      <c r="G763" s="167"/>
      <c r="H763" s="166"/>
      <c r="I763" s="72"/>
      <c r="J763" s="55"/>
      <c r="K763" s="72"/>
      <c r="L763" s="55"/>
      <c r="M763" s="174"/>
      <c r="N763" s="73" t="str">
        <f>IF(ISBLANK(C763),"",_xlfn.IFNA(INDEX(inbound_data[],MATCH(Outbound_data[[#This Row],[STOCK CODE OUT]],Generated_Stockcode,0),10),""))</f>
        <v/>
      </c>
      <c r="O763" s="73" t="str">
        <f>IF(ISBLANK(C763),"",_xlfn.IFNA(INDEX(inbound_data[],MATCH(Outbound_data[[#This Row],[STOCK CODE OUT]],Generated_Stockcode,0),12),""))</f>
        <v/>
      </c>
      <c r="P763" s="73" t="str">
        <f>IF(ISBLANK(C763),"",_xlfn.IFNA(INDEX(inbound_data[],MATCH(Outbound_data[[#This Row],[STOCK CODE OUT]],Generated_Stockcode,0),23),""))</f>
        <v/>
      </c>
      <c r="Q763" s="73" t="str">
        <f>IF(ISBLANK(C763),"",_xlfn.IFNA(INDEX(inbound_data[],MATCH(Outbound_data[[#This Row],[STOCK CODE OUT]],Generated_Stockcode,0),13),""))</f>
        <v/>
      </c>
    </row>
    <row r="764" spans="2:17" x14ac:dyDescent="0.25">
      <c r="B764" s="71"/>
      <c r="C764" s="65"/>
      <c r="D764" s="55"/>
      <c r="E764" s="65"/>
      <c r="F764" s="166"/>
      <c r="G764" s="167"/>
      <c r="H764" s="166"/>
      <c r="I764" s="72"/>
      <c r="J764" s="55"/>
      <c r="K764" s="72"/>
      <c r="L764" s="55"/>
      <c r="M764" s="174"/>
      <c r="N764" s="73" t="str">
        <f>IF(ISBLANK(C764),"",_xlfn.IFNA(INDEX(inbound_data[],MATCH(Outbound_data[[#This Row],[STOCK CODE OUT]],Generated_Stockcode,0),10),""))</f>
        <v/>
      </c>
      <c r="O764" s="73" t="str">
        <f>IF(ISBLANK(C764),"",_xlfn.IFNA(INDEX(inbound_data[],MATCH(Outbound_data[[#This Row],[STOCK CODE OUT]],Generated_Stockcode,0),12),""))</f>
        <v/>
      </c>
      <c r="P764" s="73" t="str">
        <f>IF(ISBLANK(C764),"",_xlfn.IFNA(INDEX(inbound_data[],MATCH(Outbound_data[[#This Row],[STOCK CODE OUT]],Generated_Stockcode,0),23),""))</f>
        <v/>
      </c>
      <c r="Q764" s="73" t="str">
        <f>IF(ISBLANK(C764),"",_xlfn.IFNA(INDEX(inbound_data[],MATCH(Outbound_data[[#This Row],[STOCK CODE OUT]],Generated_Stockcode,0),13),""))</f>
        <v/>
      </c>
    </row>
    <row r="765" spans="2:17" x14ac:dyDescent="0.25">
      <c r="B765" s="71"/>
      <c r="C765" s="65"/>
      <c r="D765" s="55"/>
      <c r="E765" s="65"/>
      <c r="F765" s="166"/>
      <c r="G765" s="167"/>
      <c r="H765" s="166"/>
      <c r="I765" s="72"/>
      <c r="J765" s="55"/>
      <c r="K765" s="72"/>
      <c r="L765" s="55"/>
      <c r="M765" s="174"/>
      <c r="N765" s="73" t="str">
        <f>IF(ISBLANK(C765),"",_xlfn.IFNA(INDEX(inbound_data[],MATCH(Outbound_data[[#This Row],[STOCK CODE OUT]],Generated_Stockcode,0),10),""))</f>
        <v/>
      </c>
      <c r="O765" s="73" t="str">
        <f>IF(ISBLANK(C765),"",_xlfn.IFNA(INDEX(inbound_data[],MATCH(Outbound_data[[#This Row],[STOCK CODE OUT]],Generated_Stockcode,0),12),""))</f>
        <v/>
      </c>
      <c r="P765" s="73" t="str">
        <f>IF(ISBLANK(C765),"",_xlfn.IFNA(INDEX(inbound_data[],MATCH(Outbound_data[[#This Row],[STOCK CODE OUT]],Generated_Stockcode,0),23),""))</f>
        <v/>
      </c>
      <c r="Q765" s="73" t="str">
        <f>IF(ISBLANK(C765),"",_xlfn.IFNA(INDEX(inbound_data[],MATCH(Outbound_data[[#This Row],[STOCK CODE OUT]],Generated_Stockcode,0),13),""))</f>
        <v/>
      </c>
    </row>
    <row r="766" spans="2:17" x14ac:dyDescent="0.25">
      <c r="B766" s="71"/>
      <c r="C766" s="65"/>
      <c r="D766" s="55"/>
      <c r="E766" s="65"/>
      <c r="F766" s="166"/>
      <c r="G766" s="167"/>
      <c r="H766" s="166"/>
      <c r="I766" s="72"/>
      <c r="J766" s="55"/>
      <c r="K766" s="72"/>
      <c r="L766" s="55"/>
      <c r="M766" s="174"/>
      <c r="N766" s="73" t="str">
        <f>IF(ISBLANK(C766),"",_xlfn.IFNA(INDEX(inbound_data[],MATCH(Outbound_data[[#This Row],[STOCK CODE OUT]],Generated_Stockcode,0),10),""))</f>
        <v/>
      </c>
      <c r="O766" s="73" t="str">
        <f>IF(ISBLANK(C766),"",_xlfn.IFNA(INDEX(inbound_data[],MATCH(Outbound_data[[#This Row],[STOCK CODE OUT]],Generated_Stockcode,0),12),""))</f>
        <v/>
      </c>
      <c r="P766" s="73" t="str">
        <f>IF(ISBLANK(C766),"",_xlfn.IFNA(INDEX(inbound_data[],MATCH(Outbound_data[[#This Row],[STOCK CODE OUT]],Generated_Stockcode,0),23),""))</f>
        <v/>
      </c>
      <c r="Q766" s="73" t="str">
        <f>IF(ISBLANK(C766),"",_xlfn.IFNA(INDEX(inbound_data[],MATCH(Outbound_data[[#This Row],[STOCK CODE OUT]],Generated_Stockcode,0),13),""))</f>
        <v/>
      </c>
    </row>
    <row r="767" spans="2:17" x14ac:dyDescent="0.25">
      <c r="B767" s="71"/>
      <c r="C767" s="65"/>
      <c r="D767" s="55"/>
      <c r="E767" s="65"/>
      <c r="F767" s="166"/>
      <c r="G767" s="167"/>
      <c r="H767" s="166"/>
      <c r="I767" s="72"/>
      <c r="J767" s="55"/>
      <c r="K767" s="72"/>
      <c r="L767" s="55"/>
      <c r="M767" s="174"/>
      <c r="N767" s="73" t="str">
        <f>IF(ISBLANK(C767),"",_xlfn.IFNA(INDEX(inbound_data[],MATCH(Outbound_data[[#This Row],[STOCK CODE OUT]],Generated_Stockcode,0),10),""))</f>
        <v/>
      </c>
      <c r="O767" s="73" t="str">
        <f>IF(ISBLANK(C767),"",_xlfn.IFNA(INDEX(inbound_data[],MATCH(Outbound_data[[#This Row],[STOCK CODE OUT]],Generated_Stockcode,0),12),""))</f>
        <v/>
      </c>
      <c r="P767" s="73" t="str">
        <f>IF(ISBLANK(C767),"",_xlfn.IFNA(INDEX(inbound_data[],MATCH(Outbound_data[[#This Row],[STOCK CODE OUT]],Generated_Stockcode,0),23),""))</f>
        <v/>
      </c>
      <c r="Q767" s="73" t="str">
        <f>IF(ISBLANK(C767),"",_xlfn.IFNA(INDEX(inbound_data[],MATCH(Outbound_data[[#This Row],[STOCK CODE OUT]],Generated_Stockcode,0),13),""))</f>
        <v/>
      </c>
    </row>
    <row r="768" spans="2:17" x14ac:dyDescent="0.25">
      <c r="B768" s="71"/>
      <c r="C768" s="65"/>
      <c r="D768" s="55"/>
      <c r="E768" s="65"/>
      <c r="F768" s="166"/>
      <c r="G768" s="167"/>
      <c r="H768" s="166"/>
      <c r="I768" s="72"/>
      <c r="J768" s="55"/>
      <c r="K768" s="72"/>
      <c r="L768" s="55"/>
      <c r="M768" s="174"/>
      <c r="N768" s="73" t="str">
        <f>IF(ISBLANK(C768),"",_xlfn.IFNA(INDEX(inbound_data[],MATCH(Outbound_data[[#This Row],[STOCK CODE OUT]],Generated_Stockcode,0),10),""))</f>
        <v/>
      </c>
      <c r="O768" s="73" t="str">
        <f>IF(ISBLANK(C768),"",_xlfn.IFNA(INDEX(inbound_data[],MATCH(Outbound_data[[#This Row],[STOCK CODE OUT]],Generated_Stockcode,0),12),""))</f>
        <v/>
      </c>
      <c r="P768" s="73" t="str">
        <f>IF(ISBLANK(C768),"",_xlfn.IFNA(INDEX(inbound_data[],MATCH(Outbound_data[[#This Row],[STOCK CODE OUT]],Generated_Stockcode,0),23),""))</f>
        <v/>
      </c>
      <c r="Q768" s="73" t="str">
        <f>IF(ISBLANK(C768),"",_xlfn.IFNA(INDEX(inbound_data[],MATCH(Outbound_data[[#This Row],[STOCK CODE OUT]],Generated_Stockcode,0),13),""))</f>
        <v/>
      </c>
    </row>
    <row r="769" spans="2:17" x14ac:dyDescent="0.25">
      <c r="B769" s="71"/>
      <c r="C769" s="65"/>
      <c r="D769" s="55"/>
      <c r="E769" s="65"/>
      <c r="F769" s="166"/>
      <c r="G769" s="167"/>
      <c r="H769" s="166"/>
      <c r="I769" s="72"/>
      <c r="J769" s="55"/>
      <c r="K769" s="72"/>
      <c r="L769" s="55"/>
      <c r="M769" s="174"/>
      <c r="N769" s="73" t="str">
        <f>IF(ISBLANK(C769),"",_xlfn.IFNA(INDEX(inbound_data[],MATCH(Outbound_data[[#This Row],[STOCK CODE OUT]],Generated_Stockcode,0),10),""))</f>
        <v/>
      </c>
      <c r="O769" s="73" t="str">
        <f>IF(ISBLANK(C769),"",_xlfn.IFNA(INDEX(inbound_data[],MATCH(Outbound_data[[#This Row],[STOCK CODE OUT]],Generated_Stockcode,0),12),""))</f>
        <v/>
      </c>
      <c r="P769" s="73" t="str">
        <f>IF(ISBLANK(C769),"",_xlfn.IFNA(INDEX(inbound_data[],MATCH(Outbound_data[[#This Row],[STOCK CODE OUT]],Generated_Stockcode,0),23),""))</f>
        <v/>
      </c>
      <c r="Q769" s="73" t="str">
        <f>IF(ISBLANK(C769),"",_xlfn.IFNA(INDEX(inbound_data[],MATCH(Outbound_data[[#This Row],[STOCK CODE OUT]],Generated_Stockcode,0),13),""))</f>
        <v/>
      </c>
    </row>
    <row r="770" spans="2:17" x14ac:dyDescent="0.25">
      <c r="B770" s="71"/>
      <c r="C770" s="65"/>
      <c r="D770" s="55"/>
      <c r="E770" s="65"/>
      <c r="F770" s="166"/>
      <c r="G770" s="167"/>
      <c r="H770" s="166"/>
      <c r="I770" s="72"/>
      <c r="J770" s="55"/>
      <c r="K770" s="72"/>
      <c r="L770" s="55"/>
      <c r="M770" s="174"/>
      <c r="N770" s="73" t="str">
        <f>IF(ISBLANK(C770),"",_xlfn.IFNA(INDEX(inbound_data[],MATCH(Outbound_data[[#This Row],[STOCK CODE OUT]],Generated_Stockcode,0),10),""))</f>
        <v/>
      </c>
      <c r="O770" s="73" t="str">
        <f>IF(ISBLANK(C770),"",_xlfn.IFNA(INDEX(inbound_data[],MATCH(Outbound_data[[#This Row],[STOCK CODE OUT]],Generated_Stockcode,0),12),""))</f>
        <v/>
      </c>
      <c r="P770" s="73" t="str">
        <f>IF(ISBLANK(C770),"",_xlfn.IFNA(INDEX(inbound_data[],MATCH(Outbound_data[[#This Row],[STOCK CODE OUT]],Generated_Stockcode,0),23),""))</f>
        <v/>
      </c>
      <c r="Q770" s="73" t="str">
        <f>IF(ISBLANK(C770),"",_xlfn.IFNA(INDEX(inbound_data[],MATCH(Outbound_data[[#This Row],[STOCK CODE OUT]],Generated_Stockcode,0),13),""))</f>
        <v/>
      </c>
    </row>
    <row r="771" spans="2:17" x14ac:dyDescent="0.25">
      <c r="B771" s="71"/>
      <c r="C771" s="65"/>
      <c r="D771" s="55"/>
      <c r="E771" s="65"/>
      <c r="F771" s="166"/>
      <c r="G771" s="167"/>
      <c r="H771" s="166"/>
      <c r="I771" s="72"/>
      <c r="J771" s="55"/>
      <c r="K771" s="72"/>
      <c r="L771" s="55"/>
      <c r="M771" s="174"/>
      <c r="N771" s="73" t="str">
        <f>IF(ISBLANK(C771),"",_xlfn.IFNA(INDEX(inbound_data[],MATCH(Outbound_data[[#This Row],[STOCK CODE OUT]],Generated_Stockcode,0),10),""))</f>
        <v/>
      </c>
      <c r="O771" s="73" t="str">
        <f>IF(ISBLANK(C771),"",_xlfn.IFNA(INDEX(inbound_data[],MATCH(Outbound_data[[#This Row],[STOCK CODE OUT]],Generated_Stockcode,0),12),""))</f>
        <v/>
      </c>
      <c r="P771" s="73" t="str">
        <f>IF(ISBLANK(C771),"",_xlfn.IFNA(INDEX(inbound_data[],MATCH(Outbound_data[[#This Row],[STOCK CODE OUT]],Generated_Stockcode,0),23),""))</f>
        <v/>
      </c>
      <c r="Q771" s="73" t="str">
        <f>IF(ISBLANK(C771),"",_xlfn.IFNA(INDEX(inbound_data[],MATCH(Outbound_data[[#This Row],[STOCK CODE OUT]],Generated_Stockcode,0),13),""))</f>
        <v/>
      </c>
    </row>
    <row r="772" spans="2:17" x14ac:dyDescent="0.25">
      <c r="B772" s="71"/>
      <c r="C772" s="65"/>
      <c r="D772" s="55"/>
      <c r="E772" s="65"/>
      <c r="F772" s="166"/>
      <c r="G772" s="167"/>
      <c r="H772" s="166"/>
      <c r="I772" s="72"/>
      <c r="J772" s="55"/>
      <c r="K772" s="72"/>
      <c r="L772" s="55"/>
      <c r="M772" s="174"/>
      <c r="N772" s="73" t="str">
        <f>IF(ISBLANK(C772),"",_xlfn.IFNA(INDEX(inbound_data[],MATCH(Outbound_data[[#This Row],[STOCK CODE OUT]],Generated_Stockcode,0),10),""))</f>
        <v/>
      </c>
      <c r="O772" s="73" t="str">
        <f>IF(ISBLANK(C772),"",_xlfn.IFNA(INDEX(inbound_data[],MATCH(Outbound_data[[#This Row],[STOCK CODE OUT]],Generated_Stockcode,0),12),""))</f>
        <v/>
      </c>
      <c r="P772" s="73" t="str">
        <f>IF(ISBLANK(C772),"",_xlfn.IFNA(INDEX(inbound_data[],MATCH(Outbound_data[[#This Row],[STOCK CODE OUT]],Generated_Stockcode,0),23),""))</f>
        <v/>
      </c>
      <c r="Q772" s="73" t="str">
        <f>IF(ISBLANK(C772),"",_xlfn.IFNA(INDEX(inbound_data[],MATCH(Outbound_data[[#This Row],[STOCK CODE OUT]],Generated_Stockcode,0),13),""))</f>
        <v/>
      </c>
    </row>
    <row r="773" spans="2:17" x14ac:dyDescent="0.25">
      <c r="B773" s="71"/>
      <c r="C773" s="65"/>
      <c r="D773" s="55"/>
      <c r="E773" s="65"/>
      <c r="F773" s="166"/>
      <c r="G773" s="167"/>
      <c r="H773" s="166"/>
      <c r="I773" s="72"/>
      <c r="J773" s="55"/>
      <c r="K773" s="72"/>
      <c r="L773" s="55"/>
      <c r="M773" s="174"/>
      <c r="N773" s="73" t="str">
        <f>IF(ISBLANK(C773),"",_xlfn.IFNA(INDEX(inbound_data[],MATCH(Outbound_data[[#This Row],[STOCK CODE OUT]],Generated_Stockcode,0),10),""))</f>
        <v/>
      </c>
      <c r="O773" s="73" t="str">
        <f>IF(ISBLANK(C773),"",_xlfn.IFNA(INDEX(inbound_data[],MATCH(Outbound_data[[#This Row],[STOCK CODE OUT]],Generated_Stockcode,0),12),""))</f>
        <v/>
      </c>
      <c r="P773" s="73" t="str">
        <f>IF(ISBLANK(C773),"",_xlfn.IFNA(INDEX(inbound_data[],MATCH(Outbound_data[[#This Row],[STOCK CODE OUT]],Generated_Stockcode,0),23),""))</f>
        <v/>
      </c>
      <c r="Q773" s="73" t="str">
        <f>IF(ISBLANK(C773),"",_xlfn.IFNA(INDEX(inbound_data[],MATCH(Outbound_data[[#This Row],[STOCK CODE OUT]],Generated_Stockcode,0),13),""))</f>
        <v/>
      </c>
    </row>
    <row r="774" spans="2:17" x14ac:dyDescent="0.25">
      <c r="B774" s="71"/>
      <c r="C774" s="65"/>
      <c r="D774" s="55"/>
      <c r="E774" s="65"/>
      <c r="F774" s="166"/>
      <c r="G774" s="167"/>
      <c r="H774" s="166"/>
      <c r="I774" s="72"/>
      <c r="J774" s="55"/>
      <c r="K774" s="72"/>
      <c r="L774" s="55"/>
      <c r="M774" s="174"/>
      <c r="N774" s="73" t="str">
        <f>IF(ISBLANK(C774),"",_xlfn.IFNA(INDEX(inbound_data[],MATCH(Outbound_data[[#This Row],[STOCK CODE OUT]],Generated_Stockcode,0),10),""))</f>
        <v/>
      </c>
      <c r="O774" s="73" t="str">
        <f>IF(ISBLANK(C774),"",_xlfn.IFNA(INDEX(inbound_data[],MATCH(Outbound_data[[#This Row],[STOCK CODE OUT]],Generated_Stockcode,0),12),""))</f>
        <v/>
      </c>
      <c r="P774" s="73" t="str">
        <f>IF(ISBLANK(C774),"",_xlfn.IFNA(INDEX(inbound_data[],MATCH(Outbound_data[[#This Row],[STOCK CODE OUT]],Generated_Stockcode,0),23),""))</f>
        <v/>
      </c>
      <c r="Q774" s="73" t="str">
        <f>IF(ISBLANK(C774),"",_xlfn.IFNA(INDEX(inbound_data[],MATCH(Outbound_data[[#This Row],[STOCK CODE OUT]],Generated_Stockcode,0),13),""))</f>
        <v/>
      </c>
    </row>
    <row r="775" spans="2:17" x14ac:dyDescent="0.25">
      <c r="B775" s="71"/>
      <c r="C775" s="65"/>
      <c r="D775" s="55"/>
      <c r="E775" s="65"/>
      <c r="F775" s="166"/>
      <c r="G775" s="167"/>
      <c r="H775" s="166"/>
      <c r="I775" s="72"/>
      <c r="J775" s="55"/>
      <c r="K775" s="72"/>
      <c r="L775" s="55"/>
      <c r="M775" s="174"/>
      <c r="N775" s="73" t="str">
        <f>IF(ISBLANK(C775),"",_xlfn.IFNA(INDEX(inbound_data[],MATCH(Outbound_data[[#This Row],[STOCK CODE OUT]],Generated_Stockcode,0),10),""))</f>
        <v/>
      </c>
      <c r="O775" s="73" t="str">
        <f>IF(ISBLANK(C775),"",_xlfn.IFNA(INDEX(inbound_data[],MATCH(Outbound_data[[#This Row],[STOCK CODE OUT]],Generated_Stockcode,0),12),""))</f>
        <v/>
      </c>
      <c r="P775" s="73" t="str">
        <f>IF(ISBLANK(C775),"",_xlfn.IFNA(INDEX(inbound_data[],MATCH(Outbound_data[[#This Row],[STOCK CODE OUT]],Generated_Stockcode,0),23),""))</f>
        <v/>
      </c>
      <c r="Q775" s="73" t="str">
        <f>IF(ISBLANK(C775),"",_xlfn.IFNA(INDEX(inbound_data[],MATCH(Outbound_data[[#This Row],[STOCK CODE OUT]],Generated_Stockcode,0),13),""))</f>
        <v/>
      </c>
    </row>
    <row r="776" spans="2:17" x14ac:dyDescent="0.25">
      <c r="B776" s="71"/>
      <c r="C776" s="65"/>
      <c r="D776" s="55"/>
      <c r="E776" s="65"/>
      <c r="F776" s="166"/>
      <c r="G776" s="167"/>
      <c r="H776" s="166"/>
      <c r="I776" s="72"/>
      <c r="J776" s="55"/>
      <c r="K776" s="72"/>
      <c r="L776" s="55"/>
      <c r="M776" s="174"/>
      <c r="N776" s="73" t="str">
        <f>IF(ISBLANK(C776),"",_xlfn.IFNA(INDEX(inbound_data[],MATCH(Outbound_data[[#This Row],[STOCK CODE OUT]],Generated_Stockcode,0),10),""))</f>
        <v/>
      </c>
      <c r="O776" s="73" t="str">
        <f>IF(ISBLANK(C776),"",_xlfn.IFNA(INDEX(inbound_data[],MATCH(Outbound_data[[#This Row],[STOCK CODE OUT]],Generated_Stockcode,0),12),""))</f>
        <v/>
      </c>
      <c r="P776" s="73" t="str">
        <f>IF(ISBLANK(C776),"",_xlfn.IFNA(INDEX(inbound_data[],MATCH(Outbound_data[[#This Row],[STOCK CODE OUT]],Generated_Stockcode,0),23),""))</f>
        <v/>
      </c>
      <c r="Q776" s="73" t="str">
        <f>IF(ISBLANK(C776),"",_xlfn.IFNA(INDEX(inbound_data[],MATCH(Outbound_data[[#This Row],[STOCK CODE OUT]],Generated_Stockcode,0),13),""))</f>
        <v/>
      </c>
    </row>
    <row r="777" spans="2:17" x14ac:dyDescent="0.25">
      <c r="B777" s="71"/>
      <c r="C777" s="65"/>
      <c r="D777" s="55"/>
      <c r="E777" s="65"/>
      <c r="F777" s="166"/>
      <c r="G777" s="167"/>
      <c r="H777" s="166"/>
      <c r="I777" s="72"/>
      <c r="J777" s="55"/>
      <c r="K777" s="72"/>
      <c r="L777" s="55"/>
      <c r="M777" s="174"/>
      <c r="N777" s="73" t="str">
        <f>IF(ISBLANK(C777),"",_xlfn.IFNA(INDEX(inbound_data[],MATCH(Outbound_data[[#This Row],[STOCK CODE OUT]],Generated_Stockcode,0),10),""))</f>
        <v/>
      </c>
      <c r="O777" s="73" t="str">
        <f>IF(ISBLANK(C777),"",_xlfn.IFNA(INDEX(inbound_data[],MATCH(Outbound_data[[#This Row],[STOCK CODE OUT]],Generated_Stockcode,0),12),""))</f>
        <v/>
      </c>
      <c r="P777" s="73" t="str">
        <f>IF(ISBLANK(C777),"",_xlfn.IFNA(INDEX(inbound_data[],MATCH(Outbound_data[[#This Row],[STOCK CODE OUT]],Generated_Stockcode,0),23),""))</f>
        <v/>
      </c>
      <c r="Q777" s="73" t="str">
        <f>IF(ISBLANK(C777),"",_xlfn.IFNA(INDEX(inbound_data[],MATCH(Outbound_data[[#This Row],[STOCK CODE OUT]],Generated_Stockcode,0),13),""))</f>
        <v/>
      </c>
    </row>
    <row r="778" spans="2:17" x14ac:dyDescent="0.25">
      <c r="B778" s="71"/>
      <c r="C778" s="65"/>
      <c r="D778" s="55"/>
      <c r="E778" s="65"/>
      <c r="F778" s="166"/>
      <c r="G778" s="167"/>
      <c r="H778" s="166"/>
      <c r="I778" s="72"/>
      <c r="J778" s="55"/>
      <c r="K778" s="72"/>
      <c r="L778" s="55"/>
      <c r="M778" s="174"/>
      <c r="N778" s="73" t="str">
        <f>IF(ISBLANK(C778),"",_xlfn.IFNA(INDEX(inbound_data[],MATCH(Outbound_data[[#This Row],[STOCK CODE OUT]],Generated_Stockcode,0),10),""))</f>
        <v/>
      </c>
      <c r="O778" s="73" t="str">
        <f>IF(ISBLANK(C778),"",_xlfn.IFNA(INDEX(inbound_data[],MATCH(Outbound_data[[#This Row],[STOCK CODE OUT]],Generated_Stockcode,0),12),""))</f>
        <v/>
      </c>
      <c r="P778" s="73" t="str">
        <f>IF(ISBLANK(C778),"",_xlfn.IFNA(INDEX(inbound_data[],MATCH(Outbound_data[[#This Row],[STOCK CODE OUT]],Generated_Stockcode,0),23),""))</f>
        <v/>
      </c>
      <c r="Q778" s="73" t="str">
        <f>IF(ISBLANK(C778),"",_xlfn.IFNA(INDEX(inbound_data[],MATCH(Outbound_data[[#This Row],[STOCK CODE OUT]],Generated_Stockcode,0),13),""))</f>
        <v/>
      </c>
    </row>
    <row r="779" spans="2:17" x14ac:dyDescent="0.25">
      <c r="B779" s="71"/>
      <c r="C779" s="65"/>
      <c r="D779" s="55"/>
      <c r="E779" s="65"/>
      <c r="F779" s="166"/>
      <c r="G779" s="167"/>
      <c r="H779" s="166"/>
      <c r="I779" s="72"/>
      <c r="J779" s="55"/>
      <c r="K779" s="72"/>
      <c r="L779" s="55"/>
      <c r="M779" s="174"/>
      <c r="N779" s="73" t="str">
        <f>IF(ISBLANK(C779),"",_xlfn.IFNA(INDEX(inbound_data[],MATCH(Outbound_data[[#This Row],[STOCK CODE OUT]],Generated_Stockcode,0),10),""))</f>
        <v/>
      </c>
      <c r="O779" s="73" t="str">
        <f>IF(ISBLANK(C779),"",_xlfn.IFNA(INDEX(inbound_data[],MATCH(Outbound_data[[#This Row],[STOCK CODE OUT]],Generated_Stockcode,0),12),""))</f>
        <v/>
      </c>
      <c r="P779" s="73" t="str">
        <f>IF(ISBLANK(C779),"",_xlfn.IFNA(INDEX(inbound_data[],MATCH(Outbound_data[[#This Row],[STOCK CODE OUT]],Generated_Stockcode,0),23),""))</f>
        <v/>
      </c>
      <c r="Q779" s="73" t="str">
        <f>IF(ISBLANK(C779),"",_xlfn.IFNA(INDEX(inbound_data[],MATCH(Outbound_data[[#This Row],[STOCK CODE OUT]],Generated_Stockcode,0),13),""))</f>
        <v/>
      </c>
    </row>
    <row r="780" spans="2:17" x14ac:dyDescent="0.25">
      <c r="B780" s="71"/>
      <c r="C780" s="65"/>
      <c r="D780" s="55"/>
      <c r="E780" s="65"/>
      <c r="F780" s="166"/>
      <c r="G780" s="167"/>
      <c r="H780" s="166"/>
      <c r="I780" s="72"/>
      <c r="J780" s="55"/>
      <c r="K780" s="72"/>
      <c r="L780" s="55"/>
      <c r="M780" s="174"/>
      <c r="N780" s="73" t="str">
        <f>IF(ISBLANK(C780),"",_xlfn.IFNA(INDEX(inbound_data[],MATCH(Outbound_data[[#This Row],[STOCK CODE OUT]],Generated_Stockcode,0),10),""))</f>
        <v/>
      </c>
      <c r="O780" s="73" t="str">
        <f>IF(ISBLANK(C780),"",_xlfn.IFNA(INDEX(inbound_data[],MATCH(Outbound_data[[#This Row],[STOCK CODE OUT]],Generated_Stockcode,0),12),""))</f>
        <v/>
      </c>
      <c r="P780" s="73" t="str">
        <f>IF(ISBLANK(C780),"",_xlfn.IFNA(INDEX(inbound_data[],MATCH(Outbound_data[[#This Row],[STOCK CODE OUT]],Generated_Stockcode,0),23),""))</f>
        <v/>
      </c>
      <c r="Q780" s="73" t="str">
        <f>IF(ISBLANK(C780),"",_xlfn.IFNA(INDEX(inbound_data[],MATCH(Outbound_data[[#This Row],[STOCK CODE OUT]],Generated_Stockcode,0),13),""))</f>
        <v/>
      </c>
    </row>
    <row r="781" spans="2:17" x14ac:dyDescent="0.25">
      <c r="B781" s="71"/>
      <c r="C781" s="65"/>
      <c r="D781" s="55"/>
      <c r="E781" s="65"/>
      <c r="F781" s="166"/>
      <c r="G781" s="167"/>
      <c r="H781" s="166"/>
      <c r="I781" s="72"/>
      <c r="J781" s="55"/>
      <c r="K781" s="72"/>
      <c r="L781" s="55"/>
      <c r="M781" s="174"/>
      <c r="N781" s="73" t="str">
        <f>IF(ISBLANK(C781),"",_xlfn.IFNA(INDEX(inbound_data[],MATCH(Outbound_data[[#This Row],[STOCK CODE OUT]],Generated_Stockcode,0),10),""))</f>
        <v/>
      </c>
      <c r="O781" s="73" t="str">
        <f>IF(ISBLANK(C781),"",_xlfn.IFNA(INDEX(inbound_data[],MATCH(Outbound_data[[#This Row],[STOCK CODE OUT]],Generated_Stockcode,0),12),""))</f>
        <v/>
      </c>
      <c r="P781" s="73" t="str">
        <f>IF(ISBLANK(C781),"",_xlfn.IFNA(INDEX(inbound_data[],MATCH(Outbound_data[[#This Row],[STOCK CODE OUT]],Generated_Stockcode,0),23),""))</f>
        <v/>
      </c>
      <c r="Q781" s="73" t="str">
        <f>IF(ISBLANK(C781),"",_xlfn.IFNA(INDEX(inbound_data[],MATCH(Outbound_data[[#This Row],[STOCK CODE OUT]],Generated_Stockcode,0),13),""))</f>
        <v/>
      </c>
    </row>
    <row r="782" spans="2:17" x14ac:dyDescent="0.25">
      <c r="B782" s="71"/>
      <c r="C782" s="65"/>
      <c r="D782" s="55"/>
      <c r="E782" s="65"/>
      <c r="F782" s="166"/>
      <c r="G782" s="167"/>
      <c r="H782" s="166"/>
      <c r="I782" s="72"/>
      <c r="J782" s="55"/>
      <c r="K782" s="72"/>
      <c r="L782" s="55"/>
      <c r="M782" s="174"/>
      <c r="N782" s="73" t="str">
        <f>IF(ISBLANK(C782),"",_xlfn.IFNA(INDEX(inbound_data[],MATCH(Outbound_data[[#This Row],[STOCK CODE OUT]],Generated_Stockcode,0),10),""))</f>
        <v/>
      </c>
      <c r="O782" s="73" t="str">
        <f>IF(ISBLANK(C782),"",_xlfn.IFNA(INDEX(inbound_data[],MATCH(Outbound_data[[#This Row],[STOCK CODE OUT]],Generated_Stockcode,0),12),""))</f>
        <v/>
      </c>
      <c r="P782" s="73" t="str">
        <f>IF(ISBLANK(C782),"",_xlfn.IFNA(INDEX(inbound_data[],MATCH(Outbound_data[[#This Row],[STOCK CODE OUT]],Generated_Stockcode,0),23),""))</f>
        <v/>
      </c>
      <c r="Q782" s="73" t="str">
        <f>IF(ISBLANK(C782),"",_xlfn.IFNA(INDEX(inbound_data[],MATCH(Outbound_data[[#This Row],[STOCK CODE OUT]],Generated_Stockcode,0),13),""))</f>
        <v/>
      </c>
    </row>
    <row r="783" spans="2:17" x14ac:dyDescent="0.25">
      <c r="B783" s="71"/>
      <c r="C783" s="65"/>
      <c r="D783" s="55"/>
      <c r="E783" s="65"/>
      <c r="F783" s="166"/>
      <c r="G783" s="167"/>
      <c r="H783" s="166"/>
      <c r="I783" s="72"/>
      <c r="J783" s="55"/>
      <c r="K783" s="72"/>
      <c r="L783" s="55"/>
      <c r="M783" s="174"/>
      <c r="N783" s="73" t="str">
        <f>IF(ISBLANK(C783),"",_xlfn.IFNA(INDEX(inbound_data[],MATCH(Outbound_data[[#This Row],[STOCK CODE OUT]],Generated_Stockcode,0),10),""))</f>
        <v/>
      </c>
      <c r="O783" s="73" t="str">
        <f>IF(ISBLANK(C783),"",_xlfn.IFNA(INDEX(inbound_data[],MATCH(Outbound_data[[#This Row],[STOCK CODE OUT]],Generated_Stockcode,0),12),""))</f>
        <v/>
      </c>
      <c r="P783" s="73" t="str">
        <f>IF(ISBLANK(C783),"",_xlfn.IFNA(INDEX(inbound_data[],MATCH(Outbound_data[[#This Row],[STOCK CODE OUT]],Generated_Stockcode,0),23),""))</f>
        <v/>
      </c>
      <c r="Q783" s="73" t="str">
        <f>IF(ISBLANK(C783),"",_xlfn.IFNA(INDEX(inbound_data[],MATCH(Outbound_data[[#This Row],[STOCK CODE OUT]],Generated_Stockcode,0),13),""))</f>
        <v/>
      </c>
    </row>
    <row r="784" spans="2:17" x14ac:dyDescent="0.25">
      <c r="B784" s="71"/>
      <c r="C784" s="65"/>
      <c r="D784" s="55"/>
      <c r="E784" s="65"/>
      <c r="F784" s="166"/>
      <c r="G784" s="167"/>
      <c r="H784" s="166"/>
      <c r="I784" s="72"/>
      <c r="J784" s="55"/>
      <c r="K784" s="72"/>
      <c r="L784" s="55"/>
      <c r="M784" s="174"/>
      <c r="N784" s="73" t="str">
        <f>IF(ISBLANK(C784),"",_xlfn.IFNA(INDEX(inbound_data[],MATCH(Outbound_data[[#This Row],[STOCK CODE OUT]],Generated_Stockcode,0),10),""))</f>
        <v/>
      </c>
      <c r="O784" s="73" t="str">
        <f>IF(ISBLANK(C784),"",_xlfn.IFNA(INDEX(inbound_data[],MATCH(Outbound_data[[#This Row],[STOCK CODE OUT]],Generated_Stockcode,0),12),""))</f>
        <v/>
      </c>
      <c r="P784" s="73" t="str">
        <f>IF(ISBLANK(C784),"",_xlfn.IFNA(INDEX(inbound_data[],MATCH(Outbound_data[[#This Row],[STOCK CODE OUT]],Generated_Stockcode,0),23),""))</f>
        <v/>
      </c>
      <c r="Q784" s="73" t="str">
        <f>IF(ISBLANK(C784),"",_xlfn.IFNA(INDEX(inbound_data[],MATCH(Outbound_data[[#This Row],[STOCK CODE OUT]],Generated_Stockcode,0),13),""))</f>
        <v/>
      </c>
    </row>
    <row r="785" spans="2:17" x14ac:dyDescent="0.25">
      <c r="B785" s="71"/>
      <c r="C785" s="65"/>
      <c r="D785" s="55"/>
      <c r="E785" s="65"/>
      <c r="F785" s="166"/>
      <c r="G785" s="167"/>
      <c r="H785" s="166"/>
      <c r="I785" s="72"/>
      <c r="J785" s="55"/>
      <c r="K785" s="72"/>
      <c r="L785" s="55"/>
      <c r="M785" s="174"/>
      <c r="N785" s="73" t="str">
        <f>IF(ISBLANK(C785),"",_xlfn.IFNA(INDEX(inbound_data[],MATCH(Outbound_data[[#This Row],[STOCK CODE OUT]],Generated_Stockcode,0),10),""))</f>
        <v/>
      </c>
      <c r="O785" s="73" t="str">
        <f>IF(ISBLANK(C785),"",_xlfn.IFNA(INDEX(inbound_data[],MATCH(Outbound_data[[#This Row],[STOCK CODE OUT]],Generated_Stockcode,0),12),""))</f>
        <v/>
      </c>
      <c r="P785" s="73" t="str">
        <f>IF(ISBLANK(C785),"",_xlfn.IFNA(INDEX(inbound_data[],MATCH(Outbound_data[[#This Row],[STOCK CODE OUT]],Generated_Stockcode,0),23),""))</f>
        <v/>
      </c>
      <c r="Q785" s="73" t="str">
        <f>IF(ISBLANK(C785),"",_xlfn.IFNA(INDEX(inbound_data[],MATCH(Outbound_data[[#This Row],[STOCK CODE OUT]],Generated_Stockcode,0),13),""))</f>
        <v/>
      </c>
    </row>
    <row r="786" spans="2:17" x14ac:dyDescent="0.25">
      <c r="B786" s="71"/>
      <c r="C786" s="65"/>
      <c r="D786" s="55"/>
      <c r="E786" s="65"/>
      <c r="F786" s="166"/>
      <c r="G786" s="167"/>
      <c r="H786" s="166"/>
      <c r="I786" s="72"/>
      <c r="J786" s="55"/>
      <c r="K786" s="72"/>
      <c r="L786" s="55"/>
      <c r="M786" s="174"/>
      <c r="N786" s="73" t="str">
        <f>IF(ISBLANK(C786),"",_xlfn.IFNA(INDEX(inbound_data[],MATCH(Outbound_data[[#This Row],[STOCK CODE OUT]],Generated_Stockcode,0),10),""))</f>
        <v/>
      </c>
      <c r="O786" s="73" t="str">
        <f>IF(ISBLANK(C786),"",_xlfn.IFNA(INDEX(inbound_data[],MATCH(Outbound_data[[#This Row],[STOCK CODE OUT]],Generated_Stockcode,0),12),""))</f>
        <v/>
      </c>
      <c r="P786" s="73" t="str">
        <f>IF(ISBLANK(C786),"",_xlfn.IFNA(INDEX(inbound_data[],MATCH(Outbound_data[[#This Row],[STOCK CODE OUT]],Generated_Stockcode,0),23),""))</f>
        <v/>
      </c>
      <c r="Q786" s="73" t="str">
        <f>IF(ISBLANK(C786),"",_xlfn.IFNA(INDEX(inbound_data[],MATCH(Outbound_data[[#This Row],[STOCK CODE OUT]],Generated_Stockcode,0),13),""))</f>
        <v/>
      </c>
    </row>
    <row r="787" spans="2:17" x14ac:dyDescent="0.25">
      <c r="B787" s="71"/>
      <c r="C787" s="65"/>
      <c r="D787" s="55"/>
      <c r="E787" s="65"/>
      <c r="F787" s="166"/>
      <c r="G787" s="167"/>
      <c r="H787" s="166"/>
      <c r="I787" s="72"/>
      <c r="J787" s="55"/>
      <c r="K787" s="72"/>
      <c r="L787" s="55"/>
      <c r="M787" s="174"/>
      <c r="N787" s="73" t="str">
        <f>IF(ISBLANK(C787),"",_xlfn.IFNA(INDEX(inbound_data[],MATCH(Outbound_data[[#This Row],[STOCK CODE OUT]],Generated_Stockcode,0),10),""))</f>
        <v/>
      </c>
      <c r="O787" s="73" t="str">
        <f>IF(ISBLANK(C787),"",_xlfn.IFNA(INDEX(inbound_data[],MATCH(Outbound_data[[#This Row],[STOCK CODE OUT]],Generated_Stockcode,0),12),""))</f>
        <v/>
      </c>
      <c r="P787" s="73" t="str">
        <f>IF(ISBLANK(C787),"",_xlfn.IFNA(INDEX(inbound_data[],MATCH(Outbound_data[[#This Row],[STOCK CODE OUT]],Generated_Stockcode,0),23),""))</f>
        <v/>
      </c>
      <c r="Q787" s="73" t="str">
        <f>IF(ISBLANK(C787),"",_xlfn.IFNA(INDEX(inbound_data[],MATCH(Outbound_data[[#This Row],[STOCK CODE OUT]],Generated_Stockcode,0),13),""))</f>
        <v/>
      </c>
    </row>
    <row r="788" spans="2:17" x14ac:dyDescent="0.25">
      <c r="B788" s="71"/>
      <c r="C788" s="65"/>
      <c r="D788" s="55"/>
      <c r="E788" s="65"/>
      <c r="F788" s="166"/>
      <c r="G788" s="167"/>
      <c r="H788" s="166"/>
      <c r="I788" s="72"/>
      <c r="J788" s="55"/>
      <c r="K788" s="72"/>
      <c r="L788" s="55"/>
      <c r="M788" s="174"/>
      <c r="N788" s="73" t="str">
        <f>IF(ISBLANK(C788),"",_xlfn.IFNA(INDEX(inbound_data[],MATCH(Outbound_data[[#This Row],[STOCK CODE OUT]],Generated_Stockcode,0),10),""))</f>
        <v/>
      </c>
      <c r="O788" s="73" t="str">
        <f>IF(ISBLANK(C788),"",_xlfn.IFNA(INDEX(inbound_data[],MATCH(Outbound_data[[#This Row],[STOCK CODE OUT]],Generated_Stockcode,0),12),""))</f>
        <v/>
      </c>
      <c r="P788" s="73" t="str">
        <f>IF(ISBLANK(C788),"",_xlfn.IFNA(INDEX(inbound_data[],MATCH(Outbound_data[[#This Row],[STOCK CODE OUT]],Generated_Stockcode,0),23),""))</f>
        <v/>
      </c>
      <c r="Q788" s="73" t="str">
        <f>IF(ISBLANK(C788),"",_xlfn.IFNA(INDEX(inbound_data[],MATCH(Outbound_data[[#This Row],[STOCK CODE OUT]],Generated_Stockcode,0),13),""))</f>
        <v/>
      </c>
    </row>
    <row r="789" spans="2:17" x14ac:dyDescent="0.25">
      <c r="B789" s="71"/>
      <c r="C789" s="65"/>
      <c r="D789" s="55"/>
      <c r="E789" s="65"/>
      <c r="F789" s="166"/>
      <c r="G789" s="167"/>
      <c r="H789" s="166"/>
      <c r="I789" s="72"/>
      <c r="J789" s="55"/>
      <c r="K789" s="72"/>
      <c r="L789" s="55"/>
      <c r="M789" s="174"/>
      <c r="N789" s="73" t="str">
        <f>IF(ISBLANK(C789),"",_xlfn.IFNA(INDEX(inbound_data[],MATCH(Outbound_data[[#This Row],[STOCK CODE OUT]],Generated_Stockcode,0),10),""))</f>
        <v/>
      </c>
      <c r="O789" s="73" t="str">
        <f>IF(ISBLANK(C789),"",_xlfn.IFNA(INDEX(inbound_data[],MATCH(Outbound_data[[#This Row],[STOCK CODE OUT]],Generated_Stockcode,0),12),""))</f>
        <v/>
      </c>
      <c r="P789" s="73" t="str">
        <f>IF(ISBLANK(C789),"",_xlfn.IFNA(INDEX(inbound_data[],MATCH(Outbound_data[[#This Row],[STOCK CODE OUT]],Generated_Stockcode,0),23),""))</f>
        <v/>
      </c>
      <c r="Q789" s="73" t="str">
        <f>IF(ISBLANK(C789),"",_xlfn.IFNA(INDEX(inbound_data[],MATCH(Outbound_data[[#This Row],[STOCK CODE OUT]],Generated_Stockcode,0),13),""))</f>
        <v/>
      </c>
    </row>
    <row r="790" spans="2:17" x14ac:dyDescent="0.25">
      <c r="B790" s="71"/>
      <c r="C790" s="65"/>
      <c r="D790" s="55"/>
      <c r="E790" s="65"/>
      <c r="F790" s="166"/>
      <c r="G790" s="167"/>
      <c r="H790" s="166"/>
      <c r="I790" s="72"/>
      <c r="J790" s="55"/>
      <c r="K790" s="72"/>
      <c r="L790" s="55"/>
      <c r="M790" s="174"/>
      <c r="N790" s="73" t="str">
        <f>IF(ISBLANK(C790),"",_xlfn.IFNA(INDEX(inbound_data[],MATCH(Outbound_data[[#This Row],[STOCK CODE OUT]],Generated_Stockcode,0),10),""))</f>
        <v/>
      </c>
      <c r="O790" s="73" t="str">
        <f>IF(ISBLANK(C790),"",_xlfn.IFNA(INDEX(inbound_data[],MATCH(Outbound_data[[#This Row],[STOCK CODE OUT]],Generated_Stockcode,0),12),""))</f>
        <v/>
      </c>
      <c r="P790" s="73" t="str">
        <f>IF(ISBLANK(C790),"",_xlfn.IFNA(INDEX(inbound_data[],MATCH(Outbound_data[[#This Row],[STOCK CODE OUT]],Generated_Stockcode,0),23),""))</f>
        <v/>
      </c>
      <c r="Q790" s="73" t="str">
        <f>IF(ISBLANK(C790),"",_xlfn.IFNA(INDEX(inbound_data[],MATCH(Outbound_data[[#This Row],[STOCK CODE OUT]],Generated_Stockcode,0),13),""))</f>
        <v/>
      </c>
    </row>
    <row r="791" spans="2:17" x14ac:dyDescent="0.25">
      <c r="B791" s="71"/>
      <c r="C791" s="65"/>
      <c r="D791" s="55"/>
      <c r="E791" s="65"/>
      <c r="F791" s="166"/>
      <c r="G791" s="167"/>
      <c r="H791" s="166"/>
      <c r="I791" s="72"/>
      <c r="J791" s="55"/>
      <c r="K791" s="72"/>
      <c r="L791" s="55"/>
      <c r="M791" s="174"/>
      <c r="N791" s="73" t="str">
        <f>IF(ISBLANK(C791),"",_xlfn.IFNA(INDEX(inbound_data[],MATCH(Outbound_data[[#This Row],[STOCK CODE OUT]],Generated_Stockcode,0),10),""))</f>
        <v/>
      </c>
      <c r="O791" s="73" t="str">
        <f>IF(ISBLANK(C791),"",_xlfn.IFNA(INDEX(inbound_data[],MATCH(Outbound_data[[#This Row],[STOCK CODE OUT]],Generated_Stockcode,0),12),""))</f>
        <v/>
      </c>
      <c r="P791" s="73" t="str">
        <f>IF(ISBLANK(C791),"",_xlfn.IFNA(INDEX(inbound_data[],MATCH(Outbound_data[[#This Row],[STOCK CODE OUT]],Generated_Stockcode,0),23),""))</f>
        <v/>
      </c>
      <c r="Q791" s="73" t="str">
        <f>IF(ISBLANK(C791),"",_xlfn.IFNA(INDEX(inbound_data[],MATCH(Outbound_data[[#This Row],[STOCK CODE OUT]],Generated_Stockcode,0),13),""))</f>
        <v/>
      </c>
    </row>
    <row r="792" spans="2:17" x14ac:dyDescent="0.25">
      <c r="B792" s="71"/>
      <c r="C792" s="65"/>
      <c r="D792" s="55"/>
      <c r="E792" s="65"/>
      <c r="F792" s="166"/>
      <c r="G792" s="167"/>
      <c r="H792" s="166"/>
      <c r="I792" s="72"/>
      <c r="J792" s="55"/>
      <c r="K792" s="72"/>
      <c r="L792" s="55"/>
      <c r="M792" s="174"/>
      <c r="N792" s="73" t="str">
        <f>IF(ISBLANK(C792),"",_xlfn.IFNA(INDEX(inbound_data[],MATCH(Outbound_data[[#This Row],[STOCK CODE OUT]],Generated_Stockcode,0),10),""))</f>
        <v/>
      </c>
      <c r="O792" s="73" t="str">
        <f>IF(ISBLANK(C792),"",_xlfn.IFNA(INDEX(inbound_data[],MATCH(Outbound_data[[#This Row],[STOCK CODE OUT]],Generated_Stockcode,0),12),""))</f>
        <v/>
      </c>
      <c r="P792" s="73" t="str">
        <f>IF(ISBLANK(C792),"",_xlfn.IFNA(INDEX(inbound_data[],MATCH(Outbound_data[[#This Row],[STOCK CODE OUT]],Generated_Stockcode,0),23),""))</f>
        <v/>
      </c>
      <c r="Q792" s="73" t="str">
        <f>IF(ISBLANK(C792),"",_xlfn.IFNA(INDEX(inbound_data[],MATCH(Outbound_data[[#This Row],[STOCK CODE OUT]],Generated_Stockcode,0),13),""))</f>
        <v/>
      </c>
    </row>
    <row r="793" spans="2:17" x14ac:dyDescent="0.25">
      <c r="B793" s="71"/>
      <c r="C793" s="65"/>
      <c r="D793" s="55"/>
      <c r="E793" s="65"/>
      <c r="F793" s="166"/>
      <c r="G793" s="167"/>
      <c r="H793" s="166"/>
      <c r="I793" s="72"/>
      <c r="J793" s="55"/>
      <c r="K793" s="72"/>
      <c r="L793" s="55"/>
      <c r="M793" s="174"/>
      <c r="N793" s="73" t="str">
        <f>IF(ISBLANK(C793),"",_xlfn.IFNA(INDEX(inbound_data[],MATCH(Outbound_data[[#This Row],[STOCK CODE OUT]],Generated_Stockcode,0),10),""))</f>
        <v/>
      </c>
      <c r="O793" s="73" t="str">
        <f>IF(ISBLANK(C793),"",_xlfn.IFNA(INDEX(inbound_data[],MATCH(Outbound_data[[#This Row],[STOCK CODE OUT]],Generated_Stockcode,0),12),""))</f>
        <v/>
      </c>
      <c r="P793" s="73" t="str">
        <f>IF(ISBLANK(C793),"",_xlfn.IFNA(INDEX(inbound_data[],MATCH(Outbound_data[[#This Row],[STOCK CODE OUT]],Generated_Stockcode,0),23),""))</f>
        <v/>
      </c>
      <c r="Q793" s="73" t="str">
        <f>IF(ISBLANK(C793),"",_xlfn.IFNA(INDEX(inbound_data[],MATCH(Outbound_data[[#This Row],[STOCK CODE OUT]],Generated_Stockcode,0),13),""))</f>
        <v/>
      </c>
    </row>
    <row r="794" spans="2:17" x14ac:dyDescent="0.25">
      <c r="B794" s="71"/>
      <c r="C794" s="65"/>
      <c r="D794" s="55"/>
      <c r="E794" s="65"/>
      <c r="F794" s="166"/>
      <c r="G794" s="167"/>
      <c r="H794" s="166"/>
      <c r="I794" s="72"/>
      <c r="J794" s="55"/>
      <c r="K794" s="72"/>
      <c r="L794" s="55"/>
      <c r="M794" s="174"/>
      <c r="N794" s="73" t="str">
        <f>IF(ISBLANK(C794),"",_xlfn.IFNA(INDEX(inbound_data[],MATCH(Outbound_data[[#This Row],[STOCK CODE OUT]],Generated_Stockcode,0),10),""))</f>
        <v/>
      </c>
      <c r="O794" s="73" t="str">
        <f>IF(ISBLANK(C794),"",_xlfn.IFNA(INDEX(inbound_data[],MATCH(Outbound_data[[#This Row],[STOCK CODE OUT]],Generated_Stockcode,0),12),""))</f>
        <v/>
      </c>
      <c r="P794" s="73" t="str">
        <f>IF(ISBLANK(C794),"",_xlfn.IFNA(INDEX(inbound_data[],MATCH(Outbound_data[[#This Row],[STOCK CODE OUT]],Generated_Stockcode,0),23),""))</f>
        <v/>
      </c>
      <c r="Q794" s="73" t="str">
        <f>IF(ISBLANK(C794),"",_xlfn.IFNA(INDEX(inbound_data[],MATCH(Outbound_data[[#This Row],[STOCK CODE OUT]],Generated_Stockcode,0),13),""))</f>
        <v/>
      </c>
    </row>
    <row r="795" spans="2:17" x14ac:dyDescent="0.25">
      <c r="B795" s="71"/>
      <c r="C795" s="65"/>
      <c r="D795" s="55"/>
      <c r="E795" s="65"/>
      <c r="F795" s="166"/>
      <c r="G795" s="167"/>
      <c r="H795" s="166"/>
      <c r="I795" s="72"/>
      <c r="J795" s="55"/>
      <c r="K795" s="72"/>
      <c r="L795" s="55"/>
      <c r="M795" s="174"/>
      <c r="N795" s="73" t="str">
        <f>IF(ISBLANK(C795),"",_xlfn.IFNA(INDEX(inbound_data[],MATCH(Outbound_data[[#This Row],[STOCK CODE OUT]],Generated_Stockcode,0),10),""))</f>
        <v/>
      </c>
      <c r="O795" s="73" t="str">
        <f>IF(ISBLANK(C795),"",_xlfn.IFNA(INDEX(inbound_data[],MATCH(Outbound_data[[#This Row],[STOCK CODE OUT]],Generated_Stockcode,0),12),""))</f>
        <v/>
      </c>
      <c r="P795" s="73" t="str">
        <f>IF(ISBLANK(C795),"",_xlfn.IFNA(INDEX(inbound_data[],MATCH(Outbound_data[[#This Row],[STOCK CODE OUT]],Generated_Stockcode,0),23),""))</f>
        <v/>
      </c>
      <c r="Q795" s="73" t="str">
        <f>IF(ISBLANK(C795),"",_xlfn.IFNA(INDEX(inbound_data[],MATCH(Outbound_data[[#This Row],[STOCK CODE OUT]],Generated_Stockcode,0),13),""))</f>
        <v/>
      </c>
    </row>
    <row r="796" spans="2:17" x14ac:dyDescent="0.25">
      <c r="B796" s="71"/>
      <c r="C796" s="65"/>
      <c r="D796" s="55"/>
      <c r="E796" s="65"/>
      <c r="F796" s="166"/>
      <c r="G796" s="167"/>
      <c r="H796" s="166"/>
      <c r="I796" s="72"/>
      <c r="J796" s="55"/>
      <c r="K796" s="72"/>
      <c r="L796" s="55"/>
      <c r="M796" s="174"/>
      <c r="N796" s="73" t="str">
        <f>IF(ISBLANK(C796),"",_xlfn.IFNA(INDEX(inbound_data[],MATCH(Outbound_data[[#This Row],[STOCK CODE OUT]],Generated_Stockcode,0),10),""))</f>
        <v/>
      </c>
      <c r="O796" s="73" t="str">
        <f>IF(ISBLANK(C796),"",_xlfn.IFNA(INDEX(inbound_data[],MATCH(Outbound_data[[#This Row],[STOCK CODE OUT]],Generated_Stockcode,0),12),""))</f>
        <v/>
      </c>
      <c r="P796" s="73" t="str">
        <f>IF(ISBLANK(C796),"",_xlfn.IFNA(INDEX(inbound_data[],MATCH(Outbound_data[[#This Row],[STOCK CODE OUT]],Generated_Stockcode,0),23),""))</f>
        <v/>
      </c>
      <c r="Q796" s="73" t="str">
        <f>IF(ISBLANK(C796),"",_xlfn.IFNA(INDEX(inbound_data[],MATCH(Outbound_data[[#This Row],[STOCK CODE OUT]],Generated_Stockcode,0),13),""))</f>
        <v/>
      </c>
    </row>
    <row r="797" spans="2:17" x14ac:dyDescent="0.25">
      <c r="B797" s="71"/>
      <c r="C797" s="65"/>
      <c r="D797" s="55"/>
      <c r="E797" s="65"/>
      <c r="F797" s="166"/>
      <c r="G797" s="167"/>
      <c r="H797" s="166"/>
      <c r="I797" s="72"/>
      <c r="J797" s="55"/>
      <c r="K797" s="72"/>
      <c r="L797" s="55"/>
      <c r="M797" s="174"/>
      <c r="N797" s="73" t="str">
        <f>IF(ISBLANK(C797),"",_xlfn.IFNA(INDEX(inbound_data[],MATCH(Outbound_data[[#This Row],[STOCK CODE OUT]],Generated_Stockcode,0),10),""))</f>
        <v/>
      </c>
      <c r="O797" s="73" t="str">
        <f>IF(ISBLANK(C797),"",_xlfn.IFNA(INDEX(inbound_data[],MATCH(Outbound_data[[#This Row],[STOCK CODE OUT]],Generated_Stockcode,0),12),""))</f>
        <v/>
      </c>
      <c r="P797" s="73" t="str">
        <f>IF(ISBLANK(C797),"",_xlfn.IFNA(INDEX(inbound_data[],MATCH(Outbound_data[[#This Row],[STOCK CODE OUT]],Generated_Stockcode,0),23),""))</f>
        <v/>
      </c>
      <c r="Q797" s="73" t="str">
        <f>IF(ISBLANK(C797),"",_xlfn.IFNA(INDEX(inbound_data[],MATCH(Outbound_data[[#This Row],[STOCK CODE OUT]],Generated_Stockcode,0),13),""))</f>
        <v/>
      </c>
    </row>
    <row r="798" spans="2:17" x14ac:dyDescent="0.25">
      <c r="B798" s="71"/>
      <c r="C798" s="65"/>
      <c r="D798" s="55"/>
      <c r="E798" s="65"/>
      <c r="F798" s="166"/>
      <c r="G798" s="167"/>
      <c r="H798" s="166"/>
      <c r="I798" s="72"/>
      <c r="J798" s="55"/>
      <c r="K798" s="72"/>
      <c r="L798" s="55"/>
      <c r="M798" s="174"/>
      <c r="N798" s="73" t="str">
        <f>IF(ISBLANK(C798),"",_xlfn.IFNA(INDEX(inbound_data[],MATCH(Outbound_data[[#This Row],[STOCK CODE OUT]],Generated_Stockcode,0),10),""))</f>
        <v/>
      </c>
      <c r="O798" s="73" t="str">
        <f>IF(ISBLANK(C798),"",_xlfn.IFNA(INDEX(inbound_data[],MATCH(Outbound_data[[#This Row],[STOCK CODE OUT]],Generated_Stockcode,0),12),""))</f>
        <v/>
      </c>
      <c r="P798" s="73" t="str">
        <f>IF(ISBLANK(C798),"",_xlfn.IFNA(INDEX(inbound_data[],MATCH(Outbound_data[[#This Row],[STOCK CODE OUT]],Generated_Stockcode,0),23),""))</f>
        <v/>
      </c>
      <c r="Q798" s="73" t="str">
        <f>IF(ISBLANK(C798),"",_xlfn.IFNA(INDEX(inbound_data[],MATCH(Outbound_data[[#This Row],[STOCK CODE OUT]],Generated_Stockcode,0),13),""))</f>
        <v/>
      </c>
    </row>
    <row r="799" spans="2:17" x14ac:dyDescent="0.25">
      <c r="B799" s="71"/>
      <c r="C799" s="65"/>
      <c r="D799" s="55"/>
      <c r="E799" s="65"/>
      <c r="F799" s="166"/>
      <c r="G799" s="167"/>
      <c r="H799" s="166"/>
      <c r="I799" s="72"/>
      <c r="J799" s="55"/>
      <c r="K799" s="72"/>
      <c r="L799" s="55"/>
      <c r="M799" s="174"/>
      <c r="N799" s="73" t="str">
        <f>IF(ISBLANK(C799),"",_xlfn.IFNA(INDEX(inbound_data[],MATCH(Outbound_data[[#This Row],[STOCK CODE OUT]],Generated_Stockcode,0),10),""))</f>
        <v/>
      </c>
      <c r="O799" s="73" t="str">
        <f>IF(ISBLANK(C799),"",_xlfn.IFNA(INDEX(inbound_data[],MATCH(Outbound_data[[#This Row],[STOCK CODE OUT]],Generated_Stockcode,0),12),""))</f>
        <v/>
      </c>
      <c r="P799" s="73" t="str">
        <f>IF(ISBLANK(C799),"",_xlfn.IFNA(INDEX(inbound_data[],MATCH(Outbound_data[[#This Row],[STOCK CODE OUT]],Generated_Stockcode,0),23),""))</f>
        <v/>
      </c>
      <c r="Q799" s="73" t="str">
        <f>IF(ISBLANK(C799),"",_xlfn.IFNA(INDEX(inbound_data[],MATCH(Outbound_data[[#This Row],[STOCK CODE OUT]],Generated_Stockcode,0),13),""))</f>
        <v/>
      </c>
    </row>
    <row r="800" spans="2:17" x14ac:dyDescent="0.25">
      <c r="B800" s="71"/>
      <c r="C800" s="65"/>
      <c r="D800" s="55"/>
      <c r="E800" s="65"/>
      <c r="F800" s="166"/>
      <c r="G800" s="167"/>
      <c r="H800" s="166"/>
      <c r="I800" s="72"/>
      <c r="J800" s="55"/>
      <c r="K800" s="72"/>
      <c r="L800" s="55"/>
      <c r="M800" s="174"/>
      <c r="N800" s="73" t="str">
        <f>IF(ISBLANK(C800),"",_xlfn.IFNA(INDEX(inbound_data[],MATCH(Outbound_data[[#This Row],[STOCK CODE OUT]],Generated_Stockcode,0),10),""))</f>
        <v/>
      </c>
      <c r="O800" s="73" t="str">
        <f>IF(ISBLANK(C800),"",_xlfn.IFNA(INDEX(inbound_data[],MATCH(Outbound_data[[#This Row],[STOCK CODE OUT]],Generated_Stockcode,0),12),""))</f>
        <v/>
      </c>
      <c r="P800" s="73" t="str">
        <f>IF(ISBLANK(C800),"",_xlfn.IFNA(INDEX(inbound_data[],MATCH(Outbound_data[[#This Row],[STOCK CODE OUT]],Generated_Stockcode,0),23),""))</f>
        <v/>
      </c>
      <c r="Q800" s="73" t="str">
        <f>IF(ISBLANK(C800),"",_xlfn.IFNA(INDEX(inbound_data[],MATCH(Outbound_data[[#This Row],[STOCK CODE OUT]],Generated_Stockcode,0),13),""))</f>
        <v/>
      </c>
    </row>
    <row r="801" spans="2:17" x14ac:dyDescent="0.25">
      <c r="B801" s="71"/>
      <c r="C801" s="65"/>
      <c r="D801" s="55"/>
      <c r="E801" s="65"/>
      <c r="F801" s="166"/>
      <c r="G801" s="167"/>
      <c r="H801" s="166"/>
      <c r="I801" s="72"/>
      <c r="J801" s="55"/>
      <c r="K801" s="72"/>
      <c r="L801" s="55"/>
      <c r="M801" s="174"/>
      <c r="N801" s="73" t="str">
        <f>IF(ISBLANK(C801),"",_xlfn.IFNA(INDEX(inbound_data[],MATCH(Outbound_data[[#This Row],[STOCK CODE OUT]],Generated_Stockcode,0),10),""))</f>
        <v/>
      </c>
      <c r="O801" s="73" t="str">
        <f>IF(ISBLANK(C801),"",_xlfn.IFNA(INDEX(inbound_data[],MATCH(Outbound_data[[#This Row],[STOCK CODE OUT]],Generated_Stockcode,0),12),""))</f>
        <v/>
      </c>
      <c r="P801" s="73" t="str">
        <f>IF(ISBLANK(C801),"",_xlfn.IFNA(INDEX(inbound_data[],MATCH(Outbound_data[[#This Row],[STOCK CODE OUT]],Generated_Stockcode,0),23),""))</f>
        <v/>
      </c>
      <c r="Q801" s="73" t="str">
        <f>IF(ISBLANK(C801),"",_xlfn.IFNA(INDEX(inbound_data[],MATCH(Outbound_data[[#This Row],[STOCK CODE OUT]],Generated_Stockcode,0),13),""))</f>
        <v/>
      </c>
    </row>
    <row r="802" spans="2:17" x14ac:dyDescent="0.25">
      <c r="B802" s="71"/>
      <c r="C802" s="65"/>
      <c r="D802" s="55"/>
      <c r="E802" s="65"/>
      <c r="F802" s="166"/>
      <c r="G802" s="167"/>
      <c r="H802" s="166"/>
      <c r="I802" s="72"/>
      <c r="J802" s="55"/>
      <c r="K802" s="72"/>
      <c r="L802" s="55"/>
      <c r="M802" s="174"/>
      <c r="N802" s="73" t="str">
        <f>IF(ISBLANK(C802),"",_xlfn.IFNA(INDEX(inbound_data[],MATCH(Outbound_data[[#This Row],[STOCK CODE OUT]],Generated_Stockcode,0),10),""))</f>
        <v/>
      </c>
      <c r="O802" s="73" t="str">
        <f>IF(ISBLANK(C802),"",_xlfn.IFNA(INDEX(inbound_data[],MATCH(Outbound_data[[#This Row],[STOCK CODE OUT]],Generated_Stockcode,0),12),""))</f>
        <v/>
      </c>
      <c r="P802" s="73" t="str">
        <f>IF(ISBLANK(C802),"",_xlfn.IFNA(INDEX(inbound_data[],MATCH(Outbound_data[[#This Row],[STOCK CODE OUT]],Generated_Stockcode,0),23),""))</f>
        <v/>
      </c>
      <c r="Q802" s="73" t="str">
        <f>IF(ISBLANK(C802),"",_xlfn.IFNA(INDEX(inbound_data[],MATCH(Outbound_data[[#This Row],[STOCK CODE OUT]],Generated_Stockcode,0),13),""))</f>
        <v/>
      </c>
    </row>
    <row r="803" spans="2:17" x14ac:dyDescent="0.25">
      <c r="B803" s="71"/>
      <c r="C803" s="65"/>
      <c r="D803" s="55"/>
      <c r="E803" s="65"/>
      <c r="F803" s="166"/>
      <c r="G803" s="167"/>
      <c r="H803" s="166"/>
      <c r="I803" s="72"/>
      <c r="J803" s="55"/>
      <c r="K803" s="72"/>
      <c r="L803" s="55"/>
      <c r="M803" s="174"/>
      <c r="N803" s="73" t="str">
        <f>IF(ISBLANK(C803),"",_xlfn.IFNA(INDEX(inbound_data[],MATCH(Outbound_data[[#This Row],[STOCK CODE OUT]],Generated_Stockcode,0),10),""))</f>
        <v/>
      </c>
      <c r="O803" s="73" t="str">
        <f>IF(ISBLANK(C803),"",_xlfn.IFNA(INDEX(inbound_data[],MATCH(Outbound_data[[#This Row],[STOCK CODE OUT]],Generated_Stockcode,0),12),""))</f>
        <v/>
      </c>
      <c r="P803" s="73" t="str">
        <f>IF(ISBLANK(C803),"",_xlfn.IFNA(INDEX(inbound_data[],MATCH(Outbound_data[[#This Row],[STOCK CODE OUT]],Generated_Stockcode,0),23),""))</f>
        <v/>
      </c>
      <c r="Q803" s="73" t="str">
        <f>IF(ISBLANK(C803),"",_xlfn.IFNA(INDEX(inbound_data[],MATCH(Outbound_data[[#This Row],[STOCK CODE OUT]],Generated_Stockcode,0),13),""))</f>
        <v/>
      </c>
    </row>
    <row r="804" spans="2:17" x14ac:dyDescent="0.25">
      <c r="B804" s="71"/>
      <c r="C804" s="65"/>
      <c r="D804" s="55"/>
      <c r="E804" s="65"/>
      <c r="F804" s="166"/>
      <c r="G804" s="167"/>
      <c r="H804" s="166"/>
      <c r="I804" s="72"/>
      <c r="J804" s="55"/>
      <c r="K804" s="72"/>
      <c r="L804" s="55"/>
      <c r="M804" s="174"/>
      <c r="N804" s="73" t="str">
        <f>IF(ISBLANK(C804),"",_xlfn.IFNA(INDEX(inbound_data[],MATCH(Outbound_data[[#This Row],[STOCK CODE OUT]],Generated_Stockcode,0),10),""))</f>
        <v/>
      </c>
      <c r="O804" s="73" t="str">
        <f>IF(ISBLANK(C804),"",_xlfn.IFNA(INDEX(inbound_data[],MATCH(Outbound_data[[#This Row],[STOCK CODE OUT]],Generated_Stockcode,0),12),""))</f>
        <v/>
      </c>
      <c r="P804" s="73" t="str">
        <f>IF(ISBLANK(C804),"",_xlfn.IFNA(INDEX(inbound_data[],MATCH(Outbound_data[[#This Row],[STOCK CODE OUT]],Generated_Stockcode,0),23),""))</f>
        <v/>
      </c>
      <c r="Q804" s="73" t="str">
        <f>IF(ISBLANK(C804),"",_xlfn.IFNA(INDEX(inbound_data[],MATCH(Outbound_data[[#This Row],[STOCK CODE OUT]],Generated_Stockcode,0),13),""))</f>
        <v/>
      </c>
    </row>
    <row r="805" spans="2:17" x14ac:dyDescent="0.25">
      <c r="B805" s="71"/>
      <c r="C805" s="65"/>
      <c r="D805" s="55"/>
      <c r="E805" s="65"/>
      <c r="F805" s="166"/>
      <c r="G805" s="167"/>
      <c r="H805" s="166"/>
      <c r="I805" s="72"/>
      <c r="J805" s="55"/>
      <c r="K805" s="72"/>
      <c r="L805" s="55"/>
      <c r="M805" s="174"/>
      <c r="N805" s="73" t="str">
        <f>IF(ISBLANK(C805),"",_xlfn.IFNA(INDEX(inbound_data[],MATCH(Outbound_data[[#This Row],[STOCK CODE OUT]],Generated_Stockcode,0),10),""))</f>
        <v/>
      </c>
      <c r="O805" s="73" t="str">
        <f>IF(ISBLANK(C805),"",_xlfn.IFNA(INDEX(inbound_data[],MATCH(Outbound_data[[#This Row],[STOCK CODE OUT]],Generated_Stockcode,0),12),""))</f>
        <v/>
      </c>
      <c r="P805" s="73" t="str">
        <f>IF(ISBLANK(C805),"",_xlfn.IFNA(INDEX(inbound_data[],MATCH(Outbound_data[[#This Row],[STOCK CODE OUT]],Generated_Stockcode,0),23),""))</f>
        <v/>
      </c>
      <c r="Q805" s="73" t="str">
        <f>IF(ISBLANK(C805),"",_xlfn.IFNA(INDEX(inbound_data[],MATCH(Outbound_data[[#This Row],[STOCK CODE OUT]],Generated_Stockcode,0),13),""))</f>
        <v/>
      </c>
    </row>
    <row r="806" spans="2:17" x14ac:dyDescent="0.25">
      <c r="B806" s="71"/>
      <c r="C806" s="65"/>
      <c r="D806" s="55"/>
      <c r="E806" s="65"/>
      <c r="F806" s="166"/>
      <c r="G806" s="167"/>
      <c r="H806" s="166"/>
      <c r="I806" s="72"/>
      <c r="J806" s="55"/>
      <c r="K806" s="72"/>
      <c r="L806" s="55"/>
      <c r="M806" s="174"/>
      <c r="N806" s="73" t="str">
        <f>IF(ISBLANK(C806),"",_xlfn.IFNA(INDEX(inbound_data[],MATCH(Outbound_data[[#This Row],[STOCK CODE OUT]],Generated_Stockcode,0),10),""))</f>
        <v/>
      </c>
      <c r="O806" s="73" t="str">
        <f>IF(ISBLANK(C806),"",_xlfn.IFNA(INDEX(inbound_data[],MATCH(Outbound_data[[#This Row],[STOCK CODE OUT]],Generated_Stockcode,0),12),""))</f>
        <v/>
      </c>
      <c r="P806" s="73" t="str">
        <f>IF(ISBLANK(C806),"",_xlfn.IFNA(INDEX(inbound_data[],MATCH(Outbound_data[[#This Row],[STOCK CODE OUT]],Generated_Stockcode,0),23),""))</f>
        <v/>
      </c>
      <c r="Q806" s="73" t="str">
        <f>IF(ISBLANK(C806),"",_xlfn.IFNA(INDEX(inbound_data[],MATCH(Outbound_data[[#This Row],[STOCK CODE OUT]],Generated_Stockcode,0),13),""))</f>
        <v/>
      </c>
    </row>
    <row r="807" spans="2:17" x14ac:dyDescent="0.25">
      <c r="B807" s="71"/>
      <c r="C807" s="65"/>
      <c r="D807" s="55"/>
      <c r="E807" s="65"/>
      <c r="F807" s="166"/>
      <c r="G807" s="167"/>
      <c r="H807" s="166"/>
      <c r="I807" s="72"/>
      <c r="J807" s="55"/>
      <c r="K807" s="72"/>
      <c r="L807" s="55"/>
      <c r="M807" s="174"/>
      <c r="N807" s="73" t="str">
        <f>IF(ISBLANK(C807),"",_xlfn.IFNA(INDEX(inbound_data[],MATCH(Outbound_data[[#This Row],[STOCK CODE OUT]],Generated_Stockcode,0),10),""))</f>
        <v/>
      </c>
      <c r="O807" s="73" t="str">
        <f>IF(ISBLANK(C807),"",_xlfn.IFNA(INDEX(inbound_data[],MATCH(Outbound_data[[#This Row],[STOCK CODE OUT]],Generated_Stockcode,0),12),""))</f>
        <v/>
      </c>
      <c r="P807" s="73" t="str">
        <f>IF(ISBLANK(C807),"",_xlfn.IFNA(INDEX(inbound_data[],MATCH(Outbound_data[[#This Row],[STOCK CODE OUT]],Generated_Stockcode,0),23),""))</f>
        <v/>
      </c>
      <c r="Q807" s="73" t="str">
        <f>IF(ISBLANK(C807),"",_xlfn.IFNA(INDEX(inbound_data[],MATCH(Outbound_data[[#This Row],[STOCK CODE OUT]],Generated_Stockcode,0),13),""))</f>
        <v/>
      </c>
    </row>
    <row r="808" spans="2:17" x14ac:dyDescent="0.25">
      <c r="B808" s="71"/>
      <c r="C808" s="65"/>
      <c r="D808" s="55"/>
      <c r="E808" s="65"/>
      <c r="F808" s="166"/>
      <c r="G808" s="167"/>
      <c r="H808" s="166"/>
      <c r="I808" s="72"/>
      <c r="J808" s="55"/>
      <c r="K808" s="72"/>
      <c r="L808" s="55"/>
      <c r="M808" s="174"/>
      <c r="N808" s="73" t="str">
        <f>IF(ISBLANK(C808),"",_xlfn.IFNA(INDEX(inbound_data[],MATCH(Outbound_data[[#This Row],[STOCK CODE OUT]],Generated_Stockcode,0),10),""))</f>
        <v/>
      </c>
      <c r="O808" s="73" t="str">
        <f>IF(ISBLANK(C808),"",_xlfn.IFNA(INDEX(inbound_data[],MATCH(Outbound_data[[#This Row],[STOCK CODE OUT]],Generated_Stockcode,0),12),""))</f>
        <v/>
      </c>
      <c r="P808" s="73" t="str">
        <f>IF(ISBLANK(C808),"",_xlfn.IFNA(INDEX(inbound_data[],MATCH(Outbound_data[[#This Row],[STOCK CODE OUT]],Generated_Stockcode,0),23),""))</f>
        <v/>
      </c>
      <c r="Q808" s="73" t="str">
        <f>IF(ISBLANK(C808),"",_xlfn.IFNA(INDEX(inbound_data[],MATCH(Outbound_data[[#This Row],[STOCK CODE OUT]],Generated_Stockcode,0),13),""))</f>
        <v/>
      </c>
    </row>
    <row r="809" spans="2:17" x14ac:dyDescent="0.25">
      <c r="B809" s="71"/>
      <c r="C809" s="65"/>
      <c r="D809" s="55"/>
      <c r="E809" s="65"/>
      <c r="F809" s="166"/>
      <c r="G809" s="167"/>
      <c r="H809" s="166"/>
      <c r="I809" s="72"/>
      <c r="J809" s="55"/>
      <c r="K809" s="72"/>
      <c r="L809" s="55"/>
      <c r="M809" s="174"/>
      <c r="N809" s="73" t="str">
        <f>IF(ISBLANK(C809),"",_xlfn.IFNA(INDEX(inbound_data[],MATCH(Outbound_data[[#This Row],[STOCK CODE OUT]],Generated_Stockcode,0),10),""))</f>
        <v/>
      </c>
      <c r="O809" s="73" t="str">
        <f>IF(ISBLANK(C809),"",_xlfn.IFNA(INDEX(inbound_data[],MATCH(Outbound_data[[#This Row],[STOCK CODE OUT]],Generated_Stockcode,0),12),""))</f>
        <v/>
      </c>
      <c r="P809" s="73" t="str">
        <f>IF(ISBLANK(C809),"",_xlfn.IFNA(INDEX(inbound_data[],MATCH(Outbound_data[[#This Row],[STOCK CODE OUT]],Generated_Stockcode,0),23),""))</f>
        <v/>
      </c>
      <c r="Q809" s="73" t="str">
        <f>IF(ISBLANK(C809),"",_xlfn.IFNA(INDEX(inbound_data[],MATCH(Outbound_data[[#This Row],[STOCK CODE OUT]],Generated_Stockcode,0),13),""))</f>
        <v/>
      </c>
    </row>
    <row r="810" spans="2:17" x14ac:dyDescent="0.25">
      <c r="B810" s="71"/>
      <c r="C810" s="65"/>
      <c r="D810" s="55"/>
      <c r="E810" s="65"/>
      <c r="F810" s="166"/>
      <c r="G810" s="167"/>
      <c r="H810" s="166"/>
      <c r="I810" s="72"/>
      <c r="J810" s="55"/>
      <c r="K810" s="72"/>
      <c r="L810" s="55"/>
      <c r="M810" s="174"/>
      <c r="N810" s="73" t="str">
        <f>IF(ISBLANK(C810),"",_xlfn.IFNA(INDEX(inbound_data[],MATCH(Outbound_data[[#This Row],[STOCK CODE OUT]],Generated_Stockcode,0),10),""))</f>
        <v/>
      </c>
      <c r="O810" s="73" t="str">
        <f>IF(ISBLANK(C810),"",_xlfn.IFNA(INDEX(inbound_data[],MATCH(Outbound_data[[#This Row],[STOCK CODE OUT]],Generated_Stockcode,0),12),""))</f>
        <v/>
      </c>
      <c r="P810" s="73" t="str">
        <f>IF(ISBLANK(C810),"",_xlfn.IFNA(INDEX(inbound_data[],MATCH(Outbound_data[[#This Row],[STOCK CODE OUT]],Generated_Stockcode,0),23),""))</f>
        <v/>
      </c>
      <c r="Q810" s="73" t="str">
        <f>IF(ISBLANK(C810),"",_xlfn.IFNA(INDEX(inbound_data[],MATCH(Outbound_data[[#This Row],[STOCK CODE OUT]],Generated_Stockcode,0),13),""))</f>
        <v/>
      </c>
    </row>
    <row r="811" spans="2:17" x14ac:dyDescent="0.25">
      <c r="B811" s="71"/>
      <c r="C811" s="65"/>
      <c r="D811" s="55"/>
      <c r="E811" s="65"/>
      <c r="F811" s="166"/>
      <c r="G811" s="167"/>
      <c r="H811" s="166"/>
      <c r="I811" s="72"/>
      <c r="J811" s="55"/>
      <c r="K811" s="72"/>
      <c r="L811" s="55"/>
      <c r="M811" s="174"/>
      <c r="N811" s="73" t="str">
        <f>IF(ISBLANK(C811),"",_xlfn.IFNA(INDEX(inbound_data[],MATCH(Outbound_data[[#This Row],[STOCK CODE OUT]],Generated_Stockcode,0),10),""))</f>
        <v/>
      </c>
      <c r="O811" s="73" t="str">
        <f>IF(ISBLANK(C811),"",_xlfn.IFNA(INDEX(inbound_data[],MATCH(Outbound_data[[#This Row],[STOCK CODE OUT]],Generated_Stockcode,0),12),""))</f>
        <v/>
      </c>
      <c r="P811" s="73" t="str">
        <f>IF(ISBLANK(C811),"",_xlfn.IFNA(INDEX(inbound_data[],MATCH(Outbound_data[[#This Row],[STOCK CODE OUT]],Generated_Stockcode,0),23),""))</f>
        <v/>
      </c>
      <c r="Q811" s="73" t="str">
        <f>IF(ISBLANK(C811),"",_xlfn.IFNA(INDEX(inbound_data[],MATCH(Outbound_data[[#This Row],[STOCK CODE OUT]],Generated_Stockcode,0),13),""))</f>
        <v/>
      </c>
    </row>
    <row r="812" spans="2:17" x14ac:dyDescent="0.25">
      <c r="B812" s="71"/>
      <c r="C812" s="65"/>
      <c r="D812" s="55"/>
      <c r="E812" s="65"/>
      <c r="F812" s="166"/>
      <c r="G812" s="167"/>
      <c r="H812" s="166"/>
      <c r="I812" s="72"/>
      <c r="J812" s="55"/>
      <c r="K812" s="72"/>
      <c r="L812" s="55"/>
      <c r="M812" s="174"/>
      <c r="N812" s="73" t="str">
        <f>IF(ISBLANK(C812),"",_xlfn.IFNA(INDEX(inbound_data[],MATCH(Outbound_data[[#This Row],[STOCK CODE OUT]],Generated_Stockcode,0),10),""))</f>
        <v/>
      </c>
      <c r="O812" s="73" t="str">
        <f>IF(ISBLANK(C812),"",_xlfn.IFNA(INDEX(inbound_data[],MATCH(Outbound_data[[#This Row],[STOCK CODE OUT]],Generated_Stockcode,0),12),""))</f>
        <v/>
      </c>
      <c r="P812" s="73" t="str">
        <f>IF(ISBLANK(C812),"",_xlfn.IFNA(INDEX(inbound_data[],MATCH(Outbound_data[[#This Row],[STOCK CODE OUT]],Generated_Stockcode,0),23),""))</f>
        <v/>
      </c>
      <c r="Q812" s="73" t="str">
        <f>IF(ISBLANK(C812),"",_xlfn.IFNA(INDEX(inbound_data[],MATCH(Outbound_data[[#This Row],[STOCK CODE OUT]],Generated_Stockcode,0),13),""))</f>
        <v/>
      </c>
    </row>
    <row r="813" spans="2:17" x14ac:dyDescent="0.25">
      <c r="B813" s="71"/>
      <c r="C813" s="65"/>
      <c r="D813" s="55"/>
      <c r="E813" s="65"/>
      <c r="F813" s="166"/>
      <c r="G813" s="167"/>
      <c r="H813" s="166"/>
      <c r="I813" s="72"/>
      <c r="J813" s="55"/>
      <c r="K813" s="72"/>
      <c r="L813" s="55"/>
      <c r="M813" s="174"/>
      <c r="N813" s="73" t="str">
        <f>IF(ISBLANK(C813),"",_xlfn.IFNA(INDEX(inbound_data[],MATCH(Outbound_data[[#This Row],[STOCK CODE OUT]],Generated_Stockcode,0),10),""))</f>
        <v/>
      </c>
      <c r="O813" s="73" t="str">
        <f>IF(ISBLANK(C813),"",_xlfn.IFNA(INDEX(inbound_data[],MATCH(Outbound_data[[#This Row],[STOCK CODE OUT]],Generated_Stockcode,0),12),""))</f>
        <v/>
      </c>
      <c r="P813" s="73" t="str">
        <f>IF(ISBLANK(C813),"",_xlfn.IFNA(INDEX(inbound_data[],MATCH(Outbound_data[[#This Row],[STOCK CODE OUT]],Generated_Stockcode,0),23),""))</f>
        <v/>
      </c>
      <c r="Q813" s="73" t="str">
        <f>IF(ISBLANK(C813),"",_xlfn.IFNA(INDEX(inbound_data[],MATCH(Outbound_data[[#This Row],[STOCK CODE OUT]],Generated_Stockcode,0),13),""))</f>
        <v/>
      </c>
    </row>
    <row r="814" spans="2:17" x14ac:dyDescent="0.25">
      <c r="B814" s="71"/>
      <c r="C814" s="65"/>
      <c r="D814" s="55"/>
      <c r="E814" s="65"/>
      <c r="F814" s="166"/>
      <c r="G814" s="167"/>
      <c r="H814" s="166"/>
      <c r="I814" s="72"/>
      <c r="J814" s="55"/>
      <c r="K814" s="72"/>
      <c r="L814" s="55"/>
      <c r="M814" s="174"/>
      <c r="N814" s="73" t="str">
        <f>IF(ISBLANK(C814),"",_xlfn.IFNA(INDEX(inbound_data[],MATCH(Outbound_data[[#This Row],[STOCK CODE OUT]],Generated_Stockcode,0),10),""))</f>
        <v/>
      </c>
      <c r="O814" s="73" t="str">
        <f>IF(ISBLANK(C814),"",_xlfn.IFNA(INDEX(inbound_data[],MATCH(Outbound_data[[#This Row],[STOCK CODE OUT]],Generated_Stockcode,0),12),""))</f>
        <v/>
      </c>
      <c r="P814" s="73" t="str">
        <f>IF(ISBLANK(C814),"",_xlfn.IFNA(INDEX(inbound_data[],MATCH(Outbound_data[[#This Row],[STOCK CODE OUT]],Generated_Stockcode,0),23),""))</f>
        <v/>
      </c>
      <c r="Q814" s="73" t="str">
        <f>IF(ISBLANK(C814),"",_xlfn.IFNA(INDEX(inbound_data[],MATCH(Outbound_data[[#This Row],[STOCK CODE OUT]],Generated_Stockcode,0),13),""))</f>
        <v/>
      </c>
    </row>
    <row r="815" spans="2:17" x14ac:dyDescent="0.25">
      <c r="B815" s="71"/>
      <c r="C815" s="65"/>
      <c r="D815" s="55"/>
      <c r="E815" s="65"/>
      <c r="F815" s="166"/>
      <c r="G815" s="167"/>
      <c r="H815" s="166"/>
      <c r="I815" s="72"/>
      <c r="J815" s="55"/>
      <c r="K815" s="72"/>
      <c r="L815" s="55"/>
      <c r="M815" s="174"/>
      <c r="N815" s="73" t="str">
        <f>IF(ISBLANK(C815),"",_xlfn.IFNA(INDEX(inbound_data[],MATCH(Outbound_data[[#This Row],[STOCK CODE OUT]],Generated_Stockcode,0),10),""))</f>
        <v/>
      </c>
      <c r="O815" s="73" t="str">
        <f>IF(ISBLANK(C815),"",_xlfn.IFNA(INDEX(inbound_data[],MATCH(Outbound_data[[#This Row],[STOCK CODE OUT]],Generated_Stockcode,0),12),""))</f>
        <v/>
      </c>
      <c r="P815" s="73" t="str">
        <f>IF(ISBLANK(C815),"",_xlfn.IFNA(INDEX(inbound_data[],MATCH(Outbound_data[[#This Row],[STOCK CODE OUT]],Generated_Stockcode,0),23),""))</f>
        <v/>
      </c>
      <c r="Q815" s="73" t="str">
        <f>IF(ISBLANK(C815),"",_xlfn.IFNA(INDEX(inbound_data[],MATCH(Outbound_data[[#This Row],[STOCK CODE OUT]],Generated_Stockcode,0),13),""))</f>
        <v/>
      </c>
    </row>
    <row r="816" spans="2:17" x14ac:dyDescent="0.25">
      <c r="B816" s="71"/>
      <c r="C816" s="65"/>
      <c r="D816" s="55"/>
      <c r="E816" s="65"/>
      <c r="F816" s="166"/>
      <c r="G816" s="167"/>
      <c r="H816" s="166"/>
      <c r="I816" s="72"/>
      <c r="J816" s="55"/>
      <c r="K816" s="72"/>
      <c r="L816" s="55"/>
      <c r="M816" s="174"/>
      <c r="N816" s="73" t="str">
        <f>IF(ISBLANK(C816),"",_xlfn.IFNA(INDEX(inbound_data[],MATCH(Outbound_data[[#This Row],[STOCK CODE OUT]],Generated_Stockcode,0),10),""))</f>
        <v/>
      </c>
      <c r="O816" s="73" t="str">
        <f>IF(ISBLANK(C816),"",_xlfn.IFNA(INDEX(inbound_data[],MATCH(Outbound_data[[#This Row],[STOCK CODE OUT]],Generated_Stockcode,0),12),""))</f>
        <v/>
      </c>
      <c r="P816" s="73" t="str">
        <f>IF(ISBLANK(C816),"",_xlfn.IFNA(INDEX(inbound_data[],MATCH(Outbound_data[[#This Row],[STOCK CODE OUT]],Generated_Stockcode,0),23),""))</f>
        <v/>
      </c>
      <c r="Q816" s="73" t="str">
        <f>IF(ISBLANK(C816),"",_xlfn.IFNA(INDEX(inbound_data[],MATCH(Outbound_data[[#This Row],[STOCK CODE OUT]],Generated_Stockcode,0),13),""))</f>
        <v/>
      </c>
    </row>
    <row r="817" spans="2:17" x14ac:dyDescent="0.25">
      <c r="B817" s="71"/>
      <c r="C817" s="65"/>
      <c r="D817" s="55"/>
      <c r="E817" s="65"/>
      <c r="F817" s="166"/>
      <c r="G817" s="167"/>
      <c r="H817" s="166"/>
      <c r="I817" s="72"/>
      <c r="J817" s="55"/>
      <c r="K817" s="72"/>
      <c r="L817" s="55"/>
      <c r="M817" s="174"/>
      <c r="N817" s="73" t="str">
        <f>IF(ISBLANK(C817),"",_xlfn.IFNA(INDEX(inbound_data[],MATCH(Outbound_data[[#This Row],[STOCK CODE OUT]],Generated_Stockcode,0),10),""))</f>
        <v/>
      </c>
      <c r="O817" s="73" t="str">
        <f>IF(ISBLANK(C817),"",_xlfn.IFNA(INDEX(inbound_data[],MATCH(Outbound_data[[#This Row],[STOCK CODE OUT]],Generated_Stockcode,0),12),""))</f>
        <v/>
      </c>
      <c r="P817" s="73" t="str">
        <f>IF(ISBLANK(C817),"",_xlfn.IFNA(INDEX(inbound_data[],MATCH(Outbound_data[[#This Row],[STOCK CODE OUT]],Generated_Stockcode,0),23),""))</f>
        <v/>
      </c>
      <c r="Q817" s="73" t="str">
        <f>IF(ISBLANK(C817),"",_xlfn.IFNA(INDEX(inbound_data[],MATCH(Outbound_data[[#This Row],[STOCK CODE OUT]],Generated_Stockcode,0),13),""))</f>
        <v/>
      </c>
    </row>
    <row r="818" spans="2:17" x14ac:dyDescent="0.25">
      <c r="B818" s="71"/>
      <c r="C818" s="65"/>
      <c r="D818" s="55"/>
      <c r="E818" s="65"/>
      <c r="F818" s="166"/>
      <c r="G818" s="167"/>
      <c r="H818" s="166"/>
      <c r="I818" s="72"/>
      <c r="J818" s="55"/>
      <c r="K818" s="72"/>
      <c r="L818" s="55"/>
      <c r="M818" s="174"/>
      <c r="N818" s="73" t="str">
        <f>IF(ISBLANK(C818),"",_xlfn.IFNA(INDEX(inbound_data[],MATCH(Outbound_data[[#This Row],[STOCK CODE OUT]],Generated_Stockcode,0),10),""))</f>
        <v/>
      </c>
      <c r="O818" s="73" t="str">
        <f>IF(ISBLANK(C818),"",_xlfn.IFNA(INDEX(inbound_data[],MATCH(Outbound_data[[#This Row],[STOCK CODE OUT]],Generated_Stockcode,0),12),""))</f>
        <v/>
      </c>
      <c r="P818" s="73" t="str">
        <f>IF(ISBLANK(C818),"",_xlfn.IFNA(INDEX(inbound_data[],MATCH(Outbound_data[[#This Row],[STOCK CODE OUT]],Generated_Stockcode,0),23),""))</f>
        <v/>
      </c>
      <c r="Q818" s="73" t="str">
        <f>IF(ISBLANK(C818),"",_xlfn.IFNA(INDEX(inbound_data[],MATCH(Outbound_data[[#This Row],[STOCK CODE OUT]],Generated_Stockcode,0),13),""))</f>
        <v/>
      </c>
    </row>
    <row r="819" spans="2:17" x14ac:dyDescent="0.25">
      <c r="B819" s="71"/>
      <c r="C819" s="65"/>
      <c r="D819" s="55"/>
      <c r="E819" s="65"/>
      <c r="F819" s="166"/>
      <c r="G819" s="167"/>
      <c r="H819" s="166"/>
      <c r="I819" s="72"/>
      <c r="J819" s="55"/>
      <c r="K819" s="72"/>
      <c r="L819" s="55"/>
      <c r="M819" s="174"/>
      <c r="N819" s="73" t="str">
        <f>IF(ISBLANK(C819),"",_xlfn.IFNA(INDEX(inbound_data[],MATCH(Outbound_data[[#This Row],[STOCK CODE OUT]],Generated_Stockcode,0),10),""))</f>
        <v/>
      </c>
      <c r="O819" s="73" t="str">
        <f>IF(ISBLANK(C819),"",_xlfn.IFNA(INDEX(inbound_data[],MATCH(Outbound_data[[#This Row],[STOCK CODE OUT]],Generated_Stockcode,0),12),""))</f>
        <v/>
      </c>
      <c r="P819" s="73" t="str">
        <f>IF(ISBLANK(C819),"",_xlfn.IFNA(INDEX(inbound_data[],MATCH(Outbound_data[[#This Row],[STOCK CODE OUT]],Generated_Stockcode,0),23),""))</f>
        <v/>
      </c>
      <c r="Q819" s="73" t="str">
        <f>IF(ISBLANK(C819),"",_xlfn.IFNA(INDEX(inbound_data[],MATCH(Outbound_data[[#This Row],[STOCK CODE OUT]],Generated_Stockcode,0),13),""))</f>
        <v/>
      </c>
    </row>
    <row r="820" spans="2:17" x14ac:dyDescent="0.25">
      <c r="B820" s="71"/>
      <c r="C820" s="65"/>
      <c r="D820" s="55"/>
      <c r="E820" s="65"/>
      <c r="F820" s="166"/>
      <c r="G820" s="167"/>
      <c r="H820" s="166"/>
      <c r="I820" s="72"/>
      <c r="J820" s="55"/>
      <c r="K820" s="72"/>
      <c r="L820" s="55"/>
      <c r="M820" s="174"/>
      <c r="N820" s="73" t="str">
        <f>IF(ISBLANK(C820),"",_xlfn.IFNA(INDEX(inbound_data[],MATCH(Outbound_data[[#This Row],[STOCK CODE OUT]],Generated_Stockcode,0),10),""))</f>
        <v/>
      </c>
      <c r="O820" s="73" t="str">
        <f>IF(ISBLANK(C820),"",_xlfn.IFNA(INDEX(inbound_data[],MATCH(Outbound_data[[#This Row],[STOCK CODE OUT]],Generated_Stockcode,0),12),""))</f>
        <v/>
      </c>
      <c r="P820" s="73" t="str">
        <f>IF(ISBLANK(C820),"",_xlfn.IFNA(INDEX(inbound_data[],MATCH(Outbound_data[[#This Row],[STOCK CODE OUT]],Generated_Stockcode,0),23),""))</f>
        <v/>
      </c>
      <c r="Q820" s="73" t="str">
        <f>IF(ISBLANK(C820),"",_xlfn.IFNA(INDEX(inbound_data[],MATCH(Outbound_data[[#This Row],[STOCK CODE OUT]],Generated_Stockcode,0),13),""))</f>
        <v/>
      </c>
    </row>
    <row r="821" spans="2:17" x14ac:dyDescent="0.25">
      <c r="B821" s="71"/>
      <c r="C821" s="65"/>
      <c r="D821" s="55"/>
      <c r="E821" s="65"/>
      <c r="F821" s="166"/>
      <c r="G821" s="167"/>
      <c r="H821" s="166"/>
      <c r="I821" s="72"/>
      <c r="J821" s="55"/>
      <c r="K821" s="72"/>
      <c r="L821" s="55"/>
      <c r="M821" s="174"/>
      <c r="N821" s="73" t="str">
        <f>IF(ISBLANK(C821),"",_xlfn.IFNA(INDEX(inbound_data[],MATCH(Outbound_data[[#This Row],[STOCK CODE OUT]],Generated_Stockcode,0),10),""))</f>
        <v/>
      </c>
      <c r="O821" s="73" t="str">
        <f>IF(ISBLANK(C821),"",_xlfn.IFNA(INDEX(inbound_data[],MATCH(Outbound_data[[#This Row],[STOCK CODE OUT]],Generated_Stockcode,0),12),""))</f>
        <v/>
      </c>
      <c r="P821" s="73" t="str">
        <f>IF(ISBLANK(C821),"",_xlfn.IFNA(INDEX(inbound_data[],MATCH(Outbound_data[[#This Row],[STOCK CODE OUT]],Generated_Stockcode,0),23),""))</f>
        <v/>
      </c>
      <c r="Q821" s="73" t="str">
        <f>IF(ISBLANK(C821),"",_xlfn.IFNA(INDEX(inbound_data[],MATCH(Outbound_data[[#This Row],[STOCK CODE OUT]],Generated_Stockcode,0),13),""))</f>
        <v/>
      </c>
    </row>
    <row r="822" spans="2:17" x14ac:dyDescent="0.25">
      <c r="B822" s="71"/>
      <c r="C822" s="65"/>
      <c r="D822" s="55"/>
      <c r="E822" s="65"/>
      <c r="F822" s="166"/>
      <c r="G822" s="167"/>
      <c r="H822" s="166"/>
      <c r="I822" s="72"/>
      <c r="J822" s="55"/>
      <c r="K822" s="72"/>
      <c r="L822" s="55"/>
      <c r="M822" s="174"/>
      <c r="N822" s="73" t="str">
        <f>IF(ISBLANK(C822),"",_xlfn.IFNA(INDEX(inbound_data[],MATCH(Outbound_data[[#This Row],[STOCK CODE OUT]],Generated_Stockcode,0),10),""))</f>
        <v/>
      </c>
      <c r="O822" s="73" t="str">
        <f>IF(ISBLANK(C822),"",_xlfn.IFNA(INDEX(inbound_data[],MATCH(Outbound_data[[#This Row],[STOCK CODE OUT]],Generated_Stockcode,0),12),""))</f>
        <v/>
      </c>
      <c r="P822" s="73" t="str">
        <f>IF(ISBLANK(C822),"",_xlfn.IFNA(INDEX(inbound_data[],MATCH(Outbound_data[[#This Row],[STOCK CODE OUT]],Generated_Stockcode,0),23),""))</f>
        <v/>
      </c>
      <c r="Q822" s="73" t="str">
        <f>IF(ISBLANK(C822),"",_xlfn.IFNA(INDEX(inbound_data[],MATCH(Outbound_data[[#This Row],[STOCK CODE OUT]],Generated_Stockcode,0),13),""))</f>
        <v/>
      </c>
    </row>
    <row r="823" spans="2:17" x14ac:dyDescent="0.25">
      <c r="B823" s="71"/>
      <c r="C823" s="65"/>
      <c r="D823" s="55"/>
      <c r="E823" s="65"/>
      <c r="F823" s="166"/>
      <c r="G823" s="167"/>
      <c r="H823" s="166"/>
      <c r="I823" s="72"/>
      <c r="J823" s="55"/>
      <c r="K823" s="72"/>
      <c r="L823" s="55"/>
      <c r="M823" s="174"/>
      <c r="N823" s="73" t="str">
        <f>IF(ISBLANK(C823),"",_xlfn.IFNA(INDEX(inbound_data[],MATCH(Outbound_data[[#This Row],[STOCK CODE OUT]],Generated_Stockcode,0),10),""))</f>
        <v/>
      </c>
      <c r="O823" s="73" t="str">
        <f>IF(ISBLANK(C823),"",_xlfn.IFNA(INDEX(inbound_data[],MATCH(Outbound_data[[#This Row],[STOCK CODE OUT]],Generated_Stockcode,0),12),""))</f>
        <v/>
      </c>
      <c r="P823" s="73" t="str">
        <f>IF(ISBLANK(C823),"",_xlfn.IFNA(INDEX(inbound_data[],MATCH(Outbound_data[[#This Row],[STOCK CODE OUT]],Generated_Stockcode,0),23),""))</f>
        <v/>
      </c>
      <c r="Q823" s="73" t="str">
        <f>IF(ISBLANK(C823),"",_xlfn.IFNA(INDEX(inbound_data[],MATCH(Outbound_data[[#This Row],[STOCK CODE OUT]],Generated_Stockcode,0),13),""))</f>
        <v/>
      </c>
    </row>
    <row r="824" spans="2:17" x14ac:dyDescent="0.25">
      <c r="B824" s="71"/>
      <c r="C824" s="65"/>
      <c r="D824" s="55"/>
      <c r="E824" s="65"/>
      <c r="F824" s="166"/>
      <c r="G824" s="167"/>
      <c r="H824" s="166"/>
      <c r="I824" s="72"/>
      <c r="J824" s="55"/>
      <c r="K824" s="72"/>
      <c r="L824" s="55"/>
      <c r="M824" s="174"/>
      <c r="N824" s="73" t="str">
        <f>IF(ISBLANK(C824),"",_xlfn.IFNA(INDEX(inbound_data[],MATCH(Outbound_data[[#This Row],[STOCK CODE OUT]],Generated_Stockcode,0),10),""))</f>
        <v/>
      </c>
      <c r="O824" s="73" t="str">
        <f>IF(ISBLANK(C824),"",_xlfn.IFNA(INDEX(inbound_data[],MATCH(Outbound_data[[#This Row],[STOCK CODE OUT]],Generated_Stockcode,0),12),""))</f>
        <v/>
      </c>
      <c r="P824" s="73" t="str">
        <f>IF(ISBLANK(C824),"",_xlfn.IFNA(INDEX(inbound_data[],MATCH(Outbound_data[[#This Row],[STOCK CODE OUT]],Generated_Stockcode,0),23),""))</f>
        <v/>
      </c>
      <c r="Q824" s="73" t="str">
        <f>IF(ISBLANK(C824),"",_xlfn.IFNA(INDEX(inbound_data[],MATCH(Outbound_data[[#This Row],[STOCK CODE OUT]],Generated_Stockcode,0),13),""))</f>
        <v/>
      </c>
    </row>
    <row r="825" spans="2:17" x14ac:dyDescent="0.25">
      <c r="B825" s="71"/>
      <c r="C825" s="65"/>
      <c r="D825" s="55"/>
      <c r="E825" s="65"/>
      <c r="F825" s="166"/>
      <c r="G825" s="167"/>
      <c r="H825" s="166"/>
      <c r="I825" s="72"/>
      <c r="J825" s="55"/>
      <c r="K825" s="72"/>
      <c r="L825" s="55"/>
      <c r="M825" s="174"/>
      <c r="N825" s="73" t="str">
        <f>IF(ISBLANK(C825),"",_xlfn.IFNA(INDEX(inbound_data[],MATCH(Outbound_data[[#This Row],[STOCK CODE OUT]],Generated_Stockcode,0),10),""))</f>
        <v/>
      </c>
      <c r="O825" s="73" t="str">
        <f>IF(ISBLANK(C825),"",_xlfn.IFNA(INDEX(inbound_data[],MATCH(Outbound_data[[#This Row],[STOCK CODE OUT]],Generated_Stockcode,0),12),""))</f>
        <v/>
      </c>
      <c r="P825" s="73" t="str">
        <f>IF(ISBLANK(C825),"",_xlfn.IFNA(INDEX(inbound_data[],MATCH(Outbound_data[[#This Row],[STOCK CODE OUT]],Generated_Stockcode,0),23),""))</f>
        <v/>
      </c>
      <c r="Q825" s="73" t="str">
        <f>IF(ISBLANK(C825),"",_xlfn.IFNA(INDEX(inbound_data[],MATCH(Outbound_data[[#This Row],[STOCK CODE OUT]],Generated_Stockcode,0),13),""))</f>
        <v/>
      </c>
    </row>
    <row r="826" spans="2:17" x14ac:dyDescent="0.25">
      <c r="B826" s="71"/>
      <c r="C826" s="65"/>
      <c r="D826" s="55"/>
      <c r="E826" s="65"/>
      <c r="F826" s="166"/>
      <c r="G826" s="167"/>
      <c r="H826" s="166"/>
      <c r="I826" s="72"/>
      <c r="J826" s="55"/>
      <c r="K826" s="72"/>
      <c r="L826" s="55"/>
      <c r="M826" s="174"/>
      <c r="N826" s="73" t="str">
        <f>IF(ISBLANK(C826),"",_xlfn.IFNA(INDEX(inbound_data[],MATCH(Outbound_data[[#This Row],[STOCK CODE OUT]],Generated_Stockcode,0),10),""))</f>
        <v/>
      </c>
      <c r="O826" s="73" t="str">
        <f>IF(ISBLANK(C826),"",_xlfn.IFNA(INDEX(inbound_data[],MATCH(Outbound_data[[#This Row],[STOCK CODE OUT]],Generated_Stockcode,0),12),""))</f>
        <v/>
      </c>
      <c r="P826" s="73" t="str">
        <f>IF(ISBLANK(C826),"",_xlfn.IFNA(INDEX(inbound_data[],MATCH(Outbound_data[[#This Row],[STOCK CODE OUT]],Generated_Stockcode,0),23),""))</f>
        <v/>
      </c>
      <c r="Q826" s="73" t="str">
        <f>IF(ISBLANK(C826),"",_xlfn.IFNA(INDEX(inbound_data[],MATCH(Outbound_data[[#This Row],[STOCK CODE OUT]],Generated_Stockcode,0),13),""))</f>
        <v/>
      </c>
    </row>
    <row r="827" spans="2:17" x14ac:dyDescent="0.25">
      <c r="B827" s="71"/>
      <c r="C827" s="65"/>
      <c r="D827" s="55"/>
      <c r="E827" s="65"/>
      <c r="F827" s="166"/>
      <c r="G827" s="167"/>
      <c r="H827" s="166"/>
      <c r="I827" s="72"/>
      <c r="J827" s="55"/>
      <c r="K827" s="72"/>
      <c r="L827" s="55"/>
      <c r="M827" s="174"/>
      <c r="N827" s="73" t="str">
        <f>IF(ISBLANK(C827),"",_xlfn.IFNA(INDEX(inbound_data[],MATCH(Outbound_data[[#This Row],[STOCK CODE OUT]],Generated_Stockcode,0),10),""))</f>
        <v/>
      </c>
      <c r="O827" s="73" t="str">
        <f>IF(ISBLANK(C827),"",_xlfn.IFNA(INDEX(inbound_data[],MATCH(Outbound_data[[#This Row],[STOCK CODE OUT]],Generated_Stockcode,0),12),""))</f>
        <v/>
      </c>
      <c r="P827" s="73" t="str">
        <f>IF(ISBLANK(C827),"",_xlfn.IFNA(INDEX(inbound_data[],MATCH(Outbound_data[[#This Row],[STOCK CODE OUT]],Generated_Stockcode,0),23),""))</f>
        <v/>
      </c>
      <c r="Q827" s="73" t="str">
        <f>IF(ISBLANK(C827),"",_xlfn.IFNA(INDEX(inbound_data[],MATCH(Outbound_data[[#This Row],[STOCK CODE OUT]],Generated_Stockcode,0),13),""))</f>
        <v/>
      </c>
    </row>
    <row r="828" spans="2:17" x14ac:dyDescent="0.25">
      <c r="B828" s="71"/>
      <c r="C828" s="65"/>
      <c r="D828" s="55"/>
      <c r="E828" s="65"/>
      <c r="F828" s="166"/>
      <c r="G828" s="167"/>
      <c r="H828" s="166"/>
      <c r="I828" s="72"/>
      <c r="J828" s="55"/>
      <c r="K828" s="72"/>
      <c r="L828" s="55"/>
      <c r="M828" s="174"/>
      <c r="N828" s="73" t="str">
        <f>IF(ISBLANK(C828),"",_xlfn.IFNA(INDEX(inbound_data[],MATCH(Outbound_data[[#This Row],[STOCK CODE OUT]],Generated_Stockcode,0),10),""))</f>
        <v/>
      </c>
      <c r="O828" s="73" t="str">
        <f>IF(ISBLANK(C828),"",_xlfn.IFNA(INDEX(inbound_data[],MATCH(Outbound_data[[#This Row],[STOCK CODE OUT]],Generated_Stockcode,0),12),""))</f>
        <v/>
      </c>
      <c r="P828" s="73" t="str">
        <f>IF(ISBLANK(C828),"",_xlfn.IFNA(INDEX(inbound_data[],MATCH(Outbound_data[[#This Row],[STOCK CODE OUT]],Generated_Stockcode,0),23),""))</f>
        <v/>
      </c>
      <c r="Q828" s="73" t="str">
        <f>IF(ISBLANK(C828),"",_xlfn.IFNA(INDEX(inbound_data[],MATCH(Outbound_data[[#This Row],[STOCK CODE OUT]],Generated_Stockcode,0),13),""))</f>
        <v/>
      </c>
    </row>
    <row r="829" spans="2:17" x14ac:dyDescent="0.25">
      <c r="B829" s="71"/>
      <c r="C829" s="65"/>
      <c r="D829" s="55"/>
      <c r="E829" s="65"/>
      <c r="F829" s="166"/>
      <c r="G829" s="167"/>
      <c r="H829" s="166"/>
      <c r="I829" s="72"/>
      <c r="J829" s="55"/>
      <c r="K829" s="72"/>
      <c r="L829" s="55"/>
      <c r="M829" s="174"/>
      <c r="N829" s="73" t="str">
        <f>IF(ISBLANK(C829),"",_xlfn.IFNA(INDEX(inbound_data[],MATCH(Outbound_data[[#This Row],[STOCK CODE OUT]],Generated_Stockcode,0),10),""))</f>
        <v/>
      </c>
      <c r="O829" s="73" t="str">
        <f>IF(ISBLANK(C829),"",_xlfn.IFNA(INDEX(inbound_data[],MATCH(Outbound_data[[#This Row],[STOCK CODE OUT]],Generated_Stockcode,0),12),""))</f>
        <v/>
      </c>
      <c r="P829" s="73" t="str">
        <f>IF(ISBLANK(C829),"",_xlfn.IFNA(INDEX(inbound_data[],MATCH(Outbound_data[[#This Row],[STOCK CODE OUT]],Generated_Stockcode,0),23),""))</f>
        <v/>
      </c>
      <c r="Q829" s="73" t="str">
        <f>IF(ISBLANK(C829),"",_xlfn.IFNA(INDEX(inbound_data[],MATCH(Outbound_data[[#This Row],[STOCK CODE OUT]],Generated_Stockcode,0),13),""))</f>
        <v/>
      </c>
    </row>
    <row r="830" spans="2:17" x14ac:dyDescent="0.25">
      <c r="B830" s="71"/>
      <c r="C830" s="65"/>
      <c r="D830" s="55"/>
      <c r="E830" s="65"/>
      <c r="F830" s="166"/>
      <c r="G830" s="167"/>
      <c r="H830" s="166"/>
      <c r="I830" s="72"/>
      <c r="J830" s="55"/>
      <c r="K830" s="72"/>
      <c r="L830" s="55"/>
      <c r="M830" s="174"/>
      <c r="N830" s="73" t="str">
        <f>IF(ISBLANK(C830),"",_xlfn.IFNA(INDEX(inbound_data[],MATCH(Outbound_data[[#This Row],[STOCK CODE OUT]],Generated_Stockcode,0),10),""))</f>
        <v/>
      </c>
      <c r="O830" s="73" t="str">
        <f>IF(ISBLANK(C830),"",_xlfn.IFNA(INDEX(inbound_data[],MATCH(Outbound_data[[#This Row],[STOCK CODE OUT]],Generated_Stockcode,0),12),""))</f>
        <v/>
      </c>
      <c r="P830" s="73" t="str">
        <f>IF(ISBLANK(C830),"",_xlfn.IFNA(INDEX(inbound_data[],MATCH(Outbound_data[[#This Row],[STOCK CODE OUT]],Generated_Stockcode,0),23),""))</f>
        <v/>
      </c>
      <c r="Q830" s="73" t="str">
        <f>IF(ISBLANK(C830),"",_xlfn.IFNA(INDEX(inbound_data[],MATCH(Outbound_data[[#This Row],[STOCK CODE OUT]],Generated_Stockcode,0),13),""))</f>
        <v/>
      </c>
    </row>
    <row r="831" spans="2:17" x14ac:dyDescent="0.25">
      <c r="B831" s="71"/>
      <c r="C831" s="65"/>
      <c r="D831" s="55"/>
      <c r="E831" s="65"/>
      <c r="F831" s="166"/>
      <c r="G831" s="167"/>
      <c r="H831" s="166"/>
      <c r="I831" s="72"/>
      <c r="J831" s="55"/>
      <c r="K831" s="72"/>
      <c r="L831" s="55"/>
      <c r="M831" s="174"/>
      <c r="N831" s="73" t="str">
        <f>IF(ISBLANK(C831),"",_xlfn.IFNA(INDEX(inbound_data[],MATCH(Outbound_data[[#This Row],[STOCK CODE OUT]],Generated_Stockcode,0),10),""))</f>
        <v/>
      </c>
      <c r="O831" s="73" t="str">
        <f>IF(ISBLANK(C831),"",_xlfn.IFNA(INDEX(inbound_data[],MATCH(Outbound_data[[#This Row],[STOCK CODE OUT]],Generated_Stockcode,0),12),""))</f>
        <v/>
      </c>
      <c r="P831" s="73" t="str">
        <f>IF(ISBLANK(C831),"",_xlfn.IFNA(INDEX(inbound_data[],MATCH(Outbound_data[[#This Row],[STOCK CODE OUT]],Generated_Stockcode,0),23),""))</f>
        <v/>
      </c>
      <c r="Q831" s="73" t="str">
        <f>IF(ISBLANK(C831),"",_xlfn.IFNA(INDEX(inbound_data[],MATCH(Outbound_data[[#This Row],[STOCK CODE OUT]],Generated_Stockcode,0),13),""))</f>
        <v/>
      </c>
    </row>
    <row r="832" spans="2:17" x14ac:dyDescent="0.25">
      <c r="B832" s="71"/>
      <c r="C832" s="65"/>
      <c r="D832" s="55"/>
      <c r="E832" s="65"/>
      <c r="F832" s="166"/>
      <c r="G832" s="167"/>
      <c r="H832" s="166"/>
      <c r="I832" s="72"/>
      <c r="J832" s="55"/>
      <c r="K832" s="72"/>
      <c r="L832" s="55"/>
      <c r="M832" s="174"/>
      <c r="N832" s="73" t="str">
        <f>IF(ISBLANK(C832),"",_xlfn.IFNA(INDEX(inbound_data[],MATCH(Outbound_data[[#This Row],[STOCK CODE OUT]],Generated_Stockcode,0),10),""))</f>
        <v/>
      </c>
      <c r="O832" s="73" t="str">
        <f>IF(ISBLANK(C832),"",_xlfn.IFNA(INDEX(inbound_data[],MATCH(Outbound_data[[#This Row],[STOCK CODE OUT]],Generated_Stockcode,0),12),""))</f>
        <v/>
      </c>
      <c r="P832" s="73" t="str">
        <f>IF(ISBLANK(C832),"",_xlfn.IFNA(INDEX(inbound_data[],MATCH(Outbound_data[[#This Row],[STOCK CODE OUT]],Generated_Stockcode,0),23),""))</f>
        <v/>
      </c>
      <c r="Q832" s="73" t="str">
        <f>IF(ISBLANK(C832),"",_xlfn.IFNA(INDEX(inbound_data[],MATCH(Outbound_data[[#This Row],[STOCK CODE OUT]],Generated_Stockcode,0),13),""))</f>
        <v/>
      </c>
    </row>
    <row r="833" spans="2:17" x14ac:dyDescent="0.25">
      <c r="B833" s="71"/>
      <c r="C833" s="65"/>
      <c r="D833" s="55"/>
      <c r="E833" s="65"/>
      <c r="F833" s="166"/>
      <c r="G833" s="167"/>
      <c r="H833" s="166"/>
      <c r="I833" s="72"/>
      <c r="J833" s="55"/>
      <c r="K833" s="72"/>
      <c r="L833" s="55"/>
      <c r="M833" s="174"/>
      <c r="N833" s="73" t="str">
        <f>IF(ISBLANK(C833),"",_xlfn.IFNA(INDEX(inbound_data[],MATCH(Outbound_data[[#This Row],[STOCK CODE OUT]],Generated_Stockcode,0),10),""))</f>
        <v/>
      </c>
      <c r="O833" s="73" t="str">
        <f>IF(ISBLANK(C833),"",_xlfn.IFNA(INDEX(inbound_data[],MATCH(Outbound_data[[#This Row],[STOCK CODE OUT]],Generated_Stockcode,0),12),""))</f>
        <v/>
      </c>
      <c r="P833" s="73" t="str">
        <f>IF(ISBLANK(C833),"",_xlfn.IFNA(INDEX(inbound_data[],MATCH(Outbound_data[[#This Row],[STOCK CODE OUT]],Generated_Stockcode,0),23),""))</f>
        <v/>
      </c>
      <c r="Q833" s="73" t="str">
        <f>IF(ISBLANK(C833),"",_xlfn.IFNA(INDEX(inbound_data[],MATCH(Outbound_data[[#This Row],[STOCK CODE OUT]],Generated_Stockcode,0),13),""))</f>
        <v/>
      </c>
    </row>
    <row r="834" spans="2:17" x14ac:dyDescent="0.25">
      <c r="B834" s="71"/>
      <c r="C834" s="65"/>
      <c r="D834" s="55"/>
      <c r="E834" s="65"/>
      <c r="F834" s="166"/>
      <c r="G834" s="167"/>
      <c r="H834" s="166"/>
      <c r="I834" s="72"/>
      <c r="J834" s="55"/>
      <c r="K834" s="72"/>
      <c r="L834" s="55"/>
      <c r="M834" s="174"/>
      <c r="N834" s="73" t="str">
        <f>IF(ISBLANK(C834),"",_xlfn.IFNA(INDEX(inbound_data[],MATCH(Outbound_data[[#This Row],[STOCK CODE OUT]],Generated_Stockcode,0),10),""))</f>
        <v/>
      </c>
      <c r="O834" s="73" t="str">
        <f>IF(ISBLANK(C834),"",_xlfn.IFNA(INDEX(inbound_data[],MATCH(Outbound_data[[#This Row],[STOCK CODE OUT]],Generated_Stockcode,0),12),""))</f>
        <v/>
      </c>
      <c r="P834" s="73" t="str">
        <f>IF(ISBLANK(C834),"",_xlfn.IFNA(INDEX(inbound_data[],MATCH(Outbound_data[[#This Row],[STOCK CODE OUT]],Generated_Stockcode,0),23),""))</f>
        <v/>
      </c>
      <c r="Q834" s="73" t="str">
        <f>IF(ISBLANK(C834),"",_xlfn.IFNA(INDEX(inbound_data[],MATCH(Outbound_data[[#This Row],[STOCK CODE OUT]],Generated_Stockcode,0),13),""))</f>
        <v/>
      </c>
    </row>
    <row r="835" spans="2:17" x14ac:dyDescent="0.25">
      <c r="B835" s="71"/>
      <c r="C835" s="65"/>
      <c r="D835" s="55"/>
      <c r="E835" s="65"/>
      <c r="F835" s="166"/>
      <c r="G835" s="167"/>
      <c r="H835" s="166"/>
      <c r="I835" s="72"/>
      <c r="J835" s="55"/>
      <c r="K835" s="72"/>
      <c r="L835" s="55"/>
      <c r="M835" s="174"/>
      <c r="N835" s="73" t="str">
        <f>IF(ISBLANK(C835),"",_xlfn.IFNA(INDEX(inbound_data[],MATCH(Outbound_data[[#This Row],[STOCK CODE OUT]],Generated_Stockcode,0),10),""))</f>
        <v/>
      </c>
      <c r="O835" s="73" t="str">
        <f>IF(ISBLANK(C835),"",_xlfn.IFNA(INDEX(inbound_data[],MATCH(Outbound_data[[#This Row],[STOCK CODE OUT]],Generated_Stockcode,0),12),""))</f>
        <v/>
      </c>
      <c r="P835" s="73" t="str">
        <f>IF(ISBLANK(C835),"",_xlfn.IFNA(INDEX(inbound_data[],MATCH(Outbound_data[[#This Row],[STOCK CODE OUT]],Generated_Stockcode,0),23),""))</f>
        <v/>
      </c>
      <c r="Q835" s="73" t="str">
        <f>IF(ISBLANK(C835),"",_xlfn.IFNA(INDEX(inbound_data[],MATCH(Outbound_data[[#This Row],[STOCK CODE OUT]],Generated_Stockcode,0),13),""))</f>
        <v/>
      </c>
    </row>
    <row r="836" spans="2:17" x14ac:dyDescent="0.25">
      <c r="B836" s="71"/>
      <c r="C836" s="65"/>
      <c r="D836" s="55"/>
      <c r="E836" s="65"/>
      <c r="F836" s="166"/>
      <c r="G836" s="167"/>
      <c r="H836" s="166"/>
      <c r="I836" s="72"/>
      <c r="J836" s="55"/>
      <c r="K836" s="72"/>
      <c r="L836" s="55"/>
      <c r="M836" s="174"/>
      <c r="N836" s="73" t="str">
        <f>IF(ISBLANK(C836),"",_xlfn.IFNA(INDEX(inbound_data[],MATCH(Outbound_data[[#This Row],[STOCK CODE OUT]],Generated_Stockcode,0),10),""))</f>
        <v/>
      </c>
      <c r="O836" s="73" t="str">
        <f>IF(ISBLANK(C836),"",_xlfn.IFNA(INDEX(inbound_data[],MATCH(Outbound_data[[#This Row],[STOCK CODE OUT]],Generated_Stockcode,0),12),""))</f>
        <v/>
      </c>
      <c r="P836" s="73" t="str">
        <f>IF(ISBLANK(C836),"",_xlfn.IFNA(INDEX(inbound_data[],MATCH(Outbound_data[[#This Row],[STOCK CODE OUT]],Generated_Stockcode,0),23),""))</f>
        <v/>
      </c>
      <c r="Q836" s="73" t="str">
        <f>IF(ISBLANK(C836),"",_xlfn.IFNA(INDEX(inbound_data[],MATCH(Outbound_data[[#This Row],[STOCK CODE OUT]],Generated_Stockcode,0),13),""))</f>
        <v/>
      </c>
    </row>
    <row r="837" spans="2:17" x14ac:dyDescent="0.25">
      <c r="B837" s="71"/>
      <c r="C837" s="65"/>
      <c r="D837" s="55"/>
      <c r="E837" s="65"/>
      <c r="F837" s="166"/>
      <c r="G837" s="167"/>
      <c r="H837" s="166"/>
      <c r="I837" s="72"/>
      <c r="J837" s="55"/>
      <c r="K837" s="72"/>
      <c r="L837" s="55"/>
      <c r="M837" s="174"/>
      <c r="N837" s="73" t="str">
        <f>IF(ISBLANK(C837),"",_xlfn.IFNA(INDEX(inbound_data[],MATCH(Outbound_data[[#This Row],[STOCK CODE OUT]],Generated_Stockcode,0),10),""))</f>
        <v/>
      </c>
      <c r="O837" s="73" t="str">
        <f>IF(ISBLANK(C837),"",_xlfn.IFNA(INDEX(inbound_data[],MATCH(Outbound_data[[#This Row],[STOCK CODE OUT]],Generated_Stockcode,0),12),""))</f>
        <v/>
      </c>
      <c r="P837" s="73" t="str">
        <f>IF(ISBLANK(C837),"",_xlfn.IFNA(INDEX(inbound_data[],MATCH(Outbound_data[[#This Row],[STOCK CODE OUT]],Generated_Stockcode,0),23),""))</f>
        <v/>
      </c>
      <c r="Q837" s="73" t="str">
        <f>IF(ISBLANK(C837),"",_xlfn.IFNA(INDEX(inbound_data[],MATCH(Outbound_data[[#This Row],[STOCK CODE OUT]],Generated_Stockcode,0),13),""))</f>
        <v/>
      </c>
    </row>
    <row r="838" spans="2:17" x14ac:dyDescent="0.25">
      <c r="B838" s="71"/>
      <c r="C838" s="65"/>
      <c r="D838" s="55"/>
      <c r="E838" s="65"/>
      <c r="F838" s="166"/>
      <c r="G838" s="167"/>
      <c r="H838" s="166"/>
      <c r="I838" s="72"/>
      <c r="J838" s="55"/>
      <c r="K838" s="72"/>
      <c r="L838" s="55"/>
      <c r="M838" s="174"/>
      <c r="N838" s="73" t="str">
        <f>IF(ISBLANK(C838),"",_xlfn.IFNA(INDEX(inbound_data[],MATCH(Outbound_data[[#This Row],[STOCK CODE OUT]],Generated_Stockcode,0),10),""))</f>
        <v/>
      </c>
      <c r="O838" s="73" t="str">
        <f>IF(ISBLANK(C838),"",_xlfn.IFNA(INDEX(inbound_data[],MATCH(Outbound_data[[#This Row],[STOCK CODE OUT]],Generated_Stockcode,0),12),""))</f>
        <v/>
      </c>
      <c r="P838" s="73" t="str">
        <f>IF(ISBLANK(C838),"",_xlfn.IFNA(INDEX(inbound_data[],MATCH(Outbound_data[[#This Row],[STOCK CODE OUT]],Generated_Stockcode,0),23),""))</f>
        <v/>
      </c>
      <c r="Q838" s="73" t="str">
        <f>IF(ISBLANK(C838),"",_xlfn.IFNA(INDEX(inbound_data[],MATCH(Outbound_data[[#This Row],[STOCK CODE OUT]],Generated_Stockcode,0),13),""))</f>
        <v/>
      </c>
    </row>
    <row r="839" spans="2:17" x14ac:dyDescent="0.25">
      <c r="B839" s="71"/>
      <c r="C839" s="65"/>
      <c r="D839" s="55"/>
      <c r="E839" s="65"/>
      <c r="F839" s="166"/>
      <c r="G839" s="167"/>
      <c r="H839" s="166"/>
      <c r="I839" s="72"/>
      <c r="J839" s="55"/>
      <c r="K839" s="72"/>
      <c r="L839" s="55"/>
      <c r="M839" s="174"/>
      <c r="N839" s="73" t="str">
        <f>IF(ISBLANK(C839),"",_xlfn.IFNA(INDEX(inbound_data[],MATCH(Outbound_data[[#This Row],[STOCK CODE OUT]],Generated_Stockcode,0),10),""))</f>
        <v/>
      </c>
      <c r="O839" s="73" t="str">
        <f>IF(ISBLANK(C839),"",_xlfn.IFNA(INDEX(inbound_data[],MATCH(Outbound_data[[#This Row],[STOCK CODE OUT]],Generated_Stockcode,0),12),""))</f>
        <v/>
      </c>
      <c r="P839" s="73" t="str">
        <f>IF(ISBLANK(C839),"",_xlfn.IFNA(INDEX(inbound_data[],MATCH(Outbound_data[[#This Row],[STOCK CODE OUT]],Generated_Stockcode,0),23),""))</f>
        <v/>
      </c>
      <c r="Q839" s="73" t="str">
        <f>IF(ISBLANK(C839),"",_xlfn.IFNA(INDEX(inbound_data[],MATCH(Outbound_data[[#This Row],[STOCK CODE OUT]],Generated_Stockcode,0),13),""))</f>
        <v/>
      </c>
    </row>
    <row r="840" spans="2:17" x14ac:dyDescent="0.25">
      <c r="B840" s="71"/>
      <c r="C840" s="65"/>
      <c r="D840" s="55"/>
      <c r="E840" s="65"/>
      <c r="F840" s="166"/>
      <c r="G840" s="167"/>
      <c r="H840" s="166"/>
      <c r="I840" s="72"/>
      <c r="J840" s="55"/>
      <c r="K840" s="72"/>
      <c r="L840" s="55"/>
      <c r="M840" s="174"/>
      <c r="N840" s="73" t="str">
        <f>IF(ISBLANK(C840),"",_xlfn.IFNA(INDEX(inbound_data[],MATCH(Outbound_data[[#This Row],[STOCK CODE OUT]],Generated_Stockcode,0),10),""))</f>
        <v/>
      </c>
      <c r="O840" s="73" t="str">
        <f>IF(ISBLANK(C840),"",_xlfn.IFNA(INDEX(inbound_data[],MATCH(Outbound_data[[#This Row],[STOCK CODE OUT]],Generated_Stockcode,0),12),""))</f>
        <v/>
      </c>
      <c r="P840" s="73" t="str">
        <f>IF(ISBLANK(C840),"",_xlfn.IFNA(INDEX(inbound_data[],MATCH(Outbound_data[[#This Row],[STOCK CODE OUT]],Generated_Stockcode,0),23),""))</f>
        <v/>
      </c>
      <c r="Q840" s="73" t="str">
        <f>IF(ISBLANK(C840),"",_xlfn.IFNA(INDEX(inbound_data[],MATCH(Outbound_data[[#This Row],[STOCK CODE OUT]],Generated_Stockcode,0),13),""))</f>
        <v/>
      </c>
    </row>
    <row r="841" spans="2:17" x14ac:dyDescent="0.25">
      <c r="B841" s="71"/>
      <c r="C841" s="65"/>
      <c r="D841" s="55"/>
      <c r="E841" s="65"/>
      <c r="F841" s="166"/>
      <c r="G841" s="167"/>
      <c r="H841" s="166"/>
      <c r="I841" s="72"/>
      <c r="J841" s="55"/>
      <c r="K841" s="72"/>
      <c r="L841" s="55"/>
      <c r="M841" s="174"/>
      <c r="N841" s="73" t="str">
        <f>IF(ISBLANK(C841),"",_xlfn.IFNA(INDEX(inbound_data[],MATCH(Outbound_data[[#This Row],[STOCK CODE OUT]],Generated_Stockcode,0),10),""))</f>
        <v/>
      </c>
      <c r="O841" s="73" t="str">
        <f>IF(ISBLANK(C841),"",_xlfn.IFNA(INDEX(inbound_data[],MATCH(Outbound_data[[#This Row],[STOCK CODE OUT]],Generated_Stockcode,0),12),""))</f>
        <v/>
      </c>
      <c r="P841" s="73" t="str">
        <f>IF(ISBLANK(C841),"",_xlfn.IFNA(INDEX(inbound_data[],MATCH(Outbound_data[[#This Row],[STOCK CODE OUT]],Generated_Stockcode,0),23),""))</f>
        <v/>
      </c>
      <c r="Q841" s="73" t="str">
        <f>IF(ISBLANK(C841),"",_xlfn.IFNA(INDEX(inbound_data[],MATCH(Outbound_data[[#This Row],[STOCK CODE OUT]],Generated_Stockcode,0),13),""))</f>
        <v/>
      </c>
    </row>
    <row r="842" spans="2:17" x14ac:dyDescent="0.25">
      <c r="B842" s="71"/>
      <c r="C842" s="65"/>
      <c r="D842" s="55"/>
      <c r="E842" s="65"/>
      <c r="F842" s="166"/>
      <c r="G842" s="167"/>
      <c r="H842" s="166"/>
      <c r="I842" s="72"/>
      <c r="J842" s="55"/>
      <c r="K842" s="72"/>
      <c r="L842" s="55"/>
      <c r="M842" s="174"/>
      <c r="N842" s="73" t="str">
        <f>IF(ISBLANK(C842),"",_xlfn.IFNA(INDEX(inbound_data[],MATCH(Outbound_data[[#This Row],[STOCK CODE OUT]],Generated_Stockcode,0),10),""))</f>
        <v/>
      </c>
      <c r="O842" s="73" t="str">
        <f>IF(ISBLANK(C842),"",_xlfn.IFNA(INDEX(inbound_data[],MATCH(Outbound_data[[#This Row],[STOCK CODE OUT]],Generated_Stockcode,0),12),""))</f>
        <v/>
      </c>
      <c r="P842" s="73" t="str">
        <f>IF(ISBLANK(C842),"",_xlfn.IFNA(INDEX(inbound_data[],MATCH(Outbound_data[[#This Row],[STOCK CODE OUT]],Generated_Stockcode,0),23),""))</f>
        <v/>
      </c>
      <c r="Q842" s="73" t="str">
        <f>IF(ISBLANK(C842),"",_xlfn.IFNA(INDEX(inbound_data[],MATCH(Outbound_data[[#This Row],[STOCK CODE OUT]],Generated_Stockcode,0),13),""))</f>
        <v/>
      </c>
    </row>
    <row r="843" spans="2:17" x14ac:dyDescent="0.25">
      <c r="B843" s="71"/>
      <c r="C843" s="65"/>
      <c r="D843" s="55"/>
      <c r="E843" s="65"/>
      <c r="F843" s="166"/>
      <c r="G843" s="167"/>
      <c r="H843" s="166"/>
      <c r="I843" s="72"/>
      <c r="J843" s="55"/>
      <c r="K843" s="72"/>
      <c r="L843" s="55"/>
      <c r="M843" s="174"/>
      <c r="N843" s="73" t="str">
        <f>IF(ISBLANK(C843),"",_xlfn.IFNA(INDEX(inbound_data[],MATCH(Outbound_data[[#This Row],[STOCK CODE OUT]],Generated_Stockcode,0),10),""))</f>
        <v/>
      </c>
      <c r="O843" s="73" t="str">
        <f>IF(ISBLANK(C843),"",_xlfn.IFNA(INDEX(inbound_data[],MATCH(Outbound_data[[#This Row],[STOCK CODE OUT]],Generated_Stockcode,0),12),""))</f>
        <v/>
      </c>
      <c r="P843" s="73" t="str">
        <f>IF(ISBLANK(C843),"",_xlfn.IFNA(INDEX(inbound_data[],MATCH(Outbound_data[[#This Row],[STOCK CODE OUT]],Generated_Stockcode,0),23),""))</f>
        <v/>
      </c>
      <c r="Q843" s="73" t="str">
        <f>IF(ISBLANK(C843),"",_xlfn.IFNA(INDEX(inbound_data[],MATCH(Outbound_data[[#This Row],[STOCK CODE OUT]],Generated_Stockcode,0),13),""))</f>
        <v/>
      </c>
    </row>
    <row r="844" spans="2:17" x14ac:dyDescent="0.25">
      <c r="B844" s="71"/>
      <c r="C844" s="65"/>
      <c r="D844" s="55"/>
      <c r="E844" s="65"/>
      <c r="F844" s="166"/>
      <c r="G844" s="167"/>
      <c r="H844" s="166"/>
      <c r="I844" s="72"/>
      <c r="J844" s="55"/>
      <c r="K844" s="72"/>
      <c r="L844" s="55"/>
      <c r="M844" s="174"/>
      <c r="N844" s="73" t="str">
        <f>IF(ISBLANK(C844),"",_xlfn.IFNA(INDEX(inbound_data[],MATCH(Outbound_data[[#This Row],[STOCK CODE OUT]],Generated_Stockcode,0),10),""))</f>
        <v/>
      </c>
      <c r="O844" s="73" t="str">
        <f>IF(ISBLANK(C844),"",_xlfn.IFNA(INDEX(inbound_data[],MATCH(Outbound_data[[#This Row],[STOCK CODE OUT]],Generated_Stockcode,0),12),""))</f>
        <v/>
      </c>
      <c r="P844" s="73" t="str">
        <f>IF(ISBLANK(C844),"",_xlfn.IFNA(INDEX(inbound_data[],MATCH(Outbound_data[[#This Row],[STOCK CODE OUT]],Generated_Stockcode,0),23),""))</f>
        <v/>
      </c>
      <c r="Q844" s="73" t="str">
        <f>IF(ISBLANK(C844),"",_xlfn.IFNA(INDEX(inbound_data[],MATCH(Outbound_data[[#This Row],[STOCK CODE OUT]],Generated_Stockcode,0),13),""))</f>
        <v/>
      </c>
    </row>
    <row r="845" spans="2:17" x14ac:dyDescent="0.25">
      <c r="B845" s="71"/>
      <c r="C845" s="65"/>
      <c r="D845" s="55"/>
      <c r="E845" s="65"/>
      <c r="F845" s="166"/>
      <c r="G845" s="167"/>
      <c r="H845" s="166"/>
      <c r="I845" s="72"/>
      <c r="J845" s="55"/>
      <c r="K845" s="72"/>
      <c r="L845" s="55"/>
      <c r="M845" s="174"/>
      <c r="N845" s="73" t="str">
        <f>IF(ISBLANK(C845),"",_xlfn.IFNA(INDEX(inbound_data[],MATCH(Outbound_data[[#This Row],[STOCK CODE OUT]],Generated_Stockcode,0),10),""))</f>
        <v/>
      </c>
      <c r="O845" s="73" t="str">
        <f>IF(ISBLANK(C845),"",_xlfn.IFNA(INDEX(inbound_data[],MATCH(Outbound_data[[#This Row],[STOCK CODE OUT]],Generated_Stockcode,0),12),""))</f>
        <v/>
      </c>
      <c r="P845" s="73" t="str">
        <f>IF(ISBLANK(C845),"",_xlfn.IFNA(INDEX(inbound_data[],MATCH(Outbound_data[[#This Row],[STOCK CODE OUT]],Generated_Stockcode,0),23),""))</f>
        <v/>
      </c>
      <c r="Q845" s="73" t="str">
        <f>IF(ISBLANK(C845),"",_xlfn.IFNA(INDEX(inbound_data[],MATCH(Outbound_data[[#This Row],[STOCK CODE OUT]],Generated_Stockcode,0),13),""))</f>
        <v/>
      </c>
    </row>
    <row r="846" spans="2:17" x14ac:dyDescent="0.25">
      <c r="B846" s="71"/>
      <c r="C846" s="65"/>
      <c r="D846" s="55"/>
      <c r="E846" s="65"/>
      <c r="F846" s="166"/>
      <c r="G846" s="167"/>
      <c r="H846" s="166"/>
      <c r="I846" s="72"/>
      <c r="J846" s="55"/>
      <c r="K846" s="72"/>
      <c r="L846" s="55"/>
      <c r="M846" s="174"/>
      <c r="N846" s="73" t="str">
        <f>IF(ISBLANK(C846),"",_xlfn.IFNA(INDEX(inbound_data[],MATCH(Outbound_data[[#This Row],[STOCK CODE OUT]],Generated_Stockcode,0),10),""))</f>
        <v/>
      </c>
      <c r="O846" s="73" t="str">
        <f>IF(ISBLANK(C846),"",_xlfn.IFNA(INDEX(inbound_data[],MATCH(Outbound_data[[#This Row],[STOCK CODE OUT]],Generated_Stockcode,0),12),""))</f>
        <v/>
      </c>
      <c r="P846" s="73" t="str">
        <f>IF(ISBLANK(C846),"",_xlfn.IFNA(INDEX(inbound_data[],MATCH(Outbound_data[[#This Row],[STOCK CODE OUT]],Generated_Stockcode,0),23),""))</f>
        <v/>
      </c>
      <c r="Q846" s="73" t="str">
        <f>IF(ISBLANK(C846),"",_xlfn.IFNA(INDEX(inbound_data[],MATCH(Outbound_data[[#This Row],[STOCK CODE OUT]],Generated_Stockcode,0),13),""))</f>
        <v/>
      </c>
    </row>
    <row r="847" spans="2:17" x14ac:dyDescent="0.25">
      <c r="B847" s="71"/>
      <c r="C847" s="65"/>
      <c r="D847" s="55"/>
      <c r="E847" s="65"/>
      <c r="F847" s="166"/>
      <c r="G847" s="167"/>
      <c r="H847" s="166"/>
      <c r="I847" s="72"/>
      <c r="J847" s="55"/>
      <c r="K847" s="72"/>
      <c r="L847" s="55"/>
      <c r="M847" s="174"/>
      <c r="N847" s="73" t="str">
        <f>IF(ISBLANK(C847),"",_xlfn.IFNA(INDEX(inbound_data[],MATCH(Outbound_data[[#This Row],[STOCK CODE OUT]],Generated_Stockcode,0),10),""))</f>
        <v/>
      </c>
      <c r="O847" s="73" t="str">
        <f>IF(ISBLANK(C847),"",_xlfn.IFNA(INDEX(inbound_data[],MATCH(Outbound_data[[#This Row],[STOCK CODE OUT]],Generated_Stockcode,0),12),""))</f>
        <v/>
      </c>
      <c r="P847" s="73" t="str">
        <f>IF(ISBLANK(C847),"",_xlfn.IFNA(INDEX(inbound_data[],MATCH(Outbound_data[[#This Row],[STOCK CODE OUT]],Generated_Stockcode,0),23),""))</f>
        <v/>
      </c>
      <c r="Q847" s="73" t="str">
        <f>IF(ISBLANK(C847),"",_xlfn.IFNA(INDEX(inbound_data[],MATCH(Outbound_data[[#This Row],[STOCK CODE OUT]],Generated_Stockcode,0),13),""))</f>
        <v/>
      </c>
    </row>
    <row r="848" spans="2:17" x14ac:dyDescent="0.25">
      <c r="B848" s="71"/>
      <c r="C848" s="65"/>
      <c r="D848" s="55"/>
      <c r="E848" s="65"/>
      <c r="F848" s="166"/>
      <c r="G848" s="167"/>
      <c r="H848" s="166"/>
      <c r="I848" s="72"/>
      <c r="J848" s="55"/>
      <c r="K848" s="72"/>
      <c r="L848" s="55"/>
      <c r="M848" s="174"/>
      <c r="N848" s="73" t="str">
        <f>IF(ISBLANK(C848),"",_xlfn.IFNA(INDEX(inbound_data[],MATCH(Outbound_data[[#This Row],[STOCK CODE OUT]],Generated_Stockcode,0),10),""))</f>
        <v/>
      </c>
      <c r="O848" s="73" t="str">
        <f>IF(ISBLANK(C848),"",_xlfn.IFNA(INDEX(inbound_data[],MATCH(Outbound_data[[#This Row],[STOCK CODE OUT]],Generated_Stockcode,0),12),""))</f>
        <v/>
      </c>
      <c r="P848" s="73" t="str">
        <f>IF(ISBLANK(C848),"",_xlfn.IFNA(INDEX(inbound_data[],MATCH(Outbound_data[[#This Row],[STOCK CODE OUT]],Generated_Stockcode,0),23),""))</f>
        <v/>
      </c>
      <c r="Q848" s="73" t="str">
        <f>IF(ISBLANK(C848),"",_xlfn.IFNA(INDEX(inbound_data[],MATCH(Outbound_data[[#This Row],[STOCK CODE OUT]],Generated_Stockcode,0),13),""))</f>
        <v/>
      </c>
    </row>
    <row r="849" spans="2:17" x14ac:dyDescent="0.25">
      <c r="B849" s="71"/>
      <c r="C849" s="65"/>
      <c r="D849" s="55"/>
      <c r="E849" s="65"/>
      <c r="F849" s="166"/>
      <c r="G849" s="167"/>
      <c r="H849" s="166"/>
      <c r="I849" s="72"/>
      <c r="J849" s="55"/>
      <c r="K849" s="72"/>
      <c r="L849" s="55"/>
      <c r="M849" s="174"/>
      <c r="N849" s="73" t="str">
        <f>IF(ISBLANK(C849),"",_xlfn.IFNA(INDEX(inbound_data[],MATCH(Outbound_data[[#This Row],[STOCK CODE OUT]],Generated_Stockcode,0),10),""))</f>
        <v/>
      </c>
      <c r="O849" s="73" t="str">
        <f>IF(ISBLANK(C849),"",_xlfn.IFNA(INDEX(inbound_data[],MATCH(Outbound_data[[#This Row],[STOCK CODE OUT]],Generated_Stockcode,0),12),""))</f>
        <v/>
      </c>
      <c r="P849" s="73" t="str">
        <f>IF(ISBLANK(C849),"",_xlfn.IFNA(INDEX(inbound_data[],MATCH(Outbound_data[[#This Row],[STOCK CODE OUT]],Generated_Stockcode,0),23),""))</f>
        <v/>
      </c>
      <c r="Q849" s="73" t="str">
        <f>IF(ISBLANK(C849),"",_xlfn.IFNA(INDEX(inbound_data[],MATCH(Outbound_data[[#This Row],[STOCK CODE OUT]],Generated_Stockcode,0),13),""))</f>
        <v/>
      </c>
    </row>
    <row r="850" spans="2:17" x14ac:dyDescent="0.25">
      <c r="B850" s="71"/>
      <c r="C850" s="65"/>
      <c r="D850" s="55"/>
      <c r="E850" s="65"/>
      <c r="F850" s="166"/>
      <c r="G850" s="167"/>
      <c r="H850" s="166"/>
      <c r="I850" s="72"/>
      <c r="J850" s="55"/>
      <c r="K850" s="72"/>
      <c r="L850" s="55"/>
      <c r="M850" s="174"/>
      <c r="N850" s="73" t="str">
        <f>IF(ISBLANK(C850),"",_xlfn.IFNA(INDEX(inbound_data[],MATCH(Outbound_data[[#This Row],[STOCK CODE OUT]],Generated_Stockcode,0),10),""))</f>
        <v/>
      </c>
      <c r="O850" s="73" t="str">
        <f>IF(ISBLANK(C850),"",_xlfn.IFNA(INDEX(inbound_data[],MATCH(Outbound_data[[#This Row],[STOCK CODE OUT]],Generated_Stockcode,0),12),""))</f>
        <v/>
      </c>
      <c r="P850" s="73" t="str">
        <f>IF(ISBLANK(C850),"",_xlfn.IFNA(INDEX(inbound_data[],MATCH(Outbound_data[[#This Row],[STOCK CODE OUT]],Generated_Stockcode,0),23),""))</f>
        <v/>
      </c>
      <c r="Q850" s="73" t="str">
        <f>IF(ISBLANK(C850),"",_xlfn.IFNA(INDEX(inbound_data[],MATCH(Outbound_data[[#This Row],[STOCK CODE OUT]],Generated_Stockcode,0),13),""))</f>
        <v/>
      </c>
    </row>
    <row r="851" spans="2:17" x14ac:dyDescent="0.25">
      <c r="B851" s="71"/>
      <c r="C851" s="65"/>
      <c r="D851" s="55"/>
      <c r="E851" s="65"/>
      <c r="F851" s="166"/>
      <c r="G851" s="167"/>
      <c r="H851" s="166"/>
      <c r="I851" s="72"/>
      <c r="J851" s="55"/>
      <c r="K851" s="72"/>
      <c r="L851" s="55"/>
      <c r="M851" s="174"/>
      <c r="N851" s="73" t="str">
        <f>IF(ISBLANK(C851),"",_xlfn.IFNA(INDEX(inbound_data[],MATCH(Outbound_data[[#This Row],[STOCK CODE OUT]],Generated_Stockcode,0),10),""))</f>
        <v/>
      </c>
      <c r="O851" s="73" t="str">
        <f>IF(ISBLANK(C851),"",_xlfn.IFNA(INDEX(inbound_data[],MATCH(Outbound_data[[#This Row],[STOCK CODE OUT]],Generated_Stockcode,0),12),""))</f>
        <v/>
      </c>
      <c r="P851" s="73" t="str">
        <f>IF(ISBLANK(C851),"",_xlfn.IFNA(INDEX(inbound_data[],MATCH(Outbound_data[[#This Row],[STOCK CODE OUT]],Generated_Stockcode,0),23),""))</f>
        <v/>
      </c>
      <c r="Q851" s="73" t="str">
        <f>IF(ISBLANK(C851),"",_xlfn.IFNA(INDEX(inbound_data[],MATCH(Outbound_data[[#This Row],[STOCK CODE OUT]],Generated_Stockcode,0),13),""))</f>
        <v/>
      </c>
    </row>
    <row r="852" spans="2:17" x14ac:dyDescent="0.25">
      <c r="B852" s="71"/>
      <c r="C852" s="65"/>
      <c r="D852" s="55"/>
      <c r="E852" s="65"/>
      <c r="F852" s="166"/>
      <c r="G852" s="167"/>
      <c r="H852" s="166"/>
      <c r="I852" s="72"/>
      <c r="J852" s="55"/>
      <c r="K852" s="72"/>
      <c r="L852" s="55"/>
      <c r="M852" s="174"/>
      <c r="N852" s="73" t="str">
        <f>IF(ISBLANK(C852),"",_xlfn.IFNA(INDEX(inbound_data[],MATCH(Outbound_data[[#This Row],[STOCK CODE OUT]],Generated_Stockcode,0),10),""))</f>
        <v/>
      </c>
      <c r="O852" s="73" t="str">
        <f>IF(ISBLANK(C852),"",_xlfn.IFNA(INDEX(inbound_data[],MATCH(Outbound_data[[#This Row],[STOCK CODE OUT]],Generated_Stockcode,0),12),""))</f>
        <v/>
      </c>
      <c r="P852" s="73" t="str">
        <f>IF(ISBLANK(C852),"",_xlfn.IFNA(INDEX(inbound_data[],MATCH(Outbound_data[[#This Row],[STOCK CODE OUT]],Generated_Stockcode,0),23),""))</f>
        <v/>
      </c>
      <c r="Q852" s="73" t="str">
        <f>IF(ISBLANK(C852),"",_xlfn.IFNA(INDEX(inbound_data[],MATCH(Outbound_data[[#This Row],[STOCK CODE OUT]],Generated_Stockcode,0),13),""))</f>
        <v/>
      </c>
    </row>
    <row r="853" spans="2:17" x14ac:dyDescent="0.25">
      <c r="B853" s="71"/>
      <c r="C853" s="65"/>
      <c r="D853" s="55"/>
      <c r="E853" s="65"/>
      <c r="F853" s="166"/>
      <c r="G853" s="167"/>
      <c r="H853" s="166"/>
      <c r="I853" s="72"/>
      <c r="J853" s="55"/>
      <c r="K853" s="72"/>
      <c r="L853" s="55"/>
      <c r="M853" s="174"/>
      <c r="N853" s="73" t="str">
        <f>IF(ISBLANK(C853),"",_xlfn.IFNA(INDEX(inbound_data[],MATCH(Outbound_data[[#This Row],[STOCK CODE OUT]],Generated_Stockcode,0),10),""))</f>
        <v/>
      </c>
      <c r="O853" s="73" t="str">
        <f>IF(ISBLANK(C853),"",_xlfn.IFNA(INDEX(inbound_data[],MATCH(Outbound_data[[#This Row],[STOCK CODE OUT]],Generated_Stockcode,0),12),""))</f>
        <v/>
      </c>
      <c r="P853" s="73" t="str">
        <f>IF(ISBLANK(C853),"",_xlfn.IFNA(INDEX(inbound_data[],MATCH(Outbound_data[[#This Row],[STOCK CODE OUT]],Generated_Stockcode,0),23),""))</f>
        <v/>
      </c>
      <c r="Q853" s="73" t="str">
        <f>IF(ISBLANK(C853),"",_xlfn.IFNA(INDEX(inbound_data[],MATCH(Outbound_data[[#This Row],[STOCK CODE OUT]],Generated_Stockcode,0),13),""))</f>
        <v/>
      </c>
    </row>
    <row r="854" spans="2:17" x14ac:dyDescent="0.25">
      <c r="B854" s="71"/>
      <c r="C854" s="65"/>
      <c r="D854" s="55"/>
      <c r="E854" s="65"/>
      <c r="F854" s="166"/>
      <c r="G854" s="167"/>
      <c r="H854" s="166"/>
      <c r="I854" s="72"/>
      <c r="J854" s="55"/>
      <c r="K854" s="72"/>
      <c r="L854" s="55"/>
      <c r="M854" s="174"/>
      <c r="N854" s="73" t="str">
        <f>IF(ISBLANK(C854),"",_xlfn.IFNA(INDEX(inbound_data[],MATCH(Outbound_data[[#This Row],[STOCK CODE OUT]],Generated_Stockcode,0),10),""))</f>
        <v/>
      </c>
      <c r="O854" s="73" t="str">
        <f>IF(ISBLANK(C854),"",_xlfn.IFNA(INDEX(inbound_data[],MATCH(Outbound_data[[#This Row],[STOCK CODE OUT]],Generated_Stockcode,0),12),""))</f>
        <v/>
      </c>
      <c r="P854" s="73" t="str">
        <f>IF(ISBLANK(C854),"",_xlfn.IFNA(INDEX(inbound_data[],MATCH(Outbound_data[[#This Row],[STOCK CODE OUT]],Generated_Stockcode,0),23),""))</f>
        <v/>
      </c>
      <c r="Q854" s="73" t="str">
        <f>IF(ISBLANK(C854),"",_xlfn.IFNA(INDEX(inbound_data[],MATCH(Outbound_data[[#This Row],[STOCK CODE OUT]],Generated_Stockcode,0),13),""))</f>
        <v/>
      </c>
    </row>
    <row r="855" spans="2:17" x14ac:dyDescent="0.25">
      <c r="B855" s="71"/>
      <c r="C855" s="65"/>
      <c r="D855" s="55"/>
      <c r="E855" s="65"/>
      <c r="F855" s="166"/>
      <c r="G855" s="167"/>
      <c r="H855" s="166"/>
      <c r="I855" s="72"/>
      <c r="J855" s="55"/>
      <c r="K855" s="72"/>
      <c r="L855" s="55"/>
      <c r="M855" s="174"/>
      <c r="N855" s="73" t="str">
        <f>IF(ISBLANK(C855),"",_xlfn.IFNA(INDEX(inbound_data[],MATCH(Outbound_data[[#This Row],[STOCK CODE OUT]],Generated_Stockcode,0),10),""))</f>
        <v/>
      </c>
      <c r="O855" s="73" t="str">
        <f>IF(ISBLANK(C855),"",_xlfn.IFNA(INDEX(inbound_data[],MATCH(Outbound_data[[#This Row],[STOCK CODE OUT]],Generated_Stockcode,0),12),""))</f>
        <v/>
      </c>
      <c r="P855" s="73" t="str">
        <f>IF(ISBLANK(C855),"",_xlfn.IFNA(INDEX(inbound_data[],MATCH(Outbound_data[[#This Row],[STOCK CODE OUT]],Generated_Stockcode,0),23),""))</f>
        <v/>
      </c>
      <c r="Q855" s="73" t="str">
        <f>IF(ISBLANK(C855),"",_xlfn.IFNA(INDEX(inbound_data[],MATCH(Outbound_data[[#This Row],[STOCK CODE OUT]],Generated_Stockcode,0),13),""))</f>
        <v/>
      </c>
    </row>
    <row r="856" spans="2:17" x14ac:dyDescent="0.25">
      <c r="B856" s="71"/>
      <c r="C856" s="65"/>
      <c r="D856" s="55"/>
      <c r="E856" s="65"/>
      <c r="F856" s="166"/>
      <c r="G856" s="167"/>
      <c r="H856" s="166"/>
      <c r="I856" s="72"/>
      <c r="J856" s="55"/>
      <c r="K856" s="72"/>
      <c r="L856" s="55"/>
      <c r="M856" s="174"/>
      <c r="N856" s="73" t="str">
        <f>IF(ISBLANK(C856),"",_xlfn.IFNA(INDEX(inbound_data[],MATCH(Outbound_data[[#This Row],[STOCK CODE OUT]],Generated_Stockcode,0),10),""))</f>
        <v/>
      </c>
      <c r="O856" s="73" t="str">
        <f>IF(ISBLANK(C856),"",_xlfn.IFNA(INDEX(inbound_data[],MATCH(Outbound_data[[#This Row],[STOCK CODE OUT]],Generated_Stockcode,0),12),""))</f>
        <v/>
      </c>
      <c r="P856" s="73" t="str">
        <f>IF(ISBLANK(C856),"",_xlfn.IFNA(INDEX(inbound_data[],MATCH(Outbound_data[[#This Row],[STOCK CODE OUT]],Generated_Stockcode,0),23),""))</f>
        <v/>
      </c>
      <c r="Q856" s="73" t="str">
        <f>IF(ISBLANK(C856),"",_xlfn.IFNA(INDEX(inbound_data[],MATCH(Outbound_data[[#This Row],[STOCK CODE OUT]],Generated_Stockcode,0),13),""))</f>
        <v/>
      </c>
    </row>
    <row r="857" spans="2:17" x14ac:dyDescent="0.25">
      <c r="B857" s="71"/>
      <c r="C857" s="65"/>
      <c r="D857" s="55"/>
      <c r="E857" s="65"/>
      <c r="F857" s="166"/>
      <c r="G857" s="167"/>
      <c r="H857" s="166"/>
      <c r="I857" s="72"/>
      <c r="J857" s="55"/>
      <c r="K857" s="72"/>
      <c r="L857" s="55"/>
      <c r="M857" s="174"/>
      <c r="N857" s="73" t="str">
        <f>IF(ISBLANK(C857),"",_xlfn.IFNA(INDEX(inbound_data[],MATCH(Outbound_data[[#This Row],[STOCK CODE OUT]],Generated_Stockcode,0),10),""))</f>
        <v/>
      </c>
      <c r="O857" s="73" t="str">
        <f>IF(ISBLANK(C857),"",_xlfn.IFNA(INDEX(inbound_data[],MATCH(Outbound_data[[#This Row],[STOCK CODE OUT]],Generated_Stockcode,0),12),""))</f>
        <v/>
      </c>
      <c r="P857" s="73" t="str">
        <f>IF(ISBLANK(C857),"",_xlfn.IFNA(INDEX(inbound_data[],MATCH(Outbound_data[[#This Row],[STOCK CODE OUT]],Generated_Stockcode,0),23),""))</f>
        <v/>
      </c>
      <c r="Q857" s="73" t="str">
        <f>IF(ISBLANK(C857),"",_xlfn.IFNA(INDEX(inbound_data[],MATCH(Outbound_data[[#This Row],[STOCK CODE OUT]],Generated_Stockcode,0),13),""))</f>
        <v/>
      </c>
    </row>
    <row r="858" spans="2:17" x14ac:dyDescent="0.25">
      <c r="B858" s="71"/>
      <c r="C858" s="65"/>
      <c r="D858" s="55"/>
      <c r="E858" s="65"/>
      <c r="F858" s="166"/>
      <c r="G858" s="167"/>
      <c r="H858" s="166"/>
      <c r="I858" s="72"/>
      <c r="J858" s="55"/>
      <c r="K858" s="72"/>
      <c r="L858" s="55"/>
      <c r="M858" s="174"/>
      <c r="N858" s="73" t="str">
        <f>IF(ISBLANK(C858),"",_xlfn.IFNA(INDEX(inbound_data[],MATCH(Outbound_data[[#This Row],[STOCK CODE OUT]],Generated_Stockcode,0),10),""))</f>
        <v/>
      </c>
      <c r="O858" s="73" t="str">
        <f>IF(ISBLANK(C858),"",_xlfn.IFNA(INDEX(inbound_data[],MATCH(Outbound_data[[#This Row],[STOCK CODE OUT]],Generated_Stockcode,0),12),""))</f>
        <v/>
      </c>
      <c r="P858" s="73" t="str">
        <f>IF(ISBLANK(C858),"",_xlfn.IFNA(INDEX(inbound_data[],MATCH(Outbound_data[[#This Row],[STOCK CODE OUT]],Generated_Stockcode,0),23),""))</f>
        <v/>
      </c>
      <c r="Q858" s="73" t="str">
        <f>IF(ISBLANK(C858),"",_xlfn.IFNA(INDEX(inbound_data[],MATCH(Outbound_data[[#This Row],[STOCK CODE OUT]],Generated_Stockcode,0),13),""))</f>
        <v/>
      </c>
    </row>
    <row r="859" spans="2:17" x14ac:dyDescent="0.25">
      <c r="B859" s="71"/>
      <c r="C859" s="65"/>
      <c r="D859" s="55"/>
      <c r="E859" s="65"/>
      <c r="F859" s="166"/>
      <c r="G859" s="167"/>
      <c r="H859" s="166"/>
      <c r="I859" s="72"/>
      <c r="J859" s="55"/>
      <c r="K859" s="72"/>
      <c r="L859" s="55"/>
      <c r="M859" s="174"/>
      <c r="N859" s="73" t="str">
        <f>IF(ISBLANK(C859),"",_xlfn.IFNA(INDEX(inbound_data[],MATCH(Outbound_data[[#This Row],[STOCK CODE OUT]],Generated_Stockcode,0),10),""))</f>
        <v/>
      </c>
      <c r="O859" s="73" t="str">
        <f>IF(ISBLANK(C859),"",_xlfn.IFNA(INDEX(inbound_data[],MATCH(Outbound_data[[#This Row],[STOCK CODE OUT]],Generated_Stockcode,0),12),""))</f>
        <v/>
      </c>
      <c r="P859" s="73" t="str">
        <f>IF(ISBLANK(C859),"",_xlfn.IFNA(INDEX(inbound_data[],MATCH(Outbound_data[[#This Row],[STOCK CODE OUT]],Generated_Stockcode,0),23),""))</f>
        <v/>
      </c>
      <c r="Q859" s="73" t="str">
        <f>IF(ISBLANK(C859),"",_xlfn.IFNA(INDEX(inbound_data[],MATCH(Outbound_data[[#This Row],[STOCK CODE OUT]],Generated_Stockcode,0),13),""))</f>
        <v/>
      </c>
    </row>
    <row r="860" spans="2:17" x14ac:dyDescent="0.25">
      <c r="B860" s="71"/>
      <c r="C860" s="65"/>
      <c r="D860" s="55"/>
      <c r="E860" s="65"/>
      <c r="F860" s="166"/>
      <c r="G860" s="167"/>
      <c r="H860" s="166"/>
      <c r="I860" s="72"/>
      <c r="J860" s="55"/>
      <c r="K860" s="72"/>
      <c r="L860" s="55"/>
      <c r="M860" s="174"/>
      <c r="N860" s="73" t="str">
        <f>IF(ISBLANK(C860),"",_xlfn.IFNA(INDEX(inbound_data[],MATCH(Outbound_data[[#This Row],[STOCK CODE OUT]],Generated_Stockcode,0),10),""))</f>
        <v/>
      </c>
      <c r="O860" s="73" t="str">
        <f>IF(ISBLANK(C860),"",_xlfn.IFNA(INDEX(inbound_data[],MATCH(Outbound_data[[#This Row],[STOCK CODE OUT]],Generated_Stockcode,0),12),""))</f>
        <v/>
      </c>
      <c r="P860" s="73" t="str">
        <f>IF(ISBLANK(C860),"",_xlfn.IFNA(INDEX(inbound_data[],MATCH(Outbound_data[[#This Row],[STOCK CODE OUT]],Generated_Stockcode,0),23),""))</f>
        <v/>
      </c>
      <c r="Q860" s="73" t="str">
        <f>IF(ISBLANK(C860),"",_xlfn.IFNA(INDEX(inbound_data[],MATCH(Outbound_data[[#This Row],[STOCK CODE OUT]],Generated_Stockcode,0),13),""))</f>
        <v/>
      </c>
    </row>
    <row r="861" spans="2:17" x14ac:dyDescent="0.25">
      <c r="B861" s="71"/>
      <c r="C861" s="65"/>
      <c r="D861" s="55"/>
      <c r="E861" s="65"/>
      <c r="F861" s="166"/>
      <c r="G861" s="167"/>
      <c r="H861" s="166"/>
      <c r="I861" s="72"/>
      <c r="J861" s="55"/>
      <c r="K861" s="72"/>
      <c r="L861" s="55"/>
      <c r="M861" s="174"/>
      <c r="N861" s="73" t="str">
        <f>IF(ISBLANK(C861),"",_xlfn.IFNA(INDEX(inbound_data[],MATCH(Outbound_data[[#This Row],[STOCK CODE OUT]],Generated_Stockcode,0),10),""))</f>
        <v/>
      </c>
      <c r="O861" s="73" t="str">
        <f>IF(ISBLANK(C861),"",_xlfn.IFNA(INDEX(inbound_data[],MATCH(Outbound_data[[#This Row],[STOCK CODE OUT]],Generated_Stockcode,0),12),""))</f>
        <v/>
      </c>
      <c r="P861" s="73" t="str">
        <f>IF(ISBLANK(C861),"",_xlfn.IFNA(INDEX(inbound_data[],MATCH(Outbound_data[[#This Row],[STOCK CODE OUT]],Generated_Stockcode,0),23),""))</f>
        <v/>
      </c>
      <c r="Q861" s="73" t="str">
        <f>IF(ISBLANK(C861),"",_xlfn.IFNA(INDEX(inbound_data[],MATCH(Outbound_data[[#This Row],[STOCK CODE OUT]],Generated_Stockcode,0),13),""))</f>
        <v/>
      </c>
    </row>
    <row r="862" spans="2:17" x14ac:dyDescent="0.25">
      <c r="B862" s="71"/>
      <c r="C862" s="65"/>
      <c r="D862" s="55"/>
      <c r="E862" s="65"/>
      <c r="F862" s="166"/>
      <c r="G862" s="167"/>
      <c r="H862" s="166"/>
      <c r="I862" s="72"/>
      <c r="J862" s="55"/>
      <c r="K862" s="72"/>
      <c r="L862" s="55"/>
      <c r="M862" s="174"/>
      <c r="N862" s="73" t="str">
        <f>IF(ISBLANK(C862),"",_xlfn.IFNA(INDEX(inbound_data[],MATCH(Outbound_data[[#This Row],[STOCK CODE OUT]],Generated_Stockcode,0),10),""))</f>
        <v/>
      </c>
      <c r="O862" s="73" t="str">
        <f>IF(ISBLANK(C862),"",_xlfn.IFNA(INDEX(inbound_data[],MATCH(Outbound_data[[#This Row],[STOCK CODE OUT]],Generated_Stockcode,0),12),""))</f>
        <v/>
      </c>
      <c r="P862" s="73" t="str">
        <f>IF(ISBLANK(C862),"",_xlfn.IFNA(INDEX(inbound_data[],MATCH(Outbound_data[[#This Row],[STOCK CODE OUT]],Generated_Stockcode,0),23),""))</f>
        <v/>
      </c>
      <c r="Q862" s="73" t="str">
        <f>IF(ISBLANK(C862),"",_xlfn.IFNA(INDEX(inbound_data[],MATCH(Outbound_data[[#This Row],[STOCK CODE OUT]],Generated_Stockcode,0),13),""))</f>
        <v/>
      </c>
    </row>
    <row r="863" spans="2:17" x14ac:dyDescent="0.25">
      <c r="B863" s="71"/>
      <c r="C863" s="65"/>
      <c r="D863" s="55"/>
      <c r="E863" s="65"/>
      <c r="F863" s="166"/>
      <c r="G863" s="167"/>
      <c r="H863" s="166"/>
      <c r="I863" s="72"/>
      <c r="J863" s="55"/>
      <c r="K863" s="72"/>
      <c r="L863" s="55"/>
      <c r="M863" s="174"/>
      <c r="N863" s="73" t="str">
        <f>IF(ISBLANK(C863),"",_xlfn.IFNA(INDEX(inbound_data[],MATCH(Outbound_data[[#This Row],[STOCK CODE OUT]],Generated_Stockcode,0),10),""))</f>
        <v/>
      </c>
      <c r="O863" s="73" t="str">
        <f>IF(ISBLANK(C863),"",_xlfn.IFNA(INDEX(inbound_data[],MATCH(Outbound_data[[#This Row],[STOCK CODE OUT]],Generated_Stockcode,0),12),""))</f>
        <v/>
      </c>
      <c r="P863" s="73" t="str">
        <f>IF(ISBLANK(C863),"",_xlfn.IFNA(INDEX(inbound_data[],MATCH(Outbound_data[[#This Row],[STOCK CODE OUT]],Generated_Stockcode,0),23),""))</f>
        <v/>
      </c>
      <c r="Q863" s="73" t="str">
        <f>IF(ISBLANK(C863),"",_xlfn.IFNA(INDEX(inbound_data[],MATCH(Outbound_data[[#This Row],[STOCK CODE OUT]],Generated_Stockcode,0),13),""))</f>
        <v/>
      </c>
    </row>
    <row r="864" spans="2:17" x14ac:dyDescent="0.25">
      <c r="B864" s="71"/>
      <c r="C864" s="65"/>
      <c r="D864" s="55"/>
      <c r="E864" s="65"/>
      <c r="F864" s="166"/>
      <c r="G864" s="167"/>
      <c r="H864" s="166"/>
      <c r="I864" s="72"/>
      <c r="J864" s="55"/>
      <c r="K864" s="72"/>
      <c r="L864" s="55"/>
      <c r="M864" s="174"/>
      <c r="N864" s="73" t="str">
        <f>IF(ISBLANK(C864),"",_xlfn.IFNA(INDEX(inbound_data[],MATCH(Outbound_data[[#This Row],[STOCK CODE OUT]],Generated_Stockcode,0),10),""))</f>
        <v/>
      </c>
      <c r="O864" s="73" t="str">
        <f>IF(ISBLANK(C864),"",_xlfn.IFNA(INDEX(inbound_data[],MATCH(Outbound_data[[#This Row],[STOCK CODE OUT]],Generated_Stockcode,0),12),""))</f>
        <v/>
      </c>
      <c r="P864" s="73" t="str">
        <f>IF(ISBLANK(C864),"",_xlfn.IFNA(INDEX(inbound_data[],MATCH(Outbound_data[[#This Row],[STOCK CODE OUT]],Generated_Stockcode,0),23),""))</f>
        <v/>
      </c>
      <c r="Q864" s="73" t="str">
        <f>IF(ISBLANK(C864),"",_xlfn.IFNA(INDEX(inbound_data[],MATCH(Outbound_data[[#This Row],[STOCK CODE OUT]],Generated_Stockcode,0),13),""))</f>
        <v/>
      </c>
    </row>
    <row r="865" spans="2:17" x14ac:dyDescent="0.25">
      <c r="B865" s="71"/>
      <c r="C865" s="65"/>
      <c r="D865" s="55"/>
      <c r="E865" s="65"/>
      <c r="F865" s="166"/>
      <c r="G865" s="167"/>
      <c r="H865" s="166"/>
      <c r="I865" s="72"/>
      <c r="J865" s="55"/>
      <c r="K865" s="72"/>
      <c r="L865" s="55"/>
      <c r="M865" s="174"/>
      <c r="N865" s="73" t="str">
        <f>IF(ISBLANK(C865),"",_xlfn.IFNA(INDEX(inbound_data[],MATCH(Outbound_data[[#This Row],[STOCK CODE OUT]],Generated_Stockcode,0),10),""))</f>
        <v/>
      </c>
      <c r="O865" s="73" t="str">
        <f>IF(ISBLANK(C865),"",_xlfn.IFNA(INDEX(inbound_data[],MATCH(Outbound_data[[#This Row],[STOCK CODE OUT]],Generated_Stockcode,0),12),""))</f>
        <v/>
      </c>
      <c r="P865" s="73" t="str">
        <f>IF(ISBLANK(C865),"",_xlfn.IFNA(INDEX(inbound_data[],MATCH(Outbound_data[[#This Row],[STOCK CODE OUT]],Generated_Stockcode,0),23),""))</f>
        <v/>
      </c>
      <c r="Q865" s="73" t="str">
        <f>IF(ISBLANK(C865),"",_xlfn.IFNA(INDEX(inbound_data[],MATCH(Outbound_data[[#This Row],[STOCK CODE OUT]],Generated_Stockcode,0),13),""))</f>
        <v/>
      </c>
    </row>
    <row r="866" spans="2:17" x14ac:dyDescent="0.25">
      <c r="B866" s="71"/>
      <c r="C866" s="65"/>
      <c r="D866" s="55"/>
      <c r="E866" s="65"/>
      <c r="F866" s="166"/>
      <c r="G866" s="167"/>
      <c r="H866" s="166"/>
      <c r="I866" s="72"/>
      <c r="J866" s="55"/>
      <c r="K866" s="72"/>
      <c r="L866" s="55"/>
      <c r="M866" s="174"/>
      <c r="N866" s="73" t="str">
        <f>IF(ISBLANK(C866),"",_xlfn.IFNA(INDEX(inbound_data[],MATCH(Outbound_data[[#This Row],[STOCK CODE OUT]],Generated_Stockcode,0),10),""))</f>
        <v/>
      </c>
      <c r="O866" s="73" t="str">
        <f>IF(ISBLANK(C866),"",_xlfn.IFNA(INDEX(inbound_data[],MATCH(Outbound_data[[#This Row],[STOCK CODE OUT]],Generated_Stockcode,0),12),""))</f>
        <v/>
      </c>
      <c r="P866" s="73" t="str">
        <f>IF(ISBLANK(C866),"",_xlfn.IFNA(INDEX(inbound_data[],MATCH(Outbound_data[[#This Row],[STOCK CODE OUT]],Generated_Stockcode,0),23),""))</f>
        <v/>
      </c>
      <c r="Q866" s="73" t="str">
        <f>IF(ISBLANK(C866),"",_xlfn.IFNA(INDEX(inbound_data[],MATCH(Outbound_data[[#This Row],[STOCK CODE OUT]],Generated_Stockcode,0),13),""))</f>
        <v/>
      </c>
    </row>
    <row r="867" spans="2:17" x14ac:dyDescent="0.25">
      <c r="B867" s="71"/>
      <c r="C867" s="65"/>
      <c r="D867" s="55"/>
      <c r="E867" s="65"/>
      <c r="F867" s="166"/>
      <c r="G867" s="167"/>
      <c r="H867" s="166"/>
      <c r="I867" s="72"/>
      <c r="J867" s="55"/>
      <c r="K867" s="72"/>
      <c r="L867" s="55"/>
      <c r="M867" s="174"/>
      <c r="N867" s="73" t="str">
        <f>IF(ISBLANK(C867),"",_xlfn.IFNA(INDEX(inbound_data[],MATCH(Outbound_data[[#This Row],[STOCK CODE OUT]],Generated_Stockcode,0),10),""))</f>
        <v/>
      </c>
      <c r="O867" s="73" t="str">
        <f>IF(ISBLANK(C867),"",_xlfn.IFNA(INDEX(inbound_data[],MATCH(Outbound_data[[#This Row],[STOCK CODE OUT]],Generated_Stockcode,0),12),""))</f>
        <v/>
      </c>
      <c r="P867" s="73" t="str">
        <f>IF(ISBLANK(C867),"",_xlfn.IFNA(INDEX(inbound_data[],MATCH(Outbound_data[[#This Row],[STOCK CODE OUT]],Generated_Stockcode,0),23),""))</f>
        <v/>
      </c>
      <c r="Q867" s="73" t="str">
        <f>IF(ISBLANK(C867),"",_xlfn.IFNA(INDEX(inbound_data[],MATCH(Outbound_data[[#This Row],[STOCK CODE OUT]],Generated_Stockcode,0),13),""))</f>
        <v/>
      </c>
    </row>
    <row r="868" spans="2:17" x14ac:dyDescent="0.25">
      <c r="B868" s="71"/>
      <c r="C868" s="65"/>
      <c r="D868" s="55"/>
      <c r="E868" s="65"/>
      <c r="F868" s="166"/>
      <c r="G868" s="167"/>
      <c r="H868" s="166"/>
      <c r="I868" s="72"/>
      <c r="J868" s="55"/>
      <c r="K868" s="72"/>
      <c r="L868" s="55"/>
      <c r="M868" s="174"/>
      <c r="N868" s="73" t="str">
        <f>IF(ISBLANK(C868),"",_xlfn.IFNA(INDEX(inbound_data[],MATCH(Outbound_data[[#This Row],[STOCK CODE OUT]],Generated_Stockcode,0),10),""))</f>
        <v/>
      </c>
      <c r="O868" s="73" t="str">
        <f>IF(ISBLANK(C868),"",_xlfn.IFNA(INDEX(inbound_data[],MATCH(Outbound_data[[#This Row],[STOCK CODE OUT]],Generated_Stockcode,0),12),""))</f>
        <v/>
      </c>
      <c r="P868" s="73" t="str">
        <f>IF(ISBLANK(C868),"",_xlfn.IFNA(INDEX(inbound_data[],MATCH(Outbound_data[[#This Row],[STOCK CODE OUT]],Generated_Stockcode,0),23),""))</f>
        <v/>
      </c>
      <c r="Q868" s="73" t="str">
        <f>IF(ISBLANK(C868),"",_xlfn.IFNA(INDEX(inbound_data[],MATCH(Outbound_data[[#This Row],[STOCK CODE OUT]],Generated_Stockcode,0),13),""))</f>
        <v/>
      </c>
    </row>
    <row r="869" spans="2:17" x14ac:dyDescent="0.25">
      <c r="B869" s="71"/>
      <c r="C869" s="65"/>
      <c r="D869" s="55"/>
      <c r="E869" s="65"/>
      <c r="F869" s="166"/>
      <c r="G869" s="167"/>
      <c r="H869" s="166"/>
      <c r="I869" s="72"/>
      <c r="J869" s="55"/>
      <c r="K869" s="72"/>
      <c r="L869" s="55"/>
      <c r="M869" s="174"/>
      <c r="N869" s="73" t="str">
        <f>IF(ISBLANK(C869),"",_xlfn.IFNA(INDEX(inbound_data[],MATCH(Outbound_data[[#This Row],[STOCK CODE OUT]],Generated_Stockcode,0),10),""))</f>
        <v/>
      </c>
      <c r="O869" s="73" t="str">
        <f>IF(ISBLANK(C869),"",_xlfn.IFNA(INDEX(inbound_data[],MATCH(Outbound_data[[#This Row],[STOCK CODE OUT]],Generated_Stockcode,0),12),""))</f>
        <v/>
      </c>
      <c r="P869" s="73" t="str">
        <f>IF(ISBLANK(C869),"",_xlfn.IFNA(INDEX(inbound_data[],MATCH(Outbound_data[[#This Row],[STOCK CODE OUT]],Generated_Stockcode,0),23),""))</f>
        <v/>
      </c>
      <c r="Q869" s="73" t="str">
        <f>IF(ISBLANK(C869),"",_xlfn.IFNA(INDEX(inbound_data[],MATCH(Outbound_data[[#This Row],[STOCK CODE OUT]],Generated_Stockcode,0),13),""))</f>
        <v/>
      </c>
    </row>
    <row r="870" spans="2:17" x14ac:dyDescent="0.25">
      <c r="B870" s="71"/>
      <c r="C870" s="65"/>
      <c r="D870" s="55"/>
      <c r="E870" s="65"/>
      <c r="F870" s="166"/>
      <c r="G870" s="167"/>
      <c r="H870" s="166"/>
      <c r="I870" s="72"/>
      <c r="J870" s="55"/>
      <c r="K870" s="72"/>
      <c r="L870" s="55"/>
      <c r="M870" s="174"/>
      <c r="N870" s="73" t="str">
        <f>IF(ISBLANK(C870),"",_xlfn.IFNA(INDEX(inbound_data[],MATCH(Outbound_data[[#This Row],[STOCK CODE OUT]],Generated_Stockcode,0),10),""))</f>
        <v/>
      </c>
      <c r="O870" s="73" t="str">
        <f>IF(ISBLANK(C870),"",_xlfn.IFNA(INDEX(inbound_data[],MATCH(Outbound_data[[#This Row],[STOCK CODE OUT]],Generated_Stockcode,0),12),""))</f>
        <v/>
      </c>
      <c r="P870" s="73" t="str">
        <f>IF(ISBLANK(C870),"",_xlfn.IFNA(INDEX(inbound_data[],MATCH(Outbound_data[[#This Row],[STOCK CODE OUT]],Generated_Stockcode,0),23),""))</f>
        <v/>
      </c>
      <c r="Q870" s="73" t="str">
        <f>IF(ISBLANK(C870),"",_xlfn.IFNA(INDEX(inbound_data[],MATCH(Outbound_data[[#This Row],[STOCK CODE OUT]],Generated_Stockcode,0),13),""))</f>
        <v/>
      </c>
    </row>
    <row r="871" spans="2:17" x14ac:dyDescent="0.25">
      <c r="B871" s="71"/>
      <c r="C871" s="65"/>
      <c r="D871" s="55"/>
      <c r="E871" s="65"/>
      <c r="F871" s="166"/>
      <c r="G871" s="167"/>
      <c r="H871" s="166"/>
      <c r="I871" s="72"/>
      <c r="J871" s="55"/>
      <c r="K871" s="72"/>
      <c r="L871" s="55"/>
      <c r="M871" s="174"/>
      <c r="N871" s="73" t="str">
        <f>IF(ISBLANK(C871),"",_xlfn.IFNA(INDEX(inbound_data[],MATCH(Outbound_data[[#This Row],[STOCK CODE OUT]],Generated_Stockcode,0),10),""))</f>
        <v/>
      </c>
      <c r="O871" s="73" t="str">
        <f>IF(ISBLANK(C871),"",_xlfn.IFNA(INDEX(inbound_data[],MATCH(Outbound_data[[#This Row],[STOCK CODE OUT]],Generated_Stockcode,0),12),""))</f>
        <v/>
      </c>
      <c r="P871" s="73" t="str">
        <f>IF(ISBLANK(C871),"",_xlfn.IFNA(INDEX(inbound_data[],MATCH(Outbound_data[[#This Row],[STOCK CODE OUT]],Generated_Stockcode,0),23),""))</f>
        <v/>
      </c>
      <c r="Q871" s="73" t="str">
        <f>IF(ISBLANK(C871),"",_xlfn.IFNA(INDEX(inbound_data[],MATCH(Outbound_data[[#This Row],[STOCK CODE OUT]],Generated_Stockcode,0),13),""))</f>
        <v/>
      </c>
    </row>
    <row r="872" spans="2:17" x14ac:dyDescent="0.25">
      <c r="B872" s="71"/>
      <c r="C872" s="65"/>
      <c r="D872" s="55"/>
      <c r="E872" s="65"/>
      <c r="F872" s="166"/>
      <c r="G872" s="167"/>
      <c r="H872" s="166"/>
      <c r="I872" s="72"/>
      <c r="J872" s="55"/>
      <c r="K872" s="72"/>
      <c r="L872" s="55"/>
      <c r="M872" s="174"/>
      <c r="N872" s="73" t="str">
        <f>IF(ISBLANK(C872),"",_xlfn.IFNA(INDEX(inbound_data[],MATCH(Outbound_data[[#This Row],[STOCK CODE OUT]],Generated_Stockcode,0),10),""))</f>
        <v/>
      </c>
      <c r="O872" s="73" t="str">
        <f>IF(ISBLANK(C872),"",_xlfn.IFNA(INDEX(inbound_data[],MATCH(Outbound_data[[#This Row],[STOCK CODE OUT]],Generated_Stockcode,0),12),""))</f>
        <v/>
      </c>
      <c r="P872" s="73" t="str">
        <f>IF(ISBLANK(C872),"",_xlfn.IFNA(INDEX(inbound_data[],MATCH(Outbound_data[[#This Row],[STOCK CODE OUT]],Generated_Stockcode,0),23),""))</f>
        <v/>
      </c>
      <c r="Q872" s="73" t="str">
        <f>IF(ISBLANK(C872),"",_xlfn.IFNA(INDEX(inbound_data[],MATCH(Outbound_data[[#This Row],[STOCK CODE OUT]],Generated_Stockcode,0),13),""))</f>
        <v/>
      </c>
    </row>
    <row r="873" spans="2:17" x14ac:dyDescent="0.25">
      <c r="B873" s="71"/>
      <c r="C873" s="65"/>
      <c r="D873" s="55"/>
      <c r="E873" s="65"/>
      <c r="F873" s="166"/>
      <c r="G873" s="167"/>
      <c r="H873" s="166"/>
      <c r="I873" s="72"/>
      <c r="J873" s="55"/>
      <c r="K873" s="72"/>
      <c r="L873" s="55"/>
      <c r="M873" s="174"/>
      <c r="N873" s="73" t="str">
        <f>IF(ISBLANK(C873),"",_xlfn.IFNA(INDEX(inbound_data[],MATCH(Outbound_data[[#This Row],[STOCK CODE OUT]],Generated_Stockcode,0),10),""))</f>
        <v/>
      </c>
      <c r="O873" s="73" t="str">
        <f>IF(ISBLANK(C873),"",_xlfn.IFNA(INDEX(inbound_data[],MATCH(Outbound_data[[#This Row],[STOCK CODE OUT]],Generated_Stockcode,0),12),""))</f>
        <v/>
      </c>
      <c r="P873" s="73" t="str">
        <f>IF(ISBLANK(C873),"",_xlfn.IFNA(INDEX(inbound_data[],MATCH(Outbound_data[[#This Row],[STOCK CODE OUT]],Generated_Stockcode,0),23),""))</f>
        <v/>
      </c>
      <c r="Q873" s="73" t="str">
        <f>IF(ISBLANK(C873),"",_xlfn.IFNA(INDEX(inbound_data[],MATCH(Outbound_data[[#This Row],[STOCK CODE OUT]],Generated_Stockcode,0),13),""))</f>
        <v/>
      </c>
    </row>
    <row r="874" spans="2:17" x14ac:dyDescent="0.25">
      <c r="B874" s="71"/>
      <c r="C874" s="65"/>
      <c r="D874" s="55"/>
      <c r="E874" s="65"/>
      <c r="F874" s="166"/>
      <c r="G874" s="167"/>
      <c r="H874" s="166"/>
      <c r="I874" s="72"/>
      <c r="J874" s="55"/>
      <c r="K874" s="72"/>
      <c r="L874" s="55"/>
      <c r="M874" s="174"/>
      <c r="N874" s="73" t="str">
        <f>IF(ISBLANK(C874),"",_xlfn.IFNA(INDEX(inbound_data[],MATCH(Outbound_data[[#This Row],[STOCK CODE OUT]],Generated_Stockcode,0),10),""))</f>
        <v/>
      </c>
      <c r="O874" s="73" t="str">
        <f>IF(ISBLANK(C874),"",_xlfn.IFNA(INDEX(inbound_data[],MATCH(Outbound_data[[#This Row],[STOCK CODE OUT]],Generated_Stockcode,0),12),""))</f>
        <v/>
      </c>
      <c r="P874" s="73" t="str">
        <f>IF(ISBLANK(C874),"",_xlfn.IFNA(INDEX(inbound_data[],MATCH(Outbound_data[[#This Row],[STOCK CODE OUT]],Generated_Stockcode,0),23),""))</f>
        <v/>
      </c>
      <c r="Q874" s="73" t="str">
        <f>IF(ISBLANK(C874),"",_xlfn.IFNA(INDEX(inbound_data[],MATCH(Outbound_data[[#This Row],[STOCK CODE OUT]],Generated_Stockcode,0),13),""))</f>
        <v/>
      </c>
    </row>
    <row r="875" spans="2:17" x14ac:dyDescent="0.25">
      <c r="B875" s="71"/>
      <c r="C875" s="65"/>
      <c r="D875" s="55"/>
      <c r="E875" s="65"/>
      <c r="F875" s="166"/>
      <c r="G875" s="167"/>
      <c r="H875" s="166"/>
      <c r="I875" s="72"/>
      <c r="J875" s="55"/>
      <c r="K875" s="72"/>
      <c r="L875" s="55"/>
      <c r="M875" s="174"/>
      <c r="N875" s="73" t="str">
        <f>IF(ISBLANK(C875),"",_xlfn.IFNA(INDEX(inbound_data[],MATCH(Outbound_data[[#This Row],[STOCK CODE OUT]],Generated_Stockcode,0),10),""))</f>
        <v/>
      </c>
      <c r="O875" s="73" t="str">
        <f>IF(ISBLANK(C875),"",_xlfn.IFNA(INDEX(inbound_data[],MATCH(Outbound_data[[#This Row],[STOCK CODE OUT]],Generated_Stockcode,0),12),""))</f>
        <v/>
      </c>
      <c r="P875" s="73" t="str">
        <f>IF(ISBLANK(C875),"",_xlfn.IFNA(INDEX(inbound_data[],MATCH(Outbound_data[[#This Row],[STOCK CODE OUT]],Generated_Stockcode,0),23),""))</f>
        <v/>
      </c>
      <c r="Q875" s="73" t="str">
        <f>IF(ISBLANK(C875),"",_xlfn.IFNA(INDEX(inbound_data[],MATCH(Outbound_data[[#This Row],[STOCK CODE OUT]],Generated_Stockcode,0),13),""))</f>
        <v/>
      </c>
    </row>
    <row r="876" spans="2:17" x14ac:dyDescent="0.25">
      <c r="B876" s="71"/>
      <c r="C876" s="65"/>
      <c r="D876" s="55"/>
      <c r="E876" s="65"/>
      <c r="F876" s="166"/>
      <c r="G876" s="167"/>
      <c r="H876" s="166"/>
      <c r="I876" s="72"/>
      <c r="J876" s="55"/>
      <c r="K876" s="72"/>
      <c r="L876" s="55"/>
      <c r="M876" s="174"/>
      <c r="N876" s="73" t="str">
        <f>IF(ISBLANK(C876),"",_xlfn.IFNA(INDEX(inbound_data[],MATCH(Outbound_data[[#This Row],[STOCK CODE OUT]],Generated_Stockcode,0),10),""))</f>
        <v/>
      </c>
      <c r="O876" s="73" t="str">
        <f>IF(ISBLANK(C876),"",_xlfn.IFNA(INDEX(inbound_data[],MATCH(Outbound_data[[#This Row],[STOCK CODE OUT]],Generated_Stockcode,0),12),""))</f>
        <v/>
      </c>
      <c r="P876" s="73" t="str">
        <f>IF(ISBLANK(C876),"",_xlfn.IFNA(INDEX(inbound_data[],MATCH(Outbound_data[[#This Row],[STOCK CODE OUT]],Generated_Stockcode,0),23),""))</f>
        <v/>
      </c>
      <c r="Q876" s="73" t="str">
        <f>IF(ISBLANK(C876),"",_xlfn.IFNA(INDEX(inbound_data[],MATCH(Outbound_data[[#This Row],[STOCK CODE OUT]],Generated_Stockcode,0),13),""))</f>
        <v/>
      </c>
    </row>
    <row r="877" spans="2:17" x14ac:dyDescent="0.25">
      <c r="B877" s="71"/>
      <c r="C877" s="65"/>
      <c r="D877" s="55"/>
      <c r="E877" s="65"/>
      <c r="F877" s="166"/>
      <c r="G877" s="167"/>
      <c r="H877" s="166"/>
      <c r="I877" s="72"/>
      <c r="J877" s="55"/>
      <c r="K877" s="72"/>
      <c r="L877" s="55"/>
      <c r="M877" s="174"/>
      <c r="N877" s="73" t="str">
        <f>IF(ISBLANK(C877),"",_xlfn.IFNA(INDEX(inbound_data[],MATCH(Outbound_data[[#This Row],[STOCK CODE OUT]],Generated_Stockcode,0),10),""))</f>
        <v/>
      </c>
      <c r="O877" s="73" t="str">
        <f>IF(ISBLANK(C877),"",_xlfn.IFNA(INDEX(inbound_data[],MATCH(Outbound_data[[#This Row],[STOCK CODE OUT]],Generated_Stockcode,0),12),""))</f>
        <v/>
      </c>
      <c r="P877" s="73" t="str">
        <f>IF(ISBLANK(C877),"",_xlfn.IFNA(INDEX(inbound_data[],MATCH(Outbound_data[[#This Row],[STOCK CODE OUT]],Generated_Stockcode,0),23),""))</f>
        <v/>
      </c>
      <c r="Q877" s="73" t="str">
        <f>IF(ISBLANK(C877),"",_xlfn.IFNA(INDEX(inbound_data[],MATCH(Outbound_data[[#This Row],[STOCK CODE OUT]],Generated_Stockcode,0),13),""))</f>
        <v/>
      </c>
    </row>
    <row r="878" spans="2:17" x14ac:dyDescent="0.25">
      <c r="B878" s="71"/>
      <c r="C878" s="65"/>
      <c r="D878" s="55"/>
      <c r="E878" s="65"/>
      <c r="F878" s="166"/>
      <c r="G878" s="167"/>
      <c r="H878" s="166"/>
      <c r="I878" s="72"/>
      <c r="J878" s="55"/>
      <c r="K878" s="72"/>
      <c r="L878" s="55"/>
      <c r="M878" s="174"/>
      <c r="N878" s="73" t="str">
        <f>IF(ISBLANK(C878),"",_xlfn.IFNA(INDEX(inbound_data[],MATCH(Outbound_data[[#This Row],[STOCK CODE OUT]],Generated_Stockcode,0),10),""))</f>
        <v/>
      </c>
      <c r="O878" s="73" t="str">
        <f>IF(ISBLANK(C878),"",_xlfn.IFNA(INDEX(inbound_data[],MATCH(Outbound_data[[#This Row],[STOCK CODE OUT]],Generated_Stockcode,0),12),""))</f>
        <v/>
      </c>
      <c r="P878" s="73" t="str">
        <f>IF(ISBLANK(C878),"",_xlfn.IFNA(INDEX(inbound_data[],MATCH(Outbound_data[[#This Row],[STOCK CODE OUT]],Generated_Stockcode,0),23),""))</f>
        <v/>
      </c>
      <c r="Q878" s="73" t="str">
        <f>IF(ISBLANK(C878),"",_xlfn.IFNA(INDEX(inbound_data[],MATCH(Outbound_data[[#This Row],[STOCK CODE OUT]],Generated_Stockcode,0),13),""))</f>
        <v/>
      </c>
    </row>
    <row r="879" spans="2:17" x14ac:dyDescent="0.25">
      <c r="B879" s="71"/>
      <c r="C879" s="65"/>
      <c r="D879" s="55"/>
      <c r="E879" s="65"/>
      <c r="F879" s="166"/>
      <c r="G879" s="167"/>
      <c r="H879" s="166"/>
      <c r="I879" s="72"/>
      <c r="J879" s="55"/>
      <c r="K879" s="72"/>
      <c r="L879" s="55"/>
      <c r="M879" s="174"/>
      <c r="N879" s="73" t="str">
        <f>IF(ISBLANK(C879),"",_xlfn.IFNA(INDEX(inbound_data[],MATCH(Outbound_data[[#This Row],[STOCK CODE OUT]],Generated_Stockcode,0),10),""))</f>
        <v/>
      </c>
      <c r="O879" s="73" t="str">
        <f>IF(ISBLANK(C879),"",_xlfn.IFNA(INDEX(inbound_data[],MATCH(Outbound_data[[#This Row],[STOCK CODE OUT]],Generated_Stockcode,0),12),""))</f>
        <v/>
      </c>
      <c r="P879" s="73" t="str">
        <f>IF(ISBLANK(C879),"",_xlfn.IFNA(INDEX(inbound_data[],MATCH(Outbound_data[[#This Row],[STOCK CODE OUT]],Generated_Stockcode,0),23),""))</f>
        <v/>
      </c>
      <c r="Q879" s="73" t="str">
        <f>IF(ISBLANK(C879),"",_xlfn.IFNA(INDEX(inbound_data[],MATCH(Outbound_data[[#This Row],[STOCK CODE OUT]],Generated_Stockcode,0),13),""))</f>
        <v/>
      </c>
    </row>
    <row r="880" spans="2:17" x14ac:dyDescent="0.25">
      <c r="B880" s="71"/>
      <c r="C880" s="65"/>
      <c r="D880" s="55"/>
      <c r="E880" s="65"/>
      <c r="F880" s="166"/>
      <c r="G880" s="167"/>
      <c r="H880" s="166"/>
      <c r="I880" s="72"/>
      <c r="J880" s="55"/>
      <c r="K880" s="72"/>
      <c r="L880" s="55"/>
      <c r="M880" s="174"/>
      <c r="N880" s="73" t="str">
        <f>IF(ISBLANK(C880),"",_xlfn.IFNA(INDEX(inbound_data[],MATCH(Outbound_data[[#This Row],[STOCK CODE OUT]],Generated_Stockcode,0),10),""))</f>
        <v/>
      </c>
      <c r="O880" s="73" t="str">
        <f>IF(ISBLANK(C880),"",_xlfn.IFNA(INDEX(inbound_data[],MATCH(Outbound_data[[#This Row],[STOCK CODE OUT]],Generated_Stockcode,0),12),""))</f>
        <v/>
      </c>
      <c r="P880" s="73" t="str">
        <f>IF(ISBLANK(C880),"",_xlfn.IFNA(INDEX(inbound_data[],MATCH(Outbound_data[[#This Row],[STOCK CODE OUT]],Generated_Stockcode,0),23),""))</f>
        <v/>
      </c>
      <c r="Q880" s="73" t="str">
        <f>IF(ISBLANK(C880),"",_xlfn.IFNA(INDEX(inbound_data[],MATCH(Outbound_data[[#This Row],[STOCK CODE OUT]],Generated_Stockcode,0),13),""))</f>
        <v/>
      </c>
    </row>
    <row r="881" spans="2:17" x14ac:dyDescent="0.25">
      <c r="B881" s="71"/>
      <c r="C881" s="65"/>
      <c r="D881" s="55"/>
      <c r="E881" s="65"/>
      <c r="F881" s="166"/>
      <c r="G881" s="167"/>
      <c r="H881" s="166"/>
      <c r="I881" s="72"/>
      <c r="J881" s="55"/>
      <c r="K881" s="72"/>
      <c r="L881" s="55"/>
      <c r="M881" s="174"/>
      <c r="N881" s="73" t="str">
        <f>IF(ISBLANK(C881),"",_xlfn.IFNA(INDEX(inbound_data[],MATCH(Outbound_data[[#This Row],[STOCK CODE OUT]],Generated_Stockcode,0),10),""))</f>
        <v/>
      </c>
      <c r="O881" s="73" t="str">
        <f>IF(ISBLANK(C881),"",_xlfn.IFNA(INDEX(inbound_data[],MATCH(Outbound_data[[#This Row],[STOCK CODE OUT]],Generated_Stockcode,0),12),""))</f>
        <v/>
      </c>
      <c r="P881" s="73" t="str">
        <f>IF(ISBLANK(C881),"",_xlfn.IFNA(INDEX(inbound_data[],MATCH(Outbound_data[[#This Row],[STOCK CODE OUT]],Generated_Stockcode,0),23),""))</f>
        <v/>
      </c>
      <c r="Q881" s="73" t="str">
        <f>IF(ISBLANK(C881),"",_xlfn.IFNA(INDEX(inbound_data[],MATCH(Outbound_data[[#This Row],[STOCK CODE OUT]],Generated_Stockcode,0),13),""))</f>
        <v/>
      </c>
    </row>
    <row r="882" spans="2:17" x14ac:dyDescent="0.25">
      <c r="B882" s="71"/>
      <c r="C882" s="65"/>
      <c r="D882" s="55"/>
      <c r="E882" s="65"/>
      <c r="F882" s="166"/>
      <c r="G882" s="167"/>
      <c r="H882" s="166"/>
      <c r="I882" s="72"/>
      <c r="J882" s="55"/>
      <c r="K882" s="72"/>
      <c r="L882" s="55"/>
      <c r="M882" s="174"/>
      <c r="N882" s="73" t="str">
        <f>IF(ISBLANK(C882),"",_xlfn.IFNA(INDEX(inbound_data[],MATCH(Outbound_data[[#This Row],[STOCK CODE OUT]],Generated_Stockcode,0),10),""))</f>
        <v/>
      </c>
      <c r="O882" s="73" t="str">
        <f>IF(ISBLANK(C882),"",_xlfn.IFNA(INDEX(inbound_data[],MATCH(Outbound_data[[#This Row],[STOCK CODE OUT]],Generated_Stockcode,0),12),""))</f>
        <v/>
      </c>
      <c r="P882" s="73" t="str">
        <f>IF(ISBLANK(C882),"",_xlfn.IFNA(INDEX(inbound_data[],MATCH(Outbound_data[[#This Row],[STOCK CODE OUT]],Generated_Stockcode,0),23),""))</f>
        <v/>
      </c>
      <c r="Q882" s="73" t="str">
        <f>IF(ISBLANK(C882),"",_xlfn.IFNA(INDEX(inbound_data[],MATCH(Outbound_data[[#This Row],[STOCK CODE OUT]],Generated_Stockcode,0),13),""))</f>
        <v/>
      </c>
    </row>
    <row r="883" spans="2:17" x14ac:dyDescent="0.25">
      <c r="B883" s="71"/>
      <c r="C883" s="65"/>
      <c r="D883" s="55"/>
      <c r="E883" s="65"/>
      <c r="F883" s="166"/>
      <c r="G883" s="167"/>
      <c r="H883" s="166"/>
      <c r="I883" s="72"/>
      <c r="J883" s="55"/>
      <c r="K883" s="72"/>
      <c r="L883" s="55"/>
      <c r="M883" s="174"/>
      <c r="N883" s="73" t="str">
        <f>IF(ISBLANK(C883),"",_xlfn.IFNA(INDEX(inbound_data[],MATCH(Outbound_data[[#This Row],[STOCK CODE OUT]],Generated_Stockcode,0),10),""))</f>
        <v/>
      </c>
      <c r="O883" s="73" t="str">
        <f>IF(ISBLANK(C883),"",_xlfn.IFNA(INDEX(inbound_data[],MATCH(Outbound_data[[#This Row],[STOCK CODE OUT]],Generated_Stockcode,0),12),""))</f>
        <v/>
      </c>
      <c r="P883" s="73" t="str">
        <f>IF(ISBLANK(C883),"",_xlfn.IFNA(INDEX(inbound_data[],MATCH(Outbound_data[[#This Row],[STOCK CODE OUT]],Generated_Stockcode,0),23),""))</f>
        <v/>
      </c>
      <c r="Q883" s="73" t="str">
        <f>IF(ISBLANK(C883),"",_xlfn.IFNA(INDEX(inbound_data[],MATCH(Outbound_data[[#This Row],[STOCK CODE OUT]],Generated_Stockcode,0),13),""))</f>
        <v/>
      </c>
    </row>
    <row r="884" spans="2:17" x14ac:dyDescent="0.25">
      <c r="B884" s="71"/>
      <c r="C884" s="65"/>
      <c r="D884" s="55"/>
      <c r="E884" s="65"/>
      <c r="F884" s="166"/>
      <c r="G884" s="167"/>
      <c r="H884" s="166"/>
      <c r="I884" s="72"/>
      <c r="J884" s="55"/>
      <c r="K884" s="72"/>
      <c r="L884" s="55"/>
      <c r="M884" s="174"/>
      <c r="N884" s="73" t="str">
        <f>IF(ISBLANK(C884),"",_xlfn.IFNA(INDEX(inbound_data[],MATCH(Outbound_data[[#This Row],[STOCK CODE OUT]],Generated_Stockcode,0),10),""))</f>
        <v/>
      </c>
      <c r="O884" s="73" t="str">
        <f>IF(ISBLANK(C884),"",_xlfn.IFNA(INDEX(inbound_data[],MATCH(Outbound_data[[#This Row],[STOCK CODE OUT]],Generated_Stockcode,0),12),""))</f>
        <v/>
      </c>
      <c r="P884" s="73" t="str">
        <f>IF(ISBLANK(C884),"",_xlfn.IFNA(INDEX(inbound_data[],MATCH(Outbound_data[[#This Row],[STOCK CODE OUT]],Generated_Stockcode,0),23),""))</f>
        <v/>
      </c>
      <c r="Q884" s="73" t="str">
        <f>IF(ISBLANK(C884),"",_xlfn.IFNA(INDEX(inbound_data[],MATCH(Outbound_data[[#This Row],[STOCK CODE OUT]],Generated_Stockcode,0),13),""))</f>
        <v/>
      </c>
    </row>
    <row r="885" spans="2:17" x14ac:dyDescent="0.25">
      <c r="B885" s="71"/>
      <c r="C885" s="65"/>
      <c r="D885" s="55"/>
      <c r="E885" s="65"/>
      <c r="F885" s="166"/>
      <c r="G885" s="167"/>
      <c r="H885" s="166"/>
      <c r="I885" s="72"/>
      <c r="J885" s="55"/>
      <c r="K885" s="72"/>
      <c r="L885" s="55"/>
      <c r="M885" s="174"/>
      <c r="N885" s="73" t="str">
        <f>IF(ISBLANK(C885),"",_xlfn.IFNA(INDEX(inbound_data[],MATCH(Outbound_data[[#This Row],[STOCK CODE OUT]],Generated_Stockcode,0),10),""))</f>
        <v/>
      </c>
      <c r="O885" s="73" t="str">
        <f>IF(ISBLANK(C885),"",_xlfn.IFNA(INDEX(inbound_data[],MATCH(Outbound_data[[#This Row],[STOCK CODE OUT]],Generated_Stockcode,0),12),""))</f>
        <v/>
      </c>
      <c r="P885" s="73" t="str">
        <f>IF(ISBLANK(C885),"",_xlfn.IFNA(INDEX(inbound_data[],MATCH(Outbound_data[[#This Row],[STOCK CODE OUT]],Generated_Stockcode,0),23),""))</f>
        <v/>
      </c>
      <c r="Q885" s="73" t="str">
        <f>IF(ISBLANK(C885),"",_xlfn.IFNA(INDEX(inbound_data[],MATCH(Outbound_data[[#This Row],[STOCK CODE OUT]],Generated_Stockcode,0),13),""))</f>
        <v/>
      </c>
    </row>
    <row r="886" spans="2:17" x14ac:dyDescent="0.25">
      <c r="B886" s="71"/>
      <c r="C886" s="65"/>
      <c r="D886" s="55"/>
      <c r="E886" s="65"/>
      <c r="F886" s="166"/>
      <c r="G886" s="167"/>
      <c r="H886" s="166"/>
      <c r="I886" s="72"/>
      <c r="J886" s="55"/>
      <c r="K886" s="72"/>
      <c r="L886" s="55"/>
      <c r="M886" s="174"/>
      <c r="N886" s="73" t="str">
        <f>IF(ISBLANK(C886),"",_xlfn.IFNA(INDEX(inbound_data[],MATCH(Outbound_data[[#This Row],[STOCK CODE OUT]],Generated_Stockcode,0),10),""))</f>
        <v/>
      </c>
      <c r="O886" s="73" t="str">
        <f>IF(ISBLANK(C886),"",_xlfn.IFNA(INDEX(inbound_data[],MATCH(Outbound_data[[#This Row],[STOCK CODE OUT]],Generated_Stockcode,0),12),""))</f>
        <v/>
      </c>
      <c r="P886" s="73" t="str">
        <f>IF(ISBLANK(C886),"",_xlfn.IFNA(INDEX(inbound_data[],MATCH(Outbound_data[[#This Row],[STOCK CODE OUT]],Generated_Stockcode,0),23),""))</f>
        <v/>
      </c>
      <c r="Q886" s="73" t="str">
        <f>IF(ISBLANK(C886),"",_xlfn.IFNA(INDEX(inbound_data[],MATCH(Outbound_data[[#This Row],[STOCK CODE OUT]],Generated_Stockcode,0),13),""))</f>
        <v/>
      </c>
    </row>
    <row r="887" spans="2:17" x14ac:dyDescent="0.25">
      <c r="B887" s="71"/>
      <c r="C887" s="65"/>
      <c r="D887" s="55"/>
      <c r="E887" s="65"/>
      <c r="F887" s="166"/>
      <c r="G887" s="167"/>
      <c r="H887" s="166"/>
      <c r="I887" s="72"/>
      <c r="J887" s="55"/>
      <c r="K887" s="72"/>
      <c r="L887" s="55"/>
      <c r="M887" s="174"/>
      <c r="N887" s="73" t="str">
        <f>IF(ISBLANK(C887),"",_xlfn.IFNA(INDEX(inbound_data[],MATCH(Outbound_data[[#This Row],[STOCK CODE OUT]],Generated_Stockcode,0),10),""))</f>
        <v/>
      </c>
      <c r="O887" s="73" t="str">
        <f>IF(ISBLANK(C887),"",_xlfn.IFNA(INDEX(inbound_data[],MATCH(Outbound_data[[#This Row],[STOCK CODE OUT]],Generated_Stockcode,0),12),""))</f>
        <v/>
      </c>
      <c r="P887" s="73" t="str">
        <f>IF(ISBLANK(C887),"",_xlfn.IFNA(INDEX(inbound_data[],MATCH(Outbound_data[[#This Row],[STOCK CODE OUT]],Generated_Stockcode,0),23),""))</f>
        <v/>
      </c>
      <c r="Q887" s="73" t="str">
        <f>IF(ISBLANK(C887),"",_xlfn.IFNA(INDEX(inbound_data[],MATCH(Outbound_data[[#This Row],[STOCK CODE OUT]],Generated_Stockcode,0),13),""))</f>
        <v/>
      </c>
    </row>
    <row r="888" spans="2:17" x14ac:dyDescent="0.25">
      <c r="B888" s="71"/>
      <c r="C888" s="65"/>
      <c r="D888" s="55"/>
      <c r="E888" s="65"/>
      <c r="F888" s="166"/>
      <c r="G888" s="167"/>
      <c r="H888" s="166"/>
      <c r="I888" s="72"/>
      <c r="J888" s="55"/>
      <c r="K888" s="72"/>
      <c r="L888" s="55"/>
      <c r="M888" s="174"/>
      <c r="N888" s="73" t="str">
        <f>IF(ISBLANK(C888),"",_xlfn.IFNA(INDEX(inbound_data[],MATCH(Outbound_data[[#This Row],[STOCK CODE OUT]],Generated_Stockcode,0),10),""))</f>
        <v/>
      </c>
      <c r="O888" s="73" t="str">
        <f>IF(ISBLANK(C888),"",_xlfn.IFNA(INDEX(inbound_data[],MATCH(Outbound_data[[#This Row],[STOCK CODE OUT]],Generated_Stockcode,0),12),""))</f>
        <v/>
      </c>
      <c r="P888" s="73" t="str">
        <f>IF(ISBLANK(C888),"",_xlfn.IFNA(INDEX(inbound_data[],MATCH(Outbound_data[[#This Row],[STOCK CODE OUT]],Generated_Stockcode,0),23),""))</f>
        <v/>
      </c>
      <c r="Q888" s="73" t="str">
        <f>IF(ISBLANK(C888),"",_xlfn.IFNA(INDEX(inbound_data[],MATCH(Outbound_data[[#This Row],[STOCK CODE OUT]],Generated_Stockcode,0),13),""))</f>
        <v/>
      </c>
    </row>
    <row r="889" spans="2:17" x14ac:dyDescent="0.25">
      <c r="B889" s="71"/>
      <c r="C889" s="65"/>
      <c r="D889" s="55"/>
      <c r="E889" s="65"/>
      <c r="F889" s="166"/>
      <c r="G889" s="167"/>
      <c r="H889" s="166"/>
      <c r="I889" s="72"/>
      <c r="J889" s="55"/>
      <c r="K889" s="72"/>
      <c r="L889" s="55"/>
      <c r="M889" s="174"/>
      <c r="N889" s="73" t="str">
        <f>IF(ISBLANK(C889),"",_xlfn.IFNA(INDEX(inbound_data[],MATCH(Outbound_data[[#This Row],[STOCK CODE OUT]],Generated_Stockcode,0),10),""))</f>
        <v/>
      </c>
      <c r="O889" s="73" t="str">
        <f>IF(ISBLANK(C889),"",_xlfn.IFNA(INDEX(inbound_data[],MATCH(Outbound_data[[#This Row],[STOCK CODE OUT]],Generated_Stockcode,0),12),""))</f>
        <v/>
      </c>
      <c r="P889" s="73" t="str">
        <f>IF(ISBLANK(C889),"",_xlfn.IFNA(INDEX(inbound_data[],MATCH(Outbound_data[[#This Row],[STOCK CODE OUT]],Generated_Stockcode,0),23),""))</f>
        <v/>
      </c>
      <c r="Q889" s="73" t="str">
        <f>IF(ISBLANK(C889),"",_xlfn.IFNA(INDEX(inbound_data[],MATCH(Outbound_data[[#This Row],[STOCK CODE OUT]],Generated_Stockcode,0),13),""))</f>
        <v/>
      </c>
    </row>
    <row r="890" spans="2:17" x14ac:dyDescent="0.25">
      <c r="B890" s="71"/>
      <c r="C890" s="65"/>
      <c r="D890" s="55"/>
      <c r="E890" s="65"/>
      <c r="F890" s="166"/>
      <c r="G890" s="167"/>
      <c r="H890" s="166"/>
      <c r="I890" s="72"/>
      <c r="J890" s="55"/>
      <c r="K890" s="72"/>
      <c r="L890" s="55"/>
      <c r="M890" s="174"/>
      <c r="N890" s="73" t="str">
        <f>IF(ISBLANK(C890),"",_xlfn.IFNA(INDEX(inbound_data[],MATCH(Outbound_data[[#This Row],[STOCK CODE OUT]],Generated_Stockcode,0),10),""))</f>
        <v/>
      </c>
      <c r="O890" s="73" t="str">
        <f>IF(ISBLANK(C890),"",_xlfn.IFNA(INDEX(inbound_data[],MATCH(Outbound_data[[#This Row],[STOCK CODE OUT]],Generated_Stockcode,0),12),""))</f>
        <v/>
      </c>
      <c r="P890" s="73" t="str">
        <f>IF(ISBLANK(C890),"",_xlfn.IFNA(INDEX(inbound_data[],MATCH(Outbound_data[[#This Row],[STOCK CODE OUT]],Generated_Stockcode,0),23),""))</f>
        <v/>
      </c>
      <c r="Q890" s="73" t="str">
        <f>IF(ISBLANK(C890),"",_xlfn.IFNA(INDEX(inbound_data[],MATCH(Outbound_data[[#This Row],[STOCK CODE OUT]],Generated_Stockcode,0),13),""))</f>
        <v/>
      </c>
    </row>
    <row r="891" spans="2:17" x14ac:dyDescent="0.25">
      <c r="B891" s="71"/>
      <c r="C891" s="65"/>
      <c r="D891" s="55"/>
      <c r="E891" s="65"/>
      <c r="F891" s="166"/>
      <c r="G891" s="167"/>
      <c r="H891" s="166"/>
      <c r="I891" s="72"/>
      <c r="J891" s="55"/>
      <c r="K891" s="72"/>
      <c r="L891" s="55"/>
      <c r="M891" s="174"/>
      <c r="N891" s="73" t="str">
        <f>IF(ISBLANK(C891),"",_xlfn.IFNA(INDEX(inbound_data[],MATCH(Outbound_data[[#This Row],[STOCK CODE OUT]],Generated_Stockcode,0),10),""))</f>
        <v/>
      </c>
      <c r="O891" s="73" t="str">
        <f>IF(ISBLANK(C891),"",_xlfn.IFNA(INDEX(inbound_data[],MATCH(Outbound_data[[#This Row],[STOCK CODE OUT]],Generated_Stockcode,0),12),""))</f>
        <v/>
      </c>
      <c r="P891" s="73" t="str">
        <f>IF(ISBLANK(C891),"",_xlfn.IFNA(INDEX(inbound_data[],MATCH(Outbound_data[[#This Row],[STOCK CODE OUT]],Generated_Stockcode,0),23),""))</f>
        <v/>
      </c>
      <c r="Q891" s="73" t="str">
        <f>IF(ISBLANK(C891),"",_xlfn.IFNA(INDEX(inbound_data[],MATCH(Outbound_data[[#This Row],[STOCK CODE OUT]],Generated_Stockcode,0),13),""))</f>
        <v/>
      </c>
    </row>
    <row r="892" spans="2:17" x14ac:dyDescent="0.25">
      <c r="B892" s="71"/>
      <c r="C892" s="65"/>
      <c r="D892" s="55"/>
      <c r="E892" s="65"/>
      <c r="F892" s="166"/>
      <c r="G892" s="167"/>
      <c r="H892" s="166"/>
      <c r="I892" s="72"/>
      <c r="J892" s="55"/>
      <c r="K892" s="72"/>
      <c r="L892" s="55"/>
      <c r="M892" s="174"/>
      <c r="N892" s="73" t="str">
        <f>IF(ISBLANK(C892),"",_xlfn.IFNA(INDEX(inbound_data[],MATCH(Outbound_data[[#This Row],[STOCK CODE OUT]],Generated_Stockcode,0),10),""))</f>
        <v/>
      </c>
      <c r="O892" s="73" t="str">
        <f>IF(ISBLANK(C892),"",_xlfn.IFNA(INDEX(inbound_data[],MATCH(Outbound_data[[#This Row],[STOCK CODE OUT]],Generated_Stockcode,0),12),""))</f>
        <v/>
      </c>
      <c r="P892" s="73" t="str">
        <f>IF(ISBLANK(C892),"",_xlfn.IFNA(INDEX(inbound_data[],MATCH(Outbound_data[[#This Row],[STOCK CODE OUT]],Generated_Stockcode,0),23),""))</f>
        <v/>
      </c>
      <c r="Q892" s="73" t="str">
        <f>IF(ISBLANK(C892),"",_xlfn.IFNA(INDEX(inbound_data[],MATCH(Outbound_data[[#This Row],[STOCK CODE OUT]],Generated_Stockcode,0),13),""))</f>
        <v/>
      </c>
    </row>
    <row r="893" spans="2:17" x14ac:dyDescent="0.25">
      <c r="B893" s="71"/>
      <c r="C893" s="65"/>
      <c r="D893" s="55"/>
      <c r="E893" s="65"/>
      <c r="F893" s="166"/>
      <c r="G893" s="167"/>
      <c r="H893" s="166"/>
      <c r="I893" s="72"/>
      <c r="J893" s="55"/>
      <c r="K893" s="72"/>
      <c r="L893" s="55"/>
      <c r="M893" s="174"/>
      <c r="N893" s="73" t="str">
        <f>IF(ISBLANK(C893),"",_xlfn.IFNA(INDEX(inbound_data[],MATCH(Outbound_data[[#This Row],[STOCK CODE OUT]],Generated_Stockcode,0),10),""))</f>
        <v/>
      </c>
      <c r="O893" s="73" t="str">
        <f>IF(ISBLANK(C893),"",_xlfn.IFNA(INDEX(inbound_data[],MATCH(Outbound_data[[#This Row],[STOCK CODE OUT]],Generated_Stockcode,0),12),""))</f>
        <v/>
      </c>
      <c r="P893" s="73" t="str">
        <f>IF(ISBLANK(C893),"",_xlfn.IFNA(INDEX(inbound_data[],MATCH(Outbound_data[[#This Row],[STOCK CODE OUT]],Generated_Stockcode,0),23),""))</f>
        <v/>
      </c>
      <c r="Q893" s="73" t="str">
        <f>IF(ISBLANK(C893),"",_xlfn.IFNA(INDEX(inbound_data[],MATCH(Outbound_data[[#This Row],[STOCK CODE OUT]],Generated_Stockcode,0),13),""))</f>
        <v/>
      </c>
    </row>
    <row r="894" spans="2:17" x14ac:dyDescent="0.25">
      <c r="B894" s="71"/>
      <c r="C894" s="65"/>
      <c r="D894" s="55"/>
      <c r="E894" s="65"/>
      <c r="F894" s="166"/>
      <c r="G894" s="167"/>
      <c r="H894" s="166"/>
      <c r="I894" s="72"/>
      <c r="J894" s="55"/>
      <c r="K894" s="72"/>
      <c r="L894" s="55"/>
      <c r="M894" s="174"/>
      <c r="N894" s="73" t="str">
        <f>IF(ISBLANK(C894),"",_xlfn.IFNA(INDEX(inbound_data[],MATCH(Outbound_data[[#This Row],[STOCK CODE OUT]],Generated_Stockcode,0),10),""))</f>
        <v/>
      </c>
      <c r="O894" s="73" t="str">
        <f>IF(ISBLANK(C894),"",_xlfn.IFNA(INDEX(inbound_data[],MATCH(Outbound_data[[#This Row],[STOCK CODE OUT]],Generated_Stockcode,0),12),""))</f>
        <v/>
      </c>
      <c r="P894" s="73" t="str">
        <f>IF(ISBLANK(C894),"",_xlfn.IFNA(INDEX(inbound_data[],MATCH(Outbound_data[[#This Row],[STOCK CODE OUT]],Generated_Stockcode,0),23),""))</f>
        <v/>
      </c>
      <c r="Q894" s="73" t="str">
        <f>IF(ISBLANK(C894),"",_xlfn.IFNA(INDEX(inbound_data[],MATCH(Outbound_data[[#This Row],[STOCK CODE OUT]],Generated_Stockcode,0),13),""))</f>
        <v/>
      </c>
    </row>
    <row r="895" spans="2:17" x14ac:dyDescent="0.25">
      <c r="B895" s="71"/>
      <c r="C895" s="65"/>
      <c r="D895" s="55"/>
      <c r="E895" s="65"/>
      <c r="F895" s="166"/>
      <c r="G895" s="167"/>
      <c r="H895" s="166"/>
      <c r="I895" s="72"/>
      <c r="J895" s="55"/>
      <c r="K895" s="72"/>
      <c r="L895" s="55"/>
      <c r="M895" s="174"/>
      <c r="N895" s="73" t="str">
        <f>IF(ISBLANK(C895),"",_xlfn.IFNA(INDEX(inbound_data[],MATCH(Outbound_data[[#This Row],[STOCK CODE OUT]],Generated_Stockcode,0),10),""))</f>
        <v/>
      </c>
      <c r="O895" s="73" t="str">
        <f>IF(ISBLANK(C895),"",_xlfn.IFNA(INDEX(inbound_data[],MATCH(Outbound_data[[#This Row],[STOCK CODE OUT]],Generated_Stockcode,0),12),""))</f>
        <v/>
      </c>
      <c r="P895" s="73" t="str">
        <f>IF(ISBLANK(C895),"",_xlfn.IFNA(INDEX(inbound_data[],MATCH(Outbound_data[[#This Row],[STOCK CODE OUT]],Generated_Stockcode,0),23),""))</f>
        <v/>
      </c>
      <c r="Q895" s="73" t="str">
        <f>IF(ISBLANK(C895),"",_xlfn.IFNA(INDEX(inbound_data[],MATCH(Outbound_data[[#This Row],[STOCK CODE OUT]],Generated_Stockcode,0),13),""))</f>
        <v/>
      </c>
    </row>
    <row r="896" spans="2:17" x14ac:dyDescent="0.25">
      <c r="B896" s="71"/>
      <c r="C896" s="65"/>
      <c r="D896" s="55"/>
      <c r="E896" s="65"/>
      <c r="F896" s="166"/>
      <c r="G896" s="167"/>
      <c r="H896" s="166"/>
      <c r="I896" s="72"/>
      <c r="J896" s="55"/>
      <c r="K896" s="72"/>
      <c r="L896" s="55"/>
      <c r="M896" s="174"/>
      <c r="N896" s="73" t="str">
        <f>IF(ISBLANK(C896),"",_xlfn.IFNA(INDEX(inbound_data[],MATCH(Outbound_data[[#This Row],[STOCK CODE OUT]],Generated_Stockcode,0),10),""))</f>
        <v/>
      </c>
      <c r="O896" s="73" t="str">
        <f>IF(ISBLANK(C896),"",_xlfn.IFNA(INDEX(inbound_data[],MATCH(Outbound_data[[#This Row],[STOCK CODE OUT]],Generated_Stockcode,0),12),""))</f>
        <v/>
      </c>
      <c r="P896" s="73" t="str">
        <f>IF(ISBLANK(C896),"",_xlfn.IFNA(INDEX(inbound_data[],MATCH(Outbound_data[[#This Row],[STOCK CODE OUT]],Generated_Stockcode,0),23),""))</f>
        <v/>
      </c>
      <c r="Q896" s="73" t="str">
        <f>IF(ISBLANK(C896),"",_xlfn.IFNA(INDEX(inbound_data[],MATCH(Outbound_data[[#This Row],[STOCK CODE OUT]],Generated_Stockcode,0),13),""))</f>
        <v/>
      </c>
    </row>
    <row r="897" spans="2:17" x14ac:dyDescent="0.25">
      <c r="B897" s="71"/>
      <c r="C897" s="65"/>
      <c r="D897" s="55"/>
      <c r="E897" s="65"/>
      <c r="F897" s="166"/>
      <c r="G897" s="167"/>
      <c r="H897" s="166"/>
      <c r="I897" s="72"/>
      <c r="J897" s="55"/>
      <c r="K897" s="72"/>
      <c r="L897" s="55"/>
      <c r="M897" s="174"/>
      <c r="N897" s="73" t="str">
        <f>IF(ISBLANK(C897),"",_xlfn.IFNA(INDEX(inbound_data[],MATCH(Outbound_data[[#This Row],[STOCK CODE OUT]],Generated_Stockcode,0),10),""))</f>
        <v/>
      </c>
      <c r="O897" s="73" t="str">
        <f>IF(ISBLANK(C897),"",_xlfn.IFNA(INDEX(inbound_data[],MATCH(Outbound_data[[#This Row],[STOCK CODE OUT]],Generated_Stockcode,0),12),""))</f>
        <v/>
      </c>
      <c r="P897" s="73" t="str">
        <f>IF(ISBLANK(C897),"",_xlfn.IFNA(INDEX(inbound_data[],MATCH(Outbound_data[[#This Row],[STOCK CODE OUT]],Generated_Stockcode,0),23),""))</f>
        <v/>
      </c>
      <c r="Q897" s="73" t="str">
        <f>IF(ISBLANK(C897),"",_xlfn.IFNA(INDEX(inbound_data[],MATCH(Outbound_data[[#This Row],[STOCK CODE OUT]],Generated_Stockcode,0),13),""))</f>
        <v/>
      </c>
    </row>
    <row r="898" spans="2:17" x14ac:dyDescent="0.25">
      <c r="B898" s="71"/>
      <c r="C898" s="65"/>
      <c r="D898" s="55"/>
      <c r="E898" s="65"/>
      <c r="F898" s="166"/>
      <c r="G898" s="167"/>
      <c r="H898" s="166"/>
      <c r="I898" s="72"/>
      <c r="J898" s="55"/>
      <c r="K898" s="72"/>
      <c r="L898" s="55"/>
      <c r="M898" s="174"/>
      <c r="N898" s="73" t="str">
        <f>IF(ISBLANK(C898),"",_xlfn.IFNA(INDEX(inbound_data[],MATCH(Outbound_data[[#This Row],[STOCK CODE OUT]],Generated_Stockcode,0),10),""))</f>
        <v/>
      </c>
      <c r="O898" s="73" t="str">
        <f>IF(ISBLANK(C898),"",_xlfn.IFNA(INDEX(inbound_data[],MATCH(Outbound_data[[#This Row],[STOCK CODE OUT]],Generated_Stockcode,0),12),""))</f>
        <v/>
      </c>
      <c r="P898" s="73" t="str">
        <f>IF(ISBLANK(C898),"",_xlfn.IFNA(INDEX(inbound_data[],MATCH(Outbound_data[[#This Row],[STOCK CODE OUT]],Generated_Stockcode,0),23),""))</f>
        <v/>
      </c>
      <c r="Q898" s="73" t="str">
        <f>IF(ISBLANK(C898),"",_xlfn.IFNA(INDEX(inbound_data[],MATCH(Outbound_data[[#This Row],[STOCK CODE OUT]],Generated_Stockcode,0),13),""))</f>
        <v/>
      </c>
    </row>
    <row r="899" spans="2:17" x14ac:dyDescent="0.25">
      <c r="B899" s="71"/>
      <c r="C899" s="65"/>
      <c r="D899" s="55"/>
      <c r="E899" s="65"/>
      <c r="F899" s="166"/>
      <c r="G899" s="167"/>
      <c r="H899" s="166"/>
      <c r="I899" s="72"/>
      <c r="J899" s="55"/>
      <c r="K899" s="72"/>
      <c r="L899" s="55"/>
      <c r="M899" s="174"/>
      <c r="N899" s="73" t="str">
        <f>IF(ISBLANK(C899),"",_xlfn.IFNA(INDEX(inbound_data[],MATCH(Outbound_data[[#This Row],[STOCK CODE OUT]],Generated_Stockcode,0),10),""))</f>
        <v/>
      </c>
      <c r="O899" s="73" t="str">
        <f>IF(ISBLANK(C899),"",_xlfn.IFNA(INDEX(inbound_data[],MATCH(Outbound_data[[#This Row],[STOCK CODE OUT]],Generated_Stockcode,0),12),""))</f>
        <v/>
      </c>
      <c r="P899" s="73" t="str">
        <f>IF(ISBLANK(C899),"",_xlfn.IFNA(INDEX(inbound_data[],MATCH(Outbound_data[[#This Row],[STOCK CODE OUT]],Generated_Stockcode,0),23),""))</f>
        <v/>
      </c>
      <c r="Q899" s="73" t="str">
        <f>IF(ISBLANK(C899),"",_xlfn.IFNA(INDEX(inbound_data[],MATCH(Outbound_data[[#This Row],[STOCK CODE OUT]],Generated_Stockcode,0),13),""))</f>
        <v/>
      </c>
    </row>
    <row r="900" spans="2:17" x14ac:dyDescent="0.25">
      <c r="B900" s="71"/>
      <c r="C900" s="65"/>
      <c r="D900" s="55"/>
      <c r="E900" s="65"/>
      <c r="F900" s="166"/>
      <c r="G900" s="167"/>
      <c r="H900" s="166"/>
      <c r="I900" s="72"/>
      <c r="J900" s="55"/>
      <c r="K900" s="72"/>
      <c r="L900" s="55"/>
      <c r="M900" s="174"/>
      <c r="N900" s="73" t="str">
        <f>IF(ISBLANK(C900),"",_xlfn.IFNA(INDEX(inbound_data[],MATCH(Outbound_data[[#This Row],[STOCK CODE OUT]],Generated_Stockcode,0),10),""))</f>
        <v/>
      </c>
      <c r="O900" s="73" t="str">
        <f>IF(ISBLANK(C900),"",_xlfn.IFNA(INDEX(inbound_data[],MATCH(Outbound_data[[#This Row],[STOCK CODE OUT]],Generated_Stockcode,0),12),""))</f>
        <v/>
      </c>
      <c r="P900" s="73" t="str">
        <f>IF(ISBLANK(C900),"",_xlfn.IFNA(INDEX(inbound_data[],MATCH(Outbound_data[[#This Row],[STOCK CODE OUT]],Generated_Stockcode,0),23),""))</f>
        <v/>
      </c>
      <c r="Q900" s="73" t="str">
        <f>IF(ISBLANK(C900),"",_xlfn.IFNA(INDEX(inbound_data[],MATCH(Outbound_data[[#This Row],[STOCK CODE OUT]],Generated_Stockcode,0),13),""))</f>
        <v/>
      </c>
    </row>
    <row r="901" spans="2:17" x14ac:dyDescent="0.25">
      <c r="B901" s="71"/>
      <c r="C901" s="65"/>
      <c r="D901" s="55"/>
      <c r="E901" s="65"/>
      <c r="F901" s="166"/>
      <c r="G901" s="167"/>
      <c r="H901" s="166"/>
      <c r="I901" s="72"/>
      <c r="J901" s="55"/>
      <c r="K901" s="72"/>
      <c r="L901" s="55"/>
      <c r="M901" s="174"/>
      <c r="N901" s="73" t="str">
        <f>IF(ISBLANK(C901),"",_xlfn.IFNA(INDEX(inbound_data[],MATCH(Outbound_data[[#This Row],[STOCK CODE OUT]],Generated_Stockcode,0),10),""))</f>
        <v/>
      </c>
      <c r="O901" s="73" t="str">
        <f>IF(ISBLANK(C901),"",_xlfn.IFNA(INDEX(inbound_data[],MATCH(Outbound_data[[#This Row],[STOCK CODE OUT]],Generated_Stockcode,0),12),""))</f>
        <v/>
      </c>
      <c r="P901" s="73" t="str">
        <f>IF(ISBLANK(C901),"",_xlfn.IFNA(INDEX(inbound_data[],MATCH(Outbound_data[[#This Row],[STOCK CODE OUT]],Generated_Stockcode,0),23),""))</f>
        <v/>
      </c>
      <c r="Q901" s="73" t="str">
        <f>IF(ISBLANK(C901),"",_xlfn.IFNA(INDEX(inbound_data[],MATCH(Outbound_data[[#This Row],[STOCK CODE OUT]],Generated_Stockcode,0),13),""))</f>
        <v/>
      </c>
    </row>
    <row r="902" spans="2:17" x14ac:dyDescent="0.25">
      <c r="B902" s="71"/>
      <c r="C902" s="65"/>
      <c r="D902" s="55"/>
      <c r="E902" s="65"/>
      <c r="F902" s="166"/>
      <c r="G902" s="167"/>
      <c r="H902" s="166"/>
      <c r="I902" s="72"/>
      <c r="J902" s="55"/>
      <c r="K902" s="72"/>
      <c r="L902" s="55"/>
      <c r="M902" s="174"/>
      <c r="N902" s="73" t="str">
        <f>IF(ISBLANK(C902),"",_xlfn.IFNA(INDEX(inbound_data[],MATCH(Outbound_data[[#This Row],[STOCK CODE OUT]],Generated_Stockcode,0),10),""))</f>
        <v/>
      </c>
      <c r="O902" s="73" t="str">
        <f>IF(ISBLANK(C902),"",_xlfn.IFNA(INDEX(inbound_data[],MATCH(Outbound_data[[#This Row],[STOCK CODE OUT]],Generated_Stockcode,0),12),""))</f>
        <v/>
      </c>
      <c r="P902" s="73" t="str">
        <f>IF(ISBLANK(C902),"",_xlfn.IFNA(INDEX(inbound_data[],MATCH(Outbound_data[[#This Row],[STOCK CODE OUT]],Generated_Stockcode,0),23),""))</f>
        <v/>
      </c>
      <c r="Q902" s="73" t="str">
        <f>IF(ISBLANK(C902),"",_xlfn.IFNA(INDEX(inbound_data[],MATCH(Outbound_data[[#This Row],[STOCK CODE OUT]],Generated_Stockcode,0),13),""))</f>
        <v/>
      </c>
    </row>
    <row r="903" spans="2:17" x14ac:dyDescent="0.25">
      <c r="B903" s="71"/>
      <c r="C903" s="65"/>
      <c r="D903" s="55"/>
      <c r="E903" s="65"/>
      <c r="F903" s="166"/>
      <c r="G903" s="167"/>
      <c r="H903" s="166"/>
      <c r="I903" s="72"/>
      <c r="J903" s="55"/>
      <c r="K903" s="72"/>
      <c r="L903" s="55"/>
      <c r="M903" s="174"/>
      <c r="N903" s="73" t="str">
        <f>IF(ISBLANK(C903),"",_xlfn.IFNA(INDEX(inbound_data[],MATCH(Outbound_data[[#This Row],[STOCK CODE OUT]],Generated_Stockcode,0),10),""))</f>
        <v/>
      </c>
      <c r="O903" s="73" t="str">
        <f>IF(ISBLANK(C903),"",_xlfn.IFNA(INDEX(inbound_data[],MATCH(Outbound_data[[#This Row],[STOCK CODE OUT]],Generated_Stockcode,0),12),""))</f>
        <v/>
      </c>
      <c r="P903" s="73" t="str">
        <f>IF(ISBLANK(C903),"",_xlfn.IFNA(INDEX(inbound_data[],MATCH(Outbound_data[[#This Row],[STOCK CODE OUT]],Generated_Stockcode,0),23),""))</f>
        <v/>
      </c>
      <c r="Q903" s="73" t="str">
        <f>IF(ISBLANK(C903),"",_xlfn.IFNA(INDEX(inbound_data[],MATCH(Outbound_data[[#This Row],[STOCK CODE OUT]],Generated_Stockcode,0),13),""))</f>
        <v/>
      </c>
    </row>
    <row r="904" spans="2:17" x14ac:dyDescent="0.25">
      <c r="B904" s="71"/>
      <c r="C904" s="65"/>
      <c r="D904" s="55"/>
      <c r="E904" s="65"/>
      <c r="F904" s="166"/>
      <c r="G904" s="167"/>
      <c r="H904" s="166"/>
      <c r="I904" s="72"/>
      <c r="J904" s="55"/>
      <c r="K904" s="72"/>
      <c r="L904" s="55"/>
      <c r="M904" s="174"/>
      <c r="N904" s="73" t="str">
        <f>IF(ISBLANK(C904),"",_xlfn.IFNA(INDEX(inbound_data[],MATCH(Outbound_data[[#This Row],[STOCK CODE OUT]],Generated_Stockcode,0),10),""))</f>
        <v/>
      </c>
      <c r="O904" s="73" t="str">
        <f>IF(ISBLANK(C904),"",_xlfn.IFNA(INDEX(inbound_data[],MATCH(Outbound_data[[#This Row],[STOCK CODE OUT]],Generated_Stockcode,0),12),""))</f>
        <v/>
      </c>
      <c r="P904" s="73" t="str">
        <f>IF(ISBLANK(C904),"",_xlfn.IFNA(INDEX(inbound_data[],MATCH(Outbound_data[[#This Row],[STOCK CODE OUT]],Generated_Stockcode,0),23),""))</f>
        <v/>
      </c>
      <c r="Q904" s="73" t="str">
        <f>IF(ISBLANK(C904),"",_xlfn.IFNA(INDEX(inbound_data[],MATCH(Outbound_data[[#This Row],[STOCK CODE OUT]],Generated_Stockcode,0),13),""))</f>
        <v/>
      </c>
    </row>
    <row r="905" spans="2:17" x14ac:dyDescent="0.25">
      <c r="B905" s="71"/>
      <c r="C905" s="65"/>
      <c r="D905" s="55"/>
      <c r="E905" s="65"/>
      <c r="F905" s="166"/>
      <c r="G905" s="167"/>
      <c r="H905" s="166"/>
      <c r="I905" s="72"/>
      <c r="J905" s="55"/>
      <c r="K905" s="72"/>
      <c r="L905" s="55"/>
      <c r="M905" s="174"/>
      <c r="N905" s="73" t="str">
        <f>IF(ISBLANK(C905),"",_xlfn.IFNA(INDEX(inbound_data[],MATCH(Outbound_data[[#This Row],[STOCK CODE OUT]],Generated_Stockcode,0),10),""))</f>
        <v/>
      </c>
      <c r="O905" s="73" t="str">
        <f>IF(ISBLANK(C905),"",_xlfn.IFNA(INDEX(inbound_data[],MATCH(Outbound_data[[#This Row],[STOCK CODE OUT]],Generated_Stockcode,0),12),""))</f>
        <v/>
      </c>
      <c r="P905" s="73" t="str">
        <f>IF(ISBLANK(C905),"",_xlfn.IFNA(INDEX(inbound_data[],MATCH(Outbound_data[[#This Row],[STOCK CODE OUT]],Generated_Stockcode,0),23),""))</f>
        <v/>
      </c>
      <c r="Q905" s="73" t="str">
        <f>IF(ISBLANK(C905),"",_xlfn.IFNA(INDEX(inbound_data[],MATCH(Outbound_data[[#This Row],[STOCK CODE OUT]],Generated_Stockcode,0),13),""))</f>
        <v/>
      </c>
    </row>
    <row r="906" spans="2:17" x14ac:dyDescent="0.25">
      <c r="B906" s="71"/>
      <c r="C906" s="65"/>
      <c r="D906" s="55"/>
      <c r="E906" s="65"/>
      <c r="F906" s="166"/>
      <c r="G906" s="167"/>
      <c r="H906" s="166"/>
      <c r="I906" s="72"/>
      <c r="J906" s="55"/>
      <c r="K906" s="72"/>
      <c r="L906" s="55"/>
      <c r="M906" s="174"/>
      <c r="N906" s="73" t="str">
        <f>IF(ISBLANK(C906),"",_xlfn.IFNA(INDEX(inbound_data[],MATCH(Outbound_data[[#This Row],[STOCK CODE OUT]],Generated_Stockcode,0),10),""))</f>
        <v/>
      </c>
      <c r="O906" s="73" t="str">
        <f>IF(ISBLANK(C906),"",_xlfn.IFNA(INDEX(inbound_data[],MATCH(Outbound_data[[#This Row],[STOCK CODE OUT]],Generated_Stockcode,0),12),""))</f>
        <v/>
      </c>
      <c r="P906" s="73" t="str">
        <f>IF(ISBLANK(C906),"",_xlfn.IFNA(INDEX(inbound_data[],MATCH(Outbound_data[[#This Row],[STOCK CODE OUT]],Generated_Stockcode,0),23),""))</f>
        <v/>
      </c>
      <c r="Q906" s="73" t="str">
        <f>IF(ISBLANK(C906),"",_xlfn.IFNA(INDEX(inbound_data[],MATCH(Outbound_data[[#This Row],[STOCK CODE OUT]],Generated_Stockcode,0),13),""))</f>
        <v/>
      </c>
    </row>
    <row r="907" spans="2:17" x14ac:dyDescent="0.25">
      <c r="B907" s="71"/>
      <c r="C907" s="65"/>
      <c r="D907" s="55"/>
      <c r="E907" s="65"/>
      <c r="F907" s="166"/>
      <c r="G907" s="167"/>
      <c r="H907" s="166"/>
      <c r="I907" s="72"/>
      <c r="J907" s="55"/>
      <c r="K907" s="72"/>
      <c r="L907" s="55"/>
      <c r="M907" s="174"/>
      <c r="N907" s="73" t="str">
        <f>IF(ISBLANK(C907),"",_xlfn.IFNA(INDEX(inbound_data[],MATCH(Outbound_data[[#This Row],[STOCK CODE OUT]],Generated_Stockcode,0),10),""))</f>
        <v/>
      </c>
      <c r="O907" s="73" t="str">
        <f>IF(ISBLANK(C907),"",_xlfn.IFNA(INDEX(inbound_data[],MATCH(Outbound_data[[#This Row],[STOCK CODE OUT]],Generated_Stockcode,0),12),""))</f>
        <v/>
      </c>
      <c r="P907" s="73" t="str">
        <f>IF(ISBLANK(C907),"",_xlfn.IFNA(INDEX(inbound_data[],MATCH(Outbound_data[[#This Row],[STOCK CODE OUT]],Generated_Stockcode,0),23),""))</f>
        <v/>
      </c>
      <c r="Q907" s="73" t="str">
        <f>IF(ISBLANK(C907),"",_xlfn.IFNA(INDEX(inbound_data[],MATCH(Outbound_data[[#This Row],[STOCK CODE OUT]],Generated_Stockcode,0),13),""))</f>
        <v/>
      </c>
    </row>
    <row r="908" spans="2:17" x14ac:dyDescent="0.25">
      <c r="B908" s="71"/>
      <c r="C908" s="65"/>
      <c r="D908" s="55"/>
      <c r="E908" s="65"/>
      <c r="F908" s="166"/>
      <c r="G908" s="167"/>
      <c r="H908" s="166"/>
      <c r="I908" s="72"/>
      <c r="J908" s="55"/>
      <c r="K908" s="72"/>
      <c r="L908" s="55"/>
      <c r="M908" s="174"/>
      <c r="N908" s="73" t="str">
        <f>IF(ISBLANK(C908),"",_xlfn.IFNA(INDEX(inbound_data[],MATCH(Outbound_data[[#This Row],[STOCK CODE OUT]],Generated_Stockcode,0),10),""))</f>
        <v/>
      </c>
      <c r="O908" s="73" t="str">
        <f>IF(ISBLANK(C908),"",_xlfn.IFNA(INDEX(inbound_data[],MATCH(Outbound_data[[#This Row],[STOCK CODE OUT]],Generated_Stockcode,0),12),""))</f>
        <v/>
      </c>
      <c r="P908" s="73" t="str">
        <f>IF(ISBLANK(C908),"",_xlfn.IFNA(INDEX(inbound_data[],MATCH(Outbound_data[[#This Row],[STOCK CODE OUT]],Generated_Stockcode,0),23),""))</f>
        <v/>
      </c>
      <c r="Q908" s="73" t="str">
        <f>IF(ISBLANK(C908),"",_xlfn.IFNA(INDEX(inbound_data[],MATCH(Outbound_data[[#This Row],[STOCK CODE OUT]],Generated_Stockcode,0),13),""))</f>
        <v/>
      </c>
    </row>
    <row r="909" spans="2:17" x14ac:dyDescent="0.25">
      <c r="B909" s="71"/>
      <c r="C909" s="65"/>
      <c r="D909" s="55"/>
      <c r="E909" s="65"/>
      <c r="F909" s="166"/>
      <c r="G909" s="167"/>
      <c r="H909" s="166"/>
      <c r="I909" s="72"/>
      <c r="J909" s="55"/>
      <c r="K909" s="72"/>
      <c r="L909" s="55"/>
      <c r="M909" s="174"/>
      <c r="N909" s="73" t="str">
        <f>IF(ISBLANK(C909),"",_xlfn.IFNA(INDEX(inbound_data[],MATCH(Outbound_data[[#This Row],[STOCK CODE OUT]],Generated_Stockcode,0),10),""))</f>
        <v/>
      </c>
      <c r="O909" s="73" t="str">
        <f>IF(ISBLANK(C909),"",_xlfn.IFNA(INDEX(inbound_data[],MATCH(Outbound_data[[#This Row],[STOCK CODE OUT]],Generated_Stockcode,0),12),""))</f>
        <v/>
      </c>
      <c r="P909" s="73" t="str">
        <f>IF(ISBLANK(C909),"",_xlfn.IFNA(INDEX(inbound_data[],MATCH(Outbound_data[[#This Row],[STOCK CODE OUT]],Generated_Stockcode,0),23),""))</f>
        <v/>
      </c>
      <c r="Q909" s="73" t="str">
        <f>IF(ISBLANK(C909),"",_xlfn.IFNA(INDEX(inbound_data[],MATCH(Outbound_data[[#This Row],[STOCK CODE OUT]],Generated_Stockcode,0),13),""))</f>
        <v/>
      </c>
    </row>
    <row r="910" spans="2:17" x14ac:dyDescent="0.25">
      <c r="B910" s="71"/>
      <c r="C910" s="65"/>
      <c r="D910" s="55"/>
      <c r="E910" s="65"/>
      <c r="F910" s="166"/>
      <c r="G910" s="167"/>
      <c r="H910" s="166"/>
      <c r="I910" s="72"/>
      <c r="J910" s="55"/>
      <c r="K910" s="72"/>
      <c r="L910" s="55"/>
      <c r="M910" s="174"/>
      <c r="N910" s="73" t="str">
        <f>IF(ISBLANK(C910),"",_xlfn.IFNA(INDEX(inbound_data[],MATCH(Outbound_data[[#This Row],[STOCK CODE OUT]],Generated_Stockcode,0),10),""))</f>
        <v/>
      </c>
      <c r="O910" s="73" t="str">
        <f>IF(ISBLANK(C910),"",_xlfn.IFNA(INDEX(inbound_data[],MATCH(Outbound_data[[#This Row],[STOCK CODE OUT]],Generated_Stockcode,0),12),""))</f>
        <v/>
      </c>
      <c r="P910" s="73" t="str">
        <f>IF(ISBLANK(C910),"",_xlfn.IFNA(INDEX(inbound_data[],MATCH(Outbound_data[[#This Row],[STOCK CODE OUT]],Generated_Stockcode,0),23),""))</f>
        <v/>
      </c>
      <c r="Q910" s="73" t="str">
        <f>IF(ISBLANK(C910),"",_xlfn.IFNA(INDEX(inbound_data[],MATCH(Outbound_data[[#This Row],[STOCK CODE OUT]],Generated_Stockcode,0),13),""))</f>
        <v/>
      </c>
    </row>
    <row r="911" spans="2:17" x14ac:dyDescent="0.25">
      <c r="B911" s="71"/>
      <c r="C911" s="65"/>
      <c r="D911" s="55"/>
      <c r="E911" s="65"/>
      <c r="F911" s="166"/>
      <c r="G911" s="167"/>
      <c r="H911" s="166"/>
      <c r="I911" s="72"/>
      <c r="J911" s="55"/>
      <c r="K911" s="72"/>
      <c r="L911" s="55"/>
      <c r="M911" s="174"/>
      <c r="N911" s="73" t="str">
        <f>IF(ISBLANK(C911),"",_xlfn.IFNA(INDEX(inbound_data[],MATCH(Outbound_data[[#This Row],[STOCK CODE OUT]],Generated_Stockcode,0),10),""))</f>
        <v/>
      </c>
      <c r="O911" s="73" t="str">
        <f>IF(ISBLANK(C911),"",_xlfn.IFNA(INDEX(inbound_data[],MATCH(Outbound_data[[#This Row],[STOCK CODE OUT]],Generated_Stockcode,0),12),""))</f>
        <v/>
      </c>
      <c r="P911" s="73" t="str">
        <f>IF(ISBLANK(C911),"",_xlfn.IFNA(INDEX(inbound_data[],MATCH(Outbound_data[[#This Row],[STOCK CODE OUT]],Generated_Stockcode,0),23),""))</f>
        <v/>
      </c>
      <c r="Q911" s="73" t="str">
        <f>IF(ISBLANK(C911),"",_xlfn.IFNA(INDEX(inbound_data[],MATCH(Outbound_data[[#This Row],[STOCK CODE OUT]],Generated_Stockcode,0),13),""))</f>
        <v/>
      </c>
    </row>
    <row r="912" spans="2:17" x14ac:dyDescent="0.25">
      <c r="B912" s="71"/>
      <c r="C912" s="65"/>
      <c r="D912" s="55"/>
      <c r="E912" s="65"/>
      <c r="F912" s="166"/>
      <c r="G912" s="167"/>
      <c r="H912" s="166"/>
      <c r="I912" s="72"/>
      <c r="J912" s="55"/>
      <c r="K912" s="72"/>
      <c r="L912" s="55"/>
      <c r="M912" s="174"/>
      <c r="N912" s="73" t="str">
        <f>IF(ISBLANK(C912),"",_xlfn.IFNA(INDEX(inbound_data[],MATCH(Outbound_data[[#This Row],[STOCK CODE OUT]],Generated_Stockcode,0),10),""))</f>
        <v/>
      </c>
      <c r="O912" s="73" t="str">
        <f>IF(ISBLANK(C912),"",_xlfn.IFNA(INDEX(inbound_data[],MATCH(Outbound_data[[#This Row],[STOCK CODE OUT]],Generated_Stockcode,0),12),""))</f>
        <v/>
      </c>
      <c r="P912" s="73" t="str">
        <f>IF(ISBLANK(C912),"",_xlfn.IFNA(INDEX(inbound_data[],MATCH(Outbound_data[[#This Row],[STOCK CODE OUT]],Generated_Stockcode,0),23),""))</f>
        <v/>
      </c>
      <c r="Q912" s="73" t="str">
        <f>IF(ISBLANK(C912),"",_xlfn.IFNA(INDEX(inbound_data[],MATCH(Outbound_data[[#This Row],[STOCK CODE OUT]],Generated_Stockcode,0),13),""))</f>
        <v/>
      </c>
    </row>
    <row r="913" spans="2:17" x14ac:dyDescent="0.25">
      <c r="B913" s="71"/>
      <c r="C913" s="65"/>
      <c r="D913" s="55"/>
      <c r="E913" s="65"/>
      <c r="F913" s="166"/>
      <c r="G913" s="167"/>
      <c r="H913" s="166"/>
      <c r="I913" s="72"/>
      <c r="J913" s="55"/>
      <c r="K913" s="72"/>
      <c r="L913" s="55"/>
      <c r="M913" s="174"/>
      <c r="N913" s="73" t="str">
        <f>IF(ISBLANK(C913),"",_xlfn.IFNA(INDEX(inbound_data[],MATCH(Outbound_data[[#This Row],[STOCK CODE OUT]],Generated_Stockcode,0),10),""))</f>
        <v/>
      </c>
      <c r="O913" s="73" t="str">
        <f>IF(ISBLANK(C913),"",_xlfn.IFNA(INDEX(inbound_data[],MATCH(Outbound_data[[#This Row],[STOCK CODE OUT]],Generated_Stockcode,0),12),""))</f>
        <v/>
      </c>
      <c r="P913" s="73" t="str">
        <f>IF(ISBLANK(C913),"",_xlfn.IFNA(INDEX(inbound_data[],MATCH(Outbound_data[[#This Row],[STOCK CODE OUT]],Generated_Stockcode,0),23),""))</f>
        <v/>
      </c>
      <c r="Q913" s="73" t="str">
        <f>IF(ISBLANK(C913),"",_xlfn.IFNA(INDEX(inbound_data[],MATCH(Outbound_data[[#This Row],[STOCK CODE OUT]],Generated_Stockcode,0),13),""))</f>
        <v/>
      </c>
    </row>
    <row r="914" spans="2:17" x14ac:dyDescent="0.25">
      <c r="B914" s="71"/>
      <c r="C914" s="65"/>
      <c r="D914" s="55"/>
      <c r="E914" s="65"/>
      <c r="F914" s="166"/>
      <c r="G914" s="167"/>
      <c r="H914" s="166"/>
      <c r="I914" s="72"/>
      <c r="J914" s="55"/>
      <c r="K914" s="72"/>
      <c r="L914" s="55"/>
      <c r="M914" s="174"/>
      <c r="N914" s="73" t="str">
        <f>IF(ISBLANK(C914),"",_xlfn.IFNA(INDEX(inbound_data[],MATCH(Outbound_data[[#This Row],[STOCK CODE OUT]],Generated_Stockcode,0),10),""))</f>
        <v/>
      </c>
      <c r="O914" s="73" t="str">
        <f>IF(ISBLANK(C914),"",_xlfn.IFNA(INDEX(inbound_data[],MATCH(Outbound_data[[#This Row],[STOCK CODE OUT]],Generated_Stockcode,0),12),""))</f>
        <v/>
      </c>
      <c r="P914" s="73" t="str">
        <f>IF(ISBLANK(C914),"",_xlfn.IFNA(INDEX(inbound_data[],MATCH(Outbound_data[[#This Row],[STOCK CODE OUT]],Generated_Stockcode,0),23),""))</f>
        <v/>
      </c>
      <c r="Q914" s="73" t="str">
        <f>IF(ISBLANK(C914),"",_xlfn.IFNA(INDEX(inbound_data[],MATCH(Outbound_data[[#This Row],[STOCK CODE OUT]],Generated_Stockcode,0),13),""))</f>
        <v/>
      </c>
    </row>
    <row r="915" spans="2:17" x14ac:dyDescent="0.25">
      <c r="B915" s="71"/>
      <c r="C915" s="65"/>
      <c r="D915" s="55"/>
      <c r="E915" s="65"/>
      <c r="F915" s="166"/>
      <c r="G915" s="167"/>
      <c r="H915" s="166"/>
      <c r="I915" s="72"/>
      <c r="J915" s="55"/>
      <c r="K915" s="72"/>
      <c r="L915" s="55"/>
      <c r="M915" s="174"/>
      <c r="N915" s="73" t="str">
        <f>IF(ISBLANK(C915),"",_xlfn.IFNA(INDEX(inbound_data[],MATCH(Outbound_data[[#This Row],[STOCK CODE OUT]],Generated_Stockcode,0),10),""))</f>
        <v/>
      </c>
      <c r="O915" s="73" t="str">
        <f>IF(ISBLANK(C915),"",_xlfn.IFNA(INDEX(inbound_data[],MATCH(Outbound_data[[#This Row],[STOCK CODE OUT]],Generated_Stockcode,0),12),""))</f>
        <v/>
      </c>
      <c r="P915" s="73" t="str">
        <f>IF(ISBLANK(C915),"",_xlfn.IFNA(INDEX(inbound_data[],MATCH(Outbound_data[[#This Row],[STOCK CODE OUT]],Generated_Stockcode,0),23),""))</f>
        <v/>
      </c>
      <c r="Q915" s="73" t="str">
        <f>IF(ISBLANK(C915),"",_xlfn.IFNA(INDEX(inbound_data[],MATCH(Outbound_data[[#This Row],[STOCK CODE OUT]],Generated_Stockcode,0),13),""))</f>
        <v/>
      </c>
    </row>
    <row r="916" spans="2:17" x14ac:dyDescent="0.25">
      <c r="B916" s="71"/>
      <c r="C916" s="65"/>
      <c r="D916" s="55"/>
      <c r="E916" s="65"/>
      <c r="F916" s="166"/>
      <c r="G916" s="167"/>
      <c r="H916" s="166"/>
      <c r="I916" s="72"/>
      <c r="J916" s="55"/>
      <c r="K916" s="72"/>
      <c r="L916" s="55"/>
      <c r="M916" s="174"/>
      <c r="N916" s="73" t="str">
        <f>IF(ISBLANK(C916),"",_xlfn.IFNA(INDEX(inbound_data[],MATCH(Outbound_data[[#This Row],[STOCK CODE OUT]],Generated_Stockcode,0),10),""))</f>
        <v/>
      </c>
      <c r="O916" s="73" t="str">
        <f>IF(ISBLANK(C916),"",_xlfn.IFNA(INDEX(inbound_data[],MATCH(Outbound_data[[#This Row],[STOCK CODE OUT]],Generated_Stockcode,0),12),""))</f>
        <v/>
      </c>
      <c r="P916" s="73" t="str">
        <f>IF(ISBLANK(C916),"",_xlfn.IFNA(INDEX(inbound_data[],MATCH(Outbound_data[[#This Row],[STOCK CODE OUT]],Generated_Stockcode,0),23),""))</f>
        <v/>
      </c>
      <c r="Q916" s="73" t="str">
        <f>IF(ISBLANK(C916),"",_xlfn.IFNA(INDEX(inbound_data[],MATCH(Outbound_data[[#This Row],[STOCK CODE OUT]],Generated_Stockcode,0),13),""))</f>
        <v/>
      </c>
    </row>
    <row r="917" spans="2:17" x14ac:dyDescent="0.25">
      <c r="B917" s="71"/>
      <c r="C917" s="65"/>
      <c r="D917" s="55"/>
      <c r="E917" s="65"/>
      <c r="F917" s="166"/>
      <c r="G917" s="167"/>
      <c r="H917" s="166"/>
      <c r="I917" s="72"/>
      <c r="J917" s="55"/>
      <c r="K917" s="72"/>
      <c r="L917" s="55"/>
      <c r="M917" s="174"/>
      <c r="N917" s="73" t="str">
        <f>IF(ISBLANK(C917),"",_xlfn.IFNA(INDEX(inbound_data[],MATCH(Outbound_data[[#This Row],[STOCK CODE OUT]],Generated_Stockcode,0),10),""))</f>
        <v/>
      </c>
      <c r="O917" s="73" t="str">
        <f>IF(ISBLANK(C917),"",_xlfn.IFNA(INDEX(inbound_data[],MATCH(Outbound_data[[#This Row],[STOCK CODE OUT]],Generated_Stockcode,0),12),""))</f>
        <v/>
      </c>
      <c r="P917" s="73" t="str">
        <f>IF(ISBLANK(C917),"",_xlfn.IFNA(INDEX(inbound_data[],MATCH(Outbound_data[[#This Row],[STOCK CODE OUT]],Generated_Stockcode,0),23),""))</f>
        <v/>
      </c>
      <c r="Q917" s="73" t="str">
        <f>IF(ISBLANK(C917),"",_xlfn.IFNA(INDEX(inbound_data[],MATCH(Outbound_data[[#This Row],[STOCK CODE OUT]],Generated_Stockcode,0),13),""))</f>
        <v/>
      </c>
    </row>
    <row r="918" spans="2:17" x14ac:dyDescent="0.25">
      <c r="B918" s="71"/>
      <c r="C918" s="65"/>
      <c r="D918" s="55"/>
      <c r="E918" s="65"/>
      <c r="F918" s="166"/>
      <c r="G918" s="167"/>
      <c r="H918" s="166"/>
      <c r="I918" s="72"/>
      <c r="J918" s="55"/>
      <c r="K918" s="72"/>
      <c r="L918" s="55"/>
      <c r="M918" s="174"/>
      <c r="N918" s="73" t="str">
        <f>IF(ISBLANK(C918),"",_xlfn.IFNA(INDEX(inbound_data[],MATCH(Outbound_data[[#This Row],[STOCK CODE OUT]],Generated_Stockcode,0),10),""))</f>
        <v/>
      </c>
      <c r="O918" s="73" t="str">
        <f>IF(ISBLANK(C918),"",_xlfn.IFNA(INDEX(inbound_data[],MATCH(Outbound_data[[#This Row],[STOCK CODE OUT]],Generated_Stockcode,0),12),""))</f>
        <v/>
      </c>
      <c r="P918" s="73" t="str">
        <f>IF(ISBLANK(C918),"",_xlfn.IFNA(INDEX(inbound_data[],MATCH(Outbound_data[[#This Row],[STOCK CODE OUT]],Generated_Stockcode,0),23),""))</f>
        <v/>
      </c>
      <c r="Q918" s="73" t="str">
        <f>IF(ISBLANK(C918),"",_xlfn.IFNA(INDEX(inbound_data[],MATCH(Outbound_data[[#This Row],[STOCK CODE OUT]],Generated_Stockcode,0),13),""))</f>
        <v/>
      </c>
    </row>
    <row r="919" spans="2:17" x14ac:dyDescent="0.25">
      <c r="B919" s="71"/>
      <c r="C919" s="65"/>
      <c r="D919" s="55"/>
      <c r="E919" s="65"/>
      <c r="F919" s="166"/>
      <c r="G919" s="167"/>
      <c r="H919" s="166"/>
      <c r="I919" s="72"/>
      <c r="J919" s="55"/>
      <c r="K919" s="72"/>
      <c r="L919" s="55"/>
      <c r="M919" s="174"/>
      <c r="N919" s="73" t="str">
        <f>IF(ISBLANK(C919),"",_xlfn.IFNA(INDEX(inbound_data[],MATCH(Outbound_data[[#This Row],[STOCK CODE OUT]],Generated_Stockcode,0),10),""))</f>
        <v/>
      </c>
      <c r="O919" s="73" t="str">
        <f>IF(ISBLANK(C919),"",_xlfn.IFNA(INDEX(inbound_data[],MATCH(Outbound_data[[#This Row],[STOCK CODE OUT]],Generated_Stockcode,0),12),""))</f>
        <v/>
      </c>
      <c r="P919" s="73" t="str">
        <f>IF(ISBLANK(C919),"",_xlfn.IFNA(INDEX(inbound_data[],MATCH(Outbound_data[[#This Row],[STOCK CODE OUT]],Generated_Stockcode,0),23),""))</f>
        <v/>
      </c>
      <c r="Q919" s="73" t="str">
        <f>IF(ISBLANK(C919),"",_xlfn.IFNA(INDEX(inbound_data[],MATCH(Outbound_data[[#This Row],[STOCK CODE OUT]],Generated_Stockcode,0),13),""))</f>
        <v/>
      </c>
    </row>
    <row r="920" spans="2:17" x14ac:dyDescent="0.25">
      <c r="B920" s="71"/>
      <c r="C920" s="65"/>
      <c r="D920" s="55"/>
      <c r="E920" s="65"/>
      <c r="F920" s="166"/>
      <c r="G920" s="167"/>
      <c r="H920" s="166"/>
      <c r="I920" s="72"/>
      <c r="J920" s="55"/>
      <c r="K920" s="72"/>
      <c r="L920" s="55"/>
      <c r="M920" s="174"/>
      <c r="N920" s="73" t="str">
        <f>IF(ISBLANK(C920),"",_xlfn.IFNA(INDEX(inbound_data[],MATCH(Outbound_data[[#This Row],[STOCK CODE OUT]],Generated_Stockcode,0),10),""))</f>
        <v/>
      </c>
      <c r="O920" s="73" t="str">
        <f>IF(ISBLANK(C920),"",_xlfn.IFNA(INDEX(inbound_data[],MATCH(Outbound_data[[#This Row],[STOCK CODE OUT]],Generated_Stockcode,0),12),""))</f>
        <v/>
      </c>
      <c r="P920" s="73" t="str">
        <f>IF(ISBLANK(C920),"",_xlfn.IFNA(INDEX(inbound_data[],MATCH(Outbound_data[[#This Row],[STOCK CODE OUT]],Generated_Stockcode,0),23),""))</f>
        <v/>
      </c>
      <c r="Q920" s="73" t="str">
        <f>IF(ISBLANK(C920),"",_xlfn.IFNA(INDEX(inbound_data[],MATCH(Outbound_data[[#This Row],[STOCK CODE OUT]],Generated_Stockcode,0),13),""))</f>
        <v/>
      </c>
    </row>
    <row r="921" spans="2:17" x14ac:dyDescent="0.25">
      <c r="B921" s="71"/>
      <c r="C921" s="65"/>
      <c r="D921" s="55"/>
      <c r="E921" s="65"/>
      <c r="F921" s="166"/>
      <c r="G921" s="167"/>
      <c r="H921" s="166"/>
      <c r="I921" s="72"/>
      <c r="J921" s="55"/>
      <c r="K921" s="72"/>
      <c r="L921" s="55"/>
      <c r="M921" s="174"/>
      <c r="N921" s="73" t="str">
        <f>IF(ISBLANK(C921),"",_xlfn.IFNA(INDEX(inbound_data[],MATCH(Outbound_data[[#This Row],[STOCK CODE OUT]],Generated_Stockcode,0),10),""))</f>
        <v/>
      </c>
      <c r="O921" s="73" t="str">
        <f>IF(ISBLANK(C921),"",_xlfn.IFNA(INDEX(inbound_data[],MATCH(Outbound_data[[#This Row],[STOCK CODE OUT]],Generated_Stockcode,0),12),""))</f>
        <v/>
      </c>
      <c r="P921" s="73" t="str">
        <f>IF(ISBLANK(C921),"",_xlfn.IFNA(INDEX(inbound_data[],MATCH(Outbound_data[[#This Row],[STOCK CODE OUT]],Generated_Stockcode,0),23),""))</f>
        <v/>
      </c>
      <c r="Q921" s="73" t="str">
        <f>IF(ISBLANK(C921),"",_xlfn.IFNA(INDEX(inbound_data[],MATCH(Outbound_data[[#This Row],[STOCK CODE OUT]],Generated_Stockcode,0),13),""))</f>
        <v/>
      </c>
    </row>
    <row r="922" spans="2:17" x14ac:dyDescent="0.25">
      <c r="B922" s="71"/>
      <c r="C922" s="65"/>
      <c r="D922" s="55"/>
      <c r="E922" s="65"/>
      <c r="F922" s="166"/>
      <c r="G922" s="167"/>
      <c r="H922" s="166"/>
      <c r="I922" s="72"/>
      <c r="J922" s="55"/>
      <c r="K922" s="72"/>
      <c r="L922" s="55"/>
      <c r="M922" s="174"/>
      <c r="N922" s="73" t="str">
        <f>IF(ISBLANK(C922),"",_xlfn.IFNA(INDEX(inbound_data[],MATCH(Outbound_data[[#This Row],[STOCK CODE OUT]],Generated_Stockcode,0),10),""))</f>
        <v/>
      </c>
      <c r="O922" s="73" t="str">
        <f>IF(ISBLANK(C922),"",_xlfn.IFNA(INDEX(inbound_data[],MATCH(Outbound_data[[#This Row],[STOCK CODE OUT]],Generated_Stockcode,0),12),""))</f>
        <v/>
      </c>
      <c r="P922" s="73" t="str">
        <f>IF(ISBLANK(C922),"",_xlfn.IFNA(INDEX(inbound_data[],MATCH(Outbound_data[[#This Row],[STOCK CODE OUT]],Generated_Stockcode,0),23),""))</f>
        <v/>
      </c>
      <c r="Q922" s="73" t="str">
        <f>IF(ISBLANK(C922),"",_xlfn.IFNA(INDEX(inbound_data[],MATCH(Outbound_data[[#This Row],[STOCK CODE OUT]],Generated_Stockcode,0),13),""))</f>
        <v/>
      </c>
    </row>
    <row r="923" spans="2:17" x14ac:dyDescent="0.25">
      <c r="B923" s="71"/>
      <c r="C923" s="65"/>
      <c r="D923" s="55"/>
      <c r="E923" s="65"/>
      <c r="F923" s="166"/>
      <c r="G923" s="167"/>
      <c r="H923" s="166"/>
      <c r="I923" s="72"/>
      <c r="J923" s="55"/>
      <c r="K923" s="72"/>
      <c r="L923" s="55"/>
      <c r="M923" s="174"/>
      <c r="N923" s="73" t="str">
        <f>IF(ISBLANK(C923),"",_xlfn.IFNA(INDEX(inbound_data[],MATCH(Outbound_data[[#This Row],[STOCK CODE OUT]],Generated_Stockcode,0),10),""))</f>
        <v/>
      </c>
      <c r="O923" s="73" t="str">
        <f>IF(ISBLANK(C923),"",_xlfn.IFNA(INDEX(inbound_data[],MATCH(Outbound_data[[#This Row],[STOCK CODE OUT]],Generated_Stockcode,0),12),""))</f>
        <v/>
      </c>
      <c r="P923" s="73" t="str">
        <f>IF(ISBLANK(C923),"",_xlfn.IFNA(INDEX(inbound_data[],MATCH(Outbound_data[[#This Row],[STOCK CODE OUT]],Generated_Stockcode,0),23),""))</f>
        <v/>
      </c>
      <c r="Q923" s="73" t="str">
        <f>IF(ISBLANK(C923),"",_xlfn.IFNA(INDEX(inbound_data[],MATCH(Outbound_data[[#This Row],[STOCK CODE OUT]],Generated_Stockcode,0),13),""))</f>
        <v/>
      </c>
    </row>
    <row r="924" spans="2:17" x14ac:dyDescent="0.25">
      <c r="B924" s="71"/>
      <c r="C924" s="65"/>
      <c r="D924" s="55"/>
      <c r="E924" s="65"/>
      <c r="F924" s="166"/>
      <c r="G924" s="167"/>
      <c r="H924" s="166"/>
      <c r="I924" s="72"/>
      <c r="J924" s="55"/>
      <c r="K924" s="72"/>
      <c r="L924" s="55"/>
      <c r="M924" s="174"/>
      <c r="N924" s="73" t="str">
        <f>IF(ISBLANK(C924),"",_xlfn.IFNA(INDEX(inbound_data[],MATCH(Outbound_data[[#This Row],[STOCK CODE OUT]],Generated_Stockcode,0),10),""))</f>
        <v/>
      </c>
      <c r="O924" s="73" t="str">
        <f>IF(ISBLANK(C924),"",_xlfn.IFNA(INDEX(inbound_data[],MATCH(Outbound_data[[#This Row],[STOCK CODE OUT]],Generated_Stockcode,0),12),""))</f>
        <v/>
      </c>
      <c r="P924" s="73" t="str">
        <f>IF(ISBLANK(C924),"",_xlfn.IFNA(INDEX(inbound_data[],MATCH(Outbound_data[[#This Row],[STOCK CODE OUT]],Generated_Stockcode,0),23),""))</f>
        <v/>
      </c>
      <c r="Q924" s="73" t="str">
        <f>IF(ISBLANK(C924),"",_xlfn.IFNA(INDEX(inbound_data[],MATCH(Outbound_data[[#This Row],[STOCK CODE OUT]],Generated_Stockcode,0),13),""))</f>
        <v/>
      </c>
    </row>
    <row r="925" spans="2:17" x14ac:dyDescent="0.25">
      <c r="B925" s="71"/>
      <c r="C925" s="65"/>
      <c r="D925" s="55"/>
      <c r="E925" s="65"/>
      <c r="F925" s="166"/>
      <c r="G925" s="167"/>
      <c r="H925" s="166"/>
      <c r="I925" s="72"/>
      <c r="J925" s="55"/>
      <c r="K925" s="72"/>
      <c r="L925" s="55"/>
      <c r="M925" s="174"/>
      <c r="N925" s="73" t="str">
        <f>IF(ISBLANK(C925),"",_xlfn.IFNA(INDEX(inbound_data[],MATCH(Outbound_data[[#This Row],[STOCK CODE OUT]],Generated_Stockcode,0),10),""))</f>
        <v/>
      </c>
      <c r="O925" s="73" t="str">
        <f>IF(ISBLANK(C925),"",_xlfn.IFNA(INDEX(inbound_data[],MATCH(Outbound_data[[#This Row],[STOCK CODE OUT]],Generated_Stockcode,0),12),""))</f>
        <v/>
      </c>
      <c r="P925" s="73" t="str">
        <f>IF(ISBLANK(C925),"",_xlfn.IFNA(INDEX(inbound_data[],MATCH(Outbound_data[[#This Row],[STOCK CODE OUT]],Generated_Stockcode,0),23),""))</f>
        <v/>
      </c>
      <c r="Q925" s="73" t="str">
        <f>IF(ISBLANK(C925),"",_xlfn.IFNA(INDEX(inbound_data[],MATCH(Outbound_data[[#This Row],[STOCK CODE OUT]],Generated_Stockcode,0),13),""))</f>
        <v/>
      </c>
    </row>
    <row r="926" spans="2:17" x14ac:dyDescent="0.25">
      <c r="B926" s="71"/>
      <c r="C926" s="65"/>
      <c r="D926" s="55"/>
      <c r="E926" s="65"/>
      <c r="F926" s="166"/>
      <c r="G926" s="167"/>
      <c r="H926" s="166"/>
      <c r="I926" s="72"/>
      <c r="J926" s="55"/>
      <c r="K926" s="72"/>
      <c r="L926" s="55"/>
      <c r="M926" s="174"/>
      <c r="N926" s="73" t="str">
        <f>IF(ISBLANK(C926),"",_xlfn.IFNA(INDEX(inbound_data[],MATCH(Outbound_data[[#This Row],[STOCK CODE OUT]],Generated_Stockcode,0),10),""))</f>
        <v/>
      </c>
      <c r="O926" s="73" t="str">
        <f>IF(ISBLANK(C926),"",_xlfn.IFNA(INDEX(inbound_data[],MATCH(Outbound_data[[#This Row],[STOCK CODE OUT]],Generated_Stockcode,0),12),""))</f>
        <v/>
      </c>
      <c r="P926" s="73" t="str">
        <f>IF(ISBLANK(C926),"",_xlfn.IFNA(INDEX(inbound_data[],MATCH(Outbound_data[[#This Row],[STOCK CODE OUT]],Generated_Stockcode,0),23),""))</f>
        <v/>
      </c>
      <c r="Q926" s="73" t="str">
        <f>IF(ISBLANK(C926),"",_xlfn.IFNA(INDEX(inbound_data[],MATCH(Outbound_data[[#This Row],[STOCK CODE OUT]],Generated_Stockcode,0),13),""))</f>
        <v/>
      </c>
    </row>
    <row r="927" spans="2:17" x14ac:dyDescent="0.25">
      <c r="B927" s="71"/>
      <c r="C927" s="65"/>
      <c r="D927" s="55"/>
      <c r="E927" s="65"/>
      <c r="F927" s="166"/>
      <c r="G927" s="167"/>
      <c r="H927" s="166"/>
      <c r="I927" s="72"/>
      <c r="J927" s="55"/>
      <c r="K927" s="72"/>
      <c r="L927" s="55"/>
      <c r="M927" s="174"/>
      <c r="N927" s="73" t="str">
        <f>IF(ISBLANK(C927),"",_xlfn.IFNA(INDEX(inbound_data[],MATCH(Outbound_data[[#This Row],[STOCK CODE OUT]],Generated_Stockcode,0),10),""))</f>
        <v/>
      </c>
      <c r="O927" s="73" t="str">
        <f>IF(ISBLANK(C927),"",_xlfn.IFNA(INDEX(inbound_data[],MATCH(Outbound_data[[#This Row],[STOCK CODE OUT]],Generated_Stockcode,0),12),""))</f>
        <v/>
      </c>
      <c r="P927" s="73" t="str">
        <f>IF(ISBLANK(C927),"",_xlfn.IFNA(INDEX(inbound_data[],MATCH(Outbound_data[[#This Row],[STOCK CODE OUT]],Generated_Stockcode,0),23),""))</f>
        <v/>
      </c>
      <c r="Q927" s="73" t="str">
        <f>IF(ISBLANK(C927),"",_xlfn.IFNA(INDEX(inbound_data[],MATCH(Outbound_data[[#This Row],[STOCK CODE OUT]],Generated_Stockcode,0),13),""))</f>
        <v/>
      </c>
    </row>
    <row r="928" spans="2:17" x14ac:dyDescent="0.25">
      <c r="B928" s="71"/>
      <c r="C928" s="65"/>
      <c r="D928" s="55"/>
      <c r="E928" s="65"/>
      <c r="F928" s="166"/>
      <c r="G928" s="167"/>
      <c r="H928" s="166"/>
      <c r="I928" s="72"/>
      <c r="J928" s="55"/>
      <c r="K928" s="72"/>
      <c r="L928" s="55"/>
      <c r="M928" s="174"/>
      <c r="N928" s="73" t="str">
        <f>IF(ISBLANK(C928),"",_xlfn.IFNA(INDEX(inbound_data[],MATCH(Outbound_data[[#This Row],[STOCK CODE OUT]],Generated_Stockcode,0),10),""))</f>
        <v/>
      </c>
      <c r="O928" s="73" t="str">
        <f>IF(ISBLANK(C928),"",_xlfn.IFNA(INDEX(inbound_data[],MATCH(Outbound_data[[#This Row],[STOCK CODE OUT]],Generated_Stockcode,0),12),""))</f>
        <v/>
      </c>
      <c r="P928" s="73" t="str">
        <f>IF(ISBLANK(C928),"",_xlfn.IFNA(INDEX(inbound_data[],MATCH(Outbound_data[[#This Row],[STOCK CODE OUT]],Generated_Stockcode,0),23),""))</f>
        <v/>
      </c>
      <c r="Q928" s="73" t="str">
        <f>IF(ISBLANK(C928),"",_xlfn.IFNA(INDEX(inbound_data[],MATCH(Outbound_data[[#This Row],[STOCK CODE OUT]],Generated_Stockcode,0),13),""))</f>
        <v/>
      </c>
    </row>
    <row r="929" spans="2:17" x14ac:dyDescent="0.25">
      <c r="B929" s="71"/>
      <c r="C929" s="65"/>
      <c r="D929" s="55"/>
      <c r="E929" s="65"/>
      <c r="F929" s="166"/>
      <c r="G929" s="167"/>
      <c r="H929" s="166"/>
      <c r="I929" s="72"/>
      <c r="J929" s="55"/>
      <c r="K929" s="72"/>
      <c r="L929" s="55"/>
      <c r="M929" s="174"/>
      <c r="N929" s="73" t="str">
        <f>IF(ISBLANK(C929),"",_xlfn.IFNA(INDEX(inbound_data[],MATCH(Outbound_data[[#This Row],[STOCK CODE OUT]],Generated_Stockcode,0),10),""))</f>
        <v/>
      </c>
      <c r="O929" s="73" t="str">
        <f>IF(ISBLANK(C929),"",_xlfn.IFNA(INDEX(inbound_data[],MATCH(Outbound_data[[#This Row],[STOCK CODE OUT]],Generated_Stockcode,0),12),""))</f>
        <v/>
      </c>
      <c r="P929" s="73" t="str">
        <f>IF(ISBLANK(C929),"",_xlfn.IFNA(INDEX(inbound_data[],MATCH(Outbound_data[[#This Row],[STOCK CODE OUT]],Generated_Stockcode,0),23),""))</f>
        <v/>
      </c>
      <c r="Q929" s="73" t="str">
        <f>IF(ISBLANK(C929),"",_xlfn.IFNA(INDEX(inbound_data[],MATCH(Outbound_data[[#This Row],[STOCK CODE OUT]],Generated_Stockcode,0),13),""))</f>
        <v/>
      </c>
    </row>
    <row r="930" spans="2:17" x14ac:dyDescent="0.25">
      <c r="B930" s="71"/>
      <c r="C930" s="65"/>
      <c r="D930" s="55"/>
      <c r="E930" s="65"/>
      <c r="F930" s="166"/>
      <c r="G930" s="167"/>
      <c r="H930" s="166"/>
      <c r="I930" s="72"/>
      <c r="J930" s="55"/>
      <c r="K930" s="72"/>
      <c r="L930" s="55"/>
      <c r="M930" s="174"/>
      <c r="N930" s="73" t="str">
        <f>IF(ISBLANK(C930),"",_xlfn.IFNA(INDEX(inbound_data[],MATCH(Outbound_data[[#This Row],[STOCK CODE OUT]],Generated_Stockcode,0),10),""))</f>
        <v/>
      </c>
      <c r="O930" s="73" t="str">
        <f>IF(ISBLANK(C930),"",_xlfn.IFNA(INDEX(inbound_data[],MATCH(Outbound_data[[#This Row],[STOCK CODE OUT]],Generated_Stockcode,0),12),""))</f>
        <v/>
      </c>
      <c r="P930" s="73" t="str">
        <f>IF(ISBLANK(C930),"",_xlfn.IFNA(INDEX(inbound_data[],MATCH(Outbound_data[[#This Row],[STOCK CODE OUT]],Generated_Stockcode,0),23),""))</f>
        <v/>
      </c>
      <c r="Q930" s="73" t="str">
        <f>IF(ISBLANK(C930),"",_xlfn.IFNA(INDEX(inbound_data[],MATCH(Outbound_data[[#This Row],[STOCK CODE OUT]],Generated_Stockcode,0),13),""))</f>
        <v/>
      </c>
    </row>
    <row r="931" spans="2:17" x14ac:dyDescent="0.25">
      <c r="B931" s="71"/>
      <c r="C931" s="65"/>
      <c r="D931" s="55"/>
      <c r="E931" s="65"/>
      <c r="F931" s="166"/>
      <c r="G931" s="167"/>
      <c r="H931" s="166"/>
      <c r="I931" s="72"/>
      <c r="J931" s="55"/>
      <c r="K931" s="72"/>
      <c r="L931" s="55"/>
      <c r="M931" s="174"/>
      <c r="N931" s="73" t="str">
        <f>IF(ISBLANK(C931),"",_xlfn.IFNA(INDEX(inbound_data[],MATCH(Outbound_data[[#This Row],[STOCK CODE OUT]],Generated_Stockcode,0),10),""))</f>
        <v/>
      </c>
      <c r="O931" s="73" t="str">
        <f>IF(ISBLANK(C931),"",_xlfn.IFNA(INDEX(inbound_data[],MATCH(Outbound_data[[#This Row],[STOCK CODE OUT]],Generated_Stockcode,0),12),""))</f>
        <v/>
      </c>
      <c r="P931" s="73" t="str">
        <f>IF(ISBLANK(C931),"",_xlfn.IFNA(INDEX(inbound_data[],MATCH(Outbound_data[[#This Row],[STOCK CODE OUT]],Generated_Stockcode,0),23),""))</f>
        <v/>
      </c>
      <c r="Q931" s="73" t="str">
        <f>IF(ISBLANK(C931),"",_xlfn.IFNA(INDEX(inbound_data[],MATCH(Outbound_data[[#This Row],[STOCK CODE OUT]],Generated_Stockcode,0),13),""))</f>
        <v/>
      </c>
    </row>
    <row r="932" spans="2:17" x14ac:dyDescent="0.25">
      <c r="B932" s="71"/>
      <c r="C932" s="65"/>
      <c r="D932" s="55"/>
      <c r="E932" s="65"/>
      <c r="F932" s="166"/>
      <c r="G932" s="167"/>
      <c r="H932" s="166"/>
      <c r="I932" s="72"/>
      <c r="J932" s="55"/>
      <c r="K932" s="72"/>
      <c r="L932" s="55"/>
      <c r="M932" s="174"/>
      <c r="N932" s="73" t="str">
        <f>IF(ISBLANK(C932),"",_xlfn.IFNA(INDEX(inbound_data[],MATCH(Outbound_data[[#This Row],[STOCK CODE OUT]],Generated_Stockcode,0),10),""))</f>
        <v/>
      </c>
      <c r="O932" s="73" t="str">
        <f>IF(ISBLANK(C932),"",_xlfn.IFNA(INDEX(inbound_data[],MATCH(Outbound_data[[#This Row],[STOCK CODE OUT]],Generated_Stockcode,0),12),""))</f>
        <v/>
      </c>
      <c r="P932" s="73" t="str">
        <f>IF(ISBLANK(C932),"",_xlfn.IFNA(INDEX(inbound_data[],MATCH(Outbound_data[[#This Row],[STOCK CODE OUT]],Generated_Stockcode,0),23),""))</f>
        <v/>
      </c>
      <c r="Q932" s="73" t="str">
        <f>IF(ISBLANK(C932),"",_xlfn.IFNA(INDEX(inbound_data[],MATCH(Outbound_data[[#This Row],[STOCK CODE OUT]],Generated_Stockcode,0),13),""))</f>
        <v/>
      </c>
    </row>
    <row r="933" spans="2:17" x14ac:dyDescent="0.25">
      <c r="B933" s="71"/>
      <c r="C933" s="65"/>
      <c r="D933" s="55"/>
      <c r="E933" s="65"/>
      <c r="F933" s="166"/>
      <c r="G933" s="167"/>
      <c r="H933" s="166"/>
      <c r="I933" s="72"/>
      <c r="J933" s="55"/>
      <c r="K933" s="72"/>
      <c r="L933" s="55"/>
      <c r="M933" s="174"/>
      <c r="N933" s="73" t="str">
        <f>IF(ISBLANK(C933),"",_xlfn.IFNA(INDEX(inbound_data[],MATCH(Outbound_data[[#This Row],[STOCK CODE OUT]],Generated_Stockcode,0),10),""))</f>
        <v/>
      </c>
      <c r="O933" s="73" t="str">
        <f>IF(ISBLANK(C933),"",_xlfn.IFNA(INDEX(inbound_data[],MATCH(Outbound_data[[#This Row],[STOCK CODE OUT]],Generated_Stockcode,0),12),""))</f>
        <v/>
      </c>
      <c r="P933" s="73" t="str">
        <f>IF(ISBLANK(C933),"",_xlfn.IFNA(INDEX(inbound_data[],MATCH(Outbound_data[[#This Row],[STOCK CODE OUT]],Generated_Stockcode,0),23),""))</f>
        <v/>
      </c>
      <c r="Q933" s="73" t="str">
        <f>IF(ISBLANK(C933),"",_xlfn.IFNA(INDEX(inbound_data[],MATCH(Outbound_data[[#This Row],[STOCK CODE OUT]],Generated_Stockcode,0),13),""))</f>
        <v/>
      </c>
    </row>
    <row r="934" spans="2:17" x14ac:dyDescent="0.25">
      <c r="B934" s="71"/>
      <c r="C934" s="65"/>
      <c r="D934" s="55"/>
      <c r="E934" s="65"/>
      <c r="F934" s="166"/>
      <c r="G934" s="167"/>
      <c r="H934" s="166"/>
      <c r="I934" s="72"/>
      <c r="J934" s="55"/>
      <c r="K934" s="72"/>
      <c r="L934" s="55"/>
      <c r="M934" s="174"/>
      <c r="N934" s="73" t="str">
        <f>IF(ISBLANK(C934),"",_xlfn.IFNA(INDEX(inbound_data[],MATCH(Outbound_data[[#This Row],[STOCK CODE OUT]],Generated_Stockcode,0),10),""))</f>
        <v/>
      </c>
      <c r="O934" s="73" t="str">
        <f>IF(ISBLANK(C934),"",_xlfn.IFNA(INDEX(inbound_data[],MATCH(Outbound_data[[#This Row],[STOCK CODE OUT]],Generated_Stockcode,0),12),""))</f>
        <v/>
      </c>
      <c r="P934" s="73" t="str">
        <f>IF(ISBLANK(C934),"",_xlfn.IFNA(INDEX(inbound_data[],MATCH(Outbound_data[[#This Row],[STOCK CODE OUT]],Generated_Stockcode,0),23),""))</f>
        <v/>
      </c>
      <c r="Q934" s="73" t="str">
        <f>IF(ISBLANK(C934),"",_xlfn.IFNA(INDEX(inbound_data[],MATCH(Outbound_data[[#This Row],[STOCK CODE OUT]],Generated_Stockcode,0),13),""))</f>
        <v/>
      </c>
    </row>
    <row r="935" spans="2:17" x14ac:dyDescent="0.25">
      <c r="B935" s="71"/>
      <c r="C935" s="65"/>
      <c r="D935" s="55"/>
      <c r="E935" s="65"/>
      <c r="F935" s="166"/>
      <c r="G935" s="167"/>
      <c r="H935" s="166"/>
      <c r="I935" s="72"/>
      <c r="J935" s="55"/>
      <c r="K935" s="72"/>
      <c r="L935" s="55"/>
      <c r="M935" s="174"/>
      <c r="N935" s="73" t="str">
        <f>IF(ISBLANK(C935),"",_xlfn.IFNA(INDEX(inbound_data[],MATCH(Outbound_data[[#This Row],[STOCK CODE OUT]],Generated_Stockcode,0),10),""))</f>
        <v/>
      </c>
      <c r="O935" s="73" t="str">
        <f>IF(ISBLANK(C935),"",_xlfn.IFNA(INDEX(inbound_data[],MATCH(Outbound_data[[#This Row],[STOCK CODE OUT]],Generated_Stockcode,0),12),""))</f>
        <v/>
      </c>
      <c r="P935" s="73" t="str">
        <f>IF(ISBLANK(C935),"",_xlfn.IFNA(INDEX(inbound_data[],MATCH(Outbound_data[[#This Row],[STOCK CODE OUT]],Generated_Stockcode,0),23),""))</f>
        <v/>
      </c>
      <c r="Q935" s="73" t="str">
        <f>IF(ISBLANK(C935),"",_xlfn.IFNA(INDEX(inbound_data[],MATCH(Outbound_data[[#This Row],[STOCK CODE OUT]],Generated_Stockcode,0),13),""))</f>
        <v/>
      </c>
    </row>
    <row r="936" spans="2:17" x14ac:dyDescent="0.25">
      <c r="B936" s="71"/>
      <c r="C936" s="65"/>
      <c r="D936" s="55"/>
      <c r="E936" s="65"/>
      <c r="F936" s="166"/>
      <c r="G936" s="167"/>
      <c r="H936" s="166"/>
      <c r="I936" s="72"/>
      <c r="J936" s="55"/>
      <c r="K936" s="72"/>
      <c r="L936" s="55"/>
      <c r="M936" s="174"/>
      <c r="N936" s="73" t="str">
        <f>IF(ISBLANK(C936),"",_xlfn.IFNA(INDEX(inbound_data[],MATCH(Outbound_data[[#This Row],[STOCK CODE OUT]],Generated_Stockcode,0),10),""))</f>
        <v/>
      </c>
      <c r="O936" s="73" t="str">
        <f>IF(ISBLANK(C936),"",_xlfn.IFNA(INDEX(inbound_data[],MATCH(Outbound_data[[#This Row],[STOCK CODE OUT]],Generated_Stockcode,0),12),""))</f>
        <v/>
      </c>
      <c r="P936" s="73" t="str">
        <f>IF(ISBLANK(C936),"",_xlfn.IFNA(INDEX(inbound_data[],MATCH(Outbound_data[[#This Row],[STOCK CODE OUT]],Generated_Stockcode,0),23),""))</f>
        <v/>
      </c>
      <c r="Q936" s="73" t="str">
        <f>IF(ISBLANK(C936),"",_xlfn.IFNA(INDEX(inbound_data[],MATCH(Outbound_data[[#This Row],[STOCK CODE OUT]],Generated_Stockcode,0),13),""))</f>
        <v/>
      </c>
    </row>
    <row r="937" spans="2:17" x14ac:dyDescent="0.25">
      <c r="B937" s="71"/>
      <c r="C937" s="65"/>
      <c r="D937" s="55"/>
      <c r="E937" s="65"/>
      <c r="F937" s="166"/>
      <c r="G937" s="167"/>
      <c r="H937" s="166"/>
      <c r="I937" s="72"/>
      <c r="J937" s="55"/>
      <c r="K937" s="72"/>
      <c r="L937" s="55"/>
      <c r="M937" s="174"/>
      <c r="N937" s="73" t="str">
        <f>IF(ISBLANK(C937),"",_xlfn.IFNA(INDEX(inbound_data[],MATCH(Outbound_data[[#This Row],[STOCK CODE OUT]],Generated_Stockcode,0),10),""))</f>
        <v/>
      </c>
      <c r="O937" s="73" t="str">
        <f>IF(ISBLANK(C937),"",_xlfn.IFNA(INDEX(inbound_data[],MATCH(Outbound_data[[#This Row],[STOCK CODE OUT]],Generated_Stockcode,0),12),""))</f>
        <v/>
      </c>
      <c r="P937" s="73" t="str">
        <f>IF(ISBLANK(C937),"",_xlfn.IFNA(INDEX(inbound_data[],MATCH(Outbound_data[[#This Row],[STOCK CODE OUT]],Generated_Stockcode,0),23),""))</f>
        <v/>
      </c>
      <c r="Q937" s="73" t="str">
        <f>IF(ISBLANK(C937),"",_xlfn.IFNA(INDEX(inbound_data[],MATCH(Outbound_data[[#This Row],[STOCK CODE OUT]],Generated_Stockcode,0),13),""))</f>
        <v/>
      </c>
    </row>
    <row r="938" spans="2:17" x14ac:dyDescent="0.25">
      <c r="B938" s="71"/>
      <c r="C938" s="65"/>
      <c r="D938" s="55"/>
      <c r="E938" s="65"/>
      <c r="F938" s="166"/>
      <c r="G938" s="167"/>
      <c r="H938" s="166"/>
      <c r="I938" s="72"/>
      <c r="J938" s="55"/>
      <c r="K938" s="72"/>
      <c r="L938" s="55"/>
      <c r="M938" s="174"/>
      <c r="N938" s="73" t="str">
        <f>IF(ISBLANK(C938),"",_xlfn.IFNA(INDEX(inbound_data[],MATCH(Outbound_data[[#This Row],[STOCK CODE OUT]],Generated_Stockcode,0),10),""))</f>
        <v/>
      </c>
      <c r="O938" s="73" t="str">
        <f>IF(ISBLANK(C938),"",_xlfn.IFNA(INDEX(inbound_data[],MATCH(Outbound_data[[#This Row],[STOCK CODE OUT]],Generated_Stockcode,0),12),""))</f>
        <v/>
      </c>
      <c r="P938" s="73" t="str">
        <f>IF(ISBLANK(C938),"",_xlfn.IFNA(INDEX(inbound_data[],MATCH(Outbound_data[[#This Row],[STOCK CODE OUT]],Generated_Stockcode,0),23),""))</f>
        <v/>
      </c>
      <c r="Q938" s="73" t="str">
        <f>IF(ISBLANK(C938),"",_xlfn.IFNA(INDEX(inbound_data[],MATCH(Outbound_data[[#This Row],[STOCK CODE OUT]],Generated_Stockcode,0),13),""))</f>
        <v/>
      </c>
    </row>
    <row r="939" spans="2:17" x14ac:dyDescent="0.25">
      <c r="B939" s="71"/>
      <c r="C939" s="65"/>
      <c r="D939" s="55"/>
      <c r="E939" s="65"/>
      <c r="F939" s="166"/>
      <c r="G939" s="167"/>
      <c r="H939" s="166"/>
      <c r="I939" s="72"/>
      <c r="J939" s="55"/>
      <c r="K939" s="72"/>
      <c r="L939" s="55"/>
      <c r="M939" s="174"/>
      <c r="N939" s="73" t="str">
        <f>IF(ISBLANK(C939),"",_xlfn.IFNA(INDEX(inbound_data[],MATCH(Outbound_data[[#This Row],[STOCK CODE OUT]],Generated_Stockcode,0),10),""))</f>
        <v/>
      </c>
      <c r="O939" s="73" t="str">
        <f>IF(ISBLANK(C939),"",_xlfn.IFNA(INDEX(inbound_data[],MATCH(Outbound_data[[#This Row],[STOCK CODE OUT]],Generated_Stockcode,0),12),""))</f>
        <v/>
      </c>
      <c r="P939" s="73" t="str">
        <f>IF(ISBLANK(C939),"",_xlfn.IFNA(INDEX(inbound_data[],MATCH(Outbound_data[[#This Row],[STOCK CODE OUT]],Generated_Stockcode,0),23),""))</f>
        <v/>
      </c>
      <c r="Q939" s="73" t="str">
        <f>IF(ISBLANK(C939),"",_xlfn.IFNA(INDEX(inbound_data[],MATCH(Outbound_data[[#This Row],[STOCK CODE OUT]],Generated_Stockcode,0),13),""))</f>
        <v/>
      </c>
    </row>
    <row r="940" spans="2:17" x14ac:dyDescent="0.25">
      <c r="B940" s="71"/>
      <c r="C940" s="65"/>
      <c r="D940" s="55"/>
      <c r="E940" s="65"/>
      <c r="F940" s="166"/>
      <c r="G940" s="167"/>
      <c r="H940" s="166"/>
      <c r="I940" s="72"/>
      <c r="J940" s="55"/>
      <c r="K940" s="72"/>
      <c r="L940" s="55"/>
      <c r="M940" s="174"/>
      <c r="N940" s="73" t="str">
        <f>IF(ISBLANK(C940),"",_xlfn.IFNA(INDEX(inbound_data[],MATCH(Outbound_data[[#This Row],[STOCK CODE OUT]],Generated_Stockcode,0),10),""))</f>
        <v/>
      </c>
      <c r="O940" s="73" t="str">
        <f>IF(ISBLANK(C940),"",_xlfn.IFNA(INDEX(inbound_data[],MATCH(Outbound_data[[#This Row],[STOCK CODE OUT]],Generated_Stockcode,0),12),""))</f>
        <v/>
      </c>
      <c r="P940" s="73" t="str">
        <f>IF(ISBLANK(C940),"",_xlfn.IFNA(INDEX(inbound_data[],MATCH(Outbound_data[[#This Row],[STOCK CODE OUT]],Generated_Stockcode,0),23),""))</f>
        <v/>
      </c>
      <c r="Q940" s="73" t="str">
        <f>IF(ISBLANK(C940),"",_xlfn.IFNA(INDEX(inbound_data[],MATCH(Outbound_data[[#This Row],[STOCK CODE OUT]],Generated_Stockcode,0),13),""))</f>
        <v/>
      </c>
    </row>
    <row r="941" spans="2:17" x14ac:dyDescent="0.25">
      <c r="B941" s="71"/>
      <c r="C941" s="65"/>
      <c r="D941" s="55"/>
      <c r="E941" s="65"/>
      <c r="F941" s="166"/>
      <c r="G941" s="167"/>
      <c r="H941" s="166"/>
      <c r="I941" s="72"/>
      <c r="J941" s="55"/>
      <c r="K941" s="72"/>
      <c r="L941" s="55"/>
      <c r="M941" s="174"/>
      <c r="N941" s="73" t="str">
        <f>IF(ISBLANK(C941),"",_xlfn.IFNA(INDEX(inbound_data[],MATCH(Outbound_data[[#This Row],[STOCK CODE OUT]],Generated_Stockcode,0),10),""))</f>
        <v/>
      </c>
      <c r="O941" s="73" t="str">
        <f>IF(ISBLANK(C941),"",_xlfn.IFNA(INDEX(inbound_data[],MATCH(Outbound_data[[#This Row],[STOCK CODE OUT]],Generated_Stockcode,0),12),""))</f>
        <v/>
      </c>
      <c r="P941" s="73" t="str">
        <f>IF(ISBLANK(C941),"",_xlfn.IFNA(INDEX(inbound_data[],MATCH(Outbound_data[[#This Row],[STOCK CODE OUT]],Generated_Stockcode,0),23),""))</f>
        <v/>
      </c>
      <c r="Q941" s="73" t="str">
        <f>IF(ISBLANK(C941),"",_xlfn.IFNA(INDEX(inbound_data[],MATCH(Outbound_data[[#This Row],[STOCK CODE OUT]],Generated_Stockcode,0),13),""))</f>
        <v/>
      </c>
    </row>
    <row r="942" spans="2:17" x14ac:dyDescent="0.25">
      <c r="B942" s="71"/>
      <c r="C942" s="65"/>
      <c r="D942" s="55"/>
      <c r="E942" s="65"/>
      <c r="F942" s="166"/>
      <c r="G942" s="167"/>
      <c r="H942" s="166"/>
      <c r="I942" s="72"/>
      <c r="J942" s="55"/>
      <c r="K942" s="72"/>
      <c r="L942" s="55"/>
      <c r="M942" s="174"/>
      <c r="N942" s="73" t="str">
        <f>IF(ISBLANK(C942),"",_xlfn.IFNA(INDEX(inbound_data[],MATCH(Outbound_data[[#This Row],[STOCK CODE OUT]],Generated_Stockcode,0),10),""))</f>
        <v/>
      </c>
      <c r="O942" s="73" t="str">
        <f>IF(ISBLANK(C942),"",_xlfn.IFNA(INDEX(inbound_data[],MATCH(Outbound_data[[#This Row],[STOCK CODE OUT]],Generated_Stockcode,0),12),""))</f>
        <v/>
      </c>
      <c r="P942" s="73" t="str">
        <f>IF(ISBLANK(C942),"",_xlfn.IFNA(INDEX(inbound_data[],MATCH(Outbound_data[[#This Row],[STOCK CODE OUT]],Generated_Stockcode,0),23),""))</f>
        <v/>
      </c>
      <c r="Q942" s="73" t="str">
        <f>IF(ISBLANK(C942),"",_xlfn.IFNA(INDEX(inbound_data[],MATCH(Outbound_data[[#This Row],[STOCK CODE OUT]],Generated_Stockcode,0),13),""))</f>
        <v/>
      </c>
    </row>
    <row r="943" spans="2:17" x14ac:dyDescent="0.25">
      <c r="B943" s="71"/>
      <c r="C943" s="65"/>
      <c r="D943" s="55"/>
      <c r="E943" s="65"/>
      <c r="F943" s="166"/>
      <c r="G943" s="167"/>
      <c r="H943" s="166"/>
      <c r="I943" s="72"/>
      <c r="J943" s="55"/>
      <c r="K943" s="72"/>
      <c r="L943" s="55"/>
      <c r="M943" s="174"/>
      <c r="N943" s="73" t="str">
        <f>IF(ISBLANK(C943),"",_xlfn.IFNA(INDEX(inbound_data[],MATCH(Outbound_data[[#This Row],[STOCK CODE OUT]],Generated_Stockcode,0),10),""))</f>
        <v/>
      </c>
      <c r="O943" s="73" t="str">
        <f>IF(ISBLANK(C943),"",_xlfn.IFNA(INDEX(inbound_data[],MATCH(Outbound_data[[#This Row],[STOCK CODE OUT]],Generated_Stockcode,0),12),""))</f>
        <v/>
      </c>
      <c r="P943" s="73" t="str">
        <f>IF(ISBLANK(C943),"",_xlfn.IFNA(INDEX(inbound_data[],MATCH(Outbound_data[[#This Row],[STOCK CODE OUT]],Generated_Stockcode,0),23),""))</f>
        <v/>
      </c>
      <c r="Q943" s="73" t="str">
        <f>IF(ISBLANK(C943),"",_xlfn.IFNA(INDEX(inbound_data[],MATCH(Outbound_data[[#This Row],[STOCK CODE OUT]],Generated_Stockcode,0),13),""))</f>
        <v/>
      </c>
    </row>
    <row r="944" spans="2:17" x14ac:dyDescent="0.25">
      <c r="B944" s="71"/>
      <c r="C944" s="65"/>
      <c r="D944" s="55"/>
      <c r="E944" s="65"/>
      <c r="F944" s="166"/>
      <c r="G944" s="167"/>
      <c r="H944" s="166"/>
      <c r="I944" s="72"/>
      <c r="J944" s="55"/>
      <c r="K944" s="72"/>
      <c r="L944" s="55"/>
      <c r="M944" s="174"/>
      <c r="N944" s="73" t="str">
        <f>IF(ISBLANK(C944),"",_xlfn.IFNA(INDEX(inbound_data[],MATCH(Outbound_data[[#This Row],[STOCK CODE OUT]],Generated_Stockcode,0),10),""))</f>
        <v/>
      </c>
      <c r="O944" s="73" t="str">
        <f>IF(ISBLANK(C944),"",_xlfn.IFNA(INDEX(inbound_data[],MATCH(Outbound_data[[#This Row],[STOCK CODE OUT]],Generated_Stockcode,0),12),""))</f>
        <v/>
      </c>
      <c r="P944" s="73" t="str">
        <f>IF(ISBLANK(C944),"",_xlfn.IFNA(INDEX(inbound_data[],MATCH(Outbound_data[[#This Row],[STOCK CODE OUT]],Generated_Stockcode,0),23),""))</f>
        <v/>
      </c>
      <c r="Q944" s="73" t="str">
        <f>IF(ISBLANK(C944),"",_xlfn.IFNA(INDEX(inbound_data[],MATCH(Outbound_data[[#This Row],[STOCK CODE OUT]],Generated_Stockcode,0),13),""))</f>
        <v/>
      </c>
    </row>
    <row r="945" spans="2:17" x14ac:dyDescent="0.25">
      <c r="B945" s="71"/>
      <c r="C945" s="65"/>
      <c r="D945" s="55"/>
      <c r="E945" s="65"/>
      <c r="F945" s="166"/>
      <c r="G945" s="167"/>
      <c r="H945" s="166"/>
      <c r="I945" s="72"/>
      <c r="J945" s="55"/>
      <c r="K945" s="72"/>
      <c r="L945" s="55"/>
      <c r="M945" s="174"/>
      <c r="N945" s="73" t="str">
        <f>IF(ISBLANK(C945),"",_xlfn.IFNA(INDEX(inbound_data[],MATCH(Outbound_data[[#This Row],[STOCK CODE OUT]],Generated_Stockcode,0),10),""))</f>
        <v/>
      </c>
      <c r="O945" s="73" t="str">
        <f>IF(ISBLANK(C945),"",_xlfn.IFNA(INDEX(inbound_data[],MATCH(Outbound_data[[#This Row],[STOCK CODE OUT]],Generated_Stockcode,0),12),""))</f>
        <v/>
      </c>
      <c r="P945" s="73" t="str">
        <f>IF(ISBLANK(C945),"",_xlfn.IFNA(INDEX(inbound_data[],MATCH(Outbound_data[[#This Row],[STOCK CODE OUT]],Generated_Stockcode,0),23),""))</f>
        <v/>
      </c>
      <c r="Q945" s="73" t="str">
        <f>IF(ISBLANK(C945),"",_xlfn.IFNA(INDEX(inbound_data[],MATCH(Outbound_data[[#This Row],[STOCK CODE OUT]],Generated_Stockcode,0),13),""))</f>
        <v/>
      </c>
    </row>
    <row r="946" spans="2:17" x14ac:dyDescent="0.25">
      <c r="B946" s="71"/>
      <c r="C946" s="65"/>
      <c r="D946" s="55"/>
      <c r="E946" s="65"/>
      <c r="F946" s="166"/>
      <c r="G946" s="167"/>
      <c r="H946" s="166"/>
      <c r="I946" s="72"/>
      <c r="J946" s="55"/>
      <c r="K946" s="72"/>
      <c r="L946" s="55"/>
      <c r="M946" s="174"/>
      <c r="N946" s="73" t="str">
        <f>IF(ISBLANK(C946),"",_xlfn.IFNA(INDEX(inbound_data[],MATCH(Outbound_data[[#This Row],[STOCK CODE OUT]],Generated_Stockcode,0),10),""))</f>
        <v/>
      </c>
      <c r="O946" s="73" t="str">
        <f>IF(ISBLANK(C946),"",_xlfn.IFNA(INDEX(inbound_data[],MATCH(Outbound_data[[#This Row],[STOCK CODE OUT]],Generated_Stockcode,0),12),""))</f>
        <v/>
      </c>
      <c r="P946" s="73" t="str">
        <f>IF(ISBLANK(C946),"",_xlfn.IFNA(INDEX(inbound_data[],MATCH(Outbound_data[[#This Row],[STOCK CODE OUT]],Generated_Stockcode,0),23),""))</f>
        <v/>
      </c>
      <c r="Q946" s="73" t="str">
        <f>IF(ISBLANK(C946),"",_xlfn.IFNA(INDEX(inbound_data[],MATCH(Outbound_data[[#This Row],[STOCK CODE OUT]],Generated_Stockcode,0),13),""))</f>
        <v/>
      </c>
    </row>
    <row r="947" spans="2:17" x14ac:dyDescent="0.25">
      <c r="B947" s="71"/>
      <c r="C947" s="65"/>
      <c r="D947" s="55"/>
      <c r="E947" s="65"/>
      <c r="F947" s="166"/>
      <c r="G947" s="167"/>
      <c r="H947" s="166"/>
      <c r="I947" s="72"/>
      <c r="J947" s="55"/>
      <c r="K947" s="72"/>
      <c r="L947" s="55"/>
      <c r="M947" s="174"/>
      <c r="N947" s="73" t="str">
        <f>IF(ISBLANK(C947),"",_xlfn.IFNA(INDEX(inbound_data[],MATCH(Outbound_data[[#This Row],[STOCK CODE OUT]],Generated_Stockcode,0),10),""))</f>
        <v/>
      </c>
      <c r="O947" s="73" t="str">
        <f>IF(ISBLANK(C947),"",_xlfn.IFNA(INDEX(inbound_data[],MATCH(Outbound_data[[#This Row],[STOCK CODE OUT]],Generated_Stockcode,0),12),""))</f>
        <v/>
      </c>
      <c r="P947" s="73" t="str">
        <f>IF(ISBLANK(C947),"",_xlfn.IFNA(INDEX(inbound_data[],MATCH(Outbound_data[[#This Row],[STOCK CODE OUT]],Generated_Stockcode,0),23),""))</f>
        <v/>
      </c>
      <c r="Q947" s="73" t="str">
        <f>IF(ISBLANK(C947),"",_xlfn.IFNA(INDEX(inbound_data[],MATCH(Outbound_data[[#This Row],[STOCK CODE OUT]],Generated_Stockcode,0),13),""))</f>
        <v/>
      </c>
    </row>
    <row r="948" spans="2:17" x14ac:dyDescent="0.25">
      <c r="B948" s="71"/>
      <c r="C948" s="65"/>
      <c r="D948" s="55"/>
      <c r="E948" s="65"/>
      <c r="F948" s="166"/>
      <c r="G948" s="167"/>
      <c r="H948" s="166"/>
      <c r="I948" s="72"/>
      <c r="J948" s="55"/>
      <c r="K948" s="72"/>
      <c r="L948" s="55"/>
      <c r="M948" s="174"/>
      <c r="N948" s="73" t="str">
        <f>IF(ISBLANK(C948),"",_xlfn.IFNA(INDEX(inbound_data[],MATCH(Outbound_data[[#This Row],[STOCK CODE OUT]],Generated_Stockcode,0),10),""))</f>
        <v/>
      </c>
      <c r="O948" s="73" t="str">
        <f>IF(ISBLANK(C948),"",_xlfn.IFNA(INDEX(inbound_data[],MATCH(Outbound_data[[#This Row],[STOCK CODE OUT]],Generated_Stockcode,0),12),""))</f>
        <v/>
      </c>
      <c r="P948" s="73" t="str">
        <f>IF(ISBLANK(C948),"",_xlfn.IFNA(INDEX(inbound_data[],MATCH(Outbound_data[[#This Row],[STOCK CODE OUT]],Generated_Stockcode,0),23),""))</f>
        <v/>
      </c>
      <c r="Q948" s="73" t="str">
        <f>IF(ISBLANK(C948),"",_xlfn.IFNA(INDEX(inbound_data[],MATCH(Outbound_data[[#This Row],[STOCK CODE OUT]],Generated_Stockcode,0),13),""))</f>
        <v/>
      </c>
    </row>
    <row r="949" spans="2:17" x14ac:dyDescent="0.25">
      <c r="B949" s="71"/>
      <c r="C949" s="65"/>
      <c r="D949" s="55"/>
      <c r="E949" s="65"/>
      <c r="F949" s="166"/>
      <c r="G949" s="167"/>
      <c r="H949" s="166"/>
      <c r="I949" s="72"/>
      <c r="J949" s="55"/>
      <c r="K949" s="72"/>
      <c r="L949" s="55"/>
      <c r="M949" s="174"/>
      <c r="N949" s="73" t="str">
        <f>IF(ISBLANK(C949),"",_xlfn.IFNA(INDEX(inbound_data[],MATCH(Outbound_data[[#This Row],[STOCK CODE OUT]],Generated_Stockcode,0),10),""))</f>
        <v/>
      </c>
      <c r="O949" s="73" t="str">
        <f>IF(ISBLANK(C949),"",_xlfn.IFNA(INDEX(inbound_data[],MATCH(Outbound_data[[#This Row],[STOCK CODE OUT]],Generated_Stockcode,0),12),""))</f>
        <v/>
      </c>
      <c r="P949" s="73" t="str">
        <f>IF(ISBLANK(C949),"",_xlfn.IFNA(INDEX(inbound_data[],MATCH(Outbound_data[[#This Row],[STOCK CODE OUT]],Generated_Stockcode,0),23),""))</f>
        <v/>
      </c>
      <c r="Q949" s="73" t="str">
        <f>IF(ISBLANK(C949),"",_xlfn.IFNA(INDEX(inbound_data[],MATCH(Outbound_data[[#This Row],[STOCK CODE OUT]],Generated_Stockcode,0),13),""))</f>
        <v/>
      </c>
    </row>
    <row r="950" spans="2:17" x14ac:dyDescent="0.25">
      <c r="B950" s="71"/>
      <c r="C950" s="65"/>
      <c r="D950" s="55"/>
      <c r="E950" s="65"/>
      <c r="F950" s="166"/>
      <c r="G950" s="167"/>
      <c r="H950" s="166"/>
      <c r="I950" s="72"/>
      <c r="J950" s="55"/>
      <c r="K950" s="72"/>
      <c r="L950" s="55"/>
      <c r="M950" s="174"/>
      <c r="N950" s="73" t="str">
        <f>IF(ISBLANK(C950),"",_xlfn.IFNA(INDEX(inbound_data[],MATCH(Outbound_data[[#This Row],[STOCK CODE OUT]],Generated_Stockcode,0),10),""))</f>
        <v/>
      </c>
      <c r="O950" s="73" t="str">
        <f>IF(ISBLANK(C950),"",_xlfn.IFNA(INDEX(inbound_data[],MATCH(Outbound_data[[#This Row],[STOCK CODE OUT]],Generated_Stockcode,0),12),""))</f>
        <v/>
      </c>
      <c r="P950" s="73" t="str">
        <f>IF(ISBLANK(C950),"",_xlfn.IFNA(INDEX(inbound_data[],MATCH(Outbound_data[[#This Row],[STOCK CODE OUT]],Generated_Stockcode,0),23),""))</f>
        <v/>
      </c>
      <c r="Q950" s="73" t="str">
        <f>IF(ISBLANK(C950),"",_xlfn.IFNA(INDEX(inbound_data[],MATCH(Outbound_data[[#This Row],[STOCK CODE OUT]],Generated_Stockcode,0),13),""))</f>
        <v/>
      </c>
    </row>
    <row r="951" spans="2:17" x14ac:dyDescent="0.25">
      <c r="B951" s="71"/>
      <c r="C951" s="65"/>
      <c r="D951" s="55"/>
      <c r="E951" s="65"/>
      <c r="F951" s="166"/>
      <c r="G951" s="167"/>
      <c r="H951" s="166"/>
      <c r="I951" s="72"/>
      <c r="J951" s="55"/>
      <c r="K951" s="72"/>
      <c r="L951" s="55"/>
      <c r="M951" s="174"/>
      <c r="N951" s="73" t="str">
        <f>IF(ISBLANK(C951),"",_xlfn.IFNA(INDEX(inbound_data[],MATCH(Outbound_data[[#This Row],[STOCK CODE OUT]],Generated_Stockcode,0),10),""))</f>
        <v/>
      </c>
      <c r="O951" s="73" t="str">
        <f>IF(ISBLANK(C951),"",_xlfn.IFNA(INDEX(inbound_data[],MATCH(Outbound_data[[#This Row],[STOCK CODE OUT]],Generated_Stockcode,0),12),""))</f>
        <v/>
      </c>
      <c r="P951" s="73" t="str">
        <f>IF(ISBLANK(C951),"",_xlfn.IFNA(INDEX(inbound_data[],MATCH(Outbound_data[[#This Row],[STOCK CODE OUT]],Generated_Stockcode,0),23),""))</f>
        <v/>
      </c>
      <c r="Q951" s="73" t="str">
        <f>IF(ISBLANK(C951),"",_xlfn.IFNA(INDEX(inbound_data[],MATCH(Outbound_data[[#This Row],[STOCK CODE OUT]],Generated_Stockcode,0),13),""))</f>
        <v/>
      </c>
    </row>
    <row r="952" spans="2:17" x14ac:dyDescent="0.25">
      <c r="B952" s="71"/>
      <c r="C952" s="65"/>
      <c r="D952" s="55"/>
      <c r="E952" s="65"/>
      <c r="F952" s="166"/>
      <c r="G952" s="167"/>
      <c r="H952" s="166"/>
      <c r="I952" s="72"/>
      <c r="J952" s="55"/>
      <c r="K952" s="72"/>
      <c r="L952" s="55"/>
      <c r="M952" s="174"/>
      <c r="N952" s="73" t="str">
        <f>IF(ISBLANK(C952),"",_xlfn.IFNA(INDEX(inbound_data[],MATCH(Outbound_data[[#This Row],[STOCK CODE OUT]],Generated_Stockcode,0),10),""))</f>
        <v/>
      </c>
      <c r="O952" s="73" t="str">
        <f>IF(ISBLANK(C952),"",_xlfn.IFNA(INDEX(inbound_data[],MATCH(Outbound_data[[#This Row],[STOCK CODE OUT]],Generated_Stockcode,0),12),""))</f>
        <v/>
      </c>
      <c r="P952" s="73" t="str">
        <f>IF(ISBLANK(C952),"",_xlfn.IFNA(INDEX(inbound_data[],MATCH(Outbound_data[[#This Row],[STOCK CODE OUT]],Generated_Stockcode,0),23),""))</f>
        <v/>
      </c>
      <c r="Q952" s="73" t="str">
        <f>IF(ISBLANK(C952),"",_xlfn.IFNA(INDEX(inbound_data[],MATCH(Outbound_data[[#This Row],[STOCK CODE OUT]],Generated_Stockcode,0),13),""))</f>
        <v/>
      </c>
    </row>
    <row r="953" spans="2:17" x14ac:dyDescent="0.25">
      <c r="B953" s="71"/>
      <c r="C953" s="65"/>
      <c r="D953" s="55"/>
      <c r="E953" s="65"/>
      <c r="F953" s="166"/>
      <c r="G953" s="167"/>
      <c r="H953" s="166"/>
      <c r="I953" s="72"/>
      <c r="J953" s="55"/>
      <c r="K953" s="72"/>
      <c r="L953" s="55"/>
      <c r="M953" s="174"/>
      <c r="N953" s="73" t="str">
        <f>IF(ISBLANK(C953),"",_xlfn.IFNA(INDEX(inbound_data[],MATCH(Outbound_data[[#This Row],[STOCK CODE OUT]],Generated_Stockcode,0),10),""))</f>
        <v/>
      </c>
      <c r="O953" s="73" t="str">
        <f>IF(ISBLANK(C953),"",_xlfn.IFNA(INDEX(inbound_data[],MATCH(Outbound_data[[#This Row],[STOCK CODE OUT]],Generated_Stockcode,0),12),""))</f>
        <v/>
      </c>
      <c r="P953" s="73" t="str">
        <f>IF(ISBLANK(C953),"",_xlfn.IFNA(INDEX(inbound_data[],MATCH(Outbound_data[[#This Row],[STOCK CODE OUT]],Generated_Stockcode,0),23),""))</f>
        <v/>
      </c>
      <c r="Q953" s="73" t="str">
        <f>IF(ISBLANK(C953),"",_xlfn.IFNA(INDEX(inbound_data[],MATCH(Outbound_data[[#This Row],[STOCK CODE OUT]],Generated_Stockcode,0),13),""))</f>
        <v/>
      </c>
    </row>
    <row r="954" spans="2:17" x14ac:dyDescent="0.25">
      <c r="B954" s="71"/>
      <c r="C954" s="65"/>
      <c r="D954" s="55"/>
      <c r="E954" s="65"/>
      <c r="F954" s="166"/>
      <c r="G954" s="167"/>
      <c r="H954" s="166"/>
      <c r="I954" s="72"/>
      <c r="J954" s="55"/>
      <c r="K954" s="72"/>
      <c r="L954" s="55"/>
      <c r="M954" s="174"/>
      <c r="N954" s="73" t="str">
        <f>IF(ISBLANK(C954),"",_xlfn.IFNA(INDEX(inbound_data[],MATCH(Outbound_data[[#This Row],[STOCK CODE OUT]],Generated_Stockcode,0),10),""))</f>
        <v/>
      </c>
      <c r="O954" s="73" t="str">
        <f>IF(ISBLANK(C954),"",_xlfn.IFNA(INDEX(inbound_data[],MATCH(Outbound_data[[#This Row],[STOCK CODE OUT]],Generated_Stockcode,0),12),""))</f>
        <v/>
      </c>
      <c r="P954" s="73" t="str">
        <f>IF(ISBLANK(C954),"",_xlfn.IFNA(INDEX(inbound_data[],MATCH(Outbound_data[[#This Row],[STOCK CODE OUT]],Generated_Stockcode,0),23),""))</f>
        <v/>
      </c>
      <c r="Q954" s="73" t="str">
        <f>IF(ISBLANK(C954),"",_xlfn.IFNA(INDEX(inbound_data[],MATCH(Outbound_data[[#This Row],[STOCK CODE OUT]],Generated_Stockcode,0),13),""))</f>
        <v/>
      </c>
    </row>
    <row r="955" spans="2:17" x14ac:dyDescent="0.25">
      <c r="B955" s="71"/>
      <c r="C955" s="65"/>
      <c r="D955" s="55"/>
      <c r="E955" s="65"/>
      <c r="F955" s="166"/>
      <c r="G955" s="167"/>
      <c r="H955" s="166"/>
      <c r="I955" s="72"/>
      <c r="J955" s="55"/>
      <c r="K955" s="72"/>
      <c r="L955" s="55"/>
      <c r="M955" s="174"/>
      <c r="N955" s="73" t="str">
        <f>IF(ISBLANK(C955),"",_xlfn.IFNA(INDEX(inbound_data[],MATCH(Outbound_data[[#This Row],[STOCK CODE OUT]],Generated_Stockcode,0),10),""))</f>
        <v/>
      </c>
      <c r="O955" s="73" t="str">
        <f>IF(ISBLANK(C955),"",_xlfn.IFNA(INDEX(inbound_data[],MATCH(Outbound_data[[#This Row],[STOCK CODE OUT]],Generated_Stockcode,0),12),""))</f>
        <v/>
      </c>
      <c r="P955" s="73" t="str">
        <f>IF(ISBLANK(C955),"",_xlfn.IFNA(INDEX(inbound_data[],MATCH(Outbound_data[[#This Row],[STOCK CODE OUT]],Generated_Stockcode,0),23),""))</f>
        <v/>
      </c>
      <c r="Q955" s="73" t="str">
        <f>IF(ISBLANK(C955),"",_xlfn.IFNA(INDEX(inbound_data[],MATCH(Outbound_data[[#This Row],[STOCK CODE OUT]],Generated_Stockcode,0),13),""))</f>
        <v/>
      </c>
    </row>
    <row r="956" spans="2:17" x14ac:dyDescent="0.25">
      <c r="B956" s="71"/>
      <c r="C956" s="65"/>
      <c r="D956" s="55"/>
      <c r="E956" s="65"/>
      <c r="F956" s="166"/>
      <c r="G956" s="167"/>
      <c r="H956" s="166"/>
      <c r="I956" s="72"/>
      <c r="J956" s="55"/>
      <c r="K956" s="72"/>
      <c r="L956" s="55"/>
      <c r="M956" s="174"/>
      <c r="N956" s="73" t="str">
        <f>IF(ISBLANK(C956),"",_xlfn.IFNA(INDEX(inbound_data[],MATCH(Outbound_data[[#This Row],[STOCK CODE OUT]],Generated_Stockcode,0),10),""))</f>
        <v/>
      </c>
      <c r="O956" s="73" t="str">
        <f>IF(ISBLANK(C956),"",_xlfn.IFNA(INDEX(inbound_data[],MATCH(Outbound_data[[#This Row],[STOCK CODE OUT]],Generated_Stockcode,0),12),""))</f>
        <v/>
      </c>
      <c r="P956" s="73" t="str">
        <f>IF(ISBLANK(C956),"",_xlfn.IFNA(INDEX(inbound_data[],MATCH(Outbound_data[[#This Row],[STOCK CODE OUT]],Generated_Stockcode,0),23),""))</f>
        <v/>
      </c>
      <c r="Q956" s="73" t="str">
        <f>IF(ISBLANK(C956),"",_xlfn.IFNA(INDEX(inbound_data[],MATCH(Outbound_data[[#This Row],[STOCK CODE OUT]],Generated_Stockcode,0),13),""))</f>
        <v/>
      </c>
    </row>
    <row r="957" spans="2:17" x14ac:dyDescent="0.25">
      <c r="B957" s="71"/>
      <c r="C957" s="65"/>
      <c r="D957" s="55"/>
      <c r="E957" s="65"/>
      <c r="F957" s="166"/>
      <c r="G957" s="167"/>
      <c r="H957" s="166"/>
      <c r="I957" s="72"/>
      <c r="J957" s="55"/>
      <c r="K957" s="72"/>
      <c r="L957" s="55"/>
      <c r="M957" s="174"/>
      <c r="N957" s="73" t="str">
        <f>IF(ISBLANK(C957),"",_xlfn.IFNA(INDEX(inbound_data[],MATCH(Outbound_data[[#This Row],[STOCK CODE OUT]],Generated_Stockcode,0),10),""))</f>
        <v/>
      </c>
      <c r="O957" s="73" t="str">
        <f>IF(ISBLANK(C957),"",_xlfn.IFNA(INDEX(inbound_data[],MATCH(Outbound_data[[#This Row],[STOCK CODE OUT]],Generated_Stockcode,0),12),""))</f>
        <v/>
      </c>
      <c r="P957" s="73" t="str">
        <f>IF(ISBLANK(C957),"",_xlfn.IFNA(INDEX(inbound_data[],MATCH(Outbound_data[[#This Row],[STOCK CODE OUT]],Generated_Stockcode,0),23),""))</f>
        <v/>
      </c>
      <c r="Q957" s="73" t="str">
        <f>IF(ISBLANK(C957),"",_xlfn.IFNA(INDEX(inbound_data[],MATCH(Outbound_data[[#This Row],[STOCK CODE OUT]],Generated_Stockcode,0),13),""))</f>
        <v/>
      </c>
    </row>
    <row r="958" spans="2:17" x14ac:dyDescent="0.25">
      <c r="B958" s="71"/>
      <c r="C958" s="65"/>
      <c r="D958" s="55"/>
      <c r="E958" s="65"/>
      <c r="F958" s="166"/>
      <c r="G958" s="167"/>
      <c r="H958" s="166"/>
      <c r="I958" s="72"/>
      <c r="J958" s="55"/>
      <c r="K958" s="72"/>
      <c r="L958" s="55"/>
      <c r="M958" s="174"/>
      <c r="N958" s="73" t="str">
        <f>IF(ISBLANK(C958),"",_xlfn.IFNA(INDEX(inbound_data[],MATCH(Outbound_data[[#This Row],[STOCK CODE OUT]],Generated_Stockcode,0),10),""))</f>
        <v/>
      </c>
      <c r="O958" s="73" t="str">
        <f>IF(ISBLANK(C958),"",_xlfn.IFNA(INDEX(inbound_data[],MATCH(Outbound_data[[#This Row],[STOCK CODE OUT]],Generated_Stockcode,0),12),""))</f>
        <v/>
      </c>
      <c r="P958" s="73" t="str">
        <f>IF(ISBLANK(C958),"",_xlfn.IFNA(INDEX(inbound_data[],MATCH(Outbound_data[[#This Row],[STOCK CODE OUT]],Generated_Stockcode,0),23),""))</f>
        <v/>
      </c>
      <c r="Q958" s="73" t="str">
        <f>IF(ISBLANK(C958),"",_xlfn.IFNA(INDEX(inbound_data[],MATCH(Outbound_data[[#This Row],[STOCK CODE OUT]],Generated_Stockcode,0),13),""))</f>
        <v/>
      </c>
    </row>
    <row r="959" spans="2:17" x14ac:dyDescent="0.25">
      <c r="B959" s="71"/>
      <c r="C959" s="65"/>
      <c r="D959" s="55"/>
      <c r="E959" s="65"/>
      <c r="F959" s="166"/>
      <c r="G959" s="167"/>
      <c r="H959" s="166"/>
      <c r="I959" s="72"/>
      <c r="J959" s="55"/>
      <c r="K959" s="72"/>
      <c r="L959" s="55"/>
      <c r="M959" s="174"/>
      <c r="N959" s="73" t="str">
        <f>IF(ISBLANK(C959),"",_xlfn.IFNA(INDEX(inbound_data[],MATCH(Outbound_data[[#This Row],[STOCK CODE OUT]],Generated_Stockcode,0),10),""))</f>
        <v/>
      </c>
      <c r="O959" s="73" t="str">
        <f>IF(ISBLANK(C959),"",_xlfn.IFNA(INDEX(inbound_data[],MATCH(Outbound_data[[#This Row],[STOCK CODE OUT]],Generated_Stockcode,0),12),""))</f>
        <v/>
      </c>
      <c r="P959" s="73" t="str">
        <f>IF(ISBLANK(C959),"",_xlfn.IFNA(INDEX(inbound_data[],MATCH(Outbound_data[[#This Row],[STOCK CODE OUT]],Generated_Stockcode,0),23),""))</f>
        <v/>
      </c>
      <c r="Q959" s="73" t="str">
        <f>IF(ISBLANK(C959),"",_xlfn.IFNA(INDEX(inbound_data[],MATCH(Outbound_data[[#This Row],[STOCK CODE OUT]],Generated_Stockcode,0),13),""))</f>
        <v/>
      </c>
    </row>
    <row r="960" spans="2:17" x14ac:dyDescent="0.25">
      <c r="B960" s="71"/>
      <c r="C960" s="65"/>
      <c r="D960" s="55"/>
      <c r="E960" s="65"/>
      <c r="F960" s="166"/>
      <c r="G960" s="167"/>
      <c r="H960" s="166"/>
      <c r="I960" s="72"/>
      <c r="J960" s="55"/>
      <c r="K960" s="72"/>
      <c r="L960" s="55"/>
      <c r="M960" s="174"/>
      <c r="N960" s="73" t="str">
        <f>IF(ISBLANK(C960),"",_xlfn.IFNA(INDEX(inbound_data[],MATCH(Outbound_data[[#This Row],[STOCK CODE OUT]],Generated_Stockcode,0),10),""))</f>
        <v/>
      </c>
      <c r="O960" s="73" t="str">
        <f>IF(ISBLANK(C960),"",_xlfn.IFNA(INDEX(inbound_data[],MATCH(Outbound_data[[#This Row],[STOCK CODE OUT]],Generated_Stockcode,0),12),""))</f>
        <v/>
      </c>
      <c r="P960" s="73" t="str">
        <f>IF(ISBLANK(C960),"",_xlfn.IFNA(INDEX(inbound_data[],MATCH(Outbound_data[[#This Row],[STOCK CODE OUT]],Generated_Stockcode,0),23),""))</f>
        <v/>
      </c>
      <c r="Q960" s="73" t="str">
        <f>IF(ISBLANK(C960),"",_xlfn.IFNA(INDEX(inbound_data[],MATCH(Outbound_data[[#This Row],[STOCK CODE OUT]],Generated_Stockcode,0),13),""))</f>
        <v/>
      </c>
    </row>
    <row r="961" spans="2:17" x14ac:dyDescent="0.25">
      <c r="B961" s="71"/>
      <c r="C961" s="65"/>
      <c r="D961" s="55"/>
      <c r="E961" s="65"/>
      <c r="F961" s="166"/>
      <c r="G961" s="167"/>
      <c r="H961" s="166"/>
      <c r="I961" s="72"/>
      <c r="J961" s="55"/>
      <c r="K961" s="72"/>
      <c r="L961" s="55"/>
      <c r="M961" s="174"/>
      <c r="N961" s="73" t="str">
        <f>IF(ISBLANK(C961),"",_xlfn.IFNA(INDEX(inbound_data[],MATCH(Outbound_data[[#This Row],[STOCK CODE OUT]],Generated_Stockcode,0),10),""))</f>
        <v/>
      </c>
      <c r="O961" s="73" t="str">
        <f>IF(ISBLANK(C961),"",_xlfn.IFNA(INDEX(inbound_data[],MATCH(Outbound_data[[#This Row],[STOCK CODE OUT]],Generated_Stockcode,0),12),""))</f>
        <v/>
      </c>
      <c r="P961" s="73" t="str">
        <f>IF(ISBLANK(C961),"",_xlfn.IFNA(INDEX(inbound_data[],MATCH(Outbound_data[[#This Row],[STOCK CODE OUT]],Generated_Stockcode,0),23),""))</f>
        <v/>
      </c>
      <c r="Q961" s="73" t="str">
        <f>IF(ISBLANK(C961),"",_xlfn.IFNA(INDEX(inbound_data[],MATCH(Outbound_data[[#This Row],[STOCK CODE OUT]],Generated_Stockcode,0),13),""))</f>
        <v/>
      </c>
    </row>
    <row r="962" spans="2:17" x14ac:dyDescent="0.25">
      <c r="B962" s="71"/>
      <c r="C962" s="65"/>
      <c r="D962" s="55"/>
      <c r="E962" s="65"/>
      <c r="F962" s="166"/>
      <c r="G962" s="167"/>
      <c r="H962" s="166"/>
      <c r="I962" s="72"/>
      <c r="J962" s="55"/>
      <c r="K962" s="72"/>
      <c r="L962" s="55"/>
      <c r="M962" s="174"/>
      <c r="N962" s="73" t="str">
        <f>IF(ISBLANK(C962),"",_xlfn.IFNA(INDEX(inbound_data[],MATCH(Outbound_data[[#This Row],[STOCK CODE OUT]],Generated_Stockcode,0),10),""))</f>
        <v/>
      </c>
      <c r="O962" s="73" t="str">
        <f>IF(ISBLANK(C962),"",_xlfn.IFNA(INDEX(inbound_data[],MATCH(Outbound_data[[#This Row],[STOCK CODE OUT]],Generated_Stockcode,0),12),""))</f>
        <v/>
      </c>
      <c r="P962" s="73" t="str">
        <f>IF(ISBLANK(C962),"",_xlfn.IFNA(INDEX(inbound_data[],MATCH(Outbound_data[[#This Row],[STOCK CODE OUT]],Generated_Stockcode,0),23),""))</f>
        <v/>
      </c>
      <c r="Q962" s="73" t="str">
        <f>IF(ISBLANK(C962),"",_xlfn.IFNA(INDEX(inbound_data[],MATCH(Outbound_data[[#This Row],[STOCK CODE OUT]],Generated_Stockcode,0),13),""))</f>
        <v/>
      </c>
    </row>
    <row r="963" spans="2:17" x14ac:dyDescent="0.25">
      <c r="B963" s="71"/>
      <c r="C963" s="65"/>
      <c r="D963" s="55"/>
      <c r="E963" s="65"/>
      <c r="F963" s="166"/>
      <c r="G963" s="167"/>
      <c r="H963" s="166"/>
      <c r="I963" s="72"/>
      <c r="J963" s="55"/>
      <c r="K963" s="72"/>
      <c r="L963" s="55"/>
      <c r="M963" s="174"/>
      <c r="N963" s="73" t="str">
        <f>IF(ISBLANK(C963),"",_xlfn.IFNA(INDEX(inbound_data[],MATCH(Outbound_data[[#This Row],[STOCK CODE OUT]],Generated_Stockcode,0),10),""))</f>
        <v/>
      </c>
      <c r="O963" s="73" t="str">
        <f>IF(ISBLANK(C963),"",_xlfn.IFNA(INDEX(inbound_data[],MATCH(Outbound_data[[#This Row],[STOCK CODE OUT]],Generated_Stockcode,0),12),""))</f>
        <v/>
      </c>
      <c r="P963" s="73" t="str">
        <f>IF(ISBLANK(C963),"",_xlfn.IFNA(INDEX(inbound_data[],MATCH(Outbound_data[[#This Row],[STOCK CODE OUT]],Generated_Stockcode,0),23),""))</f>
        <v/>
      </c>
      <c r="Q963" s="73" t="str">
        <f>IF(ISBLANK(C963),"",_xlfn.IFNA(INDEX(inbound_data[],MATCH(Outbound_data[[#This Row],[STOCK CODE OUT]],Generated_Stockcode,0),13),""))</f>
        <v/>
      </c>
    </row>
    <row r="964" spans="2:17" x14ac:dyDescent="0.25">
      <c r="B964" s="71"/>
      <c r="C964" s="65"/>
      <c r="D964" s="55"/>
      <c r="E964" s="65"/>
      <c r="F964" s="166"/>
      <c r="G964" s="167"/>
      <c r="H964" s="166"/>
      <c r="I964" s="72"/>
      <c r="J964" s="55"/>
      <c r="K964" s="72"/>
      <c r="L964" s="55"/>
      <c r="M964" s="174"/>
      <c r="N964" s="73" t="str">
        <f>IF(ISBLANK(C964),"",_xlfn.IFNA(INDEX(inbound_data[],MATCH(Outbound_data[[#This Row],[STOCK CODE OUT]],Generated_Stockcode,0),10),""))</f>
        <v/>
      </c>
      <c r="O964" s="73" t="str">
        <f>IF(ISBLANK(C964),"",_xlfn.IFNA(INDEX(inbound_data[],MATCH(Outbound_data[[#This Row],[STOCK CODE OUT]],Generated_Stockcode,0),12),""))</f>
        <v/>
      </c>
      <c r="P964" s="73" t="str">
        <f>IF(ISBLANK(C964),"",_xlfn.IFNA(INDEX(inbound_data[],MATCH(Outbound_data[[#This Row],[STOCK CODE OUT]],Generated_Stockcode,0),23),""))</f>
        <v/>
      </c>
      <c r="Q964" s="73" t="str">
        <f>IF(ISBLANK(C964),"",_xlfn.IFNA(INDEX(inbound_data[],MATCH(Outbound_data[[#This Row],[STOCK CODE OUT]],Generated_Stockcode,0),13),""))</f>
        <v/>
      </c>
    </row>
    <row r="965" spans="2:17" x14ac:dyDescent="0.25">
      <c r="B965" s="71"/>
      <c r="C965" s="65"/>
      <c r="D965" s="55"/>
      <c r="E965" s="65"/>
      <c r="F965" s="166"/>
      <c r="G965" s="167"/>
      <c r="H965" s="166"/>
      <c r="I965" s="72"/>
      <c r="J965" s="55"/>
      <c r="K965" s="72"/>
      <c r="L965" s="55"/>
      <c r="M965" s="174"/>
      <c r="N965" s="73" t="str">
        <f>IF(ISBLANK(C965),"",_xlfn.IFNA(INDEX(inbound_data[],MATCH(Outbound_data[[#This Row],[STOCK CODE OUT]],Generated_Stockcode,0),10),""))</f>
        <v/>
      </c>
      <c r="O965" s="73" t="str">
        <f>IF(ISBLANK(C965),"",_xlfn.IFNA(INDEX(inbound_data[],MATCH(Outbound_data[[#This Row],[STOCK CODE OUT]],Generated_Stockcode,0),12),""))</f>
        <v/>
      </c>
      <c r="P965" s="73" t="str">
        <f>IF(ISBLANK(C965),"",_xlfn.IFNA(INDEX(inbound_data[],MATCH(Outbound_data[[#This Row],[STOCK CODE OUT]],Generated_Stockcode,0),23),""))</f>
        <v/>
      </c>
      <c r="Q965" s="73" t="str">
        <f>IF(ISBLANK(C965),"",_xlfn.IFNA(INDEX(inbound_data[],MATCH(Outbound_data[[#This Row],[STOCK CODE OUT]],Generated_Stockcode,0),13),""))</f>
        <v/>
      </c>
    </row>
    <row r="966" spans="2:17" x14ac:dyDescent="0.25">
      <c r="B966" s="71"/>
      <c r="C966" s="65"/>
      <c r="D966" s="55"/>
      <c r="E966" s="65"/>
      <c r="F966" s="166"/>
      <c r="G966" s="167"/>
      <c r="H966" s="166"/>
      <c r="I966" s="72"/>
      <c r="J966" s="55"/>
      <c r="K966" s="72"/>
      <c r="L966" s="55"/>
      <c r="M966" s="174"/>
      <c r="N966" s="73" t="str">
        <f>IF(ISBLANK(C966),"",_xlfn.IFNA(INDEX(inbound_data[],MATCH(Outbound_data[[#This Row],[STOCK CODE OUT]],Generated_Stockcode,0),10),""))</f>
        <v/>
      </c>
      <c r="O966" s="73" t="str">
        <f>IF(ISBLANK(C966),"",_xlfn.IFNA(INDEX(inbound_data[],MATCH(Outbound_data[[#This Row],[STOCK CODE OUT]],Generated_Stockcode,0),12),""))</f>
        <v/>
      </c>
      <c r="P966" s="73" t="str">
        <f>IF(ISBLANK(C966),"",_xlfn.IFNA(INDEX(inbound_data[],MATCH(Outbound_data[[#This Row],[STOCK CODE OUT]],Generated_Stockcode,0),23),""))</f>
        <v/>
      </c>
      <c r="Q966" s="73" t="str">
        <f>IF(ISBLANK(C966),"",_xlfn.IFNA(INDEX(inbound_data[],MATCH(Outbound_data[[#This Row],[STOCK CODE OUT]],Generated_Stockcode,0),13),""))</f>
        <v/>
      </c>
    </row>
    <row r="967" spans="2:17" x14ac:dyDescent="0.25">
      <c r="B967" s="71"/>
      <c r="C967" s="65"/>
      <c r="D967" s="55"/>
      <c r="E967" s="65"/>
      <c r="F967" s="166"/>
      <c r="G967" s="167"/>
      <c r="H967" s="166"/>
      <c r="I967" s="72"/>
      <c r="J967" s="55"/>
      <c r="K967" s="72"/>
      <c r="L967" s="55"/>
      <c r="M967" s="174"/>
      <c r="N967" s="73" t="str">
        <f>IF(ISBLANK(C967),"",_xlfn.IFNA(INDEX(inbound_data[],MATCH(Outbound_data[[#This Row],[STOCK CODE OUT]],Generated_Stockcode,0),10),""))</f>
        <v/>
      </c>
      <c r="O967" s="73" t="str">
        <f>IF(ISBLANK(C967),"",_xlfn.IFNA(INDEX(inbound_data[],MATCH(Outbound_data[[#This Row],[STOCK CODE OUT]],Generated_Stockcode,0),12),""))</f>
        <v/>
      </c>
      <c r="P967" s="73" t="str">
        <f>IF(ISBLANK(C967),"",_xlfn.IFNA(INDEX(inbound_data[],MATCH(Outbound_data[[#This Row],[STOCK CODE OUT]],Generated_Stockcode,0),23),""))</f>
        <v/>
      </c>
      <c r="Q967" s="73" t="str">
        <f>IF(ISBLANK(C967),"",_xlfn.IFNA(INDEX(inbound_data[],MATCH(Outbound_data[[#This Row],[STOCK CODE OUT]],Generated_Stockcode,0),13),""))</f>
        <v/>
      </c>
    </row>
    <row r="968" spans="2:17" x14ac:dyDescent="0.25">
      <c r="B968" s="71"/>
      <c r="C968" s="65"/>
      <c r="D968" s="55"/>
      <c r="E968" s="65"/>
      <c r="F968" s="166"/>
      <c r="G968" s="167"/>
      <c r="H968" s="166"/>
      <c r="I968" s="72"/>
      <c r="J968" s="55"/>
      <c r="K968" s="72"/>
      <c r="L968" s="55"/>
      <c r="M968" s="174"/>
      <c r="N968" s="73" t="str">
        <f>IF(ISBLANK(C968),"",_xlfn.IFNA(INDEX(inbound_data[],MATCH(Outbound_data[[#This Row],[STOCK CODE OUT]],Generated_Stockcode,0),10),""))</f>
        <v/>
      </c>
      <c r="O968" s="73" t="str">
        <f>IF(ISBLANK(C968),"",_xlfn.IFNA(INDEX(inbound_data[],MATCH(Outbound_data[[#This Row],[STOCK CODE OUT]],Generated_Stockcode,0),12),""))</f>
        <v/>
      </c>
      <c r="P968" s="73" t="str">
        <f>IF(ISBLANK(C968),"",_xlfn.IFNA(INDEX(inbound_data[],MATCH(Outbound_data[[#This Row],[STOCK CODE OUT]],Generated_Stockcode,0),23),""))</f>
        <v/>
      </c>
      <c r="Q968" s="73" t="str">
        <f>IF(ISBLANK(C968),"",_xlfn.IFNA(INDEX(inbound_data[],MATCH(Outbound_data[[#This Row],[STOCK CODE OUT]],Generated_Stockcode,0),13),""))</f>
        <v/>
      </c>
    </row>
    <row r="969" spans="2:17" x14ac:dyDescent="0.25">
      <c r="B969" s="71"/>
      <c r="C969" s="65"/>
      <c r="D969" s="55"/>
      <c r="E969" s="65"/>
      <c r="F969" s="166"/>
      <c r="G969" s="167"/>
      <c r="H969" s="166"/>
      <c r="I969" s="72"/>
      <c r="J969" s="55"/>
      <c r="K969" s="72"/>
      <c r="L969" s="55"/>
      <c r="M969" s="174"/>
      <c r="N969" s="73" t="str">
        <f>IF(ISBLANK(C969),"",_xlfn.IFNA(INDEX(inbound_data[],MATCH(Outbound_data[[#This Row],[STOCK CODE OUT]],Generated_Stockcode,0),10),""))</f>
        <v/>
      </c>
      <c r="O969" s="73" t="str">
        <f>IF(ISBLANK(C969),"",_xlfn.IFNA(INDEX(inbound_data[],MATCH(Outbound_data[[#This Row],[STOCK CODE OUT]],Generated_Stockcode,0),12),""))</f>
        <v/>
      </c>
      <c r="P969" s="73" t="str">
        <f>IF(ISBLANK(C969),"",_xlfn.IFNA(INDEX(inbound_data[],MATCH(Outbound_data[[#This Row],[STOCK CODE OUT]],Generated_Stockcode,0),23),""))</f>
        <v/>
      </c>
      <c r="Q969" s="73" t="str">
        <f>IF(ISBLANK(C969),"",_xlfn.IFNA(INDEX(inbound_data[],MATCH(Outbound_data[[#This Row],[STOCK CODE OUT]],Generated_Stockcode,0),13),""))</f>
        <v/>
      </c>
    </row>
    <row r="970" spans="2:17" x14ac:dyDescent="0.25">
      <c r="B970" s="71"/>
      <c r="C970" s="65"/>
      <c r="D970" s="55"/>
      <c r="E970" s="65"/>
      <c r="F970" s="166"/>
      <c r="G970" s="167"/>
      <c r="H970" s="166"/>
      <c r="I970" s="72"/>
      <c r="J970" s="55"/>
      <c r="K970" s="72"/>
      <c r="L970" s="55"/>
      <c r="M970" s="174"/>
      <c r="N970" s="73" t="str">
        <f>IF(ISBLANK(C970),"",_xlfn.IFNA(INDEX(inbound_data[],MATCH(Outbound_data[[#This Row],[STOCK CODE OUT]],Generated_Stockcode,0),10),""))</f>
        <v/>
      </c>
      <c r="O970" s="73" t="str">
        <f>IF(ISBLANK(C970),"",_xlfn.IFNA(INDEX(inbound_data[],MATCH(Outbound_data[[#This Row],[STOCK CODE OUT]],Generated_Stockcode,0),12),""))</f>
        <v/>
      </c>
      <c r="P970" s="73" t="str">
        <f>IF(ISBLANK(C970),"",_xlfn.IFNA(INDEX(inbound_data[],MATCH(Outbound_data[[#This Row],[STOCK CODE OUT]],Generated_Stockcode,0),23),""))</f>
        <v/>
      </c>
      <c r="Q970" s="73" t="str">
        <f>IF(ISBLANK(C970),"",_xlfn.IFNA(INDEX(inbound_data[],MATCH(Outbound_data[[#This Row],[STOCK CODE OUT]],Generated_Stockcode,0),13),""))</f>
        <v/>
      </c>
    </row>
    <row r="971" spans="2:17" x14ac:dyDescent="0.25">
      <c r="B971" s="71"/>
      <c r="C971" s="65"/>
      <c r="D971" s="55"/>
      <c r="E971" s="65"/>
      <c r="F971" s="166"/>
      <c r="G971" s="167"/>
      <c r="H971" s="166"/>
      <c r="I971" s="72"/>
      <c r="J971" s="55"/>
      <c r="K971" s="72"/>
      <c r="L971" s="55"/>
      <c r="M971" s="174"/>
      <c r="N971" s="73" t="str">
        <f>IF(ISBLANK(C971),"",_xlfn.IFNA(INDEX(inbound_data[],MATCH(Outbound_data[[#This Row],[STOCK CODE OUT]],Generated_Stockcode,0),10),""))</f>
        <v/>
      </c>
      <c r="O971" s="73" t="str">
        <f>IF(ISBLANK(C971),"",_xlfn.IFNA(INDEX(inbound_data[],MATCH(Outbound_data[[#This Row],[STOCK CODE OUT]],Generated_Stockcode,0),12),""))</f>
        <v/>
      </c>
      <c r="P971" s="73" t="str">
        <f>IF(ISBLANK(C971),"",_xlfn.IFNA(INDEX(inbound_data[],MATCH(Outbound_data[[#This Row],[STOCK CODE OUT]],Generated_Stockcode,0),23),""))</f>
        <v/>
      </c>
      <c r="Q971" s="73" t="str">
        <f>IF(ISBLANK(C971),"",_xlfn.IFNA(INDEX(inbound_data[],MATCH(Outbound_data[[#This Row],[STOCK CODE OUT]],Generated_Stockcode,0),13),""))</f>
        <v/>
      </c>
    </row>
    <row r="972" spans="2:17" x14ac:dyDescent="0.25">
      <c r="B972" s="71"/>
      <c r="C972" s="65"/>
      <c r="D972" s="55"/>
      <c r="E972" s="65"/>
      <c r="F972" s="166"/>
      <c r="G972" s="167"/>
      <c r="H972" s="166"/>
      <c r="I972" s="72"/>
      <c r="J972" s="55"/>
      <c r="K972" s="72"/>
      <c r="L972" s="55"/>
      <c r="M972" s="174"/>
      <c r="N972" s="73" t="str">
        <f>IF(ISBLANK(C972),"",_xlfn.IFNA(INDEX(inbound_data[],MATCH(Outbound_data[[#This Row],[STOCK CODE OUT]],Generated_Stockcode,0),10),""))</f>
        <v/>
      </c>
      <c r="O972" s="73" t="str">
        <f>IF(ISBLANK(C972),"",_xlfn.IFNA(INDEX(inbound_data[],MATCH(Outbound_data[[#This Row],[STOCK CODE OUT]],Generated_Stockcode,0),12),""))</f>
        <v/>
      </c>
      <c r="P972" s="73" t="str">
        <f>IF(ISBLANK(C972),"",_xlfn.IFNA(INDEX(inbound_data[],MATCH(Outbound_data[[#This Row],[STOCK CODE OUT]],Generated_Stockcode,0),23),""))</f>
        <v/>
      </c>
      <c r="Q972" s="73" t="str">
        <f>IF(ISBLANK(C972),"",_xlfn.IFNA(INDEX(inbound_data[],MATCH(Outbound_data[[#This Row],[STOCK CODE OUT]],Generated_Stockcode,0),13),""))</f>
        <v/>
      </c>
    </row>
    <row r="973" spans="2:17" x14ac:dyDescent="0.25">
      <c r="B973" s="71"/>
      <c r="C973" s="65"/>
      <c r="D973" s="55"/>
      <c r="E973" s="65"/>
      <c r="F973" s="166"/>
      <c r="G973" s="167"/>
      <c r="H973" s="166"/>
      <c r="I973" s="72"/>
      <c r="J973" s="55"/>
      <c r="K973" s="72"/>
      <c r="L973" s="55"/>
      <c r="M973" s="174"/>
      <c r="N973" s="73" t="str">
        <f>IF(ISBLANK(C973),"",_xlfn.IFNA(INDEX(inbound_data[],MATCH(Outbound_data[[#This Row],[STOCK CODE OUT]],Generated_Stockcode,0),10),""))</f>
        <v/>
      </c>
      <c r="O973" s="73" t="str">
        <f>IF(ISBLANK(C973),"",_xlfn.IFNA(INDEX(inbound_data[],MATCH(Outbound_data[[#This Row],[STOCK CODE OUT]],Generated_Stockcode,0),12),""))</f>
        <v/>
      </c>
      <c r="P973" s="73" t="str">
        <f>IF(ISBLANK(C973),"",_xlfn.IFNA(INDEX(inbound_data[],MATCH(Outbound_data[[#This Row],[STOCK CODE OUT]],Generated_Stockcode,0),23),""))</f>
        <v/>
      </c>
      <c r="Q973" s="73" t="str">
        <f>IF(ISBLANK(C973),"",_xlfn.IFNA(INDEX(inbound_data[],MATCH(Outbound_data[[#This Row],[STOCK CODE OUT]],Generated_Stockcode,0),13),""))</f>
        <v/>
      </c>
    </row>
    <row r="974" spans="2:17" x14ac:dyDescent="0.25">
      <c r="B974" s="71"/>
      <c r="C974" s="65"/>
      <c r="D974" s="55"/>
      <c r="E974" s="65"/>
      <c r="F974" s="166"/>
      <c r="G974" s="167"/>
      <c r="H974" s="166"/>
      <c r="I974" s="72"/>
      <c r="J974" s="55"/>
      <c r="K974" s="72"/>
      <c r="L974" s="55"/>
      <c r="M974" s="174"/>
      <c r="N974" s="73" t="str">
        <f>IF(ISBLANK(C974),"",_xlfn.IFNA(INDEX(inbound_data[],MATCH(Outbound_data[[#This Row],[STOCK CODE OUT]],Generated_Stockcode,0),10),""))</f>
        <v/>
      </c>
      <c r="O974" s="73" t="str">
        <f>IF(ISBLANK(C974),"",_xlfn.IFNA(INDEX(inbound_data[],MATCH(Outbound_data[[#This Row],[STOCK CODE OUT]],Generated_Stockcode,0),12),""))</f>
        <v/>
      </c>
      <c r="P974" s="73" t="str">
        <f>IF(ISBLANK(C974),"",_xlfn.IFNA(INDEX(inbound_data[],MATCH(Outbound_data[[#This Row],[STOCK CODE OUT]],Generated_Stockcode,0),23),""))</f>
        <v/>
      </c>
      <c r="Q974" s="73" t="str">
        <f>IF(ISBLANK(C974),"",_xlfn.IFNA(INDEX(inbound_data[],MATCH(Outbound_data[[#This Row],[STOCK CODE OUT]],Generated_Stockcode,0),13),""))</f>
        <v/>
      </c>
    </row>
    <row r="975" spans="2:17" x14ac:dyDescent="0.25">
      <c r="B975" s="71"/>
      <c r="C975" s="65"/>
      <c r="D975" s="55"/>
      <c r="E975" s="65"/>
      <c r="F975" s="166"/>
      <c r="G975" s="167"/>
      <c r="H975" s="166"/>
      <c r="I975" s="72"/>
      <c r="J975" s="55"/>
      <c r="K975" s="72"/>
      <c r="L975" s="55"/>
      <c r="M975" s="174"/>
      <c r="N975" s="73" t="str">
        <f>IF(ISBLANK(C975),"",_xlfn.IFNA(INDEX(inbound_data[],MATCH(Outbound_data[[#This Row],[STOCK CODE OUT]],Generated_Stockcode,0),10),""))</f>
        <v/>
      </c>
      <c r="O975" s="73" t="str">
        <f>IF(ISBLANK(C975),"",_xlfn.IFNA(INDEX(inbound_data[],MATCH(Outbound_data[[#This Row],[STOCK CODE OUT]],Generated_Stockcode,0),12),""))</f>
        <v/>
      </c>
      <c r="P975" s="73" t="str">
        <f>IF(ISBLANK(C975),"",_xlfn.IFNA(INDEX(inbound_data[],MATCH(Outbound_data[[#This Row],[STOCK CODE OUT]],Generated_Stockcode,0),23),""))</f>
        <v/>
      </c>
      <c r="Q975" s="73" t="str">
        <f>IF(ISBLANK(C975),"",_xlfn.IFNA(INDEX(inbound_data[],MATCH(Outbound_data[[#This Row],[STOCK CODE OUT]],Generated_Stockcode,0),13),""))</f>
        <v/>
      </c>
    </row>
    <row r="976" spans="2:17" x14ac:dyDescent="0.25">
      <c r="B976" s="71"/>
      <c r="C976" s="65"/>
      <c r="D976" s="55"/>
      <c r="E976" s="65"/>
      <c r="F976" s="166"/>
      <c r="G976" s="167"/>
      <c r="H976" s="166"/>
      <c r="I976" s="72"/>
      <c r="J976" s="55"/>
      <c r="K976" s="72"/>
      <c r="L976" s="55"/>
      <c r="M976" s="174"/>
      <c r="N976" s="73" t="str">
        <f>IF(ISBLANK(C976),"",_xlfn.IFNA(INDEX(inbound_data[],MATCH(Outbound_data[[#This Row],[STOCK CODE OUT]],Generated_Stockcode,0),10),""))</f>
        <v/>
      </c>
      <c r="O976" s="73" t="str">
        <f>IF(ISBLANK(C976),"",_xlfn.IFNA(INDEX(inbound_data[],MATCH(Outbound_data[[#This Row],[STOCK CODE OUT]],Generated_Stockcode,0),12),""))</f>
        <v/>
      </c>
      <c r="P976" s="73" t="str">
        <f>IF(ISBLANK(C976),"",_xlfn.IFNA(INDEX(inbound_data[],MATCH(Outbound_data[[#This Row],[STOCK CODE OUT]],Generated_Stockcode,0),23),""))</f>
        <v/>
      </c>
      <c r="Q976" s="73" t="str">
        <f>IF(ISBLANK(C976),"",_xlfn.IFNA(INDEX(inbound_data[],MATCH(Outbound_data[[#This Row],[STOCK CODE OUT]],Generated_Stockcode,0),13),""))</f>
        <v/>
      </c>
    </row>
    <row r="977" spans="2:17" x14ac:dyDescent="0.25">
      <c r="B977" s="71"/>
      <c r="C977" s="65"/>
      <c r="D977" s="55"/>
      <c r="E977" s="65"/>
      <c r="F977" s="166"/>
      <c r="G977" s="167"/>
      <c r="H977" s="166"/>
      <c r="I977" s="72"/>
      <c r="J977" s="55"/>
      <c r="K977" s="72"/>
      <c r="L977" s="55"/>
      <c r="M977" s="174"/>
      <c r="N977" s="73" t="str">
        <f>IF(ISBLANK(C977),"",_xlfn.IFNA(INDEX(inbound_data[],MATCH(Outbound_data[[#This Row],[STOCK CODE OUT]],Generated_Stockcode,0),10),""))</f>
        <v/>
      </c>
      <c r="O977" s="73" t="str">
        <f>IF(ISBLANK(C977),"",_xlfn.IFNA(INDEX(inbound_data[],MATCH(Outbound_data[[#This Row],[STOCK CODE OUT]],Generated_Stockcode,0),12),""))</f>
        <v/>
      </c>
      <c r="P977" s="73" t="str">
        <f>IF(ISBLANK(C977),"",_xlfn.IFNA(INDEX(inbound_data[],MATCH(Outbound_data[[#This Row],[STOCK CODE OUT]],Generated_Stockcode,0),23),""))</f>
        <v/>
      </c>
      <c r="Q977" s="73" t="str">
        <f>IF(ISBLANK(C977),"",_xlfn.IFNA(INDEX(inbound_data[],MATCH(Outbound_data[[#This Row],[STOCK CODE OUT]],Generated_Stockcode,0),13),""))</f>
        <v/>
      </c>
    </row>
    <row r="978" spans="2:17" x14ac:dyDescent="0.25">
      <c r="B978" s="71"/>
      <c r="C978" s="65"/>
      <c r="D978" s="55"/>
      <c r="E978" s="65"/>
      <c r="F978" s="166"/>
      <c r="G978" s="167"/>
      <c r="H978" s="166"/>
      <c r="I978" s="72"/>
      <c r="J978" s="55"/>
      <c r="K978" s="72"/>
      <c r="L978" s="55"/>
      <c r="M978" s="174"/>
      <c r="N978" s="73" t="str">
        <f>IF(ISBLANK(C978),"",_xlfn.IFNA(INDEX(inbound_data[],MATCH(Outbound_data[[#This Row],[STOCK CODE OUT]],Generated_Stockcode,0),10),""))</f>
        <v/>
      </c>
      <c r="O978" s="73" t="str">
        <f>IF(ISBLANK(C978),"",_xlfn.IFNA(INDEX(inbound_data[],MATCH(Outbound_data[[#This Row],[STOCK CODE OUT]],Generated_Stockcode,0),12),""))</f>
        <v/>
      </c>
      <c r="P978" s="73" t="str">
        <f>IF(ISBLANK(C978),"",_xlfn.IFNA(INDEX(inbound_data[],MATCH(Outbound_data[[#This Row],[STOCK CODE OUT]],Generated_Stockcode,0),23),""))</f>
        <v/>
      </c>
      <c r="Q978" s="73" t="str">
        <f>IF(ISBLANK(C978),"",_xlfn.IFNA(INDEX(inbound_data[],MATCH(Outbound_data[[#This Row],[STOCK CODE OUT]],Generated_Stockcode,0),13),""))</f>
        <v/>
      </c>
    </row>
    <row r="979" spans="2:17" x14ac:dyDescent="0.25">
      <c r="B979" s="71"/>
      <c r="C979" s="65"/>
      <c r="D979" s="55"/>
      <c r="E979" s="65"/>
      <c r="F979" s="166"/>
      <c r="G979" s="167"/>
      <c r="H979" s="166"/>
      <c r="I979" s="72"/>
      <c r="J979" s="55"/>
      <c r="K979" s="72"/>
      <c r="L979" s="55"/>
      <c r="M979" s="174"/>
      <c r="N979" s="73" t="str">
        <f>IF(ISBLANK(C979),"",_xlfn.IFNA(INDEX(inbound_data[],MATCH(Outbound_data[[#This Row],[STOCK CODE OUT]],Generated_Stockcode,0),10),""))</f>
        <v/>
      </c>
      <c r="O979" s="73" t="str">
        <f>IF(ISBLANK(C979),"",_xlfn.IFNA(INDEX(inbound_data[],MATCH(Outbound_data[[#This Row],[STOCK CODE OUT]],Generated_Stockcode,0),12),""))</f>
        <v/>
      </c>
      <c r="P979" s="73" t="str">
        <f>IF(ISBLANK(C979),"",_xlfn.IFNA(INDEX(inbound_data[],MATCH(Outbound_data[[#This Row],[STOCK CODE OUT]],Generated_Stockcode,0),23),""))</f>
        <v/>
      </c>
      <c r="Q979" s="73" t="str">
        <f>IF(ISBLANK(C979),"",_xlfn.IFNA(INDEX(inbound_data[],MATCH(Outbound_data[[#This Row],[STOCK CODE OUT]],Generated_Stockcode,0),13),""))</f>
        <v/>
      </c>
    </row>
    <row r="980" spans="2:17" x14ac:dyDescent="0.25">
      <c r="B980" s="71"/>
      <c r="C980" s="65"/>
      <c r="D980" s="55"/>
      <c r="E980" s="65"/>
      <c r="F980" s="166"/>
      <c r="G980" s="167"/>
      <c r="H980" s="166"/>
      <c r="I980" s="72"/>
      <c r="J980" s="55"/>
      <c r="K980" s="72"/>
      <c r="L980" s="55"/>
      <c r="M980" s="174"/>
      <c r="N980" s="73" t="str">
        <f>IF(ISBLANK(C980),"",_xlfn.IFNA(INDEX(inbound_data[],MATCH(Outbound_data[[#This Row],[STOCK CODE OUT]],Generated_Stockcode,0),10),""))</f>
        <v/>
      </c>
      <c r="O980" s="73" t="str">
        <f>IF(ISBLANK(C980),"",_xlfn.IFNA(INDEX(inbound_data[],MATCH(Outbound_data[[#This Row],[STOCK CODE OUT]],Generated_Stockcode,0),12),""))</f>
        <v/>
      </c>
      <c r="P980" s="73" t="str">
        <f>IF(ISBLANK(C980),"",_xlfn.IFNA(INDEX(inbound_data[],MATCH(Outbound_data[[#This Row],[STOCK CODE OUT]],Generated_Stockcode,0),23),""))</f>
        <v/>
      </c>
      <c r="Q980" s="73" t="str">
        <f>IF(ISBLANK(C980),"",_xlfn.IFNA(INDEX(inbound_data[],MATCH(Outbound_data[[#This Row],[STOCK CODE OUT]],Generated_Stockcode,0),13),""))</f>
        <v/>
      </c>
    </row>
    <row r="981" spans="2:17" x14ac:dyDescent="0.25">
      <c r="B981" s="71"/>
      <c r="C981" s="65"/>
      <c r="D981" s="55"/>
      <c r="E981" s="65"/>
      <c r="F981" s="166"/>
      <c r="G981" s="167"/>
      <c r="H981" s="166"/>
      <c r="I981" s="72"/>
      <c r="J981" s="55"/>
      <c r="K981" s="72"/>
      <c r="L981" s="55"/>
      <c r="M981" s="174"/>
      <c r="N981" s="73" t="str">
        <f>IF(ISBLANK(C981),"",_xlfn.IFNA(INDEX(inbound_data[],MATCH(Outbound_data[[#This Row],[STOCK CODE OUT]],Generated_Stockcode,0),10),""))</f>
        <v/>
      </c>
      <c r="O981" s="73" t="str">
        <f>IF(ISBLANK(C981),"",_xlfn.IFNA(INDEX(inbound_data[],MATCH(Outbound_data[[#This Row],[STOCK CODE OUT]],Generated_Stockcode,0),12),""))</f>
        <v/>
      </c>
      <c r="P981" s="73" t="str">
        <f>IF(ISBLANK(C981),"",_xlfn.IFNA(INDEX(inbound_data[],MATCH(Outbound_data[[#This Row],[STOCK CODE OUT]],Generated_Stockcode,0),23),""))</f>
        <v/>
      </c>
      <c r="Q981" s="73" t="str">
        <f>IF(ISBLANK(C981),"",_xlfn.IFNA(INDEX(inbound_data[],MATCH(Outbound_data[[#This Row],[STOCK CODE OUT]],Generated_Stockcode,0),13),""))</f>
        <v/>
      </c>
    </row>
    <row r="982" spans="2:17" x14ac:dyDescent="0.25">
      <c r="B982" s="71"/>
      <c r="C982" s="65"/>
      <c r="D982" s="55"/>
      <c r="E982" s="65"/>
      <c r="F982" s="166"/>
      <c r="G982" s="167"/>
      <c r="H982" s="166"/>
      <c r="I982" s="72"/>
      <c r="J982" s="55"/>
      <c r="K982" s="72"/>
      <c r="L982" s="55"/>
      <c r="M982" s="174"/>
      <c r="N982" s="73" t="str">
        <f>IF(ISBLANK(C982),"",_xlfn.IFNA(INDEX(inbound_data[],MATCH(Outbound_data[[#This Row],[STOCK CODE OUT]],Generated_Stockcode,0),10),""))</f>
        <v/>
      </c>
      <c r="O982" s="73" t="str">
        <f>IF(ISBLANK(C982),"",_xlfn.IFNA(INDEX(inbound_data[],MATCH(Outbound_data[[#This Row],[STOCK CODE OUT]],Generated_Stockcode,0),12),""))</f>
        <v/>
      </c>
      <c r="P982" s="73" t="str">
        <f>IF(ISBLANK(C982),"",_xlfn.IFNA(INDEX(inbound_data[],MATCH(Outbound_data[[#This Row],[STOCK CODE OUT]],Generated_Stockcode,0),23),""))</f>
        <v/>
      </c>
      <c r="Q982" s="73" t="str">
        <f>IF(ISBLANK(C982),"",_xlfn.IFNA(INDEX(inbound_data[],MATCH(Outbound_data[[#This Row],[STOCK CODE OUT]],Generated_Stockcode,0),13),""))</f>
        <v/>
      </c>
    </row>
    <row r="983" spans="2:17" x14ac:dyDescent="0.25">
      <c r="B983" s="71"/>
      <c r="C983" s="65"/>
      <c r="D983" s="55"/>
      <c r="E983" s="65"/>
      <c r="F983" s="166"/>
      <c r="G983" s="167"/>
      <c r="H983" s="166"/>
      <c r="I983" s="72"/>
      <c r="J983" s="55"/>
      <c r="K983" s="72"/>
      <c r="L983" s="55"/>
      <c r="M983" s="174"/>
      <c r="N983" s="73" t="str">
        <f>IF(ISBLANK(C983),"",_xlfn.IFNA(INDEX(inbound_data[],MATCH(Outbound_data[[#This Row],[STOCK CODE OUT]],Generated_Stockcode,0),10),""))</f>
        <v/>
      </c>
      <c r="O983" s="73" t="str">
        <f>IF(ISBLANK(C983),"",_xlfn.IFNA(INDEX(inbound_data[],MATCH(Outbound_data[[#This Row],[STOCK CODE OUT]],Generated_Stockcode,0),12),""))</f>
        <v/>
      </c>
      <c r="P983" s="73" t="str">
        <f>IF(ISBLANK(C983),"",_xlfn.IFNA(INDEX(inbound_data[],MATCH(Outbound_data[[#This Row],[STOCK CODE OUT]],Generated_Stockcode,0),23),""))</f>
        <v/>
      </c>
      <c r="Q983" s="73" t="str">
        <f>IF(ISBLANK(C983),"",_xlfn.IFNA(INDEX(inbound_data[],MATCH(Outbound_data[[#This Row],[STOCK CODE OUT]],Generated_Stockcode,0),13),""))</f>
        <v/>
      </c>
    </row>
    <row r="984" spans="2:17" x14ac:dyDescent="0.25">
      <c r="B984" s="71"/>
      <c r="C984" s="65"/>
      <c r="D984" s="55"/>
      <c r="E984" s="65"/>
      <c r="F984" s="166"/>
      <c r="G984" s="167"/>
      <c r="H984" s="166"/>
      <c r="I984" s="72"/>
      <c r="J984" s="55"/>
      <c r="K984" s="72"/>
      <c r="L984" s="55"/>
      <c r="M984" s="174"/>
      <c r="N984" s="73" t="str">
        <f>IF(ISBLANK(C984),"",_xlfn.IFNA(INDEX(inbound_data[],MATCH(Outbound_data[[#This Row],[STOCK CODE OUT]],Generated_Stockcode,0),10),""))</f>
        <v/>
      </c>
      <c r="O984" s="73" t="str">
        <f>IF(ISBLANK(C984),"",_xlfn.IFNA(INDEX(inbound_data[],MATCH(Outbound_data[[#This Row],[STOCK CODE OUT]],Generated_Stockcode,0),12),""))</f>
        <v/>
      </c>
      <c r="P984" s="73" t="str">
        <f>IF(ISBLANK(C984),"",_xlfn.IFNA(INDEX(inbound_data[],MATCH(Outbound_data[[#This Row],[STOCK CODE OUT]],Generated_Stockcode,0),23),""))</f>
        <v/>
      </c>
      <c r="Q984" s="73" t="str">
        <f>IF(ISBLANK(C984),"",_xlfn.IFNA(INDEX(inbound_data[],MATCH(Outbound_data[[#This Row],[STOCK CODE OUT]],Generated_Stockcode,0),13),""))</f>
        <v/>
      </c>
    </row>
    <row r="985" spans="2:17" x14ac:dyDescent="0.25">
      <c r="B985" s="71"/>
      <c r="C985" s="65"/>
      <c r="D985" s="55"/>
      <c r="E985" s="65"/>
      <c r="F985" s="166"/>
      <c r="G985" s="167"/>
      <c r="H985" s="166"/>
      <c r="I985" s="72"/>
      <c r="J985" s="55"/>
      <c r="K985" s="72"/>
      <c r="L985" s="55"/>
      <c r="M985" s="174"/>
      <c r="N985" s="73" t="str">
        <f>IF(ISBLANK(C985),"",_xlfn.IFNA(INDEX(inbound_data[],MATCH(Outbound_data[[#This Row],[STOCK CODE OUT]],Generated_Stockcode,0),10),""))</f>
        <v/>
      </c>
      <c r="O985" s="73" t="str">
        <f>IF(ISBLANK(C985),"",_xlfn.IFNA(INDEX(inbound_data[],MATCH(Outbound_data[[#This Row],[STOCK CODE OUT]],Generated_Stockcode,0),12),""))</f>
        <v/>
      </c>
      <c r="P985" s="73" t="str">
        <f>IF(ISBLANK(C985),"",_xlfn.IFNA(INDEX(inbound_data[],MATCH(Outbound_data[[#This Row],[STOCK CODE OUT]],Generated_Stockcode,0),23),""))</f>
        <v/>
      </c>
      <c r="Q985" s="73" t="str">
        <f>IF(ISBLANK(C985),"",_xlfn.IFNA(INDEX(inbound_data[],MATCH(Outbound_data[[#This Row],[STOCK CODE OUT]],Generated_Stockcode,0),13),""))</f>
        <v/>
      </c>
    </row>
    <row r="986" spans="2:17" x14ac:dyDescent="0.25">
      <c r="B986" s="71"/>
      <c r="C986" s="65"/>
      <c r="D986" s="55"/>
      <c r="E986" s="65"/>
      <c r="F986" s="166"/>
      <c r="G986" s="167"/>
      <c r="H986" s="166"/>
      <c r="I986" s="72"/>
      <c r="J986" s="55"/>
      <c r="K986" s="72"/>
      <c r="L986" s="55"/>
      <c r="M986" s="174"/>
      <c r="N986" s="73" t="str">
        <f>IF(ISBLANK(C986),"",_xlfn.IFNA(INDEX(inbound_data[],MATCH(Outbound_data[[#This Row],[STOCK CODE OUT]],Generated_Stockcode,0),10),""))</f>
        <v/>
      </c>
      <c r="O986" s="73" t="str">
        <f>IF(ISBLANK(C986),"",_xlfn.IFNA(INDEX(inbound_data[],MATCH(Outbound_data[[#This Row],[STOCK CODE OUT]],Generated_Stockcode,0),12),""))</f>
        <v/>
      </c>
      <c r="P986" s="73" t="str">
        <f>IF(ISBLANK(C986),"",_xlfn.IFNA(INDEX(inbound_data[],MATCH(Outbound_data[[#This Row],[STOCK CODE OUT]],Generated_Stockcode,0),23),""))</f>
        <v/>
      </c>
      <c r="Q986" s="73" t="str">
        <f>IF(ISBLANK(C986),"",_xlfn.IFNA(INDEX(inbound_data[],MATCH(Outbound_data[[#This Row],[STOCK CODE OUT]],Generated_Stockcode,0),13),""))</f>
        <v/>
      </c>
    </row>
    <row r="987" spans="2:17" x14ac:dyDescent="0.25">
      <c r="B987" s="71"/>
      <c r="C987" s="65"/>
      <c r="D987" s="55"/>
      <c r="E987" s="65"/>
      <c r="F987" s="166"/>
      <c r="G987" s="167"/>
      <c r="H987" s="166"/>
      <c r="I987" s="72"/>
      <c r="J987" s="55"/>
      <c r="K987" s="72"/>
      <c r="L987" s="55"/>
      <c r="M987" s="174"/>
      <c r="N987" s="73" t="str">
        <f>IF(ISBLANK(C987),"",_xlfn.IFNA(INDEX(inbound_data[],MATCH(Outbound_data[[#This Row],[STOCK CODE OUT]],Generated_Stockcode,0),10),""))</f>
        <v/>
      </c>
      <c r="O987" s="73" t="str">
        <f>IF(ISBLANK(C987),"",_xlfn.IFNA(INDEX(inbound_data[],MATCH(Outbound_data[[#This Row],[STOCK CODE OUT]],Generated_Stockcode,0),12),""))</f>
        <v/>
      </c>
      <c r="P987" s="73" t="str">
        <f>IF(ISBLANK(C987),"",_xlfn.IFNA(INDEX(inbound_data[],MATCH(Outbound_data[[#This Row],[STOCK CODE OUT]],Generated_Stockcode,0),23),""))</f>
        <v/>
      </c>
      <c r="Q987" s="73" t="str">
        <f>IF(ISBLANK(C987),"",_xlfn.IFNA(INDEX(inbound_data[],MATCH(Outbound_data[[#This Row],[STOCK CODE OUT]],Generated_Stockcode,0),13),""))</f>
        <v/>
      </c>
    </row>
    <row r="988" spans="2:17" x14ac:dyDescent="0.25">
      <c r="B988" s="71"/>
      <c r="C988" s="65"/>
      <c r="D988" s="55"/>
      <c r="E988" s="65"/>
      <c r="F988" s="166"/>
      <c r="G988" s="167"/>
      <c r="H988" s="166"/>
      <c r="I988" s="72"/>
      <c r="J988" s="55"/>
      <c r="K988" s="72"/>
      <c r="L988" s="55"/>
      <c r="M988" s="174"/>
      <c r="N988" s="73" t="str">
        <f>IF(ISBLANK(C988),"",_xlfn.IFNA(INDEX(inbound_data[],MATCH(Outbound_data[[#This Row],[STOCK CODE OUT]],Generated_Stockcode,0),10),""))</f>
        <v/>
      </c>
      <c r="O988" s="73" t="str">
        <f>IF(ISBLANK(C988),"",_xlfn.IFNA(INDEX(inbound_data[],MATCH(Outbound_data[[#This Row],[STOCK CODE OUT]],Generated_Stockcode,0),12),""))</f>
        <v/>
      </c>
      <c r="P988" s="73" t="str">
        <f>IF(ISBLANK(C988),"",_xlfn.IFNA(INDEX(inbound_data[],MATCH(Outbound_data[[#This Row],[STOCK CODE OUT]],Generated_Stockcode,0),23),""))</f>
        <v/>
      </c>
      <c r="Q988" s="73" t="str">
        <f>IF(ISBLANK(C988),"",_xlfn.IFNA(INDEX(inbound_data[],MATCH(Outbound_data[[#This Row],[STOCK CODE OUT]],Generated_Stockcode,0),13),""))</f>
        <v/>
      </c>
    </row>
    <row r="989" spans="2:17" x14ac:dyDescent="0.25">
      <c r="B989" s="71"/>
      <c r="C989" s="65"/>
      <c r="D989" s="55"/>
      <c r="E989" s="65"/>
      <c r="F989" s="166"/>
      <c r="G989" s="167"/>
      <c r="H989" s="166"/>
      <c r="I989" s="72"/>
      <c r="J989" s="55"/>
      <c r="K989" s="72"/>
      <c r="L989" s="55"/>
      <c r="M989" s="174"/>
      <c r="N989" s="73" t="str">
        <f>IF(ISBLANK(C989),"",_xlfn.IFNA(INDEX(inbound_data[],MATCH(Outbound_data[[#This Row],[STOCK CODE OUT]],Generated_Stockcode,0),10),""))</f>
        <v/>
      </c>
      <c r="O989" s="73" t="str">
        <f>IF(ISBLANK(C989),"",_xlfn.IFNA(INDEX(inbound_data[],MATCH(Outbound_data[[#This Row],[STOCK CODE OUT]],Generated_Stockcode,0),12),""))</f>
        <v/>
      </c>
      <c r="P989" s="73" t="str">
        <f>IF(ISBLANK(C989),"",_xlfn.IFNA(INDEX(inbound_data[],MATCH(Outbound_data[[#This Row],[STOCK CODE OUT]],Generated_Stockcode,0),23),""))</f>
        <v/>
      </c>
      <c r="Q989" s="73" t="str">
        <f>IF(ISBLANK(C989),"",_xlfn.IFNA(INDEX(inbound_data[],MATCH(Outbound_data[[#This Row],[STOCK CODE OUT]],Generated_Stockcode,0),13),""))</f>
        <v/>
      </c>
    </row>
    <row r="990" spans="2:17" x14ac:dyDescent="0.25">
      <c r="B990" s="71"/>
      <c r="C990" s="65"/>
      <c r="D990" s="55"/>
      <c r="E990" s="65"/>
      <c r="F990" s="166"/>
      <c r="G990" s="167"/>
      <c r="H990" s="166"/>
      <c r="I990" s="72"/>
      <c r="J990" s="55"/>
      <c r="K990" s="72"/>
      <c r="L990" s="55"/>
      <c r="M990" s="174"/>
      <c r="N990" s="73" t="str">
        <f>IF(ISBLANK(C990),"",_xlfn.IFNA(INDEX(inbound_data[],MATCH(Outbound_data[[#This Row],[STOCK CODE OUT]],Generated_Stockcode,0),10),""))</f>
        <v/>
      </c>
      <c r="O990" s="73" t="str">
        <f>IF(ISBLANK(C990),"",_xlfn.IFNA(INDEX(inbound_data[],MATCH(Outbound_data[[#This Row],[STOCK CODE OUT]],Generated_Stockcode,0),12),""))</f>
        <v/>
      </c>
      <c r="P990" s="73" t="str">
        <f>IF(ISBLANK(C990),"",_xlfn.IFNA(INDEX(inbound_data[],MATCH(Outbound_data[[#This Row],[STOCK CODE OUT]],Generated_Stockcode,0),23),""))</f>
        <v/>
      </c>
      <c r="Q990" s="73" t="str">
        <f>IF(ISBLANK(C990),"",_xlfn.IFNA(INDEX(inbound_data[],MATCH(Outbound_data[[#This Row],[STOCK CODE OUT]],Generated_Stockcode,0),13),""))</f>
        <v/>
      </c>
    </row>
    <row r="991" spans="2:17" x14ac:dyDescent="0.25">
      <c r="B991" s="71"/>
      <c r="C991" s="65"/>
      <c r="D991" s="55"/>
      <c r="E991" s="65"/>
      <c r="F991" s="166"/>
      <c r="G991" s="167"/>
      <c r="H991" s="166"/>
      <c r="I991" s="72"/>
      <c r="J991" s="55"/>
      <c r="K991" s="72"/>
      <c r="L991" s="55"/>
      <c r="M991" s="174"/>
      <c r="N991" s="73" t="str">
        <f>IF(ISBLANK(C991),"",_xlfn.IFNA(INDEX(inbound_data[],MATCH(Outbound_data[[#This Row],[STOCK CODE OUT]],Generated_Stockcode,0),10),""))</f>
        <v/>
      </c>
      <c r="O991" s="73" t="str">
        <f>IF(ISBLANK(C991),"",_xlfn.IFNA(INDEX(inbound_data[],MATCH(Outbound_data[[#This Row],[STOCK CODE OUT]],Generated_Stockcode,0),12),""))</f>
        <v/>
      </c>
      <c r="P991" s="73" t="str">
        <f>IF(ISBLANK(C991),"",_xlfn.IFNA(INDEX(inbound_data[],MATCH(Outbound_data[[#This Row],[STOCK CODE OUT]],Generated_Stockcode,0),23),""))</f>
        <v/>
      </c>
      <c r="Q991" s="73" t="str">
        <f>IF(ISBLANK(C991),"",_xlfn.IFNA(INDEX(inbound_data[],MATCH(Outbound_data[[#This Row],[STOCK CODE OUT]],Generated_Stockcode,0),13),""))</f>
        <v/>
      </c>
    </row>
    <row r="992" spans="2:17" x14ac:dyDescent="0.25">
      <c r="B992" s="71"/>
      <c r="C992" s="65"/>
      <c r="D992" s="55"/>
      <c r="E992" s="65"/>
      <c r="F992" s="166"/>
      <c r="G992" s="167"/>
      <c r="H992" s="166"/>
      <c r="I992" s="72"/>
      <c r="J992" s="55"/>
      <c r="K992" s="72"/>
      <c r="L992" s="55"/>
      <c r="M992" s="174"/>
      <c r="N992" s="73" t="str">
        <f>IF(ISBLANK(C992),"",_xlfn.IFNA(INDEX(inbound_data[],MATCH(Outbound_data[[#This Row],[STOCK CODE OUT]],Generated_Stockcode,0),10),""))</f>
        <v/>
      </c>
      <c r="O992" s="73" t="str">
        <f>IF(ISBLANK(C992),"",_xlfn.IFNA(INDEX(inbound_data[],MATCH(Outbound_data[[#This Row],[STOCK CODE OUT]],Generated_Stockcode,0),12),""))</f>
        <v/>
      </c>
      <c r="P992" s="73" t="str">
        <f>IF(ISBLANK(C992),"",_xlfn.IFNA(INDEX(inbound_data[],MATCH(Outbound_data[[#This Row],[STOCK CODE OUT]],Generated_Stockcode,0),23),""))</f>
        <v/>
      </c>
      <c r="Q992" s="73" t="str">
        <f>IF(ISBLANK(C992),"",_xlfn.IFNA(INDEX(inbound_data[],MATCH(Outbound_data[[#This Row],[STOCK CODE OUT]],Generated_Stockcode,0),13),""))</f>
        <v/>
      </c>
    </row>
    <row r="993" spans="2:17" x14ac:dyDescent="0.25">
      <c r="B993" s="71"/>
      <c r="C993" s="65"/>
      <c r="D993" s="55"/>
      <c r="E993" s="65"/>
      <c r="F993" s="166"/>
      <c r="G993" s="167"/>
      <c r="H993" s="166"/>
      <c r="I993" s="72"/>
      <c r="J993" s="55"/>
      <c r="K993" s="72"/>
      <c r="L993" s="55"/>
      <c r="M993" s="174"/>
      <c r="N993" s="73" t="str">
        <f>IF(ISBLANK(C993),"",_xlfn.IFNA(INDEX(inbound_data[],MATCH(Outbound_data[[#This Row],[STOCK CODE OUT]],Generated_Stockcode,0),10),""))</f>
        <v/>
      </c>
      <c r="O993" s="73" t="str">
        <f>IF(ISBLANK(C993),"",_xlfn.IFNA(INDEX(inbound_data[],MATCH(Outbound_data[[#This Row],[STOCK CODE OUT]],Generated_Stockcode,0),12),""))</f>
        <v/>
      </c>
      <c r="P993" s="73" t="str">
        <f>IF(ISBLANK(C993),"",_xlfn.IFNA(INDEX(inbound_data[],MATCH(Outbound_data[[#This Row],[STOCK CODE OUT]],Generated_Stockcode,0),23),""))</f>
        <v/>
      </c>
      <c r="Q993" s="73" t="str">
        <f>IF(ISBLANK(C993),"",_xlfn.IFNA(INDEX(inbound_data[],MATCH(Outbound_data[[#This Row],[STOCK CODE OUT]],Generated_Stockcode,0),13),""))</f>
        <v/>
      </c>
    </row>
    <row r="994" spans="2:17" x14ac:dyDescent="0.25">
      <c r="B994" s="71"/>
      <c r="C994" s="65"/>
      <c r="D994" s="55"/>
      <c r="E994" s="65"/>
      <c r="F994" s="166"/>
      <c r="G994" s="167"/>
      <c r="H994" s="166"/>
      <c r="I994" s="72"/>
      <c r="J994" s="55"/>
      <c r="K994" s="72"/>
      <c r="L994" s="55"/>
      <c r="M994" s="174"/>
      <c r="N994" s="73" t="str">
        <f>IF(ISBLANK(C994),"",_xlfn.IFNA(INDEX(inbound_data[],MATCH(Outbound_data[[#This Row],[STOCK CODE OUT]],Generated_Stockcode,0),10),""))</f>
        <v/>
      </c>
      <c r="O994" s="73" t="str">
        <f>IF(ISBLANK(C994),"",_xlfn.IFNA(INDEX(inbound_data[],MATCH(Outbound_data[[#This Row],[STOCK CODE OUT]],Generated_Stockcode,0),12),""))</f>
        <v/>
      </c>
      <c r="P994" s="73" t="str">
        <f>IF(ISBLANK(C994),"",_xlfn.IFNA(INDEX(inbound_data[],MATCH(Outbound_data[[#This Row],[STOCK CODE OUT]],Generated_Stockcode,0),23),""))</f>
        <v/>
      </c>
      <c r="Q994" s="73" t="str">
        <f>IF(ISBLANK(C994),"",_xlfn.IFNA(INDEX(inbound_data[],MATCH(Outbound_data[[#This Row],[STOCK CODE OUT]],Generated_Stockcode,0),13),""))</f>
        <v/>
      </c>
    </row>
    <row r="995" spans="2:17" x14ac:dyDescent="0.25">
      <c r="B995" s="71"/>
      <c r="C995" s="65"/>
      <c r="D995" s="55"/>
      <c r="E995" s="65"/>
      <c r="F995" s="166"/>
      <c r="G995" s="167"/>
      <c r="H995" s="166"/>
      <c r="I995" s="72"/>
      <c r="J995" s="55"/>
      <c r="K995" s="72"/>
      <c r="L995" s="55"/>
      <c r="M995" s="174"/>
      <c r="N995" s="73" t="str">
        <f>IF(ISBLANK(C995),"",_xlfn.IFNA(INDEX(inbound_data[],MATCH(Outbound_data[[#This Row],[STOCK CODE OUT]],Generated_Stockcode,0),10),""))</f>
        <v/>
      </c>
      <c r="O995" s="73" t="str">
        <f>IF(ISBLANK(C995),"",_xlfn.IFNA(INDEX(inbound_data[],MATCH(Outbound_data[[#This Row],[STOCK CODE OUT]],Generated_Stockcode,0),12),""))</f>
        <v/>
      </c>
      <c r="P995" s="73" t="str">
        <f>IF(ISBLANK(C995),"",_xlfn.IFNA(INDEX(inbound_data[],MATCH(Outbound_data[[#This Row],[STOCK CODE OUT]],Generated_Stockcode,0),23),""))</f>
        <v/>
      </c>
      <c r="Q995" s="73" t="str">
        <f>IF(ISBLANK(C995),"",_xlfn.IFNA(INDEX(inbound_data[],MATCH(Outbound_data[[#This Row],[STOCK CODE OUT]],Generated_Stockcode,0),13),""))</f>
        <v/>
      </c>
    </row>
    <row r="996" spans="2:17" x14ac:dyDescent="0.25">
      <c r="B996" s="71"/>
      <c r="C996" s="65"/>
      <c r="D996" s="55"/>
      <c r="E996" s="65"/>
      <c r="F996" s="166"/>
      <c r="G996" s="167"/>
      <c r="H996" s="166"/>
      <c r="I996" s="72"/>
      <c r="J996" s="55"/>
      <c r="K996" s="72"/>
      <c r="L996" s="55"/>
      <c r="M996" s="174"/>
      <c r="N996" s="73" t="str">
        <f>IF(ISBLANK(C996),"",_xlfn.IFNA(INDEX(inbound_data[],MATCH(Outbound_data[[#This Row],[STOCK CODE OUT]],Generated_Stockcode,0),10),""))</f>
        <v/>
      </c>
      <c r="O996" s="73" t="str">
        <f>IF(ISBLANK(C996),"",_xlfn.IFNA(INDEX(inbound_data[],MATCH(Outbound_data[[#This Row],[STOCK CODE OUT]],Generated_Stockcode,0),12),""))</f>
        <v/>
      </c>
      <c r="P996" s="73" t="str">
        <f>IF(ISBLANK(C996),"",_xlfn.IFNA(INDEX(inbound_data[],MATCH(Outbound_data[[#This Row],[STOCK CODE OUT]],Generated_Stockcode,0),23),""))</f>
        <v/>
      </c>
      <c r="Q996" s="73" t="str">
        <f>IF(ISBLANK(C996),"",_xlfn.IFNA(INDEX(inbound_data[],MATCH(Outbound_data[[#This Row],[STOCK CODE OUT]],Generated_Stockcode,0),13),""))</f>
        <v/>
      </c>
    </row>
    <row r="997" spans="2:17" x14ac:dyDescent="0.25">
      <c r="B997" s="71"/>
      <c r="C997" s="65"/>
      <c r="D997" s="55"/>
      <c r="E997" s="65"/>
      <c r="F997" s="166"/>
      <c r="G997" s="167"/>
      <c r="H997" s="166"/>
      <c r="I997" s="72"/>
      <c r="J997" s="55"/>
      <c r="K997" s="72"/>
      <c r="L997" s="55"/>
      <c r="M997" s="174"/>
      <c r="N997" s="73" t="str">
        <f>IF(ISBLANK(C997),"",_xlfn.IFNA(INDEX(inbound_data[],MATCH(Outbound_data[[#This Row],[STOCK CODE OUT]],Generated_Stockcode,0),10),""))</f>
        <v/>
      </c>
      <c r="O997" s="73" t="str">
        <f>IF(ISBLANK(C997),"",_xlfn.IFNA(INDEX(inbound_data[],MATCH(Outbound_data[[#This Row],[STOCK CODE OUT]],Generated_Stockcode,0),12),""))</f>
        <v/>
      </c>
      <c r="P997" s="73" t="str">
        <f>IF(ISBLANK(C997),"",_xlfn.IFNA(INDEX(inbound_data[],MATCH(Outbound_data[[#This Row],[STOCK CODE OUT]],Generated_Stockcode,0),23),""))</f>
        <v/>
      </c>
      <c r="Q997" s="73" t="str">
        <f>IF(ISBLANK(C997),"",_xlfn.IFNA(INDEX(inbound_data[],MATCH(Outbound_data[[#This Row],[STOCK CODE OUT]],Generated_Stockcode,0),13),""))</f>
        <v/>
      </c>
    </row>
    <row r="998" spans="2:17" x14ac:dyDescent="0.25">
      <c r="B998" s="71"/>
      <c r="C998" s="65"/>
      <c r="D998" s="55"/>
      <c r="E998" s="65"/>
      <c r="F998" s="166"/>
      <c r="G998" s="167"/>
      <c r="H998" s="166"/>
      <c r="I998" s="72"/>
      <c r="J998" s="55"/>
      <c r="K998" s="72"/>
      <c r="L998" s="55"/>
      <c r="M998" s="174"/>
      <c r="N998" s="73" t="str">
        <f>IF(ISBLANK(C998),"",_xlfn.IFNA(INDEX(inbound_data[],MATCH(Outbound_data[[#This Row],[STOCK CODE OUT]],Generated_Stockcode,0),10),""))</f>
        <v/>
      </c>
      <c r="O998" s="73" t="str">
        <f>IF(ISBLANK(C998),"",_xlfn.IFNA(INDEX(inbound_data[],MATCH(Outbound_data[[#This Row],[STOCK CODE OUT]],Generated_Stockcode,0),12),""))</f>
        <v/>
      </c>
      <c r="P998" s="73" t="str">
        <f>IF(ISBLANK(C998),"",_xlfn.IFNA(INDEX(inbound_data[],MATCH(Outbound_data[[#This Row],[STOCK CODE OUT]],Generated_Stockcode,0),23),""))</f>
        <v/>
      </c>
      <c r="Q998" s="73" t="str">
        <f>IF(ISBLANK(C998),"",_xlfn.IFNA(INDEX(inbound_data[],MATCH(Outbound_data[[#This Row],[STOCK CODE OUT]],Generated_Stockcode,0),13),""))</f>
        <v/>
      </c>
    </row>
    <row r="999" spans="2:17" x14ac:dyDescent="0.25">
      <c r="B999" s="71"/>
      <c r="C999" s="65"/>
      <c r="D999" s="55"/>
      <c r="E999" s="65"/>
      <c r="F999" s="166"/>
      <c r="G999" s="167"/>
      <c r="H999" s="166"/>
      <c r="I999" s="72"/>
      <c r="J999" s="55"/>
      <c r="K999" s="72"/>
      <c r="L999" s="55"/>
      <c r="M999" s="174"/>
      <c r="N999" s="73" t="str">
        <f>IF(ISBLANK(C999),"",_xlfn.IFNA(INDEX(inbound_data[],MATCH(Outbound_data[[#This Row],[STOCK CODE OUT]],Generated_Stockcode,0),10),""))</f>
        <v/>
      </c>
      <c r="O999" s="73" t="str">
        <f>IF(ISBLANK(C999),"",_xlfn.IFNA(INDEX(inbound_data[],MATCH(Outbound_data[[#This Row],[STOCK CODE OUT]],Generated_Stockcode,0),12),""))</f>
        <v/>
      </c>
      <c r="P999" s="73" t="str">
        <f>IF(ISBLANK(C999),"",_xlfn.IFNA(INDEX(inbound_data[],MATCH(Outbound_data[[#This Row],[STOCK CODE OUT]],Generated_Stockcode,0),23),""))</f>
        <v/>
      </c>
      <c r="Q999" s="73" t="str">
        <f>IF(ISBLANK(C999),"",_xlfn.IFNA(INDEX(inbound_data[],MATCH(Outbound_data[[#This Row],[STOCK CODE OUT]],Generated_Stockcode,0),13),""))</f>
        <v/>
      </c>
    </row>
    <row r="1000" spans="2:17" x14ac:dyDescent="0.25">
      <c r="B1000" s="71"/>
      <c r="C1000" s="65"/>
      <c r="D1000" s="55"/>
      <c r="E1000" s="65"/>
      <c r="F1000" s="166"/>
      <c r="G1000" s="167"/>
      <c r="H1000" s="166"/>
      <c r="I1000" s="72"/>
      <c r="J1000" s="55"/>
      <c r="K1000" s="72"/>
      <c r="L1000" s="55"/>
      <c r="M1000" s="174"/>
      <c r="N1000" s="73" t="str">
        <f>IF(ISBLANK(C1000),"",_xlfn.IFNA(INDEX(inbound_data[],MATCH(Outbound_data[[#This Row],[STOCK CODE OUT]],Generated_Stockcode,0),10),""))</f>
        <v/>
      </c>
      <c r="O1000" s="73" t="str">
        <f>IF(ISBLANK(C1000),"",_xlfn.IFNA(INDEX(inbound_data[],MATCH(Outbound_data[[#This Row],[STOCK CODE OUT]],Generated_Stockcode,0),12),""))</f>
        <v/>
      </c>
      <c r="P1000" s="73" t="str">
        <f>IF(ISBLANK(C1000),"",_xlfn.IFNA(INDEX(inbound_data[],MATCH(Outbound_data[[#This Row],[STOCK CODE OUT]],Generated_Stockcode,0),23),""))</f>
        <v/>
      </c>
      <c r="Q1000" s="73" t="str">
        <f>IF(ISBLANK(C1000),"",_xlfn.IFNA(INDEX(inbound_data[],MATCH(Outbound_data[[#This Row],[STOCK CODE OUT]],Generated_Stockcode,0),13),""))</f>
        <v/>
      </c>
    </row>
    <row r="1001" spans="2:17" x14ac:dyDescent="0.25">
      <c r="B1001" s="71"/>
      <c r="C1001" s="65"/>
      <c r="D1001" s="55"/>
      <c r="E1001" s="65"/>
      <c r="F1001" s="166"/>
      <c r="G1001" s="167"/>
      <c r="H1001" s="166"/>
      <c r="I1001" s="72"/>
      <c r="J1001" s="55"/>
      <c r="K1001" s="72"/>
      <c r="L1001" s="55"/>
      <c r="M1001" s="174"/>
      <c r="N1001" s="73" t="str">
        <f>IF(ISBLANK(C1001),"",_xlfn.IFNA(INDEX(inbound_data[],MATCH(Outbound_data[[#This Row],[STOCK CODE OUT]],Generated_Stockcode,0),10),""))</f>
        <v/>
      </c>
      <c r="O1001" s="73" t="str">
        <f>IF(ISBLANK(C1001),"",_xlfn.IFNA(INDEX(inbound_data[],MATCH(Outbound_data[[#This Row],[STOCK CODE OUT]],Generated_Stockcode,0),12),""))</f>
        <v/>
      </c>
      <c r="P1001" s="73" t="str">
        <f>IF(ISBLANK(C1001),"",_xlfn.IFNA(INDEX(inbound_data[],MATCH(Outbound_data[[#This Row],[STOCK CODE OUT]],Generated_Stockcode,0),23),""))</f>
        <v/>
      </c>
      <c r="Q1001" s="73" t="str">
        <f>IF(ISBLANK(C1001),"",_xlfn.IFNA(INDEX(inbound_data[],MATCH(Outbound_data[[#This Row],[STOCK CODE OUT]],Generated_Stockcode,0),13),""))</f>
        <v/>
      </c>
    </row>
    <row r="1002" spans="2:17" x14ac:dyDescent="0.25">
      <c r="B1002" s="71"/>
      <c r="C1002" s="65"/>
      <c r="D1002" s="55"/>
      <c r="E1002" s="65"/>
      <c r="F1002" s="166"/>
      <c r="G1002" s="167"/>
      <c r="H1002" s="166"/>
      <c r="I1002" s="72"/>
      <c r="J1002" s="55"/>
      <c r="K1002" s="72"/>
      <c r="L1002" s="55"/>
      <c r="M1002" s="174"/>
      <c r="N1002" s="73" t="str">
        <f>IF(ISBLANK(C1002),"",_xlfn.IFNA(INDEX(inbound_data[],MATCH(Outbound_data[[#This Row],[STOCK CODE OUT]],Generated_Stockcode,0),10),""))</f>
        <v/>
      </c>
      <c r="O1002" s="73" t="str">
        <f>IF(ISBLANK(C1002),"",_xlfn.IFNA(INDEX(inbound_data[],MATCH(Outbound_data[[#This Row],[STOCK CODE OUT]],Generated_Stockcode,0),12),""))</f>
        <v/>
      </c>
      <c r="P1002" s="73" t="str">
        <f>IF(ISBLANK(C1002),"",_xlfn.IFNA(INDEX(inbound_data[],MATCH(Outbound_data[[#This Row],[STOCK CODE OUT]],Generated_Stockcode,0),23),""))</f>
        <v/>
      </c>
      <c r="Q1002" s="73" t="str">
        <f>IF(ISBLANK(C1002),"",_xlfn.IFNA(INDEX(inbound_data[],MATCH(Outbound_data[[#This Row],[STOCK CODE OUT]],Generated_Stockcode,0),13),""))</f>
        <v/>
      </c>
    </row>
    <row r="1003" spans="2:17" x14ac:dyDescent="0.25">
      <c r="B1003" s="71"/>
      <c r="C1003" s="65"/>
      <c r="D1003" s="55"/>
      <c r="E1003" s="65"/>
      <c r="F1003" s="166"/>
      <c r="G1003" s="167"/>
      <c r="H1003" s="166"/>
      <c r="I1003" s="72"/>
      <c r="J1003" s="55"/>
      <c r="K1003" s="72"/>
      <c r="L1003" s="55"/>
      <c r="M1003" s="174"/>
      <c r="N1003" s="73" t="str">
        <f>IF(ISBLANK(C1003),"",_xlfn.IFNA(INDEX(inbound_data[],MATCH(Outbound_data[[#This Row],[STOCK CODE OUT]],Generated_Stockcode,0),10),""))</f>
        <v/>
      </c>
      <c r="O1003" s="73" t="str">
        <f>IF(ISBLANK(C1003),"",_xlfn.IFNA(INDEX(inbound_data[],MATCH(Outbound_data[[#This Row],[STOCK CODE OUT]],Generated_Stockcode,0),12),""))</f>
        <v/>
      </c>
      <c r="P1003" s="73" t="str">
        <f>IF(ISBLANK(C1003),"",_xlfn.IFNA(INDEX(inbound_data[],MATCH(Outbound_data[[#This Row],[STOCK CODE OUT]],Generated_Stockcode,0),23),""))</f>
        <v/>
      </c>
      <c r="Q1003" s="73" t="str">
        <f>IF(ISBLANK(C1003),"",_xlfn.IFNA(INDEX(inbound_data[],MATCH(Outbound_data[[#This Row],[STOCK CODE OUT]],Generated_Stockcode,0),13),""))</f>
        <v/>
      </c>
    </row>
    <row r="1004" spans="2:17" x14ac:dyDescent="0.25">
      <c r="B1004" s="71"/>
      <c r="C1004" s="65"/>
      <c r="D1004" s="55"/>
      <c r="E1004" s="65"/>
      <c r="F1004" s="166"/>
      <c r="G1004" s="167"/>
      <c r="H1004" s="166"/>
      <c r="I1004" s="72"/>
      <c r="J1004" s="55"/>
      <c r="K1004" s="72"/>
      <c r="L1004" s="55"/>
      <c r="M1004" s="174"/>
      <c r="N1004" s="73" t="str">
        <f>IF(ISBLANK(C1004),"",_xlfn.IFNA(INDEX(inbound_data[],MATCH(Outbound_data[[#This Row],[STOCK CODE OUT]],Generated_Stockcode,0),10),""))</f>
        <v/>
      </c>
      <c r="O1004" s="73" t="str">
        <f>IF(ISBLANK(C1004),"",_xlfn.IFNA(INDEX(inbound_data[],MATCH(Outbound_data[[#This Row],[STOCK CODE OUT]],Generated_Stockcode,0),12),""))</f>
        <v/>
      </c>
      <c r="P1004" s="73" t="str">
        <f>IF(ISBLANK(C1004),"",_xlfn.IFNA(INDEX(inbound_data[],MATCH(Outbound_data[[#This Row],[STOCK CODE OUT]],Generated_Stockcode,0),23),""))</f>
        <v/>
      </c>
      <c r="Q1004" s="73" t="str">
        <f>IF(ISBLANK(C1004),"",_xlfn.IFNA(INDEX(inbound_data[],MATCH(Outbound_data[[#This Row],[STOCK CODE OUT]],Generated_Stockcode,0),13),""))</f>
        <v/>
      </c>
    </row>
    <row r="1005" spans="2:17" x14ac:dyDescent="0.25">
      <c r="B1005" s="71"/>
      <c r="C1005" s="65"/>
      <c r="D1005" s="55"/>
      <c r="E1005" s="65"/>
      <c r="F1005" s="166"/>
      <c r="G1005" s="167"/>
      <c r="H1005" s="166"/>
      <c r="I1005" s="72"/>
      <c r="J1005" s="55"/>
      <c r="K1005" s="72"/>
      <c r="L1005" s="55"/>
      <c r="M1005" s="174"/>
      <c r="N1005" s="73" t="str">
        <f>IF(ISBLANK(C1005),"",_xlfn.IFNA(INDEX(inbound_data[],MATCH(Outbound_data[[#This Row],[STOCK CODE OUT]],Generated_Stockcode,0),10),""))</f>
        <v/>
      </c>
      <c r="O1005" s="73" t="str">
        <f>IF(ISBLANK(C1005),"",_xlfn.IFNA(INDEX(inbound_data[],MATCH(Outbound_data[[#This Row],[STOCK CODE OUT]],Generated_Stockcode,0),12),""))</f>
        <v/>
      </c>
      <c r="P1005" s="73" t="str">
        <f>IF(ISBLANK(C1005),"",_xlfn.IFNA(INDEX(inbound_data[],MATCH(Outbound_data[[#This Row],[STOCK CODE OUT]],Generated_Stockcode,0),23),""))</f>
        <v/>
      </c>
      <c r="Q1005" s="73" t="str">
        <f>IF(ISBLANK(C1005),"",_xlfn.IFNA(INDEX(inbound_data[],MATCH(Outbound_data[[#This Row],[STOCK CODE OUT]],Generated_Stockcode,0),13),""))</f>
        <v/>
      </c>
    </row>
    <row r="1006" spans="2:17" x14ac:dyDescent="0.25">
      <c r="B1006" s="71"/>
      <c r="C1006" s="65"/>
      <c r="D1006" s="55"/>
      <c r="E1006" s="65"/>
      <c r="F1006" s="166"/>
      <c r="G1006" s="167"/>
      <c r="H1006" s="166"/>
      <c r="I1006" s="72"/>
      <c r="J1006" s="55"/>
      <c r="K1006" s="72"/>
      <c r="L1006" s="55"/>
      <c r="M1006" s="174"/>
      <c r="N1006" s="73" t="str">
        <f>IF(ISBLANK(C1006),"",_xlfn.IFNA(INDEX(inbound_data[],MATCH(Outbound_data[[#This Row],[STOCK CODE OUT]],Generated_Stockcode,0),10),""))</f>
        <v/>
      </c>
      <c r="O1006" s="73" t="str">
        <f>IF(ISBLANK(C1006),"",_xlfn.IFNA(INDEX(inbound_data[],MATCH(Outbound_data[[#This Row],[STOCK CODE OUT]],Generated_Stockcode,0),12),""))</f>
        <v/>
      </c>
      <c r="P1006" s="73" t="str">
        <f>IF(ISBLANK(C1006),"",_xlfn.IFNA(INDEX(inbound_data[],MATCH(Outbound_data[[#This Row],[STOCK CODE OUT]],Generated_Stockcode,0),23),""))</f>
        <v/>
      </c>
      <c r="Q1006" s="73" t="str">
        <f>IF(ISBLANK(C1006),"",_xlfn.IFNA(INDEX(inbound_data[],MATCH(Outbound_data[[#This Row],[STOCK CODE OUT]],Generated_Stockcode,0),13),""))</f>
        <v/>
      </c>
    </row>
    <row r="1007" spans="2:17" x14ac:dyDescent="0.25">
      <c r="B1007" s="71"/>
      <c r="C1007" s="65"/>
      <c r="D1007" s="55"/>
      <c r="E1007" s="65"/>
      <c r="F1007" s="166"/>
      <c r="G1007" s="167"/>
      <c r="H1007" s="166"/>
      <c r="I1007" s="72"/>
      <c r="J1007" s="55"/>
      <c r="K1007" s="72"/>
      <c r="L1007" s="55"/>
      <c r="M1007" s="174"/>
      <c r="N1007" s="73" t="str">
        <f>IF(ISBLANK(C1007),"",_xlfn.IFNA(INDEX(inbound_data[],MATCH(Outbound_data[[#This Row],[STOCK CODE OUT]],Generated_Stockcode,0),10),""))</f>
        <v/>
      </c>
      <c r="O1007" s="73" t="str">
        <f>IF(ISBLANK(C1007),"",_xlfn.IFNA(INDEX(inbound_data[],MATCH(Outbound_data[[#This Row],[STOCK CODE OUT]],Generated_Stockcode,0),12),""))</f>
        <v/>
      </c>
      <c r="P1007" s="73" t="str">
        <f>IF(ISBLANK(C1007),"",_xlfn.IFNA(INDEX(inbound_data[],MATCH(Outbound_data[[#This Row],[STOCK CODE OUT]],Generated_Stockcode,0),23),""))</f>
        <v/>
      </c>
      <c r="Q1007" s="73" t="str">
        <f>IF(ISBLANK(C1007),"",_xlfn.IFNA(INDEX(inbound_data[],MATCH(Outbound_data[[#This Row],[STOCK CODE OUT]],Generated_Stockcode,0),13),""))</f>
        <v/>
      </c>
    </row>
    <row r="1008" spans="2:17" x14ac:dyDescent="0.25">
      <c r="B1008" s="71"/>
      <c r="C1008" s="65"/>
      <c r="D1008" s="55"/>
      <c r="E1008" s="65"/>
      <c r="F1008" s="166"/>
      <c r="G1008" s="167"/>
      <c r="H1008" s="166"/>
      <c r="I1008" s="72"/>
      <c r="J1008" s="55"/>
      <c r="K1008" s="72"/>
      <c r="L1008" s="55"/>
      <c r="M1008" s="174"/>
      <c r="N1008" s="73" t="str">
        <f>IF(ISBLANK(C1008),"",_xlfn.IFNA(INDEX(inbound_data[],MATCH(Outbound_data[[#This Row],[STOCK CODE OUT]],Generated_Stockcode,0),10),""))</f>
        <v/>
      </c>
      <c r="O1008" s="73" t="str">
        <f>IF(ISBLANK(C1008),"",_xlfn.IFNA(INDEX(inbound_data[],MATCH(Outbound_data[[#This Row],[STOCK CODE OUT]],Generated_Stockcode,0),12),""))</f>
        <v/>
      </c>
      <c r="P1008" s="73" t="str">
        <f>IF(ISBLANK(C1008),"",_xlfn.IFNA(INDEX(inbound_data[],MATCH(Outbound_data[[#This Row],[STOCK CODE OUT]],Generated_Stockcode,0),23),""))</f>
        <v/>
      </c>
      <c r="Q1008" s="73" t="str">
        <f>IF(ISBLANK(C1008),"",_xlfn.IFNA(INDEX(inbound_data[],MATCH(Outbound_data[[#This Row],[STOCK CODE OUT]],Generated_Stockcode,0),13),""))</f>
        <v/>
      </c>
    </row>
    <row r="1009" spans="2:17" x14ac:dyDescent="0.25">
      <c r="B1009" s="71"/>
      <c r="C1009" s="65"/>
      <c r="D1009" s="55"/>
      <c r="E1009" s="65"/>
      <c r="F1009" s="166"/>
      <c r="G1009" s="167"/>
      <c r="H1009" s="166"/>
      <c r="I1009" s="72"/>
      <c r="J1009" s="55"/>
      <c r="K1009" s="72"/>
      <c r="L1009" s="55"/>
      <c r="M1009" s="174"/>
      <c r="N1009" s="73" t="str">
        <f>IF(ISBLANK(C1009),"",_xlfn.IFNA(INDEX(inbound_data[],MATCH(Outbound_data[[#This Row],[STOCK CODE OUT]],Generated_Stockcode,0),10),""))</f>
        <v/>
      </c>
      <c r="O1009" s="73" t="str">
        <f>IF(ISBLANK(C1009),"",_xlfn.IFNA(INDEX(inbound_data[],MATCH(Outbound_data[[#This Row],[STOCK CODE OUT]],Generated_Stockcode,0),12),""))</f>
        <v/>
      </c>
      <c r="P1009" s="73" t="str">
        <f>IF(ISBLANK(C1009),"",_xlfn.IFNA(INDEX(inbound_data[],MATCH(Outbound_data[[#This Row],[STOCK CODE OUT]],Generated_Stockcode,0),23),""))</f>
        <v/>
      </c>
      <c r="Q1009" s="73" t="str">
        <f>IF(ISBLANK(C1009),"",_xlfn.IFNA(INDEX(inbound_data[],MATCH(Outbound_data[[#This Row],[STOCK CODE OUT]],Generated_Stockcode,0),13),""))</f>
        <v/>
      </c>
    </row>
    <row r="1010" spans="2:17" x14ac:dyDescent="0.25">
      <c r="B1010" s="71"/>
      <c r="C1010" s="65"/>
      <c r="D1010" s="55"/>
      <c r="E1010" s="65"/>
      <c r="F1010" s="166"/>
      <c r="G1010" s="167"/>
      <c r="H1010" s="166"/>
      <c r="I1010" s="72"/>
      <c r="J1010" s="55"/>
      <c r="K1010" s="72"/>
      <c r="L1010" s="55"/>
      <c r="M1010" s="174"/>
      <c r="N1010" s="73" t="str">
        <f>IF(ISBLANK(C1010),"",_xlfn.IFNA(INDEX(inbound_data[],MATCH(Outbound_data[[#This Row],[STOCK CODE OUT]],Generated_Stockcode,0),10),""))</f>
        <v/>
      </c>
      <c r="O1010" s="73" t="str">
        <f>IF(ISBLANK(C1010),"",_xlfn.IFNA(INDEX(inbound_data[],MATCH(Outbound_data[[#This Row],[STOCK CODE OUT]],Generated_Stockcode,0),12),""))</f>
        <v/>
      </c>
      <c r="P1010" s="73" t="str">
        <f>IF(ISBLANK(C1010),"",_xlfn.IFNA(INDEX(inbound_data[],MATCH(Outbound_data[[#This Row],[STOCK CODE OUT]],Generated_Stockcode,0),23),""))</f>
        <v/>
      </c>
      <c r="Q1010" s="73" t="str">
        <f>IF(ISBLANK(C1010),"",_xlfn.IFNA(INDEX(inbound_data[],MATCH(Outbound_data[[#This Row],[STOCK CODE OUT]],Generated_Stockcode,0),13),""))</f>
        <v/>
      </c>
    </row>
    <row r="1011" spans="2:17" x14ac:dyDescent="0.25">
      <c r="B1011" s="71"/>
      <c r="C1011" s="65"/>
      <c r="D1011" s="55"/>
      <c r="E1011" s="65"/>
      <c r="F1011" s="166"/>
      <c r="G1011" s="167"/>
      <c r="H1011" s="166"/>
      <c r="I1011" s="72"/>
      <c r="J1011" s="55"/>
      <c r="K1011" s="72"/>
      <c r="L1011" s="55"/>
      <c r="M1011" s="174"/>
      <c r="N1011" s="73" t="str">
        <f>IF(ISBLANK(C1011),"",_xlfn.IFNA(INDEX(inbound_data[],MATCH(Outbound_data[[#This Row],[STOCK CODE OUT]],Generated_Stockcode,0),10),""))</f>
        <v/>
      </c>
      <c r="O1011" s="73" t="str">
        <f>IF(ISBLANK(C1011),"",_xlfn.IFNA(INDEX(inbound_data[],MATCH(Outbound_data[[#This Row],[STOCK CODE OUT]],Generated_Stockcode,0),12),""))</f>
        <v/>
      </c>
      <c r="P1011" s="73" t="str">
        <f>IF(ISBLANK(C1011),"",_xlfn.IFNA(INDEX(inbound_data[],MATCH(Outbound_data[[#This Row],[STOCK CODE OUT]],Generated_Stockcode,0),23),""))</f>
        <v/>
      </c>
      <c r="Q1011" s="73" t="str">
        <f>IF(ISBLANK(C1011),"",_xlfn.IFNA(INDEX(inbound_data[],MATCH(Outbound_data[[#This Row],[STOCK CODE OUT]],Generated_Stockcode,0),13),""))</f>
        <v/>
      </c>
    </row>
    <row r="1012" spans="2:17" x14ac:dyDescent="0.25">
      <c r="B1012" s="71"/>
      <c r="C1012" s="65"/>
      <c r="D1012" s="55"/>
      <c r="E1012" s="65"/>
      <c r="F1012" s="166"/>
      <c r="G1012" s="167"/>
      <c r="H1012" s="166"/>
      <c r="I1012" s="72"/>
      <c r="J1012" s="55"/>
      <c r="K1012" s="72"/>
      <c r="L1012" s="55"/>
      <c r="M1012" s="174"/>
      <c r="N1012" s="73" t="str">
        <f>IF(ISBLANK(C1012),"",_xlfn.IFNA(INDEX(inbound_data[],MATCH(Outbound_data[[#This Row],[STOCK CODE OUT]],Generated_Stockcode,0),10),""))</f>
        <v/>
      </c>
      <c r="O1012" s="73" t="str">
        <f>IF(ISBLANK(C1012),"",_xlfn.IFNA(INDEX(inbound_data[],MATCH(Outbound_data[[#This Row],[STOCK CODE OUT]],Generated_Stockcode,0),12),""))</f>
        <v/>
      </c>
      <c r="P1012" s="73" t="str">
        <f>IF(ISBLANK(C1012),"",_xlfn.IFNA(INDEX(inbound_data[],MATCH(Outbound_data[[#This Row],[STOCK CODE OUT]],Generated_Stockcode,0),23),""))</f>
        <v/>
      </c>
      <c r="Q1012" s="73" t="str">
        <f>IF(ISBLANK(C1012),"",_xlfn.IFNA(INDEX(inbound_data[],MATCH(Outbound_data[[#This Row],[STOCK CODE OUT]],Generated_Stockcode,0),13),""))</f>
        <v/>
      </c>
    </row>
    <row r="1013" spans="2:17" x14ac:dyDescent="0.25">
      <c r="B1013" s="71"/>
      <c r="C1013" s="65"/>
      <c r="D1013" s="55"/>
      <c r="E1013" s="65"/>
      <c r="F1013" s="166"/>
      <c r="G1013" s="167"/>
      <c r="H1013" s="166"/>
      <c r="I1013" s="72"/>
      <c r="J1013" s="55"/>
      <c r="K1013" s="72"/>
      <c r="L1013" s="55"/>
      <c r="M1013" s="174"/>
      <c r="N1013" s="73" t="str">
        <f>IF(ISBLANK(C1013),"",_xlfn.IFNA(INDEX(inbound_data[],MATCH(Outbound_data[[#This Row],[STOCK CODE OUT]],Generated_Stockcode,0),10),""))</f>
        <v/>
      </c>
      <c r="O1013" s="73" t="str">
        <f>IF(ISBLANK(C1013),"",_xlfn.IFNA(INDEX(inbound_data[],MATCH(Outbound_data[[#This Row],[STOCK CODE OUT]],Generated_Stockcode,0),12),""))</f>
        <v/>
      </c>
      <c r="P1013" s="73" t="str">
        <f>IF(ISBLANK(C1013),"",_xlfn.IFNA(INDEX(inbound_data[],MATCH(Outbound_data[[#This Row],[STOCK CODE OUT]],Generated_Stockcode,0),23),""))</f>
        <v/>
      </c>
      <c r="Q1013" s="73" t="str">
        <f>IF(ISBLANK(C1013),"",_xlfn.IFNA(INDEX(inbound_data[],MATCH(Outbound_data[[#This Row],[STOCK CODE OUT]],Generated_Stockcode,0),13),""))</f>
        <v/>
      </c>
    </row>
    <row r="1014" spans="2:17" x14ac:dyDescent="0.25">
      <c r="B1014" s="71"/>
      <c r="C1014" s="65"/>
      <c r="D1014" s="55"/>
      <c r="E1014" s="65"/>
      <c r="F1014" s="166"/>
      <c r="G1014" s="167"/>
      <c r="H1014" s="166"/>
      <c r="I1014" s="72"/>
      <c r="J1014" s="55"/>
      <c r="K1014" s="72"/>
      <c r="L1014" s="55"/>
      <c r="M1014" s="174"/>
      <c r="N1014" s="73" t="str">
        <f>IF(ISBLANK(C1014),"",_xlfn.IFNA(INDEX(inbound_data[],MATCH(Outbound_data[[#This Row],[STOCK CODE OUT]],Generated_Stockcode,0),10),""))</f>
        <v/>
      </c>
      <c r="O1014" s="73" t="str">
        <f>IF(ISBLANK(C1014),"",_xlfn.IFNA(INDEX(inbound_data[],MATCH(Outbound_data[[#This Row],[STOCK CODE OUT]],Generated_Stockcode,0),12),""))</f>
        <v/>
      </c>
      <c r="P1014" s="73" t="str">
        <f>IF(ISBLANK(C1014),"",_xlfn.IFNA(INDEX(inbound_data[],MATCH(Outbound_data[[#This Row],[STOCK CODE OUT]],Generated_Stockcode,0),23),""))</f>
        <v/>
      </c>
      <c r="Q1014" s="73" t="str">
        <f>IF(ISBLANK(C1014),"",_xlfn.IFNA(INDEX(inbound_data[],MATCH(Outbound_data[[#This Row],[STOCK CODE OUT]],Generated_Stockcode,0),13),""))</f>
        <v/>
      </c>
    </row>
    <row r="1015" spans="2:17" x14ac:dyDescent="0.25">
      <c r="B1015" s="71"/>
      <c r="C1015" s="65"/>
      <c r="D1015" s="55"/>
      <c r="E1015" s="65"/>
      <c r="F1015" s="166"/>
      <c r="G1015" s="167"/>
      <c r="H1015" s="166"/>
      <c r="I1015" s="72"/>
      <c r="J1015" s="55"/>
      <c r="K1015" s="72"/>
      <c r="L1015" s="55"/>
      <c r="M1015" s="174"/>
      <c r="N1015" s="73" t="str">
        <f>IF(ISBLANK(C1015),"",_xlfn.IFNA(INDEX(inbound_data[],MATCH(Outbound_data[[#This Row],[STOCK CODE OUT]],Generated_Stockcode,0),10),""))</f>
        <v/>
      </c>
      <c r="O1015" s="73" t="str">
        <f>IF(ISBLANK(C1015),"",_xlfn.IFNA(INDEX(inbound_data[],MATCH(Outbound_data[[#This Row],[STOCK CODE OUT]],Generated_Stockcode,0),12),""))</f>
        <v/>
      </c>
      <c r="P1015" s="73" t="str">
        <f>IF(ISBLANK(C1015),"",_xlfn.IFNA(INDEX(inbound_data[],MATCH(Outbound_data[[#This Row],[STOCK CODE OUT]],Generated_Stockcode,0),23),""))</f>
        <v/>
      </c>
      <c r="Q1015" s="73" t="str">
        <f>IF(ISBLANK(C1015),"",_xlfn.IFNA(INDEX(inbound_data[],MATCH(Outbound_data[[#This Row],[STOCK CODE OUT]],Generated_Stockcode,0),13),""))</f>
        <v/>
      </c>
    </row>
    <row r="1016" spans="2:17" x14ac:dyDescent="0.25">
      <c r="B1016" s="71"/>
      <c r="C1016" s="65"/>
      <c r="D1016" s="55"/>
      <c r="E1016" s="65"/>
      <c r="F1016" s="166"/>
      <c r="G1016" s="167"/>
      <c r="H1016" s="166"/>
      <c r="I1016" s="72"/>
      <c r="J1016" s="55"/>
      <c r="K1016" s="72"/>
      <c r="L1016" s="55"/>
      <c r="M1016" s="174"/>
      <c r="N1016" s="73" t="str">
        <f>IF(ISBLANK(C1016),"",_xlfn.IFNA(INDEX(inbound_data[],MATCH(Outbound_data[[#This Row],[STOCK CODE OUT]],Generated_Stockcode,0),10),""))</f>
        <v/>
      </c>
      <c r="O1016" s="73" t="str">
        <f>IF(ISBLANK(C1016),"",_xlfn.IFNA(INDEX(inbound_data[],MATCH(Outbound_data[[#This Row],[STOCK CODE OUT]],Generated_Stockcode,0),12),""))</f>
        <v/>
      </c>
      <c r="P1016" s="73" t="str">
        <f>IF(ISBLANK(C1016),"",_xlfn.IFNA(INDEX(inbound_data[],MATCH(Outbound_data[[#This Row],[STOCK CODE OUT]],Generated_Stockcode,0),23),""))</f>
        <v/>
      </c>
      <c r="Q1016" s="73" t="str">
        <f>IF(ISBLANK(C1016),"",_xlfn.IFNA(INDEX(inbound_data[],MATCH(Outbound_data[[#This Row],[STOCK CODE OUT]],Generated_Stockcode,0),13),""))</f>
        <v/>
      </c>
    </row>
    <row r="1017" spans="2:17" x14ac:dyDescent="0.25">
      <c r="B1017" s="71"/>
      <c r="C1017" s="65"/>
      <c r="D1017" s="55"/>
      <c r="E1017" s="65"/>
      <c r="F1017" s="166"/>
      <c r="G1017" s="167"/>
      <c r="H1017" s="166"/>
      <c r="I1017" s="72"/>
      <c r="J1017" s="55"/>
      <c r="K1017" s="72"/>
      <c r="L1017" s="55"/>
      <c r="M1017" s="174"/>
      <c r="N1017" s="73" t="str">
        <f>IF(ISBLANK(C1017),"",_xlfn.IFNA(INDEX(inbound_data[],MATCH(Outbound_data[[#This Row],[STOCK CODE OUT]],Generated_Stockcode,0),10),""))</f>
        <v/>
      </c>
      <c r="O1017" s="73" t="str">
        <f>IF(ISBLANK(C1017),"",_xlfn.IFNA(INDEX(inbound_data[],MATCH(Outbound_data[[#This Row],[STOCK CODE OUT]],Generated_Stockcode,0),12),""))</f>
        <v/>
      </c>
      <c r="P1017" s="73" t="str">
        <f>IF(ISBLANK(C1017),"",_xlfn.IFNA(INDEX(inbound_data[],MATCH(Outbound_data[[#This Row],[STOCK CODE OUT]],Generated_Stockcode,0),23),""))</f>
        <v/>
      </c>
      <c r="Q1017" s="73" t="str">
        <f>IF(ISBLANK(C1017),"",_xlfn.IFNA(INDEX(inbound_data[],MATCH(Outbound_data[[#This Row],[STOCK CODE OUT]],Generated_Stockcode,0),13),""))</f>
        <v/>
      </c>
    </row>
    <row r="1018" spans="2:17" x14ac:dyDescent="0.25">
      <c r="B1018" s="71"/>
      <c r="C1018" s="65"/>
      <c r="D1018" s="55"/>
      <c r="E1018" s="65"/>
      <c r="F1018" s="166"/>
      <c r="G1018" s="167"/>
      <c r="H1018" s="166"/>
      <c r="I1018" s="72"/>
      <c r="J1018" s="55"/>
      <c r="K1018" s="72"/>
      <c r="L1018" s="55"/>
      <c r="M1018" s="174"/>
      <c r="N1018" s="73" t="str">
        <f>IF(ISBLANK(C1018),"",_xlfn.IFNA(INDEX(inbound_data[],MATCH(Outbound_data[[#This Row],[STOCK CODE OUT]],Generated_Stockcode,0),10),""))</f>
        <v/>
      </c>
      <c r="O1018" s="73" t="str">
        <f>IF(ISBLANK(C1018),"",_xlfn.IFNA(INDEX(inbound_data[],MATCH(Outbound_data[[#This Row],[STOCK CODE OUT]],Generated_Stockcode,0),12),""))</f>
        <v/>
      </c>
      <c r="P1018" s="73" t="str">
        <f>IF(ISBLANK(C1018),"",_xlfn.IFNA(INDEX(inbound_data[],MATCH(Outbound_data[[#This Row],[STOCK CODE OUT]],Generated_Stockcode,0),23),""))</f>
        <v/>
      </c>
      <c r="Q1018" s="73" t="str">
        <f>IF(ISBLANK(C1018),"",_xlfn.IFNA(INDEX(inbound_data[],MATCH(Outbound_data[[#This Row],[STOCK CODE OUT]],Generated_Stockcode,0),13),""))</f>
        <v/>
      </c>
    </row>
    <row r="1019" spans="2:17" x14ac:dyDescent="0.25">
      <c r="B1019" s="71"/>
      <c r="C1019" s="65"/>
      <c r="D1019" s="55"/>
      <c r="E1019" s="65"/>
      <c r="F1019" s="166"/>
      <c r="G1019" s="167"/>
      <c r="H1019" s="166"/>
      <c r="I1019" s="72"/>
      <c r="J1019" s="55"/>
      <c r="K1019" s="72"/>
      <c r="L1019" s="55"/>
      <c r="M1019" s="174"/>
      <c r="N1019" s="73" t="str">
        <f>IF(ISBLANK(C1019),"",_xlfn.IFNA(INDEX(inbound_data[],MATCH(Outbound_data[[#This Row],[STOCK CODE OUT]],Generated_Stockcode,0),10),""))</f>
        <v/>
      </c>
      <c r="O1019" s="73" t="str">
        <f>IF(ISBLANK(C1019),"",_xlfn.IFNA(INDEX(inbound_data[],MATCH(Outbound_data[[#This Row],[STOCK CODE OUT]],Generated_Stockcode,0),12),""))</f>
        <v/>
      </c>
      <c r="P1019" s="73" t="str">
        <f>IF(ISBLANK(C1019),"",_xlfn.IFNA(INDEX(inbound_data[],MATCH(Outbound_data[[#This Row],[STOCK CODE OUT]],Generated_Stockcode,0),23),""))</f>
        <v/>
      </c>
      <c r="Q1019" s="73" t="str">
        <f>IF(ISBLANK(C1019),"",_xlfn.IFNA(INDEX(inbound_data[],MATCH(Outbound_data[[#This Row],[STOCK CODE OUT]],Generated_Stockcode,0),13),""))</f>
        <v/>
      </c>
    </row>
    <row r="1020" spans="2:17" x14ac:dyDescent="0.25">
      <c r="B1020" s="71"/>
      <c r="C1020" s="65"/>
      <c r="D1020" s="55"/>
      <c r="E1020" s="65"/>
      <c r="F1020" s="166"/>
      <c r="G1020" s="167"/>
      <c r="H1020" s="166"/>
      <c r="I1020" s="72"/>
      <c r="J1020" s="55"/>
      <c r="K1020" s="72"/>
      <c r="L1020" s="55"/>
      <c r="M1020" s="174"/>
      <c r="N1020" s="73" t="str">
        <f>IF(ISBLANK(C1020),"",_xlfn.IFNA(INDEX(inbound_data[],MATCH(Outbound_data[[#This Row],[STOCK CODE OUT]],Generated_Stockcode,0),10),""))</f>
        <v/>
      </c>
      <c r="O1020" s="73" t="str">
        <f>IF(ISBLANK(C1020),"",_xlfn.IFNA(INDEX(inbound_data[],MATCH(Outbound_data[[#This Row],[STOCK CODE OUT]],Generated_Stockcode,0),12),""))</f>
        <v/>
      </c>
      <c r="P1020" s="73" t="str">
        <f>IF(ISBLANK(C1020),"",_xlfn.IFNA(INDEX(inbound_data[],MATCH(Outbound_data[[#This Row],[STOCK CODE OUT]],Generated_Stockcode,0),23),""))</f>
        <v/>
      </c>
      <c r="Q1020" s="73" t="str">
        <f>IF(ISBLANK(C1020),"",_xlfn.IFNA(INDEX(inbound_data[],MATCH(Outbound_data[[#This Row],[STOCK CODE OUT]],Generated_Stockcode,0),13),""))</f>
        <v/>
      </c>
    </row>
    <row r="1021" spans="2:17" x14ac:dyDescent="0.25">
      <c r="B1021" s="71"/>
      <c r="C1021" s="65"/>
      <c r="D1021" s="55"/>
      <c r="E1021" s="65"/>
      <c r="F1021" s="166"/>
      <c r="G1021" s="167"/>
      <c r="H1021" s="166"/>
      <c r="I1021" s="72"/>
      <c r="J1021" s="55"/>
      <c r="K1021" s="72"/>
      <c r="L1021" s="55"/>
      <c r="M1021" s="174"/>
      <c r="N1021" s="73" t="str">
        <f>IF(ISBLANK(C1021),"",_xlfn.IFNA(INDEX(inbound_data[],MATCH(Outbound_data[[#This Row],[STOCK CODE OUT]],Generated_Stockcode,0),10),""))</f>
        <v/>
      </c>
      <c r="O1021" s="73" t="str">
        <f>IF(ISBLANK(C1021),"",_xlfn.IFNA(INDEX(inbound_data[],MATCH(Outbound_data[[#This Row],[STOCK CODE OUT]],Generated_Stockcode,0),12),""))</f>
        <v/>
      </c>
      <c r="P1021" s="73" t="str">
        <f>IF(ISBLANK(C1021),"",_xlfn.IFNA(INDEX(inbound_data[],MATCH(Outbound_data[[#This Row],[STOCK CODE OUT]],Generated_Stockcode,0),23),""))</f>
        <v/>
      </c>
      <c r="Q1021" s="73" t="str">
        <f>IF(ISBLANK(C1021),"",_xlfn.IFNA(INDEX(inbound_data[],MATCH(Outbound_data[[#This Row],[STOCK CODE OUT]],Generated_Stockcode,0),13),""))</f>
        <v/>
      </c>
    </row>
    <row r="1022" spans="2:17" x14ac:dyDescent="0.25">
      <c r="B1022" s="71"/>
      <c r="C1022" s="65"/>
      <c r="D1022" s="55"/>
      <c r="E1022" s="65"/>
      <c r="F1022" s="166"/>
      <c r="G1022" s="167"/>
      <c r="H1022" s="166"/>
      <c r="I1022" s="72"/>
      <c r="J1022" s="55"/>
      <c r="K1022" s="72"/>
      <c r="L1022" s="55"/>
      <c r="M1022" s="174"/>
      <c r="N1022" s="73" t="str">
        <f>IF(ISBLANK(C1022),"",_xlfn.IFNA(INDEX(inbound_data[],MATCH(Outbound_data[[#This Row],[STOCK CODE OUT]],Generated_Stockcode,0),10),""))</f>
        <v/>
      </c>
      <c r="O1022" s="73" t="str">
        <f>IF(ISBLANK(C1022),"",_xlfn.IFNA(INDEX(inbound_data[],MATCH(Outbound_data[[#This Row],[STOCK CODE OUT]],Generated_Stockcode,0),12),""))</f>
        <v/>
      </c>
      <c r="P1022" s="73" t="str">
        <f>IF(ISBLANK(C1022),"",_xlfn.IFNA(INDEX(inbound_data[],MATCH(Outbound_data[[#This Row],[STOCK CODE OUT]],Generated_Stockcode,0),23),""))</f>
        <v/>
      </c>
      <c r="Q1022" s="73" t="str">
        <f>IF(ISBLANK(C1022),"",_xlfn.IFNA(INDEX(inbound_data[],MATCH(Outbound_data[[#This Row],[STOCK CODE OUT]],Generated_Stockcode,0),13),""))</f>
        <v/>
      </c>
    </row>
    <row r="1023" spans="2:17" x14ac:dyDescent="0.25">
      <c r="B1023" s="71"/>
      <c r="C1023" s="65"/>
      <c r="D1023" s="55"/>
      <c r="E1023" s="65"/>
      <c r="F1023" s="166"/>
      <c r="G1023" s="167"/>
      <c r="H1023" s="166"/>
      <c r="I1023" s="72"/>
      <c r="J1023" s="55"/>
      <c r="K1023" s="72"/>
      <c r="L1023" s="55"/>
      <c r="M1023" s="174"/>
      <c r="N1023" s="73" t="str">
        <f>IF(ISBLANK(C1023),"",_xlfn.IFNA(INDEX(inbound_data[],MATCH(Outbound_data[[#This Row],[STOCK CODE OUT]],Generated_Stockcode,0),10),""))</f>
        <v/>
      </c>
      <c r="O1023" s="73" t="str">
        <f>IF(ISBLANK(C1023),"",_xlfn.IFNA(INDEX(inbound_data[],MATCH(Outbound_data[[#This Row],[STOCK CODE OUT]],Generated_Stockcode,0),12),""))</f>
        <v/>
      </c>
      <c r="P1023" s="73" t="str">
        <f>IF(ISBLANK(C1023),"",_xlfn.IFNA(INDEX(inbound_data[],MATCH(Outbound_data[[#This Row],[STOCK CODE OUT]],Generated_Stockcode,0),23),""))</f>
        <v/>
      </c>
      <c r="Q1023" s="73" t="str">
        <f>IF(ISBLANK(C1023),"",_xlfn.IFNA(INDEX(inbound_data[],MATCH(Outbound_data[[#This Row],[STOCK CODE OUT]],Generated_Stockcode,0),13),""))</f>
        <v/>
      </c>
    </row>
    <row r="1024" spans="2:17" x14ac:dyDescent="0.25">
      <c r="B1024" s="71"/>
      <c r="C1024" s="65"/>
      <c r="D1024" s="55"/>
      <c r="E1024" s="65"/>
      <c r="F1024" s="166"/>
      <c r="G1024" s="167"/>
      <c r="H1024" s="166"/>
      <c r="I1024" s="72"/>
      <c r="J1024" s="55"/>
      <c r="K1024" s="72"/>
      <c r="L1024" s="55"/>
      <c r="M1024" s="174"/>
      <c r="N1024" s="73" t="str">
        <f>IF(ISBLANK(C1024),"",_xlfn.IFNA(INDEX(inbound_data[],MATCH(Outbound_data[[#This Row],[STOCK CODE OUT]],Generated_Stockcode,0),10),""))</f>
        <v/>
      </c>
      <c r="O1024" s="73" t="str">
        <f>IF(ISBLANK(C1024),"",_xlfn.IFNA(INDEX(inbound_data[],MATCH(Outbound_data[[#This Row],[STOCK CODE OUT]],Generated_Stockcode,0),12),""))</f>
        <v/>
      </c>
      <c r="P1024" s="73" t="str">
        <f>IF(ISBLANK(C1024),"",_xlfn.IFNA(INDEX(inbound_data[],MATCH(Outbound_data[[#This Row],[STOCK CODE OUT]],Generated_Stockcode,0),23),""))</f>
        <v/>
      </c>
      <c r="Q1024" s="73" t="str">
        <f>IF(ISBLANK(C1024),"",_xlfn.IFNA(INDEX(inbound_data[],MATCH(Outbound_data[[#This Row],[STOCK CODE OUT]],Generated_Stockcode,0),13),""))</f>
        <v/>
      </c>
    </row>
    <row r="1025" spans="2:17" x14ac:dyDescent="0.25">
      <c r="B1025" s="71"/>
      <c r="C1025" s="65"/>
      <c r="D1025" s="55"/>
      <c r="E1025" s="65"/>
      <c r="F1025" s="166"/>
      <c r="G1025" s="167"/>
      <c r="H1025" s="166"/>
      <c r="I1025" s="72"/>
      <c r="J1025" s="55"/>
      <c r="K1025" s="72"/>
      <c r="L1025" s="55"/>
      <c r="M1025" s="174"/>
      <c r="N1025" s="73" t="str">
        <f>IF(ISBLANK(C1025),"",_xlfn.IFNA(INDEX(inbound_data[],MATCH(Outbound_data[[#This Row],[STOCK CODE OUT]],Generated_Stockcode,0),10),""))</f>
        <v/>
      </c>
      <c r="O1025" s="73" t="str">
        <f>IF(ISBLANK(C1025),"",_xlfn.IFNA(INDEX(inbound_data[],MATCH(Outbound_data[[#This Row],[STOCK CODE OUT]],Generated_Stockcode,0),12),""))</f>
        <v/>
      </c>
      <c r="P1025" s="73" t="str">
        <f>IF(ISBLANK(C1025),"",_xlfn.IFNA(INDEX(inbound_data[],MATCH(Outbound_data[[#This Row],[STOCK CODE OUT]],Generated_Stockcode,0),23),""))</f>
        <v/>
      </c>
      <c r="Q1025" s="73" t="str">
        <f>IF(ISBLANK(C1025),"",_xlfn.IFNA(INDEX(inbound_data[],MATCH(Outbound_data[[#This Row],[STOCK CODE OUT]],Generated_Stockcode,0),13),""))</f>
        <v/>
      </c>
    </row>
    <row r="1026" spans="2:17" x14ac:dyDescent="0.25">
      <c r="B1026" s="71"/>
      <c r="C1026" s="65"/>
      <c r="D1026" s="55"/>
      <c r="E1026" s="65"/>
      <c r="F1026" s="166"/>
      <c r="G1026" s="167"/>
      <c r="H1026" s="166"/>
      <c r="I1026" s="72"/>
      <c r="J1026" s="55"/>
      <c r="K1026" s="72"/>
      <c r="L1026" s="55"/>
      <c r="M1026" s="174"/>
      <c r="N1026" s="73" t="str">
        <f>IF(ISBLANK(C1026),"",_xlfn.IFNA(INDEX(inbound_data[],MATCH(Outbound_data[[#This Row],[STOCK CODE OUT]],Generated_Stockcode,0),10),""))</f>
        <v/>
      </c>
      <c r="O1026" s="73" t="str">
        <f>IF(ISBLANK(C1026),"",_xlfn.IFNA(INDEX(inbound_data[],MATCH(Outbound_data[[#This Row],[STOCK CODE OUT]],Generated_Stockcode,0),12),""))</f>
        <v/>
      </c>
      <c r="P1026" s="73" t="str">
        <f>IF(ISBLANK(C1026),"",_xlfn.IFNA(INDEX(inbound_data[],MATCH(Outbound_data[[#This Row],[STOCK CODE OUT]],Generated_Stockcode,0),23),""))</f>
        <v/>
      </c>
      <c r="Q1026" s="73" t="str">
        <f>IF(ISBLANK(C1026),"",_xlfn.IFNA(INDEX(inbound_data[],MATCH(Outbound_data[[#This Row],[STOCK CODE OUT]],Generated_Stockcode,0),13),""))</f>
        <v/>
      </c>
    </row>
    <row r="1027" spans="2:17" x14ac:dyDescent="0.25">
      <c r="B1027" s="71"/>
      <c r="C1027" s="65"/>
      <c r="D1027" s="55"/>
      <c r="E1027" s="65"/>
      <c r="F1027" s="166"/>
      <c r="G1027" s="167"/>
      <c r="H1027" s="166"/>
      <c r="I1027" s="72"/>
      <c r="J1027" s="55"/>
      <c r="K1027" s="72"/>
      <c r="L1027" s="55"/>
      <c r="M1027" s="174"/>
      <c r="N1027" s="73" t="str">
        <f>IF(ISBLANK(C1027),"",_xlfn.IFNA(INDEX(inbound_data[],MATCH(Outbound_data[[#This Row],[STOCK CODE OUT]],Generated_Stockcode,0),10),""))</f>
        <v/>
      </c>
      <c r="O1027" s="73" t="str">
        <f>IF(ISBLANK(C1027),"",_xlfn.IFNA(INDEX(inbound_data[],MATCH(Outbound_data[[#This Row],[STOCK CODE OUT]],Generated_Stockcode,0),12),""))</f>
        <v/>
      </c>
      <c r="P1027" s="73" t="str">
        <f>IF(ISBLANK(C1027),"",_xlfn.IFNA(INDEX(inbound_data[],MATCH(Outbound_data[[#This Row],[STOCK CODE OUT]],Generated_Stockcode,0),23),""))</f>
        <v/>
      </c>
      <c r="Q1027" s="73" t="str">
        <f>IF(ISBLANK(C1027),"",_xlfn.IFNA(INDEX(inbound_data[],MATCH(Outbound_data[[#This Row],[STOCK CODE OUT]],Generated_Stockcode,0),13),""))</f>
        <v/>
      </c>
    </row>
    <row r="1028" spans="2:17" x14ac:dyDescent="0.25">
      <c r="B1028" s="71"/>
      <c r="C1028" s="65"/>
      <c r="D1028" s="55"/>
      <c r="E1028" s="65"/>
      <c r="F1028" s="166"/>
      <c r="G1028" s="167"/>
      <c r="H1028" s="166"/>
      <c r="I1028" s="72"/>
      <c r="J1028" s="55"/>
      <c r="K1028" s="72"/>
      <c r="L1028" s="55"/>
      <c r="M1028" s="174"/>
      <c r="N1028" s="73" t="str">
        <f>IF(ISBLANK(C1028),"",_xlfn.IFNA(INDEX(inbound_data[],MATCH(Outbound_data[[#This Row],[STOCK CODE OUT]],Generated_Stockcode,0),10),""))</f>
        <v/>
      </c>
      <c r="O1028" s="73" t="str">
        <f>IF(ISBLANK(C1028),"",_xlfn.IFNA(INDEX(inbound_data[],MATCH(Outbound_data[[#This Row],[STOCK CODE OUT]],Generated_Stockcode,0),12),""))</f>
        <v/>
      </c>
      <c r="P1028" s="73" t="str">
        <f>IF(ISBLANK(C1028),"",_xlfn.IFNA(INDEX(inbound_data[],MATCH(Outbound_data[[#This Row],[STOCK CODE OUT]],Generated_Stockcode,0),23),""))</f>
        <v/>
      </c>
      <c r="Q1028" s="73" t="str">
        <f>IF(ISBLANK(C1028),"",_xlfn.IFNA(INDEX(inbound_data[],MATCH(Outbound_data[[#This Row],[STOCK CODE OUT]],Generated_Stockcode,0),13),""))</f>
        <v/>
      </c>
    </row>
    <row r="1029" spans="2:17" x14ac:dyDescent="0.25">
      <c r="B1029" s="71"/>
      <c r="C1029" s="65"/>
      <c r="D1029" s="55"/>
      <c r="E1029" s="65"/>
      <c r="F1029" s="166"/>
      <c r="G1029" s="167"/>
      <c r="H1029" s="166"/>
      <c r="I1029" s="72"/>
      <c r="J1029" s="55"/>
      <c r="K1029" s="72"/>
      <c r="L1029" s="55"/>
      <c r="M1029" s="174"/>
      <c r="N1029" s="73" t="str">
        <f>IF(ISBLANK(C1029),"",_xlfn.IFNA(INDEX(inbound_data[],MATCH(Outbound_data[[#This Row],[STOCK CODE OUT]],Generated_Stockcode,0),10),""))</f>
        <v/>
      </c>
      <c r="O1029" s="73" t="str">
        <f>IF(ISBLANK(C1029),"",_xlfn.IFNA(INDEX(inbound_data[],MATCH(Outbound_data[[#This Row],[STOCK CODE OUT]],Generated_Stockcode,0),12),""))</f>
        <v/>
      </c>
      <c r="P1029" s="73" t="str">
        <f>IF(ISBLANK(C1029),"",_xlfn.IFNA(INDEX(inbound_data[],MATCH(Outbound_data[[#This Row],[STOCK CODE OUT]],Generated_Stockcode,0),23),""))</f>
        <v/>
      </c>
      <c r="Q1029" s="73" t="str">
        <f>IF(ISBLANK(C1029),"",_xlfn.IFNA(INDEX(inbound_data[],MATCH(Outbound_data[[#This Row],[STOCK CODE OUT]],Generated_Stockcode,0),13),""))</f>
        <v/>
      </c>
    </row>
    <row r="1030" spans="2:17" x14ac:dyDescent="0.25">
      <c r="B1030" s="71"/>
      <c r="C1030" s="65"/>
      <c r="D1030" s="55"/>
      <c r="E1030" s="65"/>
      <c r="F1030" s="166"/>
      <c r="G1030" s="167"/>
      <c r="H1030" s="166"/>
      <c r="I1030" s="72"/>
      <c r="J1030" s="55"/>
      <c r="K1030" s="72"/>
      <c r="L1030" s="55"/>
      <c r="M1030" s="174"/>
      <c r="N1030" s="73" t="str">
        <f>IF(ISBLANK(C1030),"",_xlfn.IFNA(INDEX(inbound_data[],MATCH(Outbound_data[[#This Row],[STOCK CODE OUT]],Generated_Stockcode,0),10),""))</f>
        <v/>
      </c>
      <c r="O1030" s="73" t="str">
        <f>IF(ISBLANK(C1030),"",_xlfn.IFNA(INDEX(inbound_data[],MATCH(Outbound_data[[#This Row],[STOCK CODE OUT]],Generated_Stockcode,0),12),""))</f>
        <v/>
      </c>
      <c r="P1030" s="73" t="str">
        <f>IF(ISBLANK(C1030),"",_xlfn.IFNA(INDEX(inbound_data[],MATCH(Outbound_data[[#This Row],[STOCK CODE OUT]],Generated_Stockcode,0),23),""))</f>
        <v/>
      </c>
      <c r="Q1030" s="73" t="str">
        <f>IF(ISBLANK(C1030),"",_xlfn.IFNA(INDEX(inbound_data[],MATCH(Outbound_data[[#This Row],[STOCK CODE OUT]],Generated_Stockcode,0),13),""))</f>
        <v/>
      </c>
    </row>
    <row r="1031" spans="2:17" x14ac:dyDescent="0.25">
      <c r="B1031" s="71"/>
      <c r="C1031" s="65"/>
      <c r="D1031" s="55"/>
      <c r="E1031" s="65"/>
      <c r="F1031" s="166"/>
      <c r="G1031" s="167"/>
      <c r="H1031" s="166"/>
      <c r="I1031" s="72"/>
      <c r="J1031" s="55"/>
      <c r="K1031" s="72"/>
      <c r="L1031" s="55"/>
      <c r="M1031" s="174"/>
      <c r="N1031" s="73" t="str">
        <f>IF(ISBLANK(C1031),"",_xlfn.IFNA(INDEX(inbound_data[],MATCH(Outbound_data[[#This Row],[STOCK CODE OUT]],Generated_Stockcode,0),10),""))</f>
        <v/>
      </c>
      <c r="O1031" s="73" t="str">
        <f>IF(ISBLANK(C1031),"",_xlfn.IFNA(INDEX(inbound_data[],MATCH(Outbound_data[[#This Row],[STOCK CODE OUT]],Generated_Stockcode,0),12),""))</f>
        <v/>
      </c>
      <c r="P1031" s="73" t="str">
        <f>IF(ISBLANK(C1031),"",_xlfn.IFNA(INDEX(inbound_data[],MATCH(Outbound_data[[#This Row],[STOCK CODE OUT]],Generated_Stockcode,0),23),""))</f>
        <v/>
      </c>
      <c r="Q1031" s="73" t="str">
        <f>IF(ISBLANK(C1031),"",_xlfn.IFNA(INDEX(inbound_data[],MATCH(Outbound_data[[#This Row],[STOCK CODE OUT]],Generated_Stockcode,0),13),""))</f>
        <v/>
      </c>
    </row>
    <row r="1032" spans="2:17" x14ac:dyDescent="0.25">
      <c r="B1032" s="71"/>
      <c r="C1032" s="65"/>
      <c r="D1032" s="55"/>
      <c r="E1032" s="65"/>
      <c r="F1032" s="166"/>
      <c r="G1032" s="167"/>
      <c r="H1032" s="166"/>
      <c r="I1032" s="72"/>
      <c r="J1032" s="55"/>
      <c r="K1032" s="72"/>
      <c r="L1032" s="55"/>
      <c r="M1032" s="174"/>
      <c r="N1032" s="73" t="str">
        <f>IF(ISBLANK(C1032),"",_xlfn.IFNA(INDEX(inbound_data[],MATCH(Outbound_data[[#This Row],[STOCK CODE OUT]],Generated_Stockcode,0),10),""))</f>
        <v/>
      </c>
      <c r="O1032" s="73" t="str">
        <f>IF(ISBLANK(C1032),"",_xlfn.IFNA(INDEX(inbound_data[],MATCH(Outbound_data[[#This Row],[STOCK CODE OUT]],Generated_Stockcode,0),12),""))</f>
        <v/>
      </c>
      <c r="P1032" s="73" t="str">
        <f>IF(ISBLANK(C1032),"",_xlfn.IFNA(INDEX(inbound_data[],MATCH(Outbound_data[[#This Row],[STOCK CODE OUT]],Generated_Stockcode,0),23),""))</f>
        <v/>
      </c>
      <c r="Q1032" s="73" t="str">
        <f>IF(ISBLANK(C1032),"",_xlfn.IFNA(INDEX(inbound_data[],MATCH(Outbound_data[[#This Row],[STOCK CODE OUT]],Generated_Stockcode,0),13),""))</f>
        <v/>
      </c>
    </row>
    <row r="1033" spans="2:17" x14ac:dyDescent="0.25">
      <c r="B1033" s="71"/>
      <c r="C1033" s="65"/>
      <c r="D1033" s="55"/>
      <c r="E1033" s="65"/>
      <c r="F1033" s="166"/>
      <c r="G1033" s="167"/>
      <c r="H1033" s="166"/>
      <c r="I1033" s="72"/>
      <c r="J1033" s="55"/>
      <c r="K1033" s="72"/>
      <c r="L1033" s="55"/>
      <c r="M1033" s="174"/>
      <c r="N1033" s="73" t="str">
        <f>IF(ISBLANK(C1033),"",_xlfn.IFNA(INDEX(inbound_data[],MATCH(Outbound_data[[#This Row],[STOCK CODE OUT]],Generated_Stockcode,0),10),""))</f>
        <v/>
      </c>
      <c r="O1033" s="73" t="str">
        <f>IF(ISBLANK(C1033),"",_xlfn.IFNA(INDEX(inbound_data[],MATCH(Outbound_data[[#This Row],[STOCK CODE OUT]],Generated_Stockcode,0),12),""))</f>
        <v/>
      </c>
      <c r="P1033" s="73" t="str">
        <f>IF(ISBLANK(C1033),"",_xlfn.IFNA(INDEX(inbound_data[],MATCH(Outbound_data[[#This Row],[STOCK CODE OUT]],Generated_Stockcode,0),23),""))</f>
        <v/>
      </c>
      <c r="Q1033" s="73" t="str">
        <f>IF(ISBLANK(C1033),"",_xlfn.IFNA(INDEX(inbound_data[],MATCH(Outbound_data[[#This Row],[STOCK CODE OUT]],Generated_Stockcode,0),13),""))</f>
        <v/>
      </c>
    </row>
    <row r="1034" spans="2:17" x14ac:dyDescent="0.25">
      <c r="B1034" s="71"/>
      <c r="C1034" s="65"/>
      <c r="D1034" s="55"/>
      <c r="E1034" s="65"/>
      <c r="F1034" s="166"/>
      <c r="G1034" s="167"/>
      <c r="H1034" s="166"/>
      <c r="I1034" s="72"/>
      <c r="J1034" s="55"/>
      <c r="K1034" s="72"/>
      <c r="L1034" s="55"/>
      <c r="M1034" s="174"/>
      <c r="N1034" s="73" t="str">
        <f>IF(ISBLANK(C1034),"",_xlfn.IFNA(INDEX(inbound_data[],MATCH(Outbound_data[[#This Row],[STOCK CODE OUT]],Generated_Stockcode,0),10),""))</f>
        <v/>
      </c>
      <c r="O1034" s="73" t="str">
        <f>IF(ISBLANK(C1034),"",_xlfn.IFNA(INDEX(inbound_data[],MATCH(Outbound_data[[#This Row],[STOCK CODE OUT]],Generated_Stockcode,0),12),""))</f>
        <v/>
      </c>
      <c r="P1034" s="73" t="str">
        <f>IF(ISBLANK(C1034),"",_xlfn.IFNA(INDEX(inbound_data[],MATCH(Outbound_data[[#This Row],[STOCK CODE OUT]],Generated_Stockcode,0),23),""))</f>
        <v/>
      </c>
      <c r="Q1034" s="73" t="str">
        <f>IF(ISBLANK(C1034),"",_xlfn.IFNA(INDEX(inbound_data[],MATCH(Outbound_data[[#This Row],[STOCK CODE OUT]],Generated_Stockcode,0),13),""))</f>
        <v/>
      </c>
    </row>
    <row r="1035" spans="2:17" x14ac:dyDescent="0.25">
      <c r="B1035" s="71"/>
      <c r="C1035" s="65"/>
      <c r="D1035" s="55"/>
      <c r="E1035" s="65"/>
      <c r="F1035" s="166"/>
      <c r="G1035" s="167"/>
      <c r="H1035" s="166"/>
      <c r="I1035" s="72"/>
      <c r="J1035" s="55"/>
      <c r="K1035" s="72"/>
      <c r="L1035" s="55"/>
      <c r="M1035" s="174"/>
      <c r="N1035" s="73" t="str">
        <f>IF(ISBLANK(C1035),"",_xlfn.IFNA(INDEX(inbound_data[],MATCH(Outbound_data[[#This Row],[STOCK CODE OUT]],Generated_Stockcode,0),10),""))</f>
        <v/>
      </c>
      <c r="O1035" s="73" t="str">
        <f>IF(ISBLANK(C1035),"",_xlfn.IFNA(INDEX(inbound_data[],MATCH(Outbound_data[[#This Row],[STOCK CODE OUT]],Generated_Stockcode,0),12),""))</f>
        <v/>
      </c>
      <c r="P1035" s="73" t="str">
        <f>IF(ISBLANK(C1035),"",_xlfn.IFNA(INDEX(inbound_data[],MATCH(Outbound_data[[#This Row],[STOCK CODE OUT]],Generated_Stockcode,0),23),""))</f>
        <v/>
      </c>
      <c r="Q1035" s="73" t="str">
        <f>IF(ISBLANK(C1035),"",_xlfn.IFNA(INDEX(inbound_data[],MATCH(Outbound_data[[#This Row],[STOCK CODE OUT]],Generated_Stockcode,0),13),""))</f>
        <v/>
      </c>
    </row>
    <row r="1036" spans="2:17" x14ac:dyDescent="0.25">
      <c r="B1036" s="71"/>
      <c r="C1036" s="65"/>
      <c r="D1036" s="55"/>
      <c r="E1036" s="65"/>
      <c r="F1036" s="166"/>
      <c r="G1036" s="167"/>
      <c r="H1036" s="166"/>
      <c r="I1036" s="72"/>
      <c r="J1036" s="55"/>
      <c r="K1036" s="72"/>
      <c r="L1036" s="55"/>
      <c r="M1036" s="174"/>
      <c r="N1036" s="73" t="str">
        <f>IF(ISBLANK(C1036),"",_xlfn.IFNA(INDEX(inbound_data[],MATCH(Outbound_data[[#This Row],[STOCK CODE OUT]],Generated_Stockcode,0),10),""))</f>
        <v/>
      </c>
      <c r="O1036" s="73" t="str">
        <f>IF(ISBLANK(C1036),"",_xlfn.IFNA(INDEX(inbound_data[],MATCH(Outbound_data[[#This Row],[STOCK CODE OUT]],Generated_Stockcode,0),12),""))</f>
        <v/>
      </c>
      <c r="P1036" s="73" t="str">
        <f>IF(ISBLANK(C1036),"",_xlfn.IFNA(INDEX(inbound_data[],MATCH(Outbound_data[[#This Row],[STOCK CODE OUT]],Generated_Stockcode,0),23),""))</f>
        <v/>
      </c>
      <c r="Q1036" s="73" t="str">
        <f>IF(ISBLANK(C1036),"",_xlfn.IFNA(INDEX(inbound_data[],MATCH(Outbound_data[[#This Row],[STOCK CODE OUT]],Generated_Stockcode,0),13),""))</f>
        <v/>
      </c>
    </row>
    <row r="1037" spans="2:17" x14ac:dyDescent="0.25">
      <c r="B1037" s="71"/>
      <c r="C1037" s="65"/>
      <c r="D1037" s="55"/>
      <c r="E1037" s="65"/>
      <c r="F1037" s="166"/>
      <c r="G1037" s="167"/>
      <c r="H1037" s="166"/>
      <c r="I1037" s="72"/>
      <c r="J1037" s="55"/>
      <c r="K1037" s="72"/>
      <c r="L1037" s="55"/>
      <c r="M1037" s="174"/>
      <c r="N1037" s="73" t="str">
        <f>IF(ISBLANK(C1037),"",_xlfn.IFNA(INDEX(inbound_data[],MATCH(Outbound_data[[#This Row],[STOCK CODE OUT]],Generated_Stockcode,0),10),""))</f>
        <v/>
      </c>
      <c r="O1037" s="73" t="str">
        <f>IF(ISBLANK(C1037),"",_xlfn.IFNA(INDEX(inbound_data[],MATCH(Outbound_data[[#This Row],[STOCK CODE OUT]],Generated_Stockcode,0),12),""))</f>
        <v/>
      </c>
      <c r="P1037" s="73" t="str">
        <f>IF(ISBLANK(C1037),"",_xlfn.IFNA(INDEX(inbound_data[],MATCH(Outbound_data[[#This Row],[STOCK CODE OUT]],Generated_Stockcode,0),23),""))</f>
        <v/>
      </c>
      <c r="Q1037" s="73" t="str">
        <f>IF(ISBLANK(C1037),"",_xlfn.IFNA(INDEX(inbound_data[],MATCH(Outbound_data[[#This Row],[STOCK CODE OUT]],Generated_Stockcode,0),13),""))</f>
        <v/>
      </c>
    </row>
    <row r="1038" spans="2:17" x14ac:dyDescent="0.25">
      <c r="B1038" s="71"/>
      <c r="C1038" s="65"/>
      <c r="D1038" s="55"/>
      <c r="E1038" s="65"/>
      <c r="F1038" s="166"/>
      <c r="G1038" s="167"/>
      <c r="H1038" s="166"/>
      <c r="I1038" s="72"/>
      <c r="J1038" s="55"/>
      <c r="K1038" s="72"/>
      <c r="L1038" s="55"/>
      <c r="M1038" s="174"/>
      <c r="N1038" s="73" t="str">
        <f>IF(ISBLANK(C1038),"",_xlfn.IFNA(INDEX(inbound_data[],MATCH(Outbound_data[[#This Row],[STOCK CODE OUT]],Generated_Stockcode,0),10),""))</f>
        <v/>
      </c>
      <c r="O1038" s="73" t="str">
        <f>IF(ISBLANK(C1038),"",_xlfn.IFNA(INDEX(inbound_data[],MATCH(Outbound_data[[#This Row],[STOCK CODE OUT]],Generated_Stockcode,0),12),""))</f>
        <v/>
      </c>
      <c r="P1038" s="73" t="str">
        <f>IF(ISBLANK(C1038),"",_xlfn.IFNA(INDEX(inbound_data[],MATCH(Outbound_data[[#This Row],[STOCK CODE OUT]],Generated_Stockcode,0),23),""))</f>
        <v/>
      </c>
      <c r="Q1038" s="73" t="str">
        <f>IF(ISBLANK(C1038),"",_xlfn.IFNA(INDEX(inbound_data[],MATCH(Outbound_data[[#This Row],[STOCK CODE OUT]],Generated_Stockcode,0),13),""))</f>
        <v/>
      </c>
    </row>
    <row r="1039" spans="2:17" x14ac:dyDescent="0.25">
      <c r="B1039" s="71"/>
      <c r="C1039" s="65"/>
      <c r="D1039" s="55"/>
      <c r="E1039" s="65"/>
      <c r="F1039" s="166"/>
      <c r="G1039" s="167"/>
      <c r="H1039" s="166"/>
      <c r="I1039" s="72"/>
      <c r="J1039" s="55"/>
      <c r="K1039" s="72"/>
      <c r="L1039" s="55"/>
      <c r="M1039" s="174"/>
      <c r="N1039" s="73" t="str">
        <f>IF(ISBLANK(C1039),"",_xlfn.IFNA(INDEX(inbound_data[],MATCH(Outbound_data[[#This Row],[STOCK CODE OUT]],Generated_Stockcode,0),10),""))</f>
        <v/>
      </c>
      <c r="O1039" s="73" t="str">
        <f>IF(ISBLANK(C1039),"",_xlfn.IFNA(INDEX(inbound_data[],MATCH(Outbound_data[[#This Row],[STOCK CODE OUT]],Generated_Stockcode,0),12),""))</f>
        <v/>
      </c>
      <c r="P1039" s="73" t="str">
        <f>IF(ISBLANK(C1039),"",_xlfn.IFNA(INDEX(inbound_data[],MATCH(Outbound_data[[#This Row],[STOCK CODE OUT]],Generated_Stockcode,0),23),""))</f>
        <v/>
      </c>
      <c r="Q1039" s="73" t="str">
        <f>IF(ISBLANK(C1039),"",_xlfn.IFNA(INDEX(inbound_data[],MATCH(Outbound_data[[#This Row],[STOCK CODE OUT]],Generated_Stockcode,0),13),""))</f>
        <v/>
      </c>
    </row>
    <row r="1040" spans="2:17" x14ac:dyDescent="0.25">
      <c r="B1040" s="71"/>
      <c r="C1040" s="65"/>
      <c r="D1040" s="55"/>
      <c r="E1040" s="65"/>
      <c r="F1040" s="166"/>
      <c r="G1040" s="167"/>
      <c r="H1040" s="166"/>
      <c r="I1040" s="72"/>
      <c r="J1040" s="55"/>
      <c r="K1040" s="72"/>
      <c r="L1040" s="55"/>
      <c r="M1040" s="174"/>
      <c r="N1040" s="73" t="str">
        <f>IF(ISBLANK(C1040),"",_xlfn.IFNA(INDEX(inbound_data[],MATCH(Outbound_data[[#This Row],[STOCK CODE OUT]],Generated_Stockcode,0),10),""))</f>
        <v/>
      </c>
      <c r="O1040" s="73" t="str">
        <f>IF(ISBLANK(C1040),"",_xlfn.IFNA(INDEX(inbound_data[],MATCH(Outbound_data[[#This Row],[STOCK CODE OUT]],Generated_Stockcode,0),12),""))</f>
        <v/>
      </c>
      <c r="P1040" s="73" t="str">
        <f>IF(ISBLANK(C1040),"",_xlfn.IFNA(INDEX(inbound_data[],MATCH(Outbound_data[[#This Row],[STOCK CODE OUT]],Generated_Stockcode,0),23),""))</f>
        <v/>
      </c>
      <c r="Q1040" s="73" t="str">
        <f>IF(ISBLANK(C1040),"",_xlfn.IFNA(INDEX(inbound_data[],MATCH(Outbound_data[[#This Row],[STOCK CODE OUT]],Generated_Stockcode,0),13),""))</f>
        <v/>
      </c>
    </row>
    <row r="1041" spans="2:17" x14ac:dyDescent="0.25">
      <c r="B1041" s="71"/>
      <c r="C1041" s="65"/>
      <c r="D1041" s="55"/>
      <c r="E1041" s="65"/>
      <c r="F1041" s="166"/>
      <c r="G1041" s="167"/>
      <c r="H1041" s="166"/>
      <c r="I1041" s="72"/>
      <c r="J1041" s="55"/>
      <c r="K1041" s="72"/>
      <c r="L1041" s="55"/>
      <c r="M1041" s="174"/>
      <c r="N1041" s="73" t="str">
        <f>IF(ISBLANK(C1041),"",_xlfn.IFNA(INDEX(inbound_data[],MATCH(Outbound_data[[#This Row],[STOCK CODE OUT]],Generated_Stockcode,0),10),""))</f>
        <v/>
      </c>
      <c r="O1041" s="73" t="str">
        <f>IF(ISBLANK(C1041),"",_xlfn.IFNA(INDEX(inbound_data[],MATCH(Outbound_data[[#This Row],[STOCK CODE OUT]],Generated_Stockcode,0),12),""))</f>
        <v/>
      </c>
      <c r="P1041" s="73" t="str">
        <f>IF(ISBLANK(C1041),"",_xlfn.IFNA(INDEX(inbound_data[],MATCH(Outbound_data[[#This Row],[STOCK CODE OUT]],Generated_Stockcode,0),23),""))</f>
        <v/>
      </c>
      <c r="Q1041" s="73" t="str">
        <f>IF(ISBLANK(C1041),"",_xlfn.IFNA(INDEX(inbound_data[],MATCH(Outbound_data[[#This Row],[STOCK CODE OUT]],Generated_Stockcode,0),13),""))</f>
        <v/>
      </c>
    </row>
    <row r="1042" spans="2:17" x14ac:dyDescent="0.25">
      <c r="B1042" s="71"/>
      <c r="C1042" s="65"/>
      <c r="D1042" s="55"/>
      <c r="E1042" s="65"/>
      <c r="F1042" s="166"/>
      <c r="G1042" s="167"/>
      <c r="H1042" s="166"/>
      <c r="I1042" s="72"/>
      <c r="J1042" s="55"/>
      <c r="K1042" s="72"/>
      <c r="L1042" s="55"/>
      <c r="M1042" s="174"/>
      <c r="N1042" s="73" t="str">
        <f>IF(ISBLANK(C1042),"",_xlfn.IFNA(INDEX(inbound_data[],MATCH(Outbound_data[[#This Row],[STOCK CODE OUT]],Generated_Stockcode,0),10),""))</f>
        <v/>
      </c>
      <c r="O1042" s="73" t="str">
        <f>IF(ISBLANK(C1042),"",_xlfn.IFNA(INDEX(inbound_data[],MATCH(Outbound_data[[#This Row],[STOCK CODE OUT]],Generated_Stockcode,0),12),""))</f>
        <v/>
      </c>
      <c r="P1042" s="73" t="str">
        <f>IF(ISBLANK(C1042),"",_xlfn.IFNA(INDEX(inbound_data[],MATCH(Outbound_data[[#This Row],[STOCK CODE OUT]],Generated_Stockcode,0),23),""))</f>
        <v/>
      </c>
      <c r="Q1042" s="73" t="str">
        <f>IF(ISBLANK(C1042),"",_xlfn.IFNA(INDEX(inbound_data[],MATCH(Outbound_data[[#This Row],[STOCK CODE OUT]],Generated_Stockcode,0),13),""))</f>
        <v/>
      </c>
    </row>
    <row r="1043" spans="2:17" x14ac:dyDescent="0.25">
      <c r="B1043" s="71"/>
      <c r="C1043" s="65"/>
      <c r="D1043" s="55"/>
      <c r="E1043" s="65"/>
      <c r="F1043" s="166"/>
      <c r="G1043" s="167"/>
      <c r="H1043" s="166"/>
      <c r="I1043" s="72"/>
      <c r="J1043" s="55"/>
      <c r="K1043" s="72"/>
      <c r="L1043" s="55"/>
      <c r="M1043" s="174"/>
      <c r="N1043" s="73" t="str">
        <f>IF(ISBLANK(C1043),"",_xlfn.IFNA(INDEX(inbound_data[],MATCH(Outbound_data[[#This Row],[STOCK CODE OUT]],Generated_Stockcode,0),10),""))</f>
        <v/>
      </c>
      <c r="O1043" s="73" t="str">
        <f>IF(ISBLANK(C1043),"",_xlfn.IFNA(INDEX(inbound_data[],MATCH(Outbound_data[[#This Row],[STOCK CODE OUT]],Generated_Stockcode,0),12),""))</f>
        <v/>
      </c>
      <c r="P1043" s="73" t="str">
        <f>IF(ISBLANK(C1043),"",_xlfn.IFNA(INDEX(inbound_data[],MATCH(Outbound_data[[#This Row],[STOCK CODE OUT]],Generated_Stockcode,0),23),""))</f>
        <v/>
      </c>
      <c r="Q1043" s="73" t="str">
        <f>IF(ISBLANK(C1043),"",_xlfn.IFNA(INDEX(inbound_data[],MATCH(Outbound_data[[#This Row],[STOCK CODE OUT]],Generated_Stockcode,0),13),""))</f>
        <v/>
      </c>
    </row>
    <row r="1044" spans="2:17" x14ac:dyDescent="0.25">
      <c r="B1044" s="71"/>
      <c r="C1044" s="65"/>
      <c r="D1044" s="55"/>
      <c r="E1044" s="65"/>
      <c r="F1044" s="166"/>
      <c r="G1044" s="167"/>
      <c r="H1044" s="166"/>
      <c r="I1044" s="72"/>
      <c r="J1044" s="55"/>
      <c r="K1044" s="72"/>
      <c r="L1044" s="55"/>
      <c r="M1044" s="174"/>
      <c r="N1044" s="73" t="str">
        <f>IF(ISBLANK(C1044),"",_xlfn.IFNA(INDEX(inbound_data[],MATCH(Outbound_data[[#This Row],[STOCK CODE OUT]],Generated_Stockcode,0),10),""))</f>
        <v/>
      </c>
      <c r="O1044" s="73" t="str">
        <f>IF(ISBLANK(C1044),"",_xlfn.IFNA(INDEX(inbound_data[],MATCH(Outbound_data[[#This Row],[STOCK CODE OUT]],Generated_Stockcode,0),12),""))</f>
        <v/>
      </c>
      <c r="P1044" s="73" t="str">
        <f>IF(ISBLANK(C1044),"",_xlfn.IFNA(INDEX(inbound_data[],MATCH(Outbound_data[[#This Row],[STOCK CODE OUT]],Generated_Stockcode,0),23),""))</f>
        <v/>
      </c>
      <c r="Q1044" s="73" t="str">
        <f>IF(ISBLANK(C1044),"",_xlfn.IFNA(INDEX(inbound_data[],MATCH(Outbound_data[[#This Row],[STOCK CODE OUT]],Generated_Stockcode,0),13),""))</f>
        <v/>
      </c>
    </row>
    <row r="1045" spans="2:17" x14ac:dyDescent="0.25">
      <c r="B1045" s="71"/>
      <c r="C1045" s="65"/>
      <c r="D1045" s="55"/>
      <c r="E1045" s="65"/>
      <c r="F1045" s="166"/>
      <c r="G1045" s="167"/>
      <c r="H1045" s="166"/>
      <c r="I1045" s="72"/>
      <c r="J1045" s="55"/>
      <c r="K1045" s="72"/>
      <c r="L1045" s="55"/>
      <c r="M1045" s="174"/>
      <c r="N1045" s="73" t="str">
        <f>IF(ISBLANK(C1045),"",_xlfn.IFNA(INDEX(inbound_data[],MATCH(Outbound_data[[#This Row],[STOCK CODE OUT]],Generated_Stockcode,0),10),""))</f>
        <v/>
      </c>
      <c r="O1045" s="73" t="str">
        <f>IF(ISBLANK(C1045),"",_xlfn.IFNA(INDEX(inbound_data[],MATCH(Outbound_data[[#This Row],[STOCK CODE OUT]],Generated_Stockcode,0),12),""))</f>
        <v/>
      </c>
      <c r="P1045" s="73" t="str">
        <f>IF(ISBLANK(C1045),"",_xlfn.IFNA(INDEX(inbound_data[],MATCH(Outbound_data[[#This Row],[STOCK CODE OUT]],Generated_Stockcode,0),23),""))</f>
        <v/>
      </c>
      <c r="Q1045" s="73" t="str">
        <f>IF(ISBLANK(C1045),"",_xlfn.IFNA(INDEX(inbound_data[],MATCH(Outbound_data[[#This Row],[STOCK CODE OUT]],Generated_Stockcode,0),13),""))</f>
        <v/>
      </c>
    </row>
    <row r="1046" spans="2:17" x14ac:dyDescent="0.25">
      <c r="B1046" s="71"/>
      <c r="C1046" s="65"/>
      <c r="D1046" s="55"/>
      <c r="E1046" s="65"/>
      <c r="F1046" s="166"/>
      <c r="G1046" s="167"/>
      <c r="H1046" s="166"/>
      <c r="I1046" s="72"/>
      <c r="J1046" s="55"/>
      <c r="K1046" s="72"/>
      <c r="L1046" s="55"/>
      <c r="M1046" s="174"/>
      <c r="N1046" s="73" t="str">
        <f>IF(ISBLANK(C1046),"",_xlfn.IFNA(INDEX(inbound_data[],MATCH(Outbound_data[[#This Row],[STOCK CODE OUT]],Generated_Stockcode,0),10),""))</f>
        <v/>
      </c>
      <c r="O1046" s="73" t="str">
        <f>IF(ISBLANK(C1046),"",_xlfn.IFNA(INDEX(inbound_data[],MATCH(Outbound_data[[#This Row],[STOCK CODE OUT]],Generated_Stockcode,0),12),""))</f>
        <v/>
      </c>
      <c r="P1046" s="73" t="str">
        <f>IF(ISBLANK(C1046),"",_xlfn.IFNA(INDEX(inbound_data[],MATCH(Outbound_data[[#This Row],[STOCK CODE OUT]],Generated_Stockcode,0),23),""))</f>
        <v/>
      </c>
      <c r="Q1046" s="73" t="str">
        <f>IF(ISBLANK(C1046),"",_xlfn.IFNA(INDEX(inbound_data[],MATCH(Outbound_data[[#This Row],[STOCK CODE OUT]],Generated_Stockcode,0),13),""))</f>
        <v/>
      </c>
    </row>
    <row r="1047" spans="2:17" x14ac:dyDescent="0.25">
      <c r="B1047" s="71"/>
      <c r="C1047" s="65"/>
      <c r="D1047" s="55"/>
      <c r="E1047" s="65"/>
      <c r="F1047" s="166"/>
      <c r="G1047" s="167"/>
      <c r="H1047" s="166"/>
      <c r="I1047" s="72"/>
      <c r="J1047" s="55"/>
      <c r="K1047" s="72"/>
      <c r="L1047" s="55"/>
      <c r="M1047" s="174"/>
      <c r="N1047" s="73" t="str">
        <f>IF(ISBLANK(C1047),"",_xlfn.IFNA(INDEX(inbound_data[],MATCH(Outbound_data[[#This Row],[STOCK CODE OUT]],Generated_Stockcode,0),10),""))</f>
        <v/>
      </c>
      <c r="O1047" s="73" t="str">
        <f>IF(ISBLANK(C1047),"",_xlfn.IFNA(INDEX(inbound_data[],MATCH(Outbound_data[[#This Row],[STOCK CODE OUT]],Generated_Stockcode,0),12),""))</f>
        <v/>
      </c>
      <c r="P1047" s="73" t="str">
        <f>IF(ISBLANK(C1047),"",_xlfn.IFNA(INDEX(inbound_data[],MATCH(Outbound_data[[#This Row],[STOCK CODE OUT]],Generated_Stockcode,0),23),""))</f>
        <v/>
      </c>
      <c r="Q1047" s="73" t="str">
        <f>IF(ISBLANK(C1047),"",_xlfn.IFNA(INDEX(inbound_data[],MATCH(Outbound_data[[#This Row],[STOCK CODE OUT]],Generated_Stockcode,0),13),""))</f>
        <v/>
      </c>
    </row>
    <row r="1048" spans="2:17" x14ac:dyDescent="0.25">
      <c r="B1048" s="71"/>
      <c r="C1048" s="65"/>
      <c r="D1048" s="55"/>
      <c r="E1048" s="65"/>
      <c r="F1048" s="166"/>
      <c r="G1048" s="167"/>
      <c r="H1048" s="166"/>
      <c r="I1048" s="72"/>
      <c r="J1048" s="55"/>
      <c r="K1048" s="72"/>
      <c r="L1048" s="55"/>
      <c r="M1048" s="174"/>
      <c r="N1048" s="73" t="str">
        <f>IF(ISBLANK(C1048),"",_xlfn.IFNA(INDEX(inbound_data[],MATCH(Outbound_data[[#This Row],[STOCK CODE OUT]],Generated_Stockcode,0),10),""))</f>
        <v/>
      </c>
      <c r="O1048" s="73" t="str">
        <f>IF(ISBLANK(C1048),"",_xlfn.IFNA(INDEX(inbound_data[],MATCH(Outbound_data[[#This Row],[STOCK CODE OUT]],Generated_Stockcode,0),12),""))</f>
        <v/>
      </c>
      <c r="P1048" s="73" t="str">
        <f>IF(ISBLANK(C1048),"",_xlfn.IFNA(INDEX(inbound_data[],MATCH(Outbound_data[[#This Row],[STOCK CODE OUT]],Generated_Stockcode,0),23),""))</f>
        <v/>
      </c>
      <c r="Q1048" s="73" t="str">
        <f>IF(ISBLANK(C1048),"",_xlfn.IFNA(INDEX(inbound_data[],MATCH(Outbound_data[[#This Row],[STOCK CODE OUT]],Generated_Stockcode,0),13),""))</f>
        <v/>
      </c>
    </row>
    <row r="1049" spans="2:17" x14ac:dyDescent="0.25">
      <c r="B1049" s="71"/>
      <c r="C1049" s="65"/>
      <c r="D1049" s="55"/>
      <c r="E1049" s="65"/>
      <c r="F1049" s="166"/>
      <c r="G1049" s="167"/>
      <c r="H1049" s="166"/>
      <c r="I1049" s="72"/>
      <c r="J1049" s="55"/>
      <c r="K1049" s="72"/>
      <c r="L1049" s="55"/>
      <c r="M1049" s="174"/>
      <c r="N1049" s="73" t="str">
        <f>IF(ISBLANK(C1049),"",_xlfn.IFNA(INDEX(inbound_data[],MATCH(Outbound_data[[#This Row],[STOCK CODE OUT]],Generated_Stockcode,0),10),""))</f>
        <v/>
      </c>
      <c r="O1049" s="73" t="str">
        <f>IF(ISBLANK(C1049),"",_xlfn.IFNA(INDEX(inbound_data[],MATCH(Outbound_data[[#This Row],[STOCK CODE OUT]],Generated_Stockcode,0),12),""))</f>
        <v/>
      </c>
      <c r="P1049" s="73" t="str">
        <f>IF(ISBLANK(C1049),"",_xlfn.IFNA(INDEX(inbound_data[],MATCH(Outbound_data[[#This Row],[STOCK CODE OUT]],Generated_Stockcode,0),23),""))</f>
        <v/>
      </c>
      <c r="Q1049" s="73" t="str">
        <f>IF(ISBLANK(C1049),"",_xlfn.IFNA(INDEX(inbound_data[],MATCH(Outbound_data[[#This Row],[STOCK CODE OUT]],Generated_Stockcode,0),13),""))</f>
        <v/>
      </c>
    </row>
    <row r="1050" spans="2:17" x14ac:dyDescent="0.25">
      <c r="B1050" s="71"/>
      <c r="C1050" s="65"/>
      <c r="D1050" s="55"/>
      <c r="E1050" s="65"/>
      <c r="F1050" s="166"/>
      <c r="G1050" s="167"/>
      <c r="H1050" s="166"/>
      <c r="I1050" s="72"/>
      <c r="J1050" s="55"/>
      <c r="K1050" s="72"/>
      <c r="L1050" s="55"/>
      <c r="M1050" s="174"/>
      <c r="N1050" s="73" t="str">
        <f>IF(ISBLANK(C1050),"",_xlfn.IFNA(INDEX(inbound_data[],MATCH(Outbound_data[[#This Row],[STOCK CODE OUT]],Generated_Stockcode,0),10),""))</f>
        <v/>
      </c>
      <c r="O1050" s="73" t="str">
        <f>IF(ISBLANK(C1050),"",_xlfn.IFNA(INDEX(inbound_data[],MATCH(Outbound_data[[#This Row],[STOCK CODE OUT]],Generated_Stockcode,0),12),""))</f>
        <v/>
      </c>
      <c r="P1050" s="73" t="str">
        <f>IF(ISBLANK(C1050),"",_xlfn.IFNA(INDEX(inbound_data[],MATCH(Outbound_data[[#This Row],[STOCK CODE OUT]],Generated_Stockcode,0),23),""))</f>
        <v/>
      </c>
      <c r="Q1050" s="73" t="str">
        <f>IF(ISBLANK(C1050),"",_xlfn.IFNA(INDEX(inbound_data[],MATCH(Outbound_data[[#This Row],[STOCK CODE OUT]],Generated_Stockcode,0),13),""))</f>
        <v/>
      </c>
    </row>
    <row r="1051" spans="2:17" x14ac:dyDescent="0.25">
      <c r="B1051" s="71"/>
      <c r="C1051" s="65"/>
      <c r="D1051" s="55"/>
      <c r="E1051" s="65"/>
      <c r="F1051" s="166"/>
      <c r="G1051" s="167"/>
      <c r="H1051" s="166"/>
      <c r="I1051" s="72"/>
      <c r="J1051" s="55"/>
      <c r="K1051" s="72"/>
      <c r="L1051" s="55"/>
      <c r="M1051" s="174"/>
      <c r="N1051" s="73" t="str">
        <f>IF(ISBLANK(C1051),"",_xlfn.IFNA(INDEX(inbound_data[],MATCH(Outbound_data[[#This Row],[STOCK CODE OUT]],Generated_Stockcode,0),10),""))</f>
        <v/>
      </c>
      <c r="O1051" s="73" t="str">
        <f>IF(ISBLANK(C1051),"",_xlfn.IFNA(INDEX(inbound_data[],MATCH(Outbound_data[[#This Row],[STOCK CODE OUT]],Generated_Stockcode,0),12),""))</f>
        <v/>
      </c>
      <c r="P1051" s="73" t="str">
        <f>IF(ISBLANK(C1051),"",_xlfn.IFNA(INDEX(inbound_data[],MATCH(Outbound_data[[#This Row],[STOCK CODE OUT]],Generated_Stockcode,0),23),""))</f>
        <v/>
      </c>
      <c r="Q1051" s="73" t="str">
        <f>IF(ISBLANK(C1051),"",_xlfn.IFNA(INDEX(inbound_data[],MATCH(Outbound_data[[#This Row],[STOCK CODE OUT]],Generated_Stockcode,0),13),""))</f>
        <v/>
      </c>
    </row>
    <row r="1052" spans="2:17" x14ac:dyDescent="0.25">
      <c r="B1052" s="71"/>
      <c r="C1052" s="65"/>
      <c r="D1052" s="55"/>
      <c r="E1052" s="65"/>
      <c r="F1052" s="166"/>
      <c r="G1052" s="167"/>
      <c r="H1052" s="166"/>
      <c r="I1052" s="72"/>
      <c r="J1052" s="55"/>
      <c r="K1052" s="72"/>
      <c r="L1052" s="55"/>
      <c r="M1052" s="174"/>
      <c r="N1052" s="73" t="str">
        <f>IF(ISBLANK(C1052),"",_xlfn.IFNA(INDEX(inbound_data[],MATCH(Outbound_data[[#This Row],[STOCK CODE OUT]],Generated_Stockcode,0),10),""))</f>
        <v/>
      </c>
      <c r="O1052" s="73" t="str">
        <f>IF(ISBLANK(C1052),"",_xlfn.IFNA(INDEX(inbound_data[],MATCH(Outbound_data[[#This Row],[STOCK CODE OUT]],Generated_Stockcode,0),12),""))</f>
        <v/>
      </c>
      <c r="P1052" s="73" t="str">
        <f>IF(ISBLANK(C1052),"",_xlfn.IFNA(INDEX(inbound_data[],MATCH(Outbound_data[[#This Row],[STOCK CODE OUT]],Generated_Stockcode,0),23),""))</f>
        <v/>
      </c>
      <c r="Q1052" s="73" t="str">
        <f>IF(ISBLANK(C1052),"",_xlfn.IFNA(INDEX(inbound_data[],MATCH(Outbound_data[[#This Row],[STOCK CODE OUT]],Generated_Stockcode,0),13),""))</f>
        <v/>
      </c>
    </row>
    <row r="1053" spans="2:17" x14ac:dyDescent="0.25">
      <c r="B1053" s="71"/>
      <c r="C1053" s="65"/>
      <c r="D1053" s="55"/>
      <c r="E1053" s="65"/>
      <c r="F1053" s="166"/>
      <c r="G1053" s="167"/>
      <c r="H1053" s="166"/>
      <c r="I1053" s="72"/>
      <c r="J1053" s="55"/>
      <c r="K1053" s="72"/>
      <c r="L1053" s="55"/>
      <c r="M1053" s="174"/>
      <c r="N1053" s="73" t="str">
        <f>IF(ISBLANK(C1053),"",_xlfn.IFNA(INDEX(inbound_data[],MATCH(Outbound_data[[#This Row],[STOCK CODE OUT]],Generated_Stockcode,0),10),""))</f>
        <v/>
      </c>
      <c r="O1053" s="73" t="str">
        <f>IF(ISBLANK(C1053),"",_xlfn.IFNA(INDEX(inbound_data[],MATCH(Outbound_data[[#This Row],[STOCK CODE OUT]],Generated_Stockcode,0),12),""))</f>
        <v/>
      </c>
      <c r="P1053" s="73" t="str">
        <f>IF(ISBLANK(C1053),"",_xlfn.IFNA(INDEX(inbound_data[],MATCH(Outbound_data[[#This Row],[STOCK CODE OUT]],Generated_Stockcode,0),23),""))</f>
        <v/>
      </c>
      <c r="Q1053" s="73" t="str">
        <f>IF(ISBLANK(C1053),"",_xlfn.IFNA(INDEX(inbound_data[],MATCH(Outbound_data[[#This Row],[STOCK CODE OUT]],Generated_Stockcode,0),13),""))</f>
        <v/>
      </c>
    </row>
    <row r="1054" spans="2:17" x14ac:dyDescent="0.25">
      <c r="B1054" s="71"/>
      <c r="C1054" s="65"/>
      <c r="D1054" s="55"/>
      <c r="E1054" s="65"/>
      <c r="F1054" s="166"/>
      <c r="G1054" s="167"/>
      <c r="H1054" s="166"/>
      <c r="I1054" s="72"/>
      <c r="J1054" s="55"/>
      <c r="K1054" s="72"/>
      <c r="L1054" s="55"/>
      <c r="M1054" s="174"/>
      <c r="N1054" s="73" t="str">
        <f>IF(ISBLANK(C1054),"",_xlfn.IFNA(INDEX(inbound_data[],MATCH(Outbound_data[[#This Row],[STOCK CODE OUT]],Generated_Stockcode,0),10),""))</f>
        <v/>
      </c>
      <c r="O1054" s="73" t="str">
        <f>IF(ISBLANK(C1054),"",_xlfn.IFNA(INDEX(inbound_data[],MATCH(Outbound_data[[#This Row],[STOCK CODE OUT]],Generated_Stockcode,0),12),""))</f>
        <v/>
      </c>
      <c r="P1054" s="73" t="str">
        <f>IF(ISBLANK(C1054),"",_xlfn.IFNA(INDEX(inbound_data[],MATCH(Outbound_data[[#This Row],[STOCK CODE OUT]],Generated_Stockcode,0),23),""))</f>
        <v/>
      </c>
      <c r="Q1054" s="73" t="str">
        <f>IF(ISBLANK(C1054),"",_xlfn.IFNA(INDEX(inbound_data[],MATCH(Outbound_data[[#This Row],[STOCK CODE OUT]],Generated_Stockcode,0),13),""))</f>
        <v/>
      </c>
    </row>
    <row r="1055" spans="2:17" x14ac:dyDescent="0.25">
      <c r="B1055" s="71"/>
      <c r="C1055" s="65"/>
      <c r="D1055" s="55"/>
      <c r="E1055" s="65"/>
      <c r="F1055" s="166"/>
      <c r="G1055" s="167"/>
      <c r="H1055" s="166"/>
      <c r="I1055" s="72"/>
      <c r="J1055" s="55"/>
      <c r="K1055" s="72"/>
      <c r="L1055" s="55"/>
      <c r="M1055" s="174"/>
      <c r="N1055" s="73" t="str">
        <f>IF(ISBLANK(C1055),"",_xlfn.IFNA(INDEX(inbound_data[],MATCH(Outbound_data[[#This Row],[STOCK CODE OUT]],Generated_Stockcode,0),10),""))</f>
        <v/>
      </c>
      <c r="O1055" s="73" t="str">
        <f>IF(ISBLANK(C1055),"",_xlfn.IFNA(INDEX(inbound_data[],MATCH(Outbound_data[[#This Row],[STOCK CODE OUT]],Generated_Stockcode,0),12),""))</f>
        <v/>
      </c>
      <c r="P1055" s="73" t="str">
        <f>IF(ISBLANK(C1055),"",_xlfn.IFNA(INDEX(inbound_data[],MATCH(Outbound_data[[#This Row],[STOCK CODE OUT]],Generated_Stockcode,0),23),""))</f>
        <v/>
      </c>
      <c r="Q1055" s="73" t="str">
        <f>IF(ISBLANK(C1055),"",_xlfn.IFNA(INDEX(inbound_data[],MATCH(Outbound_data[[#This Row],[STOCK CODE OUT]],Generated_Stockcode,0),13),""))</f>
        <v/>
      </c>
    </row>
    <row r="1056" spans="2:17" x14ac:dyDescent="0.25">
      <c r="B1056" s="71"/>
      <c r="C1056" s="65"/>
      <c r="D1056" s="55"/>
      <c r="E1056" s="65"/>
      <c r="F1056" s="166"/>
      <c r="G1056" s="167"/>
      <c r="H1056" s="166"/>
      <c r="I1056" s="72"/>
      <c r="J1056" s="55"/>
      <c r="K1056" s="72"/>
      <c r="L1056" s="55"/>
      <c r="M1056" s="174"/>
      <c r="N1056" s="73" t="str">
        <f>IF(ISBLANK(C1056),"",_xlfn.IFNA(INDEX(inbound_data[],MATCH(Outbound_data[[#This Row],[STOCK CODE OUT]],Generated_Stockcode,0),10),""))</f>
        <v/>
      </c>
      <c r="O1056" s="73" t="str">
        <f>IF(ISBLANK(C1056),"",_xlfn.IFNA(INDEX(inbound_data[],MATCH(Outbound_data[[#This Row],[STOCK CODE OUT]],Generated_Stockcode,0),12),""))</f>
        <v/>
      </c>
      <c r="P1056" s="73" t="str">
        <f>IF(ISBLANK(C1056),"",_xlfn.IFNA(INDEX(inbound_data[],MATCH(Outbound_data[[#This Row],[STOCK CODE OUT]],Generated_Stockcode,0),23),""))</f>
        <v/>
      </c>
      <c r="Q1056" s="73" t="str">
        <f>IF(ISBLANK(C1056),"",_xlfn.IFNA(INDEX(inbound_data[],MATCH(Outbound_data[[#This Row],[STOCK CODE OUT]],Generated_Stockcode,0),13),""))</f>
        <v/>
      </c>
    </row>
    <row r="1057" spans="2:17" x14ac:dyDescent="0.25">
      <c r="B1057" s="71"/>
      <c r="C1057" s="65"/>
      <c r="D1057" s="55"/>
      <c r="E1057" s="65"/>
      <c r="F1057" s="166"/>
      <c r="G1057" s="167"/>
      <c r="H1057" s="166"/>
      <c r="I1057" s="72"/>
      <c r="J1057" s="55"/>
      <c r="K1057" s="72"/>
      <c r="L1057" s="55"/>
      <c r="M1057" s="174"/>
      <c r="N1057" s="73" t="str">
        <f>IF(ISBLANK(C1057),"",_xlfn.IFNA(INDEX(inbound_data[],MATCH(Outbound_data[[#This Row],[STOCK CODE OUT]],Generated_Stockcode,0),10),""))</f>
        <v/>
      </c>
      <c r="O1057" s="73" t="str">
        <f>IF(ISBLANK(C1057),"",_xlfn.IFNA(INDEX(inbound_data[],MATCH(Outbound_data[[#This Row],[STOCK CODE OUT]],Generated_Stockcode,0),12),""))</f>
        <v/>
      </c>
      <c r="P1057" s="73" t="str">
        <f>IF(ISBLANK(C1057),"",_xlfn.IFNA(INDEX(inbound_data[],MATCH(Outbound_data[[#This Row],[STOCK CODE OUT]],Generated_Stockcode,0),23),""))</f>
        <v/>
      </c>
      <c r="Q1057" s="73" t="str">
        <f>IF(ISBLANK(C1057),"",_xlfn.IFNA(INDEX(inbound_data[],MATCH(Outbound_data[[#This Row],[STOCK CODE OUT]],Generated_Stockcode,0),13),""))</f>
        <v/>
      </c>
    </row>
    <row r="1058" spans="2:17" x14ac:dyDescent="0.25">
      <c r="B1058" s="71"/>
      <c r="C1058" s="65"/>
      <c r="D1058" s="55"/>
      <c r="E1058" s="65"/>
      <c r="F1058" s="166"/>
      <c r="G1058" s="167"/>
      <c r="H1058" s="166"/>
      <c r="I1058" s="72"/>
      <c r="J1058" s="55"/>
      <c r="K1058" s="72"/>
      <c r="L1058" s="55"/>
      <c r="M1058" s="174"/>
      <c r="N1058" s="73" t="str">
        <f>IF(ISBLANK(C1058),"",_xlfn.IFNA(INDEX(inbound_data[],MATCH(Outbound_data[[#This Row],[STOCK CODE OUT]],Generated_Stockcode,0),10),""))</f>
        <v/>
      </c>
      <c r="O1058" s="73" t="str">
        <f>IF(ISBLANK(C1058),"",_xlfn.IFNA(INDEX(inbound_data[],MATCH(Outbound_data[[#This Row],[STOCK CODE OUT]],Generated_Stockcode,0),12),""))</f>
        <v/>
      </c>
      <c r="P1058" s="73" t="str">
        <f>IF(ISBLANK(C1058),"",_xlfn.IFNA(INDEX(inbound_data[],MATCH(Outbound_data[[#This Row],[STOCK CODE OUT]],Generated_Stockcode,0),23),""))</f>
        <v/>
      </c>
      <c r="Q1058" s="73" t="str">
        <f>IF(ISBLANK(C1058),"",_xlfn.IFNA(INDEX(inbound_data[],MATCH(Outbound_data[[#This Row],[STOCK CODE OUT]],Generated_Stockcode,0),13),""))</f>
        <v/>
      </c>
    </row>
    <row r="1059" spans="2:17" x14ac:dyDescent="0.25">
      <c r="B1059" s="71"/>
      <c r="C1059" s="65"/>
      <c r="D1059" s="55"/>
      <c r="E1059" s="65"/>
      <c r="F1059" s="166"/>
      <c r="G1059" s="167"/>
      <c r="H1059" s="166"/>
      <c r="I1059" s="72"/>
      <c r="J1059" s="55"/>
      <c r="K1059" s="72"/>
      <c r="L1059" s="55"/>
      <c r="M1059" s="174"/>
      <c r="N1059" s="73" t="str">
        <f>IF(ISBLANK(C1059),"",_xlfn.IFNA(INDEX(inbound_data[],MATCH(Outbound_data[[#This Row],[STOCK CODE OUT]],Generated_Stockcode,0),10),""))</f>
        <v/>
      </c>
      <c r="O1059" s="73" t="str">
        <f>IF(ISBLANK(C1059),"",_xlfn.IFNA(INDEX(inbound_data[],MATCH(Outbound_data[[#This Row],[STOCK CODE OUT]],Generated_Stockcode,0),12),""))</f>
        <v/>
      </c>
      <c r="P1059" s="73" t="str">
        <f>IF(ISBLANK(C1059),"",_xlfn.IFNA(INDEX(inbound_data[],MATCH(Outbound_data[[#This Row],[STOCK CODE OUT]],Generated_Stockcode,0),23),""))</f>
        <v/>
      </c>
      <c r="Q1059" s="73" t="str">
        <f>IF(ISBLANK(C1059),"",_xlfn.IFNA(INDEX(inbound_data[],MATCH(Outbound_data[[#This Row],[STOCK CODE OUT]],Generated_Stockcode,0),13),""))</f>
        <v/>
      </c>
    </row>
    <row r="1060" spans="2:17" x14ac:dyDescent="0.25">
      <c r="B1060" s="71"/>
      <c r="C1060" s="65"/>
      <c r="D1060" s="55"/>
      <c r="E1060" s="65"/>
      <c r="F1060" s="166"/>
      <c r="G1060" s="167"/>
      <c r="H1060" s="166"/>
      <c r="I1060" s="72"/>
      <c r="J1060" s="55"/>
      <c r="K1060" s="72"/>
      <c r="L1060" s="55"/>
      <c r="M1060" s="174"/>
      <c r="N1060" s="73" t="str">
        <f>IF(ISBLANK(C1060),"",_xlfn.IFNA(INDEX(inbound_data[],MATCH(Outbound_data[[#This Row],[STOCK CODE OUT]],Generated_Stockcode,0),10),""))</f>
        <v/>
      </c>
      <c r="O1060" s="73" t="str">
        <f>IF(ISBLANK(C1060),"",_xlfn.IFNA(INDEX(inbound_data[],MATCH(Outbound_data[[#This Row],[STOCK CODE OUT]],Generated_Stockcode,0),12),""))</f>
        <v/>
      </c>
      <c r="P1060" s="73" t="str">
        <f>IF(ISBLANK(C1060),"",_xlfn.IFNA(INDEX(inbound_data[],MATCH(Outbound_data[[#This Row],[STOCK CODE OUT]],Generated_Stockcode,0),23),""))</f>
        <v/>
      </c>
      <c r="Q1060" s="73" t="str">
        <f>IF(ISBLANK(C1060),"",_xlfn.IFNA(INDEX(inbound_data[],MATCH(Outbound_data[[#This Row],[STOCK CODE OUT]],Generated_Stockcode,0),13),""))</f>
        <v/>
      </c>
    </row>
    <row r="1061" spans="2:17" x14ac:dyDescent="0.25">
      <c r="B1061" s="71"/>
      <c r="C1061" s="65"/>
      <c r="D1061" s="55"/>
      <c r="E1061" s="65"/>
      <c r="F1061" s="166"/>
      <c r="G1061" s="167"/>
      <c r="H1061" s="166"/>
      <c r="I1061" s="72"/>
      <c r="J1061" s="55"/>
      <c r="K1061" s="72"/>
      <c r="L1061" s="55"/>
      <c r="M1061" s="174"/>
      <c r="N1061" s="73" t="str">
        <f>IF(ISBLANK(C1061),"",_xlfn.IFNA(INDEX(inbound_data[],MATCH(Outbound_data[[#This Row],[STOCK CODE OUT]],Generated_Stockcode,0),10),""))</f>
        <v/>
      </c>
      <c r="O1061" s="73" t="str">
        <f>IF(ISBLANK(C1061),"",_xlfn.IFNA(INDEX(inbound_data[],MATCH(Outbound_data[[#This Row],[STOCK CODE OUT]],Generated_Stockcode,0),12),""))</f>
        <v/>
      </c>
      <c r="P1061" s="73" t="str">
        <f>IF(ISBLANK(C1061),"",_xlfn.IFNA(INDEX(inbound_data[],MATCH(Outbound_data[[#This Row],[STOCK CODE OUT]],Generated_Stockcode,0),23),""))</f>
        <v/>
      </c>
      <c r="Q1061" s="73" t="str">
        <f>IF(ISBLANK(C1061),"",_xlfn.IFNA(INDEX(inbound_data[],MATCH(Outbound_data[[#This Row],[STOCK CODE OUT]],Generated_Stockcode,0),13),""))</f>
        <v/>
      </c>
    </row>
    <row r="1062" spans="2:17" x14ac:dyDescent="0.25">
      <c r="B1062" s="71"/>
      <c r="C1062" s="65"/>
      <c r="D1062" s="55"/>
      <c r="E1062" s="65"/>
      <c r="F1062" s="166"/>
      <c r="G1062" s="167"/>
      <c r="H1062" s="166"/>
      <c r="I1062" s="72"/>
      <c r="J1062" s="55"/>
      <c r="K1062" s="72"/>
      <c r="L1062" s="55"/>
      <c r="M1062" s="174"/>
      <c r="N1062" s="73" t="str">
        <f>IF(ISBLANK(C1062),"",_xlfn.IFNA(INDEX(inbound_data[],MATCH(Outbound_data[[#This Row],[STOCK CODE OUT]],Generated_Stockcode,0),10),""))</f>
        <v/>
      </c>
      <c r="O1062" s="73" t="str">
        <f>IF(ISBLANK(C1062),"",_xlfn.IFNA(INDEX(inbound_data[],MATCH(Outbound_data[[#This Row],[STOCK CODE OUT]],Generated_Stockcode,0),12),""))</f>
        <v/>
      </c>
      <c r="P1062" s="73" t="str">
        <f>IF(ISBLANK(C1062),"",_xlfn.IFNA(INDEX(inbound_data[],MATCH(Outbound_data[[#This Row],[STOCK CODE OUT]],Generated_Stockcode,0),23),""))</f>
        <v/>
      </c>
      <c r="Q1062" s="73" t="str">
        <f>IF(ISBLANK(C1062),"",_xlfn.IFNA(INDEX(inbound_data[],MATCH(Outbound_data[[#This Row],[STOCK CODE OUT]],Generated_Stockcode,0),13),""))</f>
        <v/>
      </c>
    </row>
    <row r="1063" spans="2:17" x14ac:dyDescent="0.25">
      <c r="B1063" s="71"/>
      <c r="C1063" s="65"/>
      <c r="D1063" s="55"/>
      <c r="E1063" s="65"/>
      <c r="F1063" s="166"/>
      <c r="G1063" s="167"/>
      <c r="H1063" s="166"/>
      <c r="I1063" s="72"/>
      <c r="J1063" s="55"/>
      <c r="K1063" s="72"/>
      <c r="L1063" s="55"/>
      <c r="M1063" s="174"/>
      <c r="N1063" s="73" t="str">
        <f>IF(ISBLANK(C1063),"",_xlfn.IFNA(INDEX(inbound_data[],MATCH(Outbound_data[[#This Row],[STOCK CODE OUT]],Generated_Stockcode,0),10),""))</f>
        <v/>
      </c>
      <c r="O1063" s="73" t="str">
        <f>IF(ISBLANK(C1063),"",_xlfn.IFNA(INDEX(inbound_data[],MATCH(Outbound_data[[#This Row],[STOCK CODE OUT]],Generated_Stockcode,0),12),""))</f>
        <v/>
      </c>
      <c r="P1063" s="73" t="str">
        <f>IF(ISBLANK(C1063),"",_xlfn.IFNA(INDEX(inbound_data[],MATCH(Outbound_data[[#This Row],[STOCK CODE OUT]],Generated_Stockcode,0),23),""))</f>
        <v/>
      </c>
      <c r="Q1063" s="73" t="str">
        <f>IF(ISBLANK(C1063),"",_xlfn.IFNA(INDEX(inbound_data[],MATCH(Outbound_data[[#This Row],[STOCK CODE OUT]],Generated_Stockcode,0),13),""))</f>
        <v/>
      </c>
    </row>
    <row r="1064" spans="2:17" x14ac:dyDescent="0.25">
      <c r="B1064" s="71"/>
      <c r="C1064" s="65"/>
      <c r="D1064" s="55"/>
      <c r="E1064" s="65"/>
      <c r="F1064" s="166"/>
      <c r="G1064" s="167"/>
      <c r="H1064" s="166"/>
      <c r="I1064" s="72"/>
      <c r="J1064" s="55"/>
      <c r="K1064" s="72"/>
      <c r="L1064" s="55"/>
      <c r="M1064" s="174"/>
      <c r="N1064" s="73" t="str">
        <f>IF(ISBLANK(C1064),"",_xlfn.IFNA(INDEX(inbound_data[],MATCH(Outbound_data[[#This Row],[STOCK CODE OUT]],Generated_Stockcode,0),10),""))</f>
        <v/>
      </c>
      <c r="O1064" s="73" t="str">
        <f>IF(ISBLANK(C1064),"",_xlfn.IFNA(INDEX(inbound_data[],MATCH(Outbound_data[[#This Row],[STOCK CODE OUT]],Generated_Stockcode,0),12),""))</f>
        <v/>
      </c>
      <c r="P1064" s="73" t="str">
        <f>IF(ISBLANK(C1064),"",_xlfn.IFNA(INDEX(inbound_data[],MATCH(Outbound_data[[#This Row],[STOCK CODE OUT]],Generated_Stockcode,0),23),""))</f>
        <v/>
      </c>
      <c r="Q1064" s="73" t="str">
        <f>IF(ISBLANK(C1064),"",_xlfn.IFNA(INDEX(inbound_data[],MATCH(Outbound_data[[#This Row],[STOCK CODE OUT]],Generated_Stockcode,0),13),""))</f>
        <v/>
      </c>
    </row>
    <row r="1065" spans="2:17" x14ac:dyDescent="0.25">
      <c r="B1065" s="71"/>
      <c r="C1065" s="65"/>
      <c r="D1065" s="55"/>
      <c r="E1065" s="65"/>
      <c r="F1065" s="166"/>
      <c r="G1065" s="167"/>
      <c r="H1065" s="166"/>
      <c r="I1065" s="72"/>
      <c r="J1065" s="55"/>
      <c r="K1065" s="72"/>
      <c r="L1065" s="55"/>
      <c r="M1065" s="174"/>
      <c r="N1065" s="73" t="str">
        <f>IF(ISBLANK(C1065),"",_xlfn.IFNA(INDEX(inbound_data[],MATCH(Outbound_data[[#This Row],[STOCK CODE OUT]],Generated_Stockcode,0),10),""))</f>
        <v/>
      </c>
      <c r="O1065" s="73" t="str">
        <f>IF(ISBLANK(C1065),"",_xlfn.IFNA(INDEX(inbound_data[],MATCH(Outbound_data[[#This Row],[STOCK CODE OUT]],Generated_Stockcode,0),12),""))</f>
        <v/>
      </c>
      <c r="P1065" s="73" t="str">
        <f>IF(ISBLANK(C1065),"",_xlfn.IFNA(INDEX(inbound_data[],MATCH(Outbound_data[[#This Row],[STOCK CODE OUT]],Generated_Stockcode,0),23),""))</f>
        <v/>
      </c>
      <c r="Q1065" s="73" t="str">
        <f>IF(ISBLANK(C1065),"",_xlfn.IFNA(INDEX(inbound_data[],MATCH(Outbound_data[[#This Row],[STOCK CODE OUT]],Generated_Stockcode,0),13),""))</f>
        <v/>
      </c>
    </row>
    <row r="1066" spans="2:17" x14ac:dyDescent="0.25">
      <c r="B1066" s="71"/>
      <c r="C1066" s="65"/>
      <c r="D1066" s="55"/>
      <c r="E1066" s="65"/>
      <c r="F1066" s="166"/>
      <c r="G1066" s="167"/>
      <c r="H1066" s="166"/>
      <c r="I1066" s="72"/>
      <c r="J1066" s="55"/>
      <c r="K1066" s="72"/>
      <c r="L1066" s="55"/>
      <c r="M1066" s="174"/>
      <c r="N1066" s="73" t="str">
        <f>IF(ISBLANK(C1066),"",_xlfn.IFNA(INDEX(inbound_data[],MATCH(Outbound_data[[#This Row],[STOCK CODE OUT]],Generated_Stockcode,0),10),""))</f>
        <v/>
      </c>
      <c r="O1066" s="73" t="str">
        <f>IF(ISBLANK(C1066),"",_xlfn.IFNA(INDEX(inbound_data[],MATCH(Outbound_data[[#This Row],[STOCK CODE OUT]],Generated_Stockcode,0),12),""))</f>
        <v/>
      </c>
      <c r="P1066" s="73" t="str">
        <f>IF(ISBLANK(C1066),"",_xlfn.IFNA(INDEX(inbound_data[],MATCH(Outbound_data[[#This Row],[STOCK CODE OUT]],Generated_Stockcode,0),23),""))</f>
        <v/>
      </c>
      <c r="Q1066" s="73" t="str">
        <f>IF(ISBLANK(C1066),"",_xlfn.IFNA(INDEX(inbound_data[],MATCH(Outbound_data[[#This Row],[STOCK CODE OUT]],Generated_Stockcode,0),13),""))</f>
        <v/>
      </c>
    </row>
    <row r="1067" spans="2:17" x14ac:dyDescent="0.25">
      <c r="B1067" s="71"/>
      <c r="C1067" s="65"/>
      <c r="D1067" s="55"/>
      <c r="E1067" s="65"/>
      <c r="F1067" s="166"/>
      <c r="G1067" s="167"/>
      <c r="H1067" s="166"/>
      <c r="I1067" s="72"/>
      <c r="J1067" s="55"/>
      <c r="K1067" s="72"/>
      <c r="L1067" s="55"/>
      <c r="M1067" s="174"/>
      <c r="N1067" s="73" t="str">
        <f>IF(ISBLANK(C1067),"",_xlfn.IFNA(INDEX(inbound_data[],MATCH(Outbound_data[[#This Row],[STOCK CODE OUT]],Generated_Stockcode,0),10),""))</f>
        <v/>
      </c>
      <c r="O1067" s="73" t="str">
        <f>IF(ISBLANK(C1067),"",_xlfn.IFNA(INDEX(inbound_data[],MATCH(Outbound_data[[#This Row],[STOCK CODE OUT]],Generated_Stockcode,0),12),""))</f>
        <v/>
      </c>
      <c r="P1067" s="73" t="str">
        <f>IF(ISBLANK(C1067),"",_xlfn.IFNA(INDEX(inbound_data[],MATCH(Outbound_data[[#This Row],[STOCK CODE OUT]],Generated_Stockcode,0),23),""))</f>
        <v/>
      </c>
      <c r="Q1067" s="73" t="str">
        <f>IF(ISBLANK(C1067),"",_xlfn.IFNA(INDEX(inbound_data[],MATCH(Outbound_data[[#This Row],[STOCK CODE OUT]],Generated_Stockcode,0),13),""))</f>
        <v/>
      </c>
    </row>
    <row r="1068" spans="2:17" x14ac:dyDescent="0.25">
      <c r="B1068" s="71"/>
      <c r="C1068" s="65"/>
      <c r="D1068" s="55"/>
      <c r="E1068" s="65"/>
      <c r="F1068" s="166"/>
      <c r="G1068" s="167"/>
      <c r="H1068" s="166"/>
      <c r="I1068" s="72"/>
      <c r="J1068" s="55"/>
      <c r="K1068" s="72"/>
      <c r="L1068" s="55"/>
      <c r="M1068" s="174"/>
      <c r="N1068" s="73" t="str">
        <f>IF(ISBLANK(C1068),"",_xlfn.IFNA(INDEX(inbound_data[],MATCH(Outbound_data[[#This Row],[STOCK CODE OUT]],Generated_Stockcode,0),10),""))</f>
        <v/>
      </c>
      <c r="O1068" s="73" t="str">
        <f>IF(ISBLANK(C1068),"",_xlfn.IFNA(INDEX(inbound_data[],MATCH(Outbound_data[[#This Row],[STOCK CODE OUT]],Generated_Stockcode,0),12),""))</f>
        <v/>
      </c>
      <c r="P1068" s="73" t="str">
        <f>IF(ISBLANK(C1068),"",_xlfn.IFNA(INDEX(inbound_data[],MATCH(Outbound_data[[#This Row],[STOCK CODE OUT]],Generated_Stockcode,0),23),""))</f>
        <v/>
      </c>
      <c r="Q1068" s="73" t="str">
        <f>IF(ISBLANK(C1068),"",_xlfn.IFNA(INDEX(inbound_data[],MATCH(Outbound_data[[#This Row],[STOCK CODE OUT]],Generated_Stockcode,0),13),""))</f>
        <v/>
      </c>
    </row>
    <row r="1069" spans="2:17" x14ac:dyDescent="0.25">
      <c r="B1069" s="71"/>
      <c r="C1069" s="65"/>
      <c r="D1069" s="55"/>
      <c r="E1069" s="65"/>
      <c r="F1069" s="166"/>
      <c r="G1069" s="167"/>
      <c r="H1069" s="166"/>
      <c r="I1069" s="72"/>
      <c r="J1069" s="55"/>
      <c r="K1069" s="72"/>
      <c r="L1069" s="55"/>
      <c r="M1069" s="174"/>
      <c r="N1069" s="73" t="str">
        <f>IF(ISBLANK(C1069),"",_xlfn.IFNA(INDEX(inbound_data[],MATCH(Outbound_data[[#This Row],[STOCK CODE OUT]],Generated_Stockcode,0),10),""))</f>
        <v/>
      </c>
      <c r="O1069" s="73" t="str">
        <f>IF(ISBLANK(C1069),"",_xlfn.IFNA(INDEX(inbound_data[],MATCH(Outbound_data[[#This Row],[STOCK CODE OUT]],Generated_Stockcode,0),12),""))</f>
        <v/>
      </c>
      <c r="P1069" s="73" t="str">
        <f>IF(ISBLANK(C1069),"",_xlfn.IFNA(INDEX(inbound_data[],MATCH(Outbound_data[[#This Row],[STOCK CODE OUT]],Generated_Stockcode,0),23),""))</f>
        <v/>
      </c>
      <c r="Q1069" s="73" t="str">
        <f>IF(ISBLANK(C1069),"",_xlfn.IFNA(INDEX(inbound_data[],MATCH(Outbound_data[[#This Row],[STOCK CODE OUT]],Generated_Stockcode,0),13),""))</f>
        <v/>
      </c>
    </row>
    <row r="1070" spans="2:17" x14ac:dyDescent="0.25">
      <c r="B1070" s="71"/>
      <c r="C1070" s="65"/>
      <c r="D1070" s="55"/>
      <c r="E1070" s="65"/>
      <c r="F1070" s="166"/>
      <c r="G1070" s="167"/>
      <c r="H1070" s="166"/>
      <c r="I1070" s="72"/>
      <c r="J1070" s="55"/>
      <c r="K1070" s="72"/>
      <c r="L1070" s="55"/>
      <c r="M1070" s="174"/>
      <c r="N1070" s="73" t="str">
        <f>IF(ISBLANK(C1070),"",_xlfn.IFNA(INDEX(inbound_data[],MATCH(Outbound_data[[#This Row],[STOCK CODE OUT]],Generated_Stockcode,0),10),""))</f>
        <v/>
      </c>
      <c r="O1070" s="73" t="str">
        <f>IF(ISBLANK(C1070),"",_xlfn.IFNA(INDEX(inbound_data[],MATCH(Outbound_data[[#This Row],[STOCK CODE OUT]],Generated_Stockcode,0),12),""))</f>
        <v/>
      </c>
      <c r="P1070" s="73" t="str">
        <f>IF(ISBLANK(C1070),"",_xlfn.IFNA(INDEX(inbound_data[],MATCH(Outbound_data[[#This Row],[STOCK CODE OUT]],Generated_Stockcode,0),23),""))</f>
        <v/>
      </c>
      <c r="Q1070" s="73" t="str">
        <f>IF(ISBLANK(C1070),"",_xlfn.IFNA(INDEX(inbound_data[],MATCH(Outbound_data[[#This Row],[STOCK CODE OUT]],Generated_Stockcode,0),13),""))</f>
        <v/>
      </c>
    </row>
    <row r="1071" spans="2:17" x14ac:dyDescent="0.25">
      <c r="B1071" s="71"/>
      <c r="C1071" s="65"/>
      <c r="D1071" s="55"/>
      <c r="E1071" s="65"/>
      <c r="F1071" s="166"/>
      <c r="G1071" s="167"/>
      <c r="H1071" s="166"/>
      <c r="I1071" s="72"/>
      <c r="J1071" s="55"/>
      <c r="K1071" s="72"/>
      <c r="L1071" s="55"/>
      <c r="M1071" s="174"/>
      <c r="N1071" s="73" t="str">
        <f>IF(ISBLANK(C1071),"",_xlfn.IFNA(INDEX(inbound_data[],MATCH(Outbound_data[[#This Row],[STOCK CODE OUT]],Generated_Stockcode,0),10),""))</f>
        <v/>
      </c>
      <c r="O1071" s="73" t="str">
        <f>IF(ISBLANK(C1071),"",_xlfn.IFNA(INDEX(inbound_data[],MATCH(Outbound_data[[#This Row],[STOCK CODE OUT]],Generated_Stockcode,0),12),""))</f>
        <v/>
      </c>
      <c r="P1071" s="73" t="str">
        <f>IF(ISBLANK(C1071),"",_xlfn.IFNA(INDEX(inbound_data[],MATCH(Outbound_data[[#This Row],[STOCK CODE OUT]],Generated_Stockcode,0),23),""))</f>
        <v/>
      </c>
      <c r="Q1071" s="73" t="str">
        <f>IF(ISBLANK(C1071),"",_xlfn.IFNA(INDEX(inbound_data[],MATCH(Outbound_data[[#This Row],[STOCK CODE OUT]],Generated_Stockcode,0),13),""))</f>
        <v/>
      </c>
    </row>
    <row r="1072" spans="2:17" x14ac:dyDescent="0.25">
      <c r="B1072" s="71"/>
      <c r="C1072" s="65"/>
      <c r="D1072" s="55"/>
      <c r="E1072" s="65"/>
      <c r="F1072" s="166"/>
      <c r="G1072" s="167"/>
      <c r="H1072" s="166"/>
      <c r="I1072" s="72"/>
      <c r="J1072" s="55"/>
      <c r="K1072" s="72"/>
      <c r="L1072" s="55"/>
      <c r="M1072" s="174"/>
      <c r="N1072" s="73" t="str">
        <f>IF(ISBLANK(C1072),"",_xlfn.IFNA(INDEX(inbound_data[],MATCH(Outbound_data[[#This Row],[STOCK CODE OUT]],Generated_Stockcode,0),10),""))</f>
        <v/>
      </c>
      <c r="O1072" s="73" t="str">
        <f>IF(ISBLANK(C1072),"",_xlfn.IFNA(INDEX(inbound_data[],MATCH(Outbound_data[[#This Row],[STOCK CODE OUT]],Generated_Stockcode,0),12),""))</f>
        <v/>
      </c>
      <c r="P1072" s="73" t="str">
        <f>IF(ISBLANK(C1072),"",_xlfn.IFNA(INDEX(inbound_data[],MATCH(Outbound_data[[#This Row],[STOCK CODE OUT]],Generated_Stockcode,0),23),""))</f>
        <v/>
      </c>
      <c r="Q1072" s="73" t="str">
        <f>IF(ISBLANK(C1072),"",_xlfn.IFNA(INDEX(inbound_data[],MATCH(Outbound_data[[#This Row],[STOCK CODE OUT]],Generated_Stockcode,0),13),""))</f>
        <v/>
      </c>
    </row>
    <row r="1073" spans="2:17" x14ac:dyDescent="0.25">
      <c r="B1073" s="71"/>
      <c r="C1073" s="65"/>
      <c r="D1073" s="55"/>
      <c r="E1073" s="65"/>
      <c r="F1073" s="166"/>
      <c r="G1073" s="167"/>
      <c r="H1073" s="166"/>
      <c r="I1073" s="72"/>
      <c r="J1073" s="55"/>
      <c r="K1073" s="72"/>
      <c r="L1073" s="55"/>
      <c r="M1073" s="174"/>
      <c r="N1073" s="73" t="str">
        <f>IF(ISBLANK(C1073),"",_xlfn.IFNA(INDEX(inbound_data[],MATCH(Outbound_data[[#This Row],[STOCK CODE OUT]],Generated_Stockcode,0),10),""))</f>
        <v/>
      </c>
      <c r="O1073" s="73" t="str">
        <f>IF(ISBLANK(C1073),"",_xlfn.IFNA(INDEX(inbound_data[],MATCH(Outbound_data[[#This Row],[STOCK CODE OUT]],Generated_Stockcode,0),12),""))</f>
        <v/>
      </c>
      <c r="P1073" s="73" t="str">
        <f>IF(ISBLANK(C1073),"",_xlfn.IFNA(INDEX(inbound_data[],MATCH(Outbound_data[[#This Row],[STOCK CODE OUT]],Generated_Stockcode,0),23),""))</f>
        <v/>
      </c>
      <c r="Q1073" s="73" t="str">
        <f>IF(ISBLANK(C1073),"",_xlfn.IFNA(INDEX(inbound_data[],MATCH(Outbound_data[[#This Row],[STOCK CODE OUT]],Generated_Stockcode,0),13),""))</f>
        <v/>
      </c>
    </row>
    <row r="1074" spans="2:17" x14ac:dyDescent="0.25">
      <c r="B1074" s="71"/>
      <c r="C1074" s="65"/>
      <c r="D1074" s="55"/>
      <c r="E1074" s="65"/>
      <c r="F1074" s="166"/>
      <c r="G1074" s="167"/>
      <c r="H1074" s="166"/>
      <c r="I1074" s="72"/>
      <c r="J1074" s="55"/>
      <c r="K1074" s="72"/>
      <c r="L1074" s="55"/>
      <c r="M1074" s="174"/>
      <c r="N1074" s="73" t="str">
        <f>IF(ISBLANK(C1074),"",_xlfn.IFNA(INDEX(inbound_data[],MATCH(Outbound_data[[#This Row],[STOCK CODE OUT]],Generated_Stockcode,0),10),""))</f>
        <v/>
      </c>
      <c r="O1074" s="73" t="str">
        <f>IF(ISBLANK(C1074),"",_xlfn.IFNA(INDEX(inbound_data[],MATCH(Outbound_data[[#This Row],[STOCK CODE OUT]],Generated_Stockcode,0),12),""))</f>
        <v/>
      </c>
      <c r="P1074" s="73" t="str">
        <f>IF(ISBLANK(C1074),"",_xlfn.IFNA(INDEX(inbound_data[],MATCH(Outbound_data[[#This Row],[STOCK CODE OUT]],Generated_Stockcode,0),23),""))</f>
        <v/>
      </c>
      <c r="Q1074" s="73" t="str">
        <f>IF(ISBLANK(C1074),"",_xlfn.IFNA(INDEX(inbound_data[],MATCH(Outbound_data[[#This Row],[STOCK CODE OUT]],Generated_Stockcode,0),13),""))</f>
        <v/>
      </c>
    </row>
    <row r="1075" spans="2:17" x14ac:dyDescent="0.25">
      <c r="B1075" s="71"/>
      <c r="C1075" s="65"/>
      <c r="D1075" s="55"/>
      <c r="E1075" s="65"/>
      <c r="F1075" s="166"/>
      <c r="G1075" s="167"/>
      <c r="H1075" s="166"/>
      <c r="I1075" s="72"/>
      <c r="J1075" s="55"/>
      <c r="K1075" s="72"/>
      <c r="L1075" s="55"/>
      <c r="M1075" s="174"/>
      <c r="N1075" s="73" t="str">
        <f>IF(ISBLANK(C1075),"",_xlfn.IFNA(INDEX(inbound_data[],MATCH(Outbound_data[[#This Row],[STOCK CODE OUT]],Generated_Stockcode,0),10),""))</f>
        <v/>
      </c>
      <c r="O1075" s="73" t="str">
        <f>IF(ISBLANK(C1075),"",_xlfn.IFNA(INDEX(inbound_data[],MATCH(Outbound_data[[#This Row],[STOCK CODE OUT]],Generated_Stockcode,0),12),""))</f>
        <v/>
      </c>
      <c r="P1075" s="73" t="str">
        <f>IF(ISBLANK(C1075),"",_xlfn.IFNA(INDEX(inbound_data[],MATCH(Outbound_data[[#This Row],[STOCK CODE OUT]],Generated_Stockcode,0),23),""))</f>
        <v/>
      </c>
      <c r="Q1075" s="73" t="str">
        <f>IF(ISBLANK(C1075),"",_xlfn.IFNA(INDEX(inbound_data[],MATCH(Outbound_data[[#This Row],[STOCK CODE OUT]],Generated_Stockcode,0),13),""))</f>
        <v/>
      </c>
    </row>
    <row r="1076" spans="2:17" x14ac:dyDescent="0.25">
      <c r="B1076" s="71"/>
      <c r="C1076" s="65"/>
      <c r="D1076" s="55"/>
      <c r="E1076" s="65"/>
      <c r="F1076" s="166"/>
      <c r="G1076" s="167"/>
      <c r="H1076" s="166"/>
      <c r="I1076" s="72"/>
      <c r="J1076" s="55"/>
      <c r="K1076" s="72"/>
      <c r="L1076" s="55"/>
      <c r="M1076" s="174"/>
      <c r="N1076" s="73" t="str">
        <f>IF(ISBLANK(C1076),"",_xlfn.IFNA(INDEX(inbound_data[],MATCH(Outbound_data[[#This Row],[STOCK CODE OUT]],Generated_Stockcode,0),10),""))</f>
        <v/>
      </c>
      <c r="O1076" s="73" t="str">
        <f>IF(ISBLANK(C1076),"",_xlfn.IFNA(INDEX(inbound_data[],MATCH(Outbound_data[[#This Row],[STOCK CODE OUT]],Generated_Stockcode,0),12),""))</f>
        <v/>
      </c>
      <c r="P1076" s="73" t="str">
        <f>IF(ISBLANK(C1076),"",_xlfn.IFNA(INDEX(inbound_data[],MATCH(Outbound_data[[#This Row],[STOCK CODE OUT]],Generated_Stockcode,0),23),""))</f>
        <v/>
      </c>
      <c r="Q1076" s="73" t="str">
        <f>IF(ISBLANK(C1076),"",_xlfn.IFNA(INDEX(inbound_data[],MATCH(Outbound_data[[#This Row],[STOCK CODE OUT]],Generated_Stockcode,0),13),""))</f>
        <v/>
      </c>
    </row>
    <row r="1077" spans="2:17" x14ac:dyDescent="0.25">
      <c r="B1077" s="71"/>
      <c r="C1077" s="65"/>
      <c r="D1077" s="55"/>
      <c r="E1077" s="65"/>
      <c r="F1077" s="166"/>
      <c r="G1077" s="167"/>
      <c r="H1077" s="166"/>
      <c r="I1077" s="72"/>
      <c r="J1077" s="55"/>
      <c r="K1077" s="72"/>
      <c r="L1077" s="55"/>
      <c r="M1077" s="174"/>
      <c r="N1077" s="73" t="str">
        <f>IF(ISBLANK(C1077),"",_xlfn.IFNA(INDEX(inbound_data[],MATCH(Outbound_data[[#This Row],[STOCK CODE OUT]],Generated_Stockcode,0),10),""))</f>
        <v/>
      </c>
      <c r="O1077" s="73" t="str">
        <f>IF(ISBLANK(C1077),"",_xlfn.IFNA(INDEX(inbound_data[],MATCH(Outbound_data[[#This Row],[STOCK CODE OUT]],Generated_Stockcode,0),12),""))</f>
        <v/>
      </c>
      <c r="P1077" s="73" t="str">
        <f>IF(ISBLANK(C1077),"",_xlfn.IFNA(INDEX(inbound_data[],MATCH(Outbound_data[[#This Row],[STOCK CODE OUT]],Generated_Stockcode,0),23),""))</f>
        <v/>
      </c>
      <c r="Q1077" s="73" t="str">
        <f>IF(ISBLANK(C1077),"",_xlfn.IFNA(INDEX(inbound_data[],MATCH(Outbound_data[[#This Row],[STOCK CODE OUT]],Generated_Stockcode,0),13),""))</f>
        <v/>
      </c>
    </row>
    <row r="1078" spans="2:17" x14ac:dyDescent="0.25">
      <c r="B1078" s="71"/>
      <c r="C1078" s="65"/>
      <c r="D1078" s="55"/>
      <c r="E1078" s="65"/>
      <c r="F1078" s="166"/>
      <c r="G1078" s="167"/>
      <c r="H1078" s="166"/>
      <c r="I1078" s="72"/>
      <c r="J1078" s="55"/>
      <c r="K1078" s="72"/>
      <c r="L1078" s="55"/>
      <c r="M1078" s="174"/>
      <c r="N1078" s="73" t="str">
        <f>IF(ISBLANK(C1078),"",_xlfn.IFNA(INDEX(inbound_data[],MATCH(Outbound_data[[#This Row],[STOCK CODE OUT]],Generated_Stockcode,0),10),""))</f>
        <v/>
      </c>
      <c r="O1078" s="73" t="str">
        <f>IF(ISBLANK(C1078),"",_xlfn.IFNA(INDEX(inbound_data[],MATCH(Outbound_data[[#This Row],[STOCK CODE OUT]],Generated_Stockcode,0),12),""))</f>
        <v/>
      </c>
      <c r="P1078" s="73" t="str">
        <f>IF(ISBLANK(C1078),"",_xlfn.IFNA(INDEX(inbound_data[],MATCH(Outbound_data[[#This Row],[STOCK CODE OUT]],Generated_Stockcode,0),23),""))</f>
        <v/>
      </c>
      <c r="Q1078" s="73" t="str">
        <f>IF(ISBLANK(C1078),"",_xlfn.IFNA(INDEX(inbound_data[],MATCH(Outbound_data[[#This Row],[STOCK CODE OUT]],Generated_Stockcode,0),13),""))</f>
        <v/>
      </c>
    </row>
    <row r="1079" spans="2:17" x14ac:dyDescent="0.25">
      <c r="B1079" s="71"/>
      <c r="C1079" s="65"/>
      <c r="D1079" s="55"/>
      <c r="E1079" s="65"/>
      <c r="F1079" s="166"/>
      <c r="G1079" s="167"/>
      <c r="H1079" s="166"/>
      <c r="I1079" s="72"/>
      <c r="J1079" s="55"/>
      <c r="K1079" s="72"/>
      <c r="L1079" s="55"/>
      <c r="M1079" s="174"/>
      <c r="N1079" s="73" t="str">
        <f>IF(ISBLANK(C1079),"",_xlfn.IFNA(INDEX(inbound_data[],MATCH(Outbound_data[[#This Row],[STOCK CODE OUT]],Generated_Stockcode,0),10),""))</f>
        <v/>
      </c>
      <c r="O1079" s="73" t="str">
        <f>IF(ISBLANK(C1079),"",_xlfn.IFNA(INDEX(inbound_data[],MATCH(Outbound_data[[#This Row],[STOCK CODE OUT]],Generated_Stockcode,0),12),""))</f>
        <v/>
      </c>
      <c r="P1079" s="73" t="str">
        <f>IF(ISBLANK(C1079),"",_xlfn.IFNA(INDEX(inbound_data[],MATCH(Outbound_data[[#This Row],[STOCK CODE OUT]],Generated_Stockcode,0),23),""))</f>
        <v/>
      </c>
      <c r="Q1079" s="73" t="str">
        <f>IF(ISBLANK(C1079),"",_xlfn.IFNA(INDEX(inbound_data[],MATCH(Outbound_data[[#This Row],[STOCK CODE OUT]],Generated_Stockcode,0),13),""))</f>
        <v/>
      </c>
    </row>
    <row r="1080" spans="2:17" x14ac:dyDescent="0.25">
      <c r="B1080" s="71"/>
      <c r="C1080" s="65"/>
      <c r="D1080" s="55"/>
      <c r="E1080" s="65"/>
      <c r="F1080" s="166"/>
      <c r="G1080" s="167"/>
      <c r="H1080" s="166"/>
      <c r="I1080" s="72"/>
      <c r="J1080" s="55"/>
      <c r="K1080" s="72"/>
      <c r="L1080" s="55"/>
      <c r="M1080" s="174"/>
      <c r="N1080" s="73" t="str">
        <f>IF(ISBLANK(C1080),"",_xlfn.IFNA(INDEX(inbound_data[],MATCH(Outbound_data[[#This Row],[STOCK CODE OUT]],Generated_Stockcode,0),10),""))</f>
        <v/>
      </c>
      <c r="O1080" s="73" t="str">
        <f>IF(ISBLANK(C1080),"",_xlfn.IFNA(INDEX(inbound_data[],MATCH(Outbound_data[[#This Row],[STOCK CODE OUT]],Generated_Stockcode,0),12),""))</f>
        <v/>
      </c>
      <c r="P1080" s="73" t="str">
        <f>IF(ISBLANK(C1080),"",_xlfn.IFNA(INDEX(inbound_data[],MATCH(Outbound_data[[#This Row],[STOCK CODE OUT]],Generated_Stockcode,0),23),""))</f>
        <v/>
      </c>
      <c r="Q1080" s="73" t="str">
        <f>IF(ISBLANK(C1080),"",_xlfn.IFNA(INDEX(inbound_data[],MATCH(Outbound_data[[#This Row],[STOCK CODE OUT]],Generated_Stockcode,0),13),""))</f>
        <v/>
      </c>
    </row>
    <row r="1081" spans="2:17" x14ac:dyDescent="0.25">
      <c r="B1081" s="71"/>
      <c r="C1081" s="65"/>
      <c r="D1081" s="55"/>
      <c r="E1081" s="65"/>
      <c r="F1081" s="166"/>
      <c r="G1081" s="167"/>
      <c r="H1081" s="166"/>
      <c r="I1081" s="72"/>
      <c r="J1081" s="55"/>
      <c r="K1081" s="72"/>
      <c r="L1081" s="55"/>
      <c r="M1081" s="174"/>
      <c r="N1081" s="73" t="str">
        <f>IF(ISBLANK(C1081),"",_xlfn.IFNA(INDEX(inbound_data[],MATCH(Outbound_data[[#This Row],[STOCK CODE OUT]],Generated_Stockcode,0),10),""))</f>
        <v/>
      </c>
      <c r="O1081" s="73" t="str">
        <f>IF(ISBLANK(C1081),"",_xlfn.IFNA(INDEX(inbound_data[],MATCH(Outbound_data[[#This Row],[STOCK CODE OUT]],Generated_Stockcode,0),12),""))</f>
        <v/>
      </c>
      <c r="P1081" s="73" t="str">
        <f>IF(ISBLANK(C1081),"",_xlfn.IFNA(INDEX(inbound_data[],MATCH(Outbound_data[[#This Row],[STOCK CODE OUT]],Generated_Stockcode,0),23),""))</f>
        <v/>
      </c>
      <c r="Q1081" s="73" t="str">
        <f>IF(ISBLANK(C1081),"",_xlfn.IFNA(INDEX(inbound_data[],MATCH(Outbound_data[[#This Row],[STOCK CODE OUT]],Generated_Stockcode,0),13),""))</f>
        <v/>
      </c>
    </row>
    <row r="1082" spans="2:17" x14ac:dyDescent="0.25">
      <c r="B1082" s="71"/>
      <c r="C1082" s="65"/>
      <c r="D1082" s="55"/>
      <c r="E1082" s="65"/>
      <c r="F1082" s="166"/>
      <c r="G1082" s="167"/>
      <c r="H1082" s="166"/>
      <c r="I1082" s="72"/>
      <c r="J1082" s="55"/>
      <c r="K1082" s="72"/>
      <c r="L1082" s="55"/>
      <c r="M1082" s="174"/>
      <c r="N1082" s="73" t="str">
        <f>IF(ISBLANK(C1082),"",_xlfn.IFNA(INDEX(inbound_data[],MATCH(Outbound_data[[#This Row],[STOCK CODE OUT]],Generated_Stockcode,0),10),""))</f>
        <v/>
      </c>
      <c r="O1082" s="73" t="str">
        <f>IF(ISBLANK(C1082),"",_xlfn.IFNA(INDEX(inbound_data[],MATCH(Outbound_data[[#This Row],[STOCK CODE OUT]],Generated_Stockcode,0),12),""))</f>
        <v/>
      </c>
      <c r="P1082" s="73" t="str">
        <f>IF(ISBLANK(C1082),"",_xlfn.IFNA(INDEX(inbound_data[],MATCH(Outbound_data[[#This Row],[STOCK CODE OUT]],Generated_Stockcode,0),23),""))</f>
        <v/>
      </c>
      <c r="Q1082" s="73" t="str">
        <f>IF(ISBLANK(C1082),"",_xlfn.IFNA(INDEX(inbound_data[],MATCH(Outbound_data[[#This Row],[STOCK CODE OUT]],Generated_Stockcode,0),13),""))</f>
        <v/>
      </c>
    </row>
    <row r="1083" spans="2:17" x14ac:dyDescent="0.25">
      <c r="B1083" s="71"/>
      <c r="C1083" s="65"/>
      <c r="D1083" s="55"/>
      <c r="E1083" s="65"/>
      <c r="F1083" s="166"/>
      <c r="G1083" s="167"/>
      <c r="H1083" s="166"/>
      <c r="I1083" s="72"/>
      <c r="J1083" s="55"/>
      <c r="K1083" s="72"/>
      <c r="L1083" s="55"/>
      <c r="M1083" s="174"/>
      <c r="N1083" s="73" t="str">
        <f>IF(ISBLANK(C1083),"",_xlfn.IFNA(INDEX(inbound_data[],MATCH(Outbound_data[[#This Row],[STOCK CODE OUT]],Generated_Stockcode,0),10),""))</f>
        <v/>
      </c>
      <c r="O1083" s="73" t="str">
        <f>IF(ISBLANK(C1083),"",_xlfn.IFNA(INDEX(inbound_data[],MATCH(Outbound_data[[#This Row],[STOCK CODE OUT]],Generated_Stockcode,0),12),""))</f>
        <v/>
      </c>
      <c r="P1083" s="73" t="str">
        <f>IF(ISBLANK(C1083),"",_xlfn.IFNA(INDEX(inbound_data[],MATCH(Outbound_data[[#This Row],[STOCK CODE OUT]],Generated_Stockcode,0),23),""))</f>
        <v/>
      </c>
      <c r="Q1083" s="73" t="str">
        <f>IF(ISBLANK(C1083),"",_xlfn.IFNA(INDEX(inbound_data[],MATCH(Outbound_data[[#This Row],[STOCK CODE OUT]],Generated_Stockcode,0),13),""))</f>
        <v/>
      </c>
    </row>
    <row r="1084" spans="2:17" x14ac:dyDescent="0.25">
      <c r="B1084" s="71"/>
      <c r="C1084" s="65"/>
      <c r="D1084" s="55"/>
      <c r="E1084" s="65"/>
      <c r="F1084" s="166"/>
      <c r="G1084" s="167"/>
      <c r="H1084" s="166"/>
      <c r="I1084" s="72"/>
      <c r="J1084" s="55"/>
      <c r="K1084" s="72"/>
      <c r="L1084" s="55"/>
      <c r="M1084" s="174"/>
      <c r="N1084" s="73" t="str">
        <f>IF(ISBLANK(C1084),"",_xlfn.IFNA(INDEX(inbound_data[],MATCH(Outbound_data[[#This Row],[STOCK CODE OUT]],Generated_Stockcode,0),10),""))</f>
        <v/>
      </c>
      <c r="O1084" s="73" t="str">
        <f>IF(ISBLANK(C1084),"",_xlfn.IFNA(INDEX(inbound_data[],MATCH(Outbound_data[[#This Row],[STOCK CODE OUT]],Generated_Stockcode,0),12),""))</f>
        <v/>
      </c>
      <c r="P1084" s="73" t="str">
        <f>IF(ISBLANK(C1084),"",_xlfn.IFNA(INDEX(inbound_data[],MATCH(Outbound_data[[#This Row],[STOCK CODE OUT]],Generated_Stockcode,0),23),""))</f>
        <v/>
      </c>
      <c r="Q1084" s="73" t="str">
        <f>IF(ISBLANK(C1084),"",_xlfn.IFNA(INDEX(inbound_data[],MATCH(Outbound_data[[#This Row],[STOCK CODE OUT]],Generated_Stockcode,0),13),""))</f>
        <v/>
      </c>
    </row>
    <row r="1085" spans="2:17" x14ac:dyDescent="0.25">
      <c r="B1085" s="71"/>
      <c r="C1085" s="65"/>
      <c r="D1085" s="55"/>
      <c r="E1085" s="65"/>
      <c r="F1085" s="166"/>
      <c r="G1085" s="167"/>
      <c r="H1085" s="166"/>
      <c r="I1085" s="72"/>
      <c r="J1085" s="55"/>
      <c r="K1085" s="72"/>
      <c r="L1085" s="55"/>
      <c r="M1085" s="174"/>
      <c r="N1085" s="73" t="str">
        <f>IF(ISBLANK(C1085),"",_xlfn.IFNA(INDEX(inbound_data[],MATCH(Outbound_data[[#This Row],[STOCK CODE OUT]],Generated_Stockcode,0),10),""))</f>
        <v/>
      </c>
      <c r="O1085" s="73" t="str">
        <f>IF(ISBLANK(C1085),"",_xlfn.IFNA(INDEX(inbound_data[],MATCH(Outbound_data[[#This Row],[STOCK CODE OUT]],Generated_Stockcode,0),12),""))</f>
        <v/>
      </c>
      <c r="P1085" s="73" t="str">
        <f>IF(ISBLANK(C1085),"",_xlfn.IFNA(INDEX(inbound_data[],MATCH(Outbound_data[[#This Row],[STOCK CODE OUT]],Generated_Stockcode,0),23),""))</f>
        <v/>
      </c>
      <c r="Q1085" s="73" t="str">
        <f>IF(ISBLANK(C1085),"",_xlfn.IFNA(INDEX(inbound_data[],MATCH(Outbound_data[[#This Row],[STOCK CODE OUT]],Generated_Stockcode,0),13),""))</f>
        <v/>
      </c>
    </row>
    <row r="1086" spans="2:17" x14ac:dyDescent="0.25">
      <c r="B1086" s="71"/>
      <c r="C1086" s="65"/>
      <c r="D1086" s="55"/>
      <c r="E1086" s="65"/>
      <c r="F1086" s="166"/>
      <c r="G1086" s="167"/>
      <c r="H1086" s="166"/>
      <c r="I1086" s="72"/>
      <c r="J1086" s="55"/>
      <c r="K1086" s="72"/>
      <c r="L1086" s="55"/>
      <c r="M1086" s="174"/>
      <c r="N1086" s="73" t="str">
        <f>IF(ISBLANK(C1086),"",_xlfn.IFNA(INDEX(inbound_data[],MATCH(Outbound_data[[#This Row],[STOCK CODE OUT]],Generated_Stockcode,0),10),""))</f>
        <v/>
      </c>
      <c r="O1086" s="73" t="str">
        <f>IF(ISBLANK(C1086),"",_xlfn.IFNA(INDEX(inbound_data[],MATCH(Outbound_data[[#This Row],[STOCK CODE OUT]],Generated_Stockcode,0),12),""))</f>
        <v/>
      </c>
      <c r="P1086" s="73" t="str">
        <f>IF(ISBLANK(C1086),"",_xlfn.IFNA(INDEX(inbound_data[],MATCH(Outbound_data[[#This Row],[STOCK CODE OUT]],Generated_Stockcode,0),23),""))</f>
        <v/>
      </c>
      <c r="Q1086" s="73" t="str">
        <f>IF(ISBLANK(C1086),"",_xlfn.IFNA(INDEX(inbound_data[],MATCH(Outbound_data[[#This Row],[STOCK CODE OUT]],Generated_Stockcode,0),13),""))</f>
        <v/>
      </c>
    </row>
    <row r="1087" spans="2:17" x14ac:dyDescent="0.25">
      <c r="B1087" s="71"/>
      <c r="C1087" s="65"/>
      <c r="D1087" s="55"/>
      <c r="E1087" s="65"/>
      <c r="F1087" s="166"/>
      <c r="G1087" s="167"/>
      <c r="H1087" s="166"/>
      <c r="I1087" s="72"/>
      <c r="J1087" s="55"/>
      <c r="K1087" s="72"/>
      <c r="L1087" s="55"/>
      <c r="M1087" s="174"/>
      <c r="N1087" s="73" t="str">
        <f>IF(ISBLANK(C1087),"",_xlfn.IFNA(INDEX(inbound_data[],MATCH(Outbound_data[[#This Row],[STOCK CODE OUT]],Generated_Stockcode,0),10),""))</f>
        <v/>
      </c>
      <c r="O1087" s="73" t="str">
        <f>IF(ISBLANK(C1087),"",_xlfn.IFNA(INDEX(inbound_data[],MATCH(Outbound_data[[#This Row],[STOCK CODE OUT]],Generated_Stockcode,0),12),""))</f>
        <v/>
      </c>
      <c r="P1087" s="73" t="str">
        <f>IF(ISBLANK(C1087),"",_xlfn.IFNA(INDEX(inbound_data[],MATCH(Outbound_data[[#This Row],[STOCK CODE OUT]],Generated_Stockcode,0),23),""))</f>
        <v/>
      </c>
      <c r="Q1087" s="73" t="str">
        <f>IF(ISBLANK(C1087),"",_xlfn.IFNA(INDEX(inbound_data[],MATCH(Outbound_data[[#This Row],[STOCK CODE OUT]],Generated_Stockcode,0),13),""))</f>
        <v/>
      </c>
    </row>
    <row r="1088" spans="2:17" x14ac:dyDescent="0.25">
      <c r="B1088" s="71"/>
      <c r="C1088" s="65"/>
      <c r="D1088" s="55"/>
      <c r="E1088" s="65"/>
      <c r="F1088" s="166"/>
      <c r="G1088" s="167"/>
      <c r="H1088" s="166"/>
      <c r="I1088" s="72"/>
      <c r="J1088" s="55"/>
      <c r="K1088" s="72"/>
      <c r="L1088" s="55"/>
      <c r="M1088" s="174"/>
      <c r="N1088" s="73" t="str">
        <f>IF(ISBLANK(C1088),"",_xlfn.IFNA(INDEX(inbound_data[],MATCH(Outbound_data[[#This Row],[STOCK CODE OUT]],Generated_Stockcode,0),10),""))</f>
        <v/>
      </c>
      <c r="O1088" s="73" t="str">
        <f>IF(ISBLANK(C1088),"",_xlfn.IFNA(INDEX(inbound_data[],MATCH(Outbound_data[[#This Row],[STOCK CODE OUT]],Generated_Stockcode,0),12),""))</f>
        <v/>
      </c>
      <c r="P1088" s="73" t="str">
        <f>IF(ISBLANK(C1088),"",_xlfn.IFNA(INDEX(inbound_data[],MATCH(Outbound_data[[#This Row],[STOCK CODE OUT]],Generated_Stockcode,0),23),""))</f>
        <v/>
      </c>
      <c r="Q1088" s="73" t="str">
        <f>IF(ISBLANK(C1088),"",_xlfn.IFNA(INDEX(inbound_data[],MATCH(Outbound_data[[#This Row],[STOCK CODE OUT]],Generated_Stockcode,0),13),""))</f>
        <v/>
      </c>
    </row>
    <row r="1089" spans="2:17" x14ac:dyDescent="0.25">
      <c r="B1089" s="71"/>
      <c r="C1089" s="65"/>
      <c r="D1089" s="55"/>
      <c r="E1089" s="65"/>
      <c r="F1089" s="166"/>
      <c r="G1089" s="167"/>
      <c r="H1089" s="166"/>
      <c r="I1089" s="72"/>
      <c r="J1089" s="55"/>
      <c r="K1089" s="72"/>
      <c r="L1089" s="55"/>
      <c r="M1089" s="174"/>
      <c r="N1089" s="73" t="str">
        <f>IF(ISBLANK(C1089),"",_xlfn.IFNA(INDEX(inbound_data[],MATCH(Outbound_data[[#This Row],[STOCK CODE OUT]],Generated_Stockcode,0),10),""))</f>
        <v/>
      </c>
      <c r="O1089" s="73" t="str">
        <f>IF(ISBLANK(C1089),"",_xlfn.IFNA(INDEX(inbound_data[],MATCH(Outbound_data[[#This Row],[STOCK CODE OUT]],Generated_Stockcode,0),12),""))</f>
        <v/>
      </c>
      <c r="P1089" s="73" t="str">
        <f>IF(ISBLANK(C1089),"",_xlfn.IFNA(INDEX(inbound_data[],MATCH(Outbound_data[[#This Row],[STOCK CODE OUT]],Generated_Stockcode,0),23),""))</f>
        <v/>
      </c>
      <c r="Q1089" s="73" t="str">
        <f>IF(ISBLANK(C1089),"",_xlfn.IFNA(INDEX(inbound_data[],MATCH(Outbound_data[[#This Row],[STOCK CODE OUT]],Generated_Stockcode,0),13),""))</f>
        <v/>
      </c>
    </row>
    <row r="1090" spans="2:17" x14ac:dyDescent="0.25">
      <c r="B1090" s="71"/>
      <c r="C1090" s="65"/>
      <c r="D1090" s="55"/>
      <c r="E1090" s="65"/>
      <c r="F1090" s="166"/>
      <c r="G1090" s="167"/>
      <c r="H1090" s="166"/>
      <c r="I1090" s="72"/>
      <c r="J1090" s="55"/>
      <c r="K1090" s="72"/>
      <c r="L1090" s="55"/>
      <c r="M1090" s="174"/>
      <c r="N1090" s="73" t="str">
        <f>IF(ISBLANK(C1090),"",_xlfn.IFNA(INDEX(inbound_data[],MATCH(Outbound_data[[#This Row],[STOCK CODE OUT]],Generated_Stockcode,0),10),""))</f>
        <v/>
      </c>
      <c r="O1090" s="73" t="str">
        <f>IF(ISBLANK(C1090),"",_xlfn.IFNA(INDEX(inbound_data[],MATCH(Outbound_data[[#This Row],[STOCK CODE OUT]],Generated_Stockcode,0),12),""))</f>
        <v/>
      </c>
      <c r="P1090" s="73" t="str">
        <f>IF(ISBLANK(C1090),"",_xlfn.IFNA(INDEX(inbound_data[],MATCH(Outbound_data[[#This Row],[STOCK CODE OUT]],Generated_Stockcode,0),23),""))</f>
        <v/>
      </c>
      <c r="Q1090" s="73" t="str">
        <f>IF(ISBLANK(C1090),"",_xlfn.IFNA(INDEX(inbound_data[],MATCH(Outbound_data[[#This Row],[STOCK CODE OUT]],Generated_Stockcode,0),13),""))</f>
        <v/>
      </c>
    </row>
    <row r="1091" spans="2:17" x14ac:dyDescent="0.25">
      <c r="B1091" s="71"/>
      <c r="C1091" s="65"/>
      <c r="D1091" s="55"/>
      <c r="E1091" s="65"/>
      <c r="F1091" s="166"/>
      <c r="G1091" s="167"/>
      <c r="H1091" s="166"/>
      <c r="I1091" s="72"/>
      <c r="J1091" s="55"/>
      <c r="K1091" s="72"/>
      <c r="L1091" s="55"/>
      <c r="M1091" s="174"/>
      <c r="N1091" s="73" t="str">
        <f>IF(ISBLANK(C1091),"",_xlfn.IFNA(INDEX(inbound_data[],MATCH(Outbound_data[[#This Row],[STOCK CODE OUT]],Generated_Stockcode,0),10),""))</f>
        <v/>
      </c>
      <c r="O1091" s="73" t="str">
        <f>IF(ISBLANK(C1091),"",_xlfn.IFNA(INDEX(inbound_data[],MATCH(Outbound_data[[#This Row],[STOCK CODE OUT]],Generated_Stockcode,0),12),""))</f>
        <v/>
      </c>
      <c r="P1091" s="73" t="str">
        <f>IF(ISBLANK(C1091),"",_xlfn.IFNA(INDEX(inbound_data[],MATCH(Outbound_data[[#This Row],[STOCK CODE OUT]],Generated_Stockcode,0),23),""))</f>
        <v/>
      </c>
      <c r="Q1091" s="73" t="str">
        <f>IF(ISBLANK(C1091),"",_xlfn.IFNA(INDEX(inbound_data[],MATCH(Outbound_data[[#This Row],[STOCK CODE OUT]],Generated_Stockcode,0),13),""))</f>
        <v/>
      </c>
    </row>
    <row r="1092" spans="2:17" x14ac:dyDescent="0.25">
      <c r="B1092" s="71"/>
      <c r="C1092" s="65"/>
      <c r="D1092" s="55"/>
      <c r="E1092" s="65"/>
      <c r="F1092" s="166"/>
      <c r="G1092" s="167"/>
      <c r="H1092" s="166"/>
      <c r="I1092" s="72"/>
      <c r="J1092" s="55"/>
      <c r="K1092" s="72"/>
      <c r="L1092" s="55"/>
      <c r="M1092" s="174"/>
      <c r="N1092" s="73" t="str">
        <f>IF(ISBLANK(C1092),"",_xlfn.IFNA(INDEX(inbound_data[],MATCH(Outbound_data[[#This Row],[STOCK CODE OUT]],Generated_Stockcode,0),10),""))</f>
        <v/>
      </c>
      <c r="O1092" s="73" t="str">
        <f>IF(ISBLANK(C1092),"",_xlfn.IFNA(INDEX(inbound_data[],MATCH(Outbound_data[[#This Row],[STOCK CODE OUT]],Generated_Stockcode,0),12),""))</f>
        <v/>
      </c>
      <c r="P1092" s="73" t="str">
        <f>IF(ISBLANK(C1092),"",_xlfn.IFNA(INDEX(inbound_data[],MATCH(Outbound_data[[#This Row],[STOCK CODE OUT]],Generated_Stockcode,0),23),""))</f>
        <v/>
      </c>
      <c r="Q1092" s="73" t="str">
        <f>IF(ISBLANK(C1092),"",_xlfn.IFNA(INDEX(inbound_data[],MATCH(Outbound_data[[#This Row],[STOCK CODE OUT]],Generated_Stockcode,0),13),""))</f>
        <v/>
      </c>
    </row>
    <row r="1093" spans="2:17" x14ac:dyDescent="0.25">
      <c r="B1093" s="71"/>
      <c r="C1093" s="65"/>
      <c r="D1093" s="55"/>
      <c r="E1093" s="65"/>
      <c r="F1093" s="166"/>
      <c r="G1093" s="167"/>
      <c r="H1093" s="166"/>
      <c r="I1093" s="72"/>
      <c r="J1093" s="55"/>
      <c r="K1093" s="72"/>
      <c r="L1093" s="55"/>
      <c r="M1093" s="174"/>
      <c r="N1093" s="73" t="str">
        <f>IF(ISBLANK(C1093),"",_xlfn.IFNA(INDEX(inbound_data[],MATCH(Outbound_data[[#This Row],[STOCK CODE OUT]],Generated_Stockcode,0),10),""))</f>
        <v/>
      </c>
      <c r="O1093" s="73" t="str">
        <f>IF(ISBLANK(C1093),"",_xlfn.IFNA(INDEX(inbound_data[],MATCH(Outbound_data[[#This Row],[STOCK CODE OUT]],Generated_Stockcode,0),12),""))</f>
        <v/>
      </c>
      <c r="P1093" s="73" t="str">
        <f>IF(ISBLANK(C1093),"",_xlfn.IFNA(INDEX(inbound_data[],MATCH(Outbound_data[[#This Row],[STOCK CODE OUT]],Generated_Stockcode,0),23),""))</f>
        <v/>
      </c>
      <c r="Q1093" s="73" t="str">
        <f>IF(ISBLANK(C1093),"",_xlfn.IFNA(INDEX(inbound_data[],MATCH(Outbound_data[[#This Row],[STOCK CODE OUT]],Generated_Stockcode,0),13),""))</f>
        <v/>
      </c>
    </row>
    <row r="1094" spans="2:17" x14ac:dyDescent="0.25">
      <c r="B1094" s="71"/>
      <c r="C1094" s="65"/>
      <c r="D1094" s="55"/>
      <c r="E1094" s="65"/>
      <c r="F1094" s="166"/>
      <c r="G1094" s="167"/>
      <c r="H1094" s="166"/>
      <c r="I1094" s="72"/>
      <c r="J1094" s="55"/>
      <c r="K1094" s="72"/>
      <c r="L1094" s="55"/>
      <c r="M1094" s="174"/>
      <c r="N1094" s="73" t="str">
        <f>IF(ISBLANK(C1094),"",_xlfn.IFNA(INDEX(inbound_data[],MATCH(Outbound_data[[#This Row],[STOCK CODE OUT]],Generated_Stockcode,0),10),""))</f>
        <v/>
      </c>
      <c r="O1094" s="73" t="str">
        <f>IF(ISBLANK(C1094),"",_xlfn.IFNA(INDEX(inbound_data[],MATCH(Outbound_data[[#This Row],[STOCK CODE OUT]],Generated_Stockcode,0),12),""))</f>
        <v/>
      </c>
      <c r="P1094" s="73" t="str">
        <f>IF(ISBLANK(C1094),"",_xlfn.IFNA(INDEX(inbound_data[],MATCH(Outbound_data[[#This Row],[STOCK CODE OUT]],Generated_Stockcode,0),23),""))</f>
        <v/>
      </c>
      <c r="Q1094" s="73" t="str">
        <f>IF(ISBLANK(C1094),"",_xlfn.IFNA(INDEX(inbound_data[],MATCH(Outbound_data[[#This Row],[STOCK CODE OUT]],Generated_Stockcode,0),13),""))</f>
        <v/>
      </c>
    </row>
    <row r="1095" spans="2:17" x14ac:dyDescent="0.25">
      <c r="B1095" s="71"/>
      <c r="C1095" s="65"/>
      <c r="D1095" s="55"/>
      <c r="E1095" s="65"/>
      <c r="F1095" s="166"/>
      <c r="G1095" s="167"/>
      <c r="H1095" s="166"/>
      <c r="I1095" s="72"/>
      <c r="J1095" s="55"/>
      <c r="K1095" s="72"/>
      <c r="L1095" s="55"/>
      <c r="M1095" s="174"/>
      <c r="N1095" s="73" t="str">
        <f>IF(ISBLANK(C1095),"",_xlfn.IFNA(INDEX(inbound_data[],MATCH(Outbound_data[[#This Row],[STOCK CODE OUT]],Generated_Stockcode,0),10),""))</f>
        <v/>
      </c>
      <c r="O1095" s="73" t="str">
        <f>IF(ISBLANK(C1095),"",_xlfn.IFNA(INDEX(inbound_data[],MATCH(Outbound_data[[#This Row],[STOCK CODE OUT]],Generated_Stockcode,0),12),""))</f>
        <v/>
      </c>
      <c r="P1095" s="73" t="str">
        <f>IF(ISBLANK(C1095),"",_xlfn.IFNA(INDEX(inbound_data[],MATCH(Outbound_data[[#This Row],[STOCK CODE OUT]],Generated_Stockcode,0),23),""))</f>
        <v/>
      </c>
      <c r="Q1095" s="73" t="str">
        <f>IF(ISBLANK(C1095),"",_xlfn.IFNA(INDEX(inbound_data[],MATCH(Outbound_data[[#This Row],[STOCK CODE OUT]],Generated_Stockcode,0),13),""))</f>
        <v/>
      </c>
    </row>
    <row r="1096" spans="2:17" x14ac:dyDescent="0.25">
      <c r="B1096" s="71"/>
      <c r="C1096" s="65"/>
      <c r="D1096" s="55"/>
      <c r="E1096" s="65"/>
      <c r="F1096" s="166"/>
      <c r="G1096" s="167"/>
      <c r="H1096" s="166"/>
      <c r="I1096" s="72"/>
      <c r="J1096" s="55"/>
      <c r="K1096" s="72"/>
      <c r="L1096" s="55"/>
      <c r="M1096" s="174"/>
      <c r="N1096" s="73" t="str">
        <f>IF(ISBLANK(C1096),"",_xlfn.IFNA(INDEX(inbound_data[],MATCH(Outbound_data[[#This Row],[STOCK CODE OUT]],Generated_Stockcode,0),10),""))</f>
        <v/>
      </c>
      <c r="O1096" s="73" t="str">
        <f>IF(ISBLANK(C1096),"",_xlfn.IFNA(INDEX(inbound_data[],MATCH(Outbound_data[[#This Row],[STOCK CODE OUT]],Generated_Stockcode,0),12),""))</f>
        <v/>
      </c>
      <c r="P1096" s="73" t="str">
        <f>IF(ISBLANK(C1096),"",_xlfn.IFNA(INDEX(inbound_data[],MATCH(Outbound_data[[#This Row],[STOCK CODE OUT]],Generated_Stockcode,0),23),""))</f>
        <v/>
      </c>
      <c r="Q1096" s="73" t="str">
        <f>IF(ISBLANK(C1096),"",_xlfn.IFNA(INDEX(inbound_data[],MATCH(Outbound_data[[#This Row],[STOCK CODE OUT]],Generated_Stockcode,0),13),""))</f>
        <v/>
      </c>
    </row>
    <row r="1097" spans="2:17" x14ac:dyDescent="0.25">
      <c r="B1097" s="71"/>
      <c r="C1097" s="65"/>
      <c r="D1097" s="55"/>
      <c r="E1097" s="65"/>
      <c r="F1097" s="166"/>
      <c r="G1097" s="167"/>
      <c r="H1097" s="166"/>
      <c r="I1097" s="72"/>
      <c r="J1097" s="55"/>
      <c r="K1097" s="72"/>
      <c r="L1097" s="55"/>
      <c r="M1097" s="174"/>
      <c r="N1097" s="73" t="str">
        <f>IF(ISBLANK(C1097),"",_xlfn.IFNA(INDEX(inbound_data[],MATCH(Outbound_data[[#This Row],[STOCK CODE OUT]],Generated_Stockcode,0),10),""))</f>
        <v/>
      </c>
      <c r="O1097" s="73" t="str">
        <f>IF(ISBLANK(C1097),"",_xlfn.IFNA(INDEX(inbound_data[],MATCH(Outbound_data[[#This Row],[STOCK CODE OUT]],Generated_Stockcode,0),12),""))</f>
        <v/>
      </c>
      <c r="P1097" s="73" t="str">
        <f>IF(ISBLANK(C1097),"",_xlfn.IFNA(INDEX(inbound_data[],MATCH(Outbound_data[[#This Row],[STOCK CODE OUT]],Generated_Stockcode,0),23),""))</f>
        <v/>
      </c>
      <c r="Q1097" s="73" t="str">
        <f>IF(ISBLANK(C1097),"",_xlfn.IFNA(INDEX(inbound_data[],MATCH(Outbound_data[[#This Row],[STOCK CODE OUT]],Generated_Stockcode,0),13),""))</f>
        <v/>
      </c>
    </row>
    <row r="1098" spans="2:17" x14ac:dyDescent="0.25">
      <c r="B1098" s="71"/>
      <c r="C1098" s="65"/>
      <c r="D1098" s="55"/>
      <c r="E1098" s="65"/>
      <c r="F1098" s="166"/>
      <c r="G1098" s="167"/>
      <c r="H1098" s="166"/>
      <c r="I1098" s="72"/>
      <c r="J1098" s="55"/>
      <c r="K1098" s="72"/>
      <c r="L1098" s="55"/>
      <c r="M1098" s="174"/>
      <c r="N1098" s="73" t="str">
        <f>IF(ISBLANK(C1098),"",_xlfn.IFNA(INDEX(inbound_data[],MATCH(Outbound_data[[#This Row],[STOCK CODE OUT]],Generated_Stockcode,0),10),""))</f>
        <v/>
      </c>
      <c r="O1098" s="73" t="str">
        <f>IF(ISBLANK(C1098),"",_xlfn.IFNA(INDEX(inbound_data[],MATCH(Outbound_data[[#This Row],[STOCK CODE OUT]],Generated_Stockcode,0),12),""))</f>
        <v/>
      </c>
      <c r="P1098" s="73" t="str">
        <f>IF(ISBLANK(C1098),"",_xlfn.IFNA(INDEX(inbound_data[],MATCH(Outbound_data[[#This Row],[STOCK CODE OUT]],Generated_Stockcode,0),23),""))</f>
        <v/>
      </c>
      <c r="Q1098" s="73" t="str">
        <f>IF(ISBLANK(C1098),"",_xlfn.IFNA(INDEX(inbound_data[],MATCH(Outbound_data[[#This Row],[STOCK CODE OUT]],Generated_Stockcode,0),13),""))</f>
        <v/>
      </c>
    </row>
    <row r="1099" spans="2:17" x14ac:dyDescent="0.25">
      <c r="B1099" s="71"/>
      <c r="C1099" s="65"/>
      <c r="D1099" s="55"/>
      <c r="E1099" s="65"/>
      <c r="F1099" s="166"/>
      <c r="G1099" s="167"/>
      <c r="H1099" s="166"/>
      <c r="I1099" s="72"/>
      <c r="J1099" s="55"/>
      <c r="K1099" s="72"/>
      <c r="L1099" s="55"/>
      <c r="M1099" s="174"/>
      <c r="N1099" s="73" t="str">
        <f>IF(ISBLANK(C1099),"",_xlfn.IFNA(INDEX(inbound_data[],MATCH(Outbound_data[[#This Row],[STOCK CODE OUT]],Generated_Stockcode,0),10),""))</f>
        <v/>
      </c>
      <c r="O1099" s="73" t="str">
        <f>IF(ISBLANK(C1099),"",_xlfn.IFNA(INDEX(inbound_data[],MATCH(Outbound_data[[#This Row],[STOCK CODE OUT]],Generated_Stockcode,0),12),""))</f>
        <v/>
      </c>
      <c r="P1099" s="73" t="str">
        <f>IF(ISBLANK(C1099),"",_xlfn.IFNA(INDEX(inbound_data[],MATCH(Outbound_data[[#This Row],[STOCK CODE OUT]],Generated_Stockcode,0),23),""))</f>
        <v/>
      </c>
      <c r="Q1099" s="73" t="str">
        <f>IF(ISBLANK(C1099),"",_xlfn.IFNA(INDEX(inbound_data[],MATCH(Outbound_data[[#This Row],[STOCK CODE OUT]],Generated_Stockcode,0),13),""))</f>
        <v/>
      </c>
    </row>
    <row r="1100" spans="2:17" x14ac:dyDescent="0.25">
      <c r="B1100" s="71"/>
      <c r="C1100" s="65"/>
      <c r="D1100" s="55"/>
      <c r="E1100" s="65"/>
      <c r="F1100" s="166"/>
      <c r="G1100" s="167"/>
      <c r="H1100" s="166"/>
      <c r="I1100" s="72"/>
      <c r="J1100" s="55"/>
      <c r="K1100" s="72"/>
      <c r="L1100" s="55"/>
      <c r="M1100" s="174"/>
      <c r="N1100" s="73" t="str">
        <f>IF(ISBLANK(C1100),"",_xlfn.IFNA(INDEX(inbound_data[],MATCH(Outbound_data[[#This Row],[STOCK CODE OUT]],Generated_Stockcode,0),10),""))</f>
        <v/>
      </c>
      <c r="O1100" s="73" t="str">
        <f>IF(ISBLANK(C1100),"",_xlfn.IFNA(INDEX(inbound_data[],MATCH(Outbound_data[[#This Row],[STOCK CODE OUT]],Generated_Stockcode,0),12),""))</f>
        <v/>
      </c>
      <c r="P1100" s="73" t="str">
        <f>IF(ISBLANK(C1100),"",_xlfn.IFNA(INDEX(inbound_data[],MATCH(Outbound_data[[#This Row],[STOCK CODE OUT]],Generated_Stockcode,0),23),""))</f>
        <v/>
      </c>
      <c r="Q1100" s="73" t="str">
        <f>IF(ISBLANK(C1100),"",_xlfn.IFNA(INDEX(inbound_data[],MATCH(Outbound_data[[#This Row],[STOCK CODE OUT]],Generated_Stockcode,0),13),""))</f>
        <v/>
      </c>
    </row>
    <row r="1101" spans="2:17" x14ac:dyDescent="0.25">
      <c r="B1101" s="71"/>
      <c r="C1101" s="65"/>
      <c r="D1101" s="55"/>
      <c r="E1101" s="65"/>
      <c r="F1101" s="166"/>
      <c r="G1101" s="167"/>
      <c r="H1101" s="166"/>
      <c r="I1101" s="72"/>
      <c r="J1101" s="55"/>
      <c r="K1101" s="72"/>
      <c r="L1101" s="55"/>
      <c r="M1101" s="174"/>
      <c r="N1101" s="73" t="str">
        <f>IF(ISBLANK(C1101),"",_xlfn.IFNA(INDEX(inbound_data[],MATCH(Outbound_data[[#This Row],[STOCK CODE OUT]],Generated_Stockcode,0),10),""))</f>
        <v/>
      </c>
      <c r="O1101" s="73" t="str">
        <f>IF(ISBLANK(C1101),"",_xlfn.IFNA(INDEX(inbound_data[],MATCH(Outbound_data[[#This Row],[STOCK CODE OUT]],Generated_Stockcode,0),12),""))</f>
        <v/>
      </c>
      <c r="P1101" s="73" t="str">
        <f>IF(ISBLANK(C1101),"",_xlfn.IFNA(INDEX(inbound_data[],MATCH(Outbound_data[[#This Row],[STOCK CODE OUT]],Generated_Stockcode,0),23),""))</f>
        <v/>
      </c>
      <c r="Q1101" s="73" t="str">
        <f>IF(ISBLANK(C1101),"",_xlfn.IFNA(INDEX(inbound_data[],MATCH(Outbound_data[[#This Row],[STOCK CODE OUT]],Generated_Stockcode,0),13),""))</f>
        <v/>
      </c>
    </row>
    <row r="1102" spans="2:17" x14ac:dyDescent="0.25">
      <c r="B1102" s="71"/>
      <c r="C1102" s="65"/>
      <c r="D1102" s="55"/>
      <c r="E1102" s="65"/>
      <c r="F1102" s="166"/>
      <c r="G1102" s="167"/>
      <c r="H1102" s="166"/>
      <c r="I1102" s="72"/>
      <c r="J1102" s="55"/>
      <c r="K1102" s="72"/>
      <c r="L1102" s="55"/>
      <c r="M1102" s="174"/>
      <c r="N1102" s="73" t="str">
        <f>IF(ISBLANK(C1102),"",_xlfn.IFNA(INDEX(inbound_data[],MATCH(Outbound_data[[#This Row],[STOCK CODE OUT]],Generated_Stockcode,0),10),""))</f>
        <v/>
      </c>
      <c r="O1102" s="73" t="str">
        <f>IF(ISBLANK(C1102),"",_xlfn.IFNA(INDEX(inbound_data[],MATCH(Outbound_data[[#This Row],[STOCK CODE OUT]],Generated_Stockcode,0),12),""))</f>
        <v/>
      </c>
      <c r="P1102" s="73" t="str">
        <f>IF(ISBLANK(C1102),"",_xlfn.IFNA(INDEX(inbound_data[],MATCH(Outbound_data[[#This Row],[STOCK CODE OUT]],Generated_Stockcode,0),23),""))</f>
        <v/>
      </c>
      <c r="Q1102" s="73" t="str">
        <f>IF(ISBLANK(C1102),"",_xlfn.IFNA(INDEX(inbound_data[],MATCH(Outbound_data[[#This Row],[STOCK CODE OUT]],Generated_Stockcode,0),13),""))</f>
        <v/>
      </c>
    </row>
    <row r="1103" spans="2:17" x14ac:dyDescent="0.25">
      <c r="B1103" s="71"/>
      <c r="C1103" s="65"/>
      <c r="D1103" s="55"/>
      <c r="E1103" s="65"/>
      <c r="F1103" s="166"/>
      <c r="G1103" s="167"/>
      <c r="H1103" s="166"/>
      <c r="I1103" s="72"/>
      <c r="J1103" s="55"/>
      <c r="K1103" s="72"/>
      <c r="L1103" s="55"/>
      <c r="M1103" s="174"/>
      <c r="N1103" s="73" t="str">
        <f>IF(ISBLANK(C1103),"",_xlfn.IFNA(INDEX(inbound_data[],MATCH(Outbound_data[[#This Row],[STOCK CODE OUT]],Generated_Stockcode,0),10),""))</f>
        <v/>
      </c>
      <c r="O1103" s="73" t="str">
        <f>IF(ISBLANK(C1103),"",_xlfn.IFNA(INDEX(inbound_data[],MATCH(Outbound_data[[#This Row],[STOCK CODE OUT]],Generated_Stockcode,0),12),""))</f>
        <v/>
      </c>
      <c r="P1103" s="73" t="str">
        <f>IF(ISBLANK(C1103),"",_xlfn.IFNA(INDEX(inbound_data[],MATCH(Outbound_data[[#This Row],[STOCK CODE OUT]],Generated_Stockcode,0),23),""))</f>
        <v/>
      </c>
      <c r="Q1103" s="73" t="str">
        <f>IF(ISBLANK(C1103),"",_xlfn.IFNA(INDEX(inbound_data[],MATCH(Outbound_data[[#This Row],[STOCK CODE OUT]],Generated_Stockcode,0),13),""))</f>
        <v/>
      </c>
    </row>
    <row r="1104" spans="2:17" x14ac:dyDescent="0.25">
      <c r="B1104" s="71"/>
      <c r="C1104" s="65"/>
      <c r="D1104" s="55"/>
      <c r="E1104" s="65"/>
      <c r="F1104" s="166"/>
      <c r="G1104" s="167"/>
      <c r="H1104" s="166"/>
      <c r="I1104" s="72"/>
      <c r="J1104" s="55"/>
      <c r="K1104" s="72"/>
      <c r="L1104" s="55"/>
      <c r="M1104" s="174"/>
      <c r="N1104" s="73" t="str">
        <f>IF(ISBLANK(C1104),"",_xlfn.IFNA(INDEX(inbound_data[],MATCH(Outbound_data[[#This Row],[STOCK CODE OUT]],Generated_Stockcode,0),10),""))</f>
        <v/>
      </c>
      <c r="O1104" s="73" t="str">
        <f>IF(ISBLANK(C1104),"",_xlfn.IFNA(INDEX(inbound_data[],MATCH(Outbound_data[[#This Row],[STOCK CODE OUT]],Generated_Stockcode,0),12),""))</f>
        <v/>
      </c>
      <c r="P1104" s="73" t="str">
        <f>IF(ISBLANK(C1104),"",_xlfn.IFNA(INDEX(inbound_data[],MATCH(Outbound_data[[#This Row],[STOCK CODE OUT]],Generated_Stockcode,0),23),""))</f>
        <v/>
      </c>
      <c r="Q1104" s="73" t="str">
        <f>IF(ISBLANK(C1104),"",_xlfn.IFNA(INDEX(inbound_data[],MATCH(Outbound_data[[#This Row],[STOCK CODE OUT]],Generated_Stockcode,0),13),""))</f>
        <v/>
      </c>
    </row>
    <row r="1105" spans="2:17" x14ac:dyDescent="0.25">
      <c r="B1105" s="71"/>
      <c r="C1105" s="65"/>
      <c r="D1105" s="55"/>
      <c r="E1105" s="65"/>
      <c r="F1105" s="166"/>
      <c r="G1105" s="167"/>
      <c r="H1105" s="166"/>
      <c r="I1105" s="72"/>
      <c r="J1105" s="55"/>
      <c r="K1105" s="72"/>
      <c r="L1105" s="55"/>
      <c r="M1105" s="174"/>
      <c r="N1105" s="73" t="str">
        <f>IF(ISBLANK(C1105),"",_xlfn.IFNA(INDEX(inbound_data[],MATCH(Outbound_data[[#This Row],[STOCK CODE OUT]],Generated_Stockcode,0),10),""))</f>
        <v/>
      </c>
      <c r="O1105" s="73" t="str">
        <f>IF(ISBLANK(C1105),"",_xlfn.IFNA(INDEX(inbound_data[],MATCH(Outbound_data[[#This Row],[STOCK CODE OUT]],Generated_Stockcode,0),12),""))</f>
        <v/>
      </c>
      <c r="P1105" s="73" t="str">
        <f>IF(ISBLANK(C1105),"",_xlfn.IFNA(INDEX(inbound_data[],MATCH(Outbound_data[[#This Row],[STOCK CODE OUT]],Generated_Stockcode,0),23),""))</f>
        <v/>
      </c>
      <c r="Q1105" s="73" t="str">
        <f>IF(ISBLANK(C1105),"",_xlfn.IFNA(INDEX(inbound_data[],MATCH(Outbound_data[[#This Row],[STOCK CODE OUT]],Generated_Stockcode,0),13),""))</f>
        <v/>
      </c>
    </row>
    <row r="1106" spans="2:17" x14ac:dyDescent="0.25">
      <c r="B1106" s="71"/>
      <c r="C1106" s="65"/>
      <c r="D1106" s="55"/>
      <c r="E1106" s="65"/>
      <c r="F1106" s="166"/>
      <c r="G1106" s="167"/>
      <c r="H1106" s="166"/>
      <c r="I1106" s="72"/>
      <c r="J1106" s="55"/>
      <c r="K1106" s="72"/>
      <c r="L1106" s="55"/>
      <c r="M1106" s="174"/>
      <c r="N1106" s="73" t="str">
        <f>IF(ISBLANK(C1106),"",_xlfn.IFNA(INDEX(inbound_data[],MATCH(Outbound_data[[#This Row],[STOCK CODE OUT]],Generated_Stockcode,0),10),""))</f>
        <v/>
      </c>
      <c r="O1106" s="73" t="str">
        <f>IF(ISBLANK(C1106),"",_xlfn.IFNA(INDEX(inbound_data[],MATCH(Outbound_data[[#This Row],[STOCK CODE OUT]],Generated_Stockcode,0),12),""))</f>
        <v/>
      </c>
      <c r="P1106" s="73" t="str">
        <f>IF(ISBLANK(C1106),"",_xlfn.IFNA(INDEX(inbound_data[],MATCH(Outbound_data[[#This Row],[STOCK CODE OUT]],Generated_Stockcode,0),23),""))</f>
        <v/>
      </c>
      <c r="Q1106" s="73" t="str">
        <f>IF(ISBLANK(C1106),"",_xlfn.IFNA(INDEX(inbound_data[],MATCH(Outbound_data[[#This Row],[STOCK CODE OUT]],Generated_Stockcode,0),13),""))</f>
        <v/>
      </c>
    </row>
    <row r="1107" spans="2:17" x14ac:dyDescent="0.25">
      <c r="B1107" s="71"/>
      <c r="C1107" s="65"/>
      <c r="D1107" s="55"/>
      <c r="E1107" s="65"/>
      <c r="F1107" s="166"/>
      <c r="G1107" s="167"/>
      <c r="H1107" s="166"/>
      <c r="I1107" s="72"/>
      <c r="J1107" s="55"/>
      <c r="K1107" s="72"/>
      <c r="L1107" s="55"/>
      <c r="M1107" s="174"/>
      <c r="N1107" s="73" t="str">
        <f>IF(ISBLANK(C1107),"",_xlfn.IFNA(INDEX(inbound_data[],MATCH(Outbound_data[[#This Row],[STOCK CODE OUT]],Generated_Stockcode,0),10),""))</f>
        <v/>
      </c>
      <c r="O1107" s="73" t="str">
        <f>IF(ISBLANK(C1107),"",_xlfn.IFNA(INDEX(inbound_data[],MATCH(Outbound_data[[#This Row],[STOCK CODE OUT]],Generated_Stockcode,0),12),""))</f>
        <v/>
      </c>
      <c r="P1107" s="73" t="str">
        <f>IF(ISBLANK(C1107),"",_xlfn.IFNA(INDEX(inbound_data[],MATCH(Outbound_data[[#This Row],[STOCK CODE OUT]],Generated_Stockcode,0),23),""))</f>
        <v/>
      </c>
      <c r="Q1107" s="73" t="str">
        <f>IF(ISBLANK(C1107),"",_xlfn.IFNA(INDEX(inbound_data[],MATCH(Outbound_data[[#This Row],[STOCK CODE OUT]],Generated_Stockcode,0),13),""))</f>
        <v/>
      </c>
    </row>
    <row r="1108" spans="2:17" x14ac:dyDescent="0.25">
      <c r="B1108" s="71"/>
      <c r="C1108" s="65"/>
      <c r="D1108" s="55"/>
      <c r="E1108" s="65"/>
      <c r="F1108" s="166"/>
      <c r="G1108" s="167"/>
      <c r="H1108" s="166"/>
      <c r="I1108" s="72"/>
      <c r="J1108" s="55"/>
      <c r="K1108" s="72"/>
      <c r="L1108" s="55"/>
      <c r="M1108" s="174"/>
      <c r="N1108" s="73" t="str">
        <f>IF(ISBLANK(C1108),"",_xlfn.IFNA(INDEX(inbound_data[],MATCH(Outbound_data[[#This Row],[STOCK CODE OUT]],Generated_Stockcode,0),10),""))</f>
        <v/>
      </c>
      <c r="O1108" s="73" t="str">
        <f>IF(ISBLANK(C1108),"",_xlfn.IFNA(INDEX(inbound_data[],MATCH(Outbound_data[[#This Row],[STOCK CODE OUT]],Generated_Stockcode,0),12),""))</f>
        <v/>
      </c>
      <c r="P1108" s="73" t="str">
        <f>IF(ISBLANK(C1108),"",_xlfn.IFNA(INDEX(inbound_data[],MATCH(Outbound_data[[#This Row],[STOCK CODE OUT]],Generated_Stockcode,0),23),""))</f>
        <v/>
      </c>
      <c r="Q1108" s="73" t="str">
        <f>IF(ISBLANK(C1108),"",_xlfn.IFNA(INDEX(inbound_data[],MATCH(Outbound_data[[#This Row],[STOCK CODE OUT]],Generated_Stockcode,0),13),""))</f>
        <v/>
      </c>
    </row>
    <row r="1109" spans="2:17" x14ac:dyDescent="0.25">
      <c r="B1109" s="71"/>
      <c r="C1109" s="65"/>
      <c r="D1109" s="55"/>
      <c r="E1109" s="65"/>
      <c r="F1109" s="166"/>
      <c r="G1109" s="167"/>
      <c r="H1109" s="166"/>
      <c r="I1109" s="72"/>
      <c r="J1109" s="55"/>
      <c r="K1109" s="72"/>
      <c r="L1109" s="55"/>
      <c r="M1109" s="174"/>
      <c r="N1109" s="73" t="str">
        <f>IF(ISBLANK(C1109),"",_xlfn.IFNA(INDEX(inbound_data[],MATCH(Outbound_data[[#This Row],[STOCK CODE OUT]],Generated_Stockcode,0),10),""))</f>
        <v/>
      </c>
      <c r="O1109" s="73" t="str">
        <f>IF(ISBLANK(C1109),"",_xlfn.IFNA(INDEX(inbound_data[],MATCH(Outbound_data[[#This Row],[STOCK CODE OUT]],Generated_Stockcode,0),12),""))</f>
        <v/>
      </c>
      <c r="P1109" s="73" t="str">
        <f>IF(ISBLANK(C1109),"",_xlfn.IFNA(INDEX(inbound_data[],MATCH(Outbound_data[[#This Row],[STOCK CODE OUT]],Generated_Stockcode,0),23),""))</f>
        <v/>
      </c>
      <c r="Q1109" s="73" t="str">
        <f>IF(ISBLANK(C1109),"",_xlfn.IFNA(INDEX(inbound_data[],MATCH(Outbound_data[[#This Row],[STOCK CODE OUT]],Generated_Stockcode,0),13),""))</f>
        <v/>
      </c>
    </row>
    <row r="1110" spans="2:17" x14ac:dyDescent="0.25">
      <c r="B1110" s="71"/>
      <c r="C1110" s="65"/>
      <c r="D1110" s="55"/>
      <c r="E1110" s="65"/>
      <c r="F1110" s="166"/>
      <c r="G1110" s="167"/>
      <c r="H1110" s="166"/>
      <c r="I1110" s="72"/>
      <c r="J1110" s="55"/>
      <c r="K1110" s="72"/>
      <c r="L1110" s="55"/>
      <c r="M1110" s="174"/>
      <c r="N1110" s="73" t="str">
        <f>IF(ISBLANK(C1110),"",_xlfn.IFNA(INDEX(inbound_data[],MATCH(Outbound_data[[#This Row],[STOCK CODE OUT]],Generated_Stockcode,0),10),""))</f>
        <v/>
      </c>
      <c r="O1110" s="73" t="str">
        <f>IF(ISBLANK(C1110),"",_xlfn.IFNA(INDEX(inbound_data[],MATCH(Outbound_data[[#This Row],[STOCK CODE OUT]],Generated_Stockcode,0),12),""))</f>
        <v/>
      </c>
      <c r="P1110" s="73" t="str">
        <f>IF(ISBLANK(C1110),"",_xlfn.IFNA(INDEX(inbound_data[],MATCH(Outbound_data[[#This Row],[STOCK CODE OUT]],Generated_Stockcode,0),23),""))</f>
        <v/>
      </c>
      <c r="Q1110" s="73" t="str">
        <f>IF(ISBLANK(C1110),"",_xlfn.IFNA(INDEX(inbound_data[],MATCH(Outbound_data[[#This Row],[STOCK CODE OUT]],Generated_Stockcode,0),13),""))</f>
        <v/>
      </c>
    </row>
    <row r="1111" spans="2:17" x14ac:dyDescent="0.25">
      <c r="B1111" s="71"/>
      <c r="C1111" s="65"/>
      <c r="D1111" s="55"/>
      <c r="E1111" s="65"/>
      <c r="F1111" s="166"/>
      <c r="G1111" s="167"/>
      <c r="H1111" s="166"/>
      <c r="I1111" s="72"/>
      <c r="J1111" s="55"/>
      <c r="K1111" s="72"/>
      <c r="L1111" s="55"/>
      <c r="M1111" s="174"/>
      <c r="N1111" s="73" t="str">
        <f>IF(ISBLANK(C1111),"",_xlfn.IFNA(INDEX(inbound_data[],MATCH(Outbound_data[[#This Row],[STOCK CODE OUT]],Generated_Stockcode,0),10),""))</f>
        <v/>
      </c>
      <c r="O1111" s="73" t="str">
        <f>IF(ISBLANK(C1111),"",_xlfn.IFNA(INDEX(inbound_data[],MATCH(Outbound_data[[#This Row],[STOCK CODE OUT]],Generated_Stockcode,0),12),""))</f>
        <v/>
      </c>
      <c r="P1111" s="73" t="str">
        <f>IF(ISBLANK(C1111),"",_xlfn.IFNA(INDEX(inbound_data[],MATCH(Outbound_data[[#This Row],[STOCK CODE OUT]],Generated_Stockcode,0),23),""))</f>
        <v/>
      </c>
      <c r="Q1111" s="73" t="str">
        <f>IF(ISBLANK(C1111),"",_xlfn.IFNA(INDEX(inbound_data[],MATCH(Outbound_data[[#This Row],[STOCK CODE OUT]],Generated_Stockcode,0),13),""))</f>
        <v/>
      </c>
    </row>
    <row r="1112" spans="2:17" x14ac:dyDescent="0.25">
      <c r="B1112" s="71"/>
      <c r="C1112" s="65"/>
      <c r="D1112" s="55"/>
      <c r="E1112" s="65"/>
      <c r="F1112" s="166"/>
      <c r="G1112" s="167"/>
      <c r="H1112" s="166"/>
      <c r="I1112" s="72"/>
      <c r="J1112" s="55"/>
      <c r="K1112" s="72"/>
      <c r="L1112" s="55"/>
      <c r="M1112" s="174"/>
      <c r="N1112" s="73" t="str">
        <f>IF(ISBLANK(C1112),"",_xlfn.IFNA(INDEX(inbound_data[],MATCH(Outbound_data[[#This Row],[STOCK CODE OUT]],Generated_Stockcode,0),10),""))</f>
        <v/>
      </c>
      <c r="O1112" s="73" t="str">
        <f>IF(ISBLANK(C1112),"",_xlfn.IFNA(INDEX(inbound_data[],MATCH(Outbound_data[[#This Row],[STOCK CODE OUT]],Generated_Stockcode,0),12),""))</f>
        <v/>
      </c>
      <c r="P1112" s="73" t="str">
        <f>IF(ISBLANK(C1112),"",_xlfn.IFNA(INDEX(inbound_data[],MATCH(Outbound_data[[#This Row],[STOCK CODE OUT]],Generated_Stockcode,0),23),""))</f>
        <v/>
      </c>
      <c r="Q1112" s="73" t="str">
        <f>IF(ISBLANK(C1112),"",_xlfn.IFNA(INDEX(inbound_data[],MATCH(Outbound_data[[#This Row],[STOCK CODE OUT]],Generated_Stockcode,0),13),""))</f>
        <v/>
      </c>
    </row>
    <row r="1113" spans="2:17" x14ac:dyDescent="0.25">
      <c r="B1113" s="71"/>
      <c r="C1113" s="65"/>
      <c r="D1113" s="55"/>
      <c r="E1113" s="65"/>
      <c r="F1113" s="166"/>
      <c r="G1113" s="167"/>
      <c r="H1113" s="166"/>
      <c r="I1113" s="72"/>
      <c r="J1113" s="55"/>
      <c r="K1113" s="72"/>
      <c r="L1113" s="55"/>
      <c r="M1113" s="174"/>
      <c r="N1113" s="73" t="str">
        <f>IF(ISBLANK(C1113),"",_xlfn.IFNA(INDEX(inbound_data[],MATCH(Outbound_data[[#This Row],[STOCK CODE OUT]],Generated_Stockcode,0),10),""))</f>
        <v/>
      </c>
      <c r="O1113" s="73" t="str">
        <f>IF(ISBLANK(C1113),"",_xlfn.IFNA(INDEX(inbound_data[],MATCH(Outbound_data[[#This Row],[STOCK CODE OUT]],Generated_Stockcode,0),12),""))</f>
        <v/>
      </c>
      <c r="P1113" s="73" t="str">
        <f>IF(ISBLANK(C1113),"",_xlfn.IFNA(INDEX(inbound_data[],MATCH(Outbound_data[[#This Row],[STOCK CODE OUT]],Generated_Stockcode,0),23),""))</f>
        <v/>
      </c>
      <c r="Q1113" s="73" t="str">
        <f>IF(ISBLANK(C1113),"",_xlfn.IFNA(INDEX(inbound_data[],MATCH(Outbound_data[[#This Row],[STOCK CODE OUT]],Generated_Stockcode,0),13),""))</f>
        <v/>
      </c>
    </row>
    <row r="1114" spans="2:17" x14ac:dyDescent="0.25">
      <c r="B1114" s="71"/>
      <c r="C1114" s="65"/>
      <c r="D1114" s="55"/>
      <c r="E1114" s="65"/>
      <c r="F1114" s="166"/>
      <c r="G1114" s="167"/>
      <c r="H1114" s="166"/>
      <c r="I1114" s="72"/>
      <c r="J1114" s="55"/>
      <c r="K1114" s="72"/>
      <c r="L1114" s="55"/>
      <c r="M1114" s="174"/>
      <c r="N1114" s="73" t="str">
        <f>IF(ISBLANK(C1114),"",_xlfn.IFNA(INDEX(inbound_data[],MATCH(Outbound_data[[#This Row],[STOCK CODE OUT]],Generated_Stockcode,0),10),""))</f>
        <v/>
      </c>
      <c r="O1114" s="73" t="str">
        <f>IF(ISBLANK(C1114),"",_xlfn.IFNA(INDEX(inbound_data[],MATCH(Outbound_data[[#This Row],[STOCK CODE OUT]],Generated_Stockcode,0),12),""))</f>
        <v/>
      </c>
      <c r="P1114" s="73" t="str">
        <f>IF(ISBLANK(C1114),"",_xlfn.IFNA(INDEX(inbound_data[],MATCH(Outbound_data[[#This Row],[STOCK CODE OUT]],Generated_Stockcode,0),23),""))</f>
        <v/>
      </c>
      <c r="Q1114" s="73" t="str">
        <f>IF(ISBLANK(C1114),"",_xlfn.IFNA(INDEX(inbound_data[],MATCH(Outbound_data[[#This Row],[STOCK CODE OUT]],Generated_Stockcode,0),13),""))</f>
        <v/>
      </c>
    </row>
    <row r="1115" spans="2:17" x14ac:dyDescent="0.25">
      <c r="B1115" s="71"/>
      <c r="C1115" s="65"/>
      <c r="D1115" s="55"/>
      <c r="E1115" s="65"/>
      <c r="F1115" s="166"/>
      <c r="G1115" s="167"/>
      <c r="H1115" s="166"/>
      <c r="I1115" s="72"/>
      <c r="J1115" s="55"/>
      <c r="K1115" s="72"/>
      <c r="L1115" s="55"/>
      <c r="M1115" s="174"/>
      <c r="N1115" s="73" t="str">
        <f>IF(ISBLANK(C1115),"",_xlfn.IFNA(INDEX(inbound_data[],MATCH(Outbound_data[[#This Row],[STOCK CODE OUT]],Generated_Stockcode,0),10),""))</f>
        <v/>
      </c>
      <c r="O1115" s="73" t="str">
        <f>IF(ISBLANK(C1115),"",_xlfn.IFNA(INDEX(inbound_data[],MATCH(Outbound_data[[#This Row],[STOCK CODE OUT]],Generated_Stockcode,0),12),""))</f>
        <v/>
      </c>
      <c r="P1115" s="73" t="str">
        <f>IF(ISBLANK(C1115),"",_xlfn.IFNA(INDEX(inbound_data[],MATCH(Outbound_data[[#This Row],[STOCK CODE OUT]],Generated_Stockcode,0),23),""))</f>
        <v/>
      </c>
      <c r="Q1115" s="73" t="str">
        <f>IF(ISBLANK(C1115),"",_xlfn.IFNA(INDEX(inbound_data[],MATCH(Outbound_data[[#This Row],[STOCK CODE OUT]],Generated_Stockcode,0),13),""))</f>
        <v/>
      </c>
    </row>
    <row r="1116" spans="2:17" x14ac:dyDescent="0.25">
      <c r="B1116" s="71"/>
      <c r="C1116" s="65"/>
      <c r="D1116" s="55"/>
      <c r="E1116" s="65"/>
      <c r="F1116" s="166"/>
      <c r="G1116" s="167"/>
      <c r="H1116" s="166"/>
      <c r="I1116" s="72"/>
      <c r="J1116" s="55"/>
      <c r="K1116" s="72"/>
      <c r="L1116" s="55"/>
      <c r="M1116" s="174"/>
      <c r="N1116" s="73" t="str">
        <f>IF(ISBLANK(C1116),"",_xlfn.IFNA(INDEX(inbound_data[],MATCH(Outbound_data[[#This Row],[STOCK CODE OUT]],Generated_Stockcode,0),10),""))</f>
        <v/>
      </c>
      <c r="O1116" s="73" t="str">
        <f>IF(ISBLANK(C1116),"",_xlfn.IFNA(INDEX(inbound_data[],MATCH(Outbound_data[[#This Row],[STOCK CODE OUT]],Generated_Stockcode,0),12),""))</f>
        <v/>
      </c>
      <c r="P1116" s="73" t="str">
        <f>IF(ISBLANK(C1116),"",_xlfn.IFNA(INDEX(inbound_data[],MATCH(Outbound_data[[#This Row],[STOCK CODE OUT]],Generated_Stockcode,0),23),""))</f>
        <v/>
      </c>
      <c r="Q1116" s="73" t="str">
        <f>IF(ISBLANK(C1116),"",_xlfn.IFNA(INDEX(inbound_data[],MATCH(Outbound_data[[#This Row],[STOCK CODE OUT]],Generated_Stockcode,0),13),""))</f>
        <v/>
      </c>
    </row>
    <row r="1117" spans="2:17" x14ac:dyDescent="0.25">
      <c r="B1117" s="71"/>
      <c r="C1117" s="65"/>
      <c r="D1117" s="55"/>
      <c r="E1117" s="65"/>
      <c r="F1117" s="166"/>
      <c r="G1117" s="167"/>
      <c r="H1117" s="166"/>
      <c r="I1117" s="72"/>
      <c r="J1117" s="55"/>
      <c r="K1117" s="72"/>
      <c r="L1117" s="55"/>
      <c r="M1117" s="174"/>
      <c r="N1117" s="73" t="str">
        <f>IF(ISBLANK(C1117),"",_xlfn.IFNA(INDEX(inbound_data[],MATCH(Outbound_data[[#This Row],[STOCK CODE OUT]],Generated_Stockcode,0),10),""))</f>
        <v/>
      </c>
      <c r="O1117" s="73" t="str">
        <f>IF(ISBLANK(C1117),"",_xlfn.IFNA(INDEX(inbound_data[],MATCH(Outbound_data[[#This Row],[STOCK CODE OUT]],Generated_Stockcode,0),12),""))</f>
        <v/>
      </c>
      <c r="P1117" s="73" t="str">
        <f>IF(ISBLANK(C1117),"",_xlfn.IFNA(INDEX(inbound_data[],MATCH(Outbound_data[[#This Row],[STOCK CODE OUT]],Generated_Stockcode,0),23),""))</f>
        <v/>
      </c>
      <c r="Q1117" s="73" t="str">
        <f>IF(ISBLANK(C1117),"",_xlfn.IFNA(INDEX(inbound_data[],MATCH(Outbound_data[[#This Row],[STOCK CODE OUT]],Generated_Stockcode,0),13),""))</f>
        <v/>
      </c>
    </row>
    <row r="1118" spans="2:17" x14ac:dyDescent="0.25">
      <c r="B1118" s="71"/>
      <c r="C1118" s="65"/>
      <c r="D1118" s="55"/>
      <c r="E1118" s="65"/>
      <c r="F1118" s="166"/>
      <c r="G1118" s="167"/>
      <c r="H1118" s="166"/>
      <c r="I1118" s="72"/>
      <c r="J1118" s="55"/>
      <c r="K1118" s="72"/>
      <c r="L1118" s="55"/>
      <c r="M1118" s="174"/>
      <c r="N1118" s="73" t="str">
        <f>IF(ISBLANK(C1118),"",_xlfn.IFNA(INDEX(inbound_data[],MATCH(Outbound_data[[#This Row],[STOCK CODE OUT]],Generated_Stockcode,0),10),""))</f>
        <v/>
      </c>
      <c r="O1118" s="73" t="str">
        <f>IF(ISBLANK(C1118),"",_xlfn.IFNA(INDEX(inbound_data[],MATCH(Outbound_data[[#This Row],[STOCK CODE OUT]],Generated_Stockcode,0),12),""))</f>
        <v/>
      </c>
      <c r="P1118" s="73" t="str">
        <f>IF(ISBLANK(C1118),"",_xlfn.IFNA(INDEX(inbound_data[],MATCH(Outbound_data[[#This Row],[STOCK CODE OUT]],Generated_Stockcode,0),23),""))</f>
        <v/>
      </c>
      <c r="Q1118" s="73" t="str">
        <f>IF(ISBLANK(C1118),"",_xlfn.IFNA(INDEX(inbound_data[],MATCH(Outbound_data[[#This Row],[STOCK CODE OUT]],Generated_Stockcode,0),13),""))</f>
        <v/>
      </c>
    </row>
    <row r="1119" spans="2:17" x14ac:dyDescent="0.25">
      <c r="B1119" s="71"/>
      <c r="C1119" s="65"/>
      <c r="D1119" s="55"/>
      <c r="E1119" s="65"/>
      <c r="F1119" s="166"/>
      <c r="G1119" s="167"/>
      <c r="H1119" s="166"/>
      <c r="I1119" s="72"/>
      <c r="J1119" s="55"/>
      <c r="K1119" s="72"/>
      <c r="L1119" s="55"/>
      <c r="M1119" s="174"/>
      <c r="N1119" s="73" t="str">
        <f>IF(ISBLANK(C1119),"",_xlfn.IFNA(INDEX(inbound_data[],MATCH(Outbound_data[[#This Row],[STOCK CODE OUT]],Generated_Stockcode,0),10),""))</f>
        <v/>
      </c>
      <c r="O1119" s="73" t="str">
        <f>IF(ISBLANK(C1119),"",_xlfn.IFNA(INDEX(inbound_data[],MATCH(Outbound_data[[#This Row],[STOCK CODE OUT]],Generated_Stockcode,0),12),""))</f>
        <v/>
      </c>
      <c r="P1119" s="73" t="str">
        <f>IF(ISBLANK(C1119),"",_xlfn.IFNA(INDEX(inbound_data[],MATCH(Outbound_data[[#This Row],[STOCK CODE OUT]],Generated_Stockcode,0),23),""))</f>
        <v/>
      </c>
      <c r="Q1119" s="73" t="str">
        <f>IF(ISBLANK(C1119),"",_xlfn.IFNA(INDEX(inbound_data[],MATCH(Outbound_data[[#This Row],[STOCK CODE OUT]],Generated_Stockcode,0),13),""))</f>
        <v/>
      </c>
    </row>
    <row r="1120" spans="2:17" x14ac:dyDescent="0.25">
      <c r="B1120" s="71"/>
      <c r="C1120" s="65"/>
      <c r="D1120" s="55"/>
      <c r="E1120" s="65"/>
      <c r="F1120" s="166"/>
      <c r="G1120" s="167"/>
      <c r="H1120" s="166"/>
      <c r="I1120" s="72"/>
      <c r="J1120" s="55"/>
      <c r="K1120" s="72"/>
      <c r="L1120" s="55"/>
      <c r="M1120" s="174"/>
      <c r="N1120" s="73" t="str">
        <f>IF(ISBLANK(C1120),"",_xlfn.IFNA(INDEX(inbound_data[],MATCH(Outbound_data[[#This Row],[STOCK CODE OUT]],Generated_Stockcode,0),10),""))</f>
        <v/>
      </c>
      <c r="O1120" s="73" t="str">
        <f>IF(ISBLANK(C1120),"",_xlfn.IFNA(INDEX(inbound_data[],MATCH(Outbound_data[[#This Row],[STOCK CODE OUT]],Generated_Stockcode,0),12),""))</f>
        <v/>
      </c>
      <c r="P1120" s="73" t="str">
        <f>IF(ISBLANK(C1120),"",_xlfn.IFNA(INDEX(inbound_data[],MATCH(Outbound_data[[#This Row],[STOCK CODE OUT]],Generated_Stockcode,0),23),""))</f>
        <v/>
      </c>
      <c r="Q1120" s="73" t="str">
        <f>IF(ISBLANK(C1120),"",_xlfn.IFNA(INDEX(inbound_data[],MATCH(Outbound_data[[#This Row],[STOCK CODE OUT]],Generated_Stockcode,0),13),""))</f>
        <v/>
      </c>
    </row>
    <row r="1121" spans="2:17" x14ac:dyDescent="0.25">
      <c r="B1121" s="71"/>
      <c r="C1121" s="65"/>
      <c r="D1121" s="55"/>
      <c r="E1121" s="65"/>
      <c r="F1121" s="166"/>
      <c r="G1121" s="167"/>
      <c r="H1121" s="166"/>
      <c r="I1121" s="72"/>
      <c r="J1121" s="55"/>
      <c r="K1121" s="72"/>
      <c r="L1121" s="55"/>
      <c r="M1121" s="174"/>
      <c r="N1121" s="73" t="str">
        <f>IF(ISBLANK(C1121),"",_xlfn.IFNA(INDEX(inbound_data[],MATCH(Outbound_data[[#This Row],[STOCK CODE OUT]],Generated_Stockcode,0),10),""))</f>
        <v/>
      </c>
      <c r="O1121" s="73" t="str">
        <f>IF(ISBLANK(C1121),"",_xlfn.IFNA(INDEX(inbound_data[],MATCH(Outbound_data[[#This Row],[STOCK CODE OUT]],Generated_Stockcode,0),12),""))</f>
        <v/>
      </c>
      <c r="P1121" s="73" t="str">
        <f>IF(ISBLANK(C1121),"",_xlfn.IFNA(INDEX(inbound_data[],MATCH(Outbound_data[[#This Row],[STOCK CODE OUT]],Generated_Stockcode,0),23),""))</f>
        <v/>
      </c>
      <c r="Q1121" s="73" t="str">
        <f>IF(ISBLANK(C1121),"",_xlfn.IFNA(INDEX(inbound_data[],MATCH(Outbound_data[[#This Row],[STOCK CODE OUT]],Generated_Stockcode,0),13),""))</f>
        <v/>
      </c>
    </row>
    <row r="1122" spans="2:17" x14ac:dyDescent="0.25">
      <c r="B1122" s="71"/>
      <c r="C1122" s="65"/>
      <c r="D1122" s="55"/>
      <c r="E1122" s="65"/>
      <c r="F1122" s="166"/>
      <c r="G1122" s="167"/>
      <c r="H1122" s="166"/>
      <c r="I1122" s="72"/>
      <c r="J1122" s="55"/>
      <c r="K1122" s="72"/>
      <c r="L1122" s="55"/>
      <c r="M1122" s="174"/>
      <c r="N1122" s="73" t="str">
        <f>IF(ISBLANK(C1122),"",_xlfn.IFNA(INDEX(inbound_data[],MATCH(Outbound_data[[#This Row],[STOCK CODE OUT]],Generated_Stockcode,0),10),""))</f>
        <v/>
      </c>
      <c r="O1122" s="73" t="str">
        <f>IF(ISBLANK(C1122),"",_xlfn.IFNA(INDEX(inbound_data[],MATCH(Outbound_data[[#This Row],[STOCK CODE OUT]],Generated_Stockcode,0),12),""))</f>
        <v/>
      </c>
      <c r="P1122" s="73" t="str">
        <f>IF(ISBLANK(C1122),"",_xlfn.IFNA(INDEX(inbound_data[],MATCH(Outbound_data[[#This Row],[STOCK CODE OUT]],Generated_Stockcode,0),23),""))</f>
        <v/>
      </c>
      <c r="Q1122" s="73" t="str">
        <f>IF(ISBLANK(C1122),"",_xlfn.IFNA(INDEX(inbound_data[],MATCH(Outbound_data[[#This Row],[STOCK CODE OUT]],Generated_Stockcode,0),13),""))</f>
        <v/>
      </c>
    </row>
    <row r="1123" spans="2:17" x14ac:dyDescent="0.25">
      <c r="B1123" s="71"/>
      <c r="C1123" s="65"/>
      <c r="D1123" s="55"/>
      <c r="E1123" s="65"/>
      <c r="F1123" s="166"/>
      <c r="G1123" s="167"/>
      <c r="H1123" s="166"/>
      <c r="I1123" s="72"/>
      <c r="J1123" s="55"/>
      <c r="K1123" s="72"/>
      <c r="L1123" s="55"/>
      <c r="M1123" s="174"/>
      <c r="N1123" s="73" t="str">
        <f>IF(ISBLANK(C1123),"",_xlfn.IFNA(INDEX(inbound_data[],MATCH(Outbound_data[[#This Row],[STOCK CODE OUT]],Generated_Stockcode,0),10),""))</f>
        <v/>
      </c>
      <c r="O1123" s="73" t="str">
        <f>IF(ISBLANK(C1123),"",_xlfn.IFNA(INDEX(inbound_data[],MATCH(Outbound_data[[#This Row],[STOCK CODE OUT]],Generated_Stockcode,0),12),""))</f>
        <v/>
      </c>
      <c r="P1123" s="73" t="str">
        <f>IF(ISBLANK(C1123),"",_xlfn.IFNA(INDEX(inbound_data[],MATCH(Outbound_data[[#This Row],[STOCK CODE OUT]],Generated_Stockcode,0),23),""))</f>
        <v/>
      </c>
      <c r="Q1123" s="73" t="str">
        <f>IF(ISBLANK(C1123),"",_xlfn.IFNA(INDEX(inbound_data[],MATCH(Outbound_data[[#This Row],[STOCK CODE OUT]],Generated_Stockcode,0),13),""))</f>
        <v/>
      </c>
    </row>
    <row r="1124" spans="2:17" x14ac:dyDescent="0.25">
      <c r="B1124" s="71"/>
      <c r="C1124" s="65"/>
      <c r="D1124" s="55"/>
      <c r="E1124" s="65"/>
      <c r="F1124" s="166"/>
      <c r="G1124" s="167"/>
      <c r="H1124" s="166"/>
      <c r="I1124" s="72"/>
      <c r="J1124" s="55"/>
      <c r="K1124" s="72"/>
      <c r="L1124" s="55"/>
      <c r="M1124" s="174"/>
      <c r="N1124" s="73" t="str">
        <f>IF(ISBLANK(C1124),"",_xlfn.IFNA(INDEX(inbound_data[],MATCH(Outbound_data[[#This Row],[STOCK CODE OUT]],Generated_Stockcode,0),10),""))</f>
        <v/>
      </c>
      <c r="O1124" s="73" t="str">
        <f>IF(ISBLANK(C1124),"",_xlfn.IFNA(INDEX(inbound_data[],MATCH(Outbound_data[[#This Row],[STOCK CODE OUT]],Generated_Stockcode,0),12),""))</f>
        <v/>
      </c>
      <c r="P1124" s="73" t="str">
        <f>IF(ISBLANK(C1124),"",_xlfn.IFNA(INDEX(inbound_data[],MATCH(Outbound_data[[#This Row],[STOCK CODE OUT]],Generated_Stockcode,0),23),""))</f>
        <v/>
      </c>
      <c r="Q1124" s="73" t="str">
        <f>IF(ISBLANK(C1124),"",_xlfn.IFNA(INDEX(inbound_data[],MATCH(Outbound_data[[#This Row],[STOCK CODE OUT]],Generated_Stockcode,0),13),""))</f>
        <v/>
      </c>
    </row>
    <row r="1125" spans="2:17" x14ac:dyDescent="0.25">
      <c r="B1125" s="71"/>
      <c r="C1125" s="65"/>
      <c r="D1125" s="55"/>
      <c r="E1125" s="65"/>
      <c r="F1125" s="166"/>
      <c r="G1125" s="167"/>
      <c r="H1125" s="166"/>
      <c r="I1125" s="72"/>
      <c r="J1125" s="55"/>
      <c r="K1125" s="72"/>
      <c r="L1125" s="55"/>
      <c r="M1125" s="174"/>
      <c r="N1125" s="73" t="str">
        <f>IF(ISBLANK(C1125),"",_xlfn.IFNA(INDEX(inbound_data[],MATCH(Outbound_data[[#This Row],[STOCK CODE OUT]],Generated_Stockcode,0),10),""))</f>
        <v/>
      </c>
      <c r="O1125" s="73" t="str">
        <f>IF(ISBLANK(C1125),"",_xlfn.IFNA(INDEX(inbound_data[],MATCH(Outbound_data[[#This Row],[STOCK CODE OUT]],Generated_Stockcode,0),12),""))</f>
        <v/>
      </c>
      <c r="P1125" s="73" t="str">
        <f>IF(ISBLANK(C1125),"",_xlfn.IFNA(INDEX(inbound_data[],MATCH(Outbound_data[[#This Row],[STOCK CODE OUT]],Generated_Stockcode,0),23),""))</f>
        <v/>
      </c>
      <c r="Q1125" s="73" t="str">
        <f>IF(ISBLANK(C1125),"",_xlfn.IFNA(INDEX(inbound_data[],MATCH(Outbound_data[[#This Row],[STOCK CODE OUT]],Generated_Stockcode,0),13),""))</f>
        <v/>
      </c>
    </row>
    <row r="1126" spans="2:17" x14ac:dyDescent="0.25">
      <c r="B1126" s="71"/>
      <c r="C1126" s="65"/>
      <c r="D1126" s="55"/>
      <c r="E1126" s="65"/>
      <c r="F1126" s="166"/>
      <c r="G1126" s="167"/>
      <c r="H1126" s="166"/>
      <c r="I1126" s="72"/>
      <c r="J1126" s="55"/>
      <c r="K1126" s="72"/>
      <c r="L1126" s="55"/>
      <c r="M1126" s="174"/>
      <c r="N1126" s="73" t="str">
        <f>IF(ISBLANK(C1126),"",_xlfn.IFNA(INDEX(inbound_data[],MATCH(Outbound_data[[#This Row],[STOCK CODE OUT]],Generated_Stockcode,0),10),""))</f>
        <v/>
      </c>
      <c r="O1126" s="73" t="str">
        <f>IF(ISBLANK(C1126),"",_xlfn.IFNA(INDEX(inbound_data[],MATCH(Outbound_data[[#This Row],[STOCK CODE OUT]],Generated_Stockcode,0),12),""))</f>
        <v/>
      </c>
      <c r="P1126" s="73" t="str">
        <f>IF(ISBLANK(C1126),"",_xlfn.IFNA(INDEX(inbound_data[],MATCH(Outbound_data[[#This Row],[STOCK CODE OUT]],Generated_Stockcode,0),23),""))</f>
        <v/>
      </c>
      <c r="Q1126" s="73" t="str">
        <f>IF(ISBLANK(C1126),"",_xlfn.IFNA(INDEX(inbound_data[],MATCH(Outbound_data[[#This Row],[STOCK CODE OUT]],Generated_Stockcode,0),13),""))</f>
        <v/>
      </c>
    </row>
    <row r="1127" spans="2:17" x14ac:dyDescent="0.25">
      <c r="B1127" s="71"/>
      <c r="C1127" s="65"/>
      <c r="D1127" s="55"/>
      <c r="E1127" s="65"/>
      <c r="F1127" s="166"/>
      <c r="G1127" s="167"/>
      <c r="H1127" s="166"/>
      <c r="I1127" s="72"/>
      <c r="J1127" s="55"/>
      <c r="K1127" s="72"/>
      <c r="L1127" s="55"/>
      <c r="M1127" s="174"/>
      <c r="N1127" s="73" t="str">
        <f>IF(ISBLANK(C1127),"",_xlfn.IFNA(INDEX(inbound_data[],MATCH(Outbound_data[[#This Row],[STOCK CODE OUT]],Generated_Stockcode,0),10),""))</f>
        <v/>
      </c>
      <c r="O1127" s="73" t="str">
        <f>IF(ISBLANK(C1127),"",_xlfn.IFNA(INDEX(inbound_data[],MATCH(Outbound_data[[#This Row],[STOCK CODE OUT]],Generated_Stockcode,0),12),""))</f>
        <v/>
      </c>
      <c r="P1127" s="73" t="str">
        <f>IF(ISBLANK(C1127),"",_xlfn.IFNA(INDEX(inbound_data[],MATCH(Outbound_data[[#This Row],[STOCK CODE OUT]],Generated_Stockcode,0),23),""))</f>
        <v/>
      </c>
      <c r="Q1127" s="73" t="str">
        <f>IF(ISBLANK(C1127),"",_xlfn.IFNA(INDEX(inbound_data[],MATCH(Outbound_data[[#This Row],[STOCK CODE OUT]],Generated_Stockcode,0),13),""))</f>
        <v/>
      </c>
    </row>
    <row r="1128" spans="2:17" x14ac:dyDescent="0.25">
      <c r="B1128" s="71"/>
      <c r="C1128" s="65"/>
      <c r="D1128" s="55"/>
      <c r="E1128" s="65"/>
      <c r="F1128" s="166"/>
      <c r="G1128" s="167"/>
      <c r="H1128" s="166"/>
      <c r="I1128" s="72"/>
      <c r="J1128" s="55"/>
      <c r="K1128" s="72"/>
      <c r="L1128" s="55"/>
      <c r="M1128" s="174"/>
      <c r="N1128" s="73" t="str">
        <f>IF(ISBLANK(C1128),"",_xlfn.IFNA(INDEX(inbound_data[],MATCH(Outbound_data[[#This Row],[STOCK CODE OUT]],Generated_Stockcode,0),10),""))</f>
        <v/>
      </c>
      <c r="O1128" s="73" t="str">
        <f>IF(ISBLANK(C1128),"",_xlfn.IFNA(INDEX(inbound_data[],MATCH(Outbound_data[[#This Row],[STOCK CODE OUT]],Generated_Stockcode,0),12),""))</f>
        <v/>
      </c>
      <c r="P1128" s="73" t="str">
        <f>IF(ISBLANK(C1128),"",_xlfn.IFNA(INDEX(inbound_data[],MATCH(Outbound_data[[#This Row],[STOCK CODE OUT]],Generated_Stockcode,0),23),""))</f>
        <v/>
      </c>
      <c r="Q1128" s="73" t="str">
        <f>IF(ISBLANK(C1128),"",_xlfn.IFNA(INDEX(inbound_data[],MATCH(Outbound_data[[#This Row],[STOCK CODE OUT]],Generated_Stockcode,0),13),""))</f>
        <v/>
      </c>
    </row>
    <row r="1129" spans="2:17" x14ac:dyDescent="0.25">
      <c r="B1129" s="71"/>
      <c r="C1129" s="65"/>
      <c r="D1129" s="55"/>
      <c r="E1129" s="65"/>
      <c r="F1129" s="166"/>
      <c r="G1129" s="167"/>
      <c r="H1129" s="166"/>
      <c r="I1129" s="72"/>
      <c r="J1129" s="55"/>
      <c r="K1129" s="72"/>
      <c r="L1129" s="55"/>
      <c r="M1129" s="174"/>
      <c r="N1129" s="73" t="str">
        <f>IF(ISBLANK(C1129),"",_xlfn.IFNA(INDEX(inbound_data[],MATCH(Outbound_data[[#This Row],[STOCK CODE OUT]],Generated_Stockcode,0),10),""))</f>
        <v/>
      </c>
      <c r="O1129" s="73" t="str">
        <f>IF(ISBLANK(C1129),"",_xlfn.IFNA(INDEX(inbound_data[],MATCH(Outbound_data[[#This Row],[STOCK CODE OUT]],Generated_Stockcode,0),12),""))</f>
        <v/>
      </c>
      <c r="P1129" s="73" t="str">
        <f>IF(ISBLANK(C1129),"",_xlfn.IFNA(INDEX(inbound_data[],MATCH(Outbound_data[[#This Row],[STOCK CODE OUT]],Generated_Stockcode,0),23),""))</f>
        <v/>
      </c>
      <c r="Q1129" s="73" t="str">
        <f>IF(ISBLANK(C1129),"",_xlfn.IFNA(INDEX(inbound_data[],MATCH(Outbound_data[[#This Row],[STOCK CODE OUT]],Generated_Stockcode,0),13),""))</f>
        <v/>
      </c>
    </row>
    <row r="1130" spans="2:17" x14ac:dyDescent="0.25">
      <c r="B1130" s="71"/>
      <c r="C1130" s="65"/>
      <c r="D1130" s="55"/>
      <c r="E1130" s="65"/>
      <c r="F1130" s="166"/>
      <c r="G1130" s="167"/>
      <c r="H1130" s="166"/>
      <c r="I1130" s="72"/>
      <c r="J1130" s="55"/>
      <c r="K1130" s="72"/>
      <c r="L1130" s="55"/>
      <c r="M1130" s="174"/>
      <c r="N1130" s="73" t="str">
        <f>IF(ISBLANK(C1130),"",_xlfn.IFNA(INDEX(inbound_data[],MATCH(Outbound_data[[#This Row],[STOCK CODE OUT]],Generated_Stockcode,0),10),""))</f>
        <v/>
      </c>
      <c r="O1130" s="73" t="str">
        <f>IF(ISBLANK(C1130),"",_xlfn.IFNA(INDEX(inbound_data[],MATCH(Outbound_data[[#This Row],[STOCK CODE OUT]],Generated_Stockcode,0),12),""))</f>
        <v/>
      </c>
      <c r="P1130" s="73" t="str">
        <f>IF(ISBLANK(C1130),"",_xlfn.IFNA(INDEX(inbound_data[],MATCH(Outbound_data[[#This Row],[STOCK CODE OUT]],Generated_Stockcode,0),23),""))</f>
        <v/>
      </c>
      <c r="Q1130" s="73" t="str">
        <f>IF(ISBLANK(C1130),"",_xlfn.IFNA(INDEX(inbound_data[],MATCH(Outbound_data[[#This Row],[STOCK CODE OUT]],Generated_Stockcode,0),13),""))</f>
        <v/>
      </c>
    </row>
    <row r="1131" spans="2:17" x14ac:dyDescent="0.25">
      <c r="B1131" s="71"/>
      <c r="C1131" s="65"/>
      <c r="D1131" s="55"/>
      <c r="E1131" s="65"/>
      <c r="F1131" s="166"/>
      <c r="G1131" s="167"/>
      <c r="H1131" s="166"/>
      <c r="I1131" s="72"/>
      <c r="J1131" s="55"/>
      <c r="K1131" s="72"/>
      <c r="L1131" s="55"/>
      <c r="M1131" s="174"/>
      <c r="N1131" s="73" t="str">
        <f>IF(ISBLANK(C1131),"",_xlfn.IFNA(INDEX(inbound_data[],MATCH(Outbound_data[[#This Row],[STOCK CODE OUT]],Generated_Stockcode,0),10),""))</f>
        <v/>
      </c>
      <c r="O1131" s="73" t="str">
        <f>IF(ISBLANK(C1131),"",_xlfn.IFNA(INDEX(inbound_data[],MATCH(Outbound_data[[#This Row],[STOCK CODE OUT]],Generated_Stockcode,0),12),""))</f>
        <v/>
      </c>
      <c r="P1131" s="73" t="str">
        <f>IF(ISBLANK(C1131),"",_xlfn.IFNA(INDEX(inbound_data[],MATCH(Outbound_data[[#This Row],[STOCK CODE OUT]],Generated_Stockcode,0),23),""))</f>
        <v/>
      </c>
      <c r="Q1131" s="73" t="str">
        <f>IF(ISBLANK(C1131),"",_xlfn.IFNA(INDEX(inbound_data[],MATCH(Outbound_data[[#This Row],[STOCK CODE OUT]],Generated_Stockcode,0),13),""))</f>
        <v/>
      </c>
    </row>
    <row r="1132" spans="2:17" x14ac:dyDescent="0.25">
      <c r="B1132" s="71"/>
      <c r="C1132" s="65"/>
      <c r="D1132" s="55"/>
      <c r="E1132" s="65"/>
      <c r="F1132" s="166"/>
      <c r="G1132" s="167"/>
      <c r="H1132" s="166"/>
      <c r="I1132" s="72"/>
      <c r="J1132" s="55"/>
      <c r="K1132" s="72"/>
      <c r="L1132" s="55"/>
      <c r="M1132" s="174"/>
      <c r="N1132" s="73" t="str">
        <f>IF(ISBLANK(C1132),"",_xlfn.IFNA(INDEX(inbound_data[],MATCH(Outbound_data[[#This Row],[STOCK CODE OUT]],Generated_Stockcode,0),10),""))</f>
        <v/>
      </c>
      <c r="O1132" s="73" t="str">
        <f>IF(ISBLANK(C1132),"",_xlfn.IFNA(INDEX(inbound_data[],MATCH(Outbound_data[[#This Row],[STOCK CODE OUT]],Generated_Stockcode,0),12),""))</f>
        <v/>
      </c>
      <c r="P1132" s="73" t="str">
        <f>IF(ISBLANK(C1132),"",_xlfn.IFNA(INDEX(inbound_data[],MATCH(Outbound_data[[#This Row],[STOCK CODE OUT]],Generated_Stockcode,0),23),""))</f>
        <v/>
      </c>
      <c r="Q1132" s="73" t="str">
        <f>IF(ISBLANK(C1132),"",_xlfn.IFNA(INDEX(inbound_data[],MATCH(Outbound_data[[#This Row],[STOCK CODE OUT]],Generated_Stockcode,0),13),""))</f>
        <v/>
      </c>
    </row>
    <row r="1133" spans="2:17" x14ac:dyDescent="0.25">
      <c r="B1133" s="71"/>
      <c r="C1133" s="65"/>
      <c r="D1133" s="55"/>
      <c r="E1133" s="65"/>
      <c r="F1133" s="166"/>
      <c r="G1133" s="167"/>
      <c r="H1133" s="166"/>
      <c r="I1133" s="72"/>
      <c r="J1133" s="55"/>
      <c r="K1133" s="72"/>
      <c r="L1133" s="55"/>
      <c r="M1133" s="174"/>
      <c r="N1133" s="73" t="str">
        <f>IF(ISBLANK(C1133),"",_xlfn.IFNA(INDEX(inbound_data[],MATCH(Outbound_data[[#This Row],[STOCK CODE OUT]],Generated_Stockcode,0),10),""))</f>
        <v/>
      </c>
      <c r="O1133" s="73" t="str">
        <f>IF(ISBLANK(C1133),"",_xlfn.IFNA(INDEX(inbound_data[],MATCH(Outbound_data[[#This Row],[STOCK CODE OUT]],Generated_Stockcode,0),12),""))</f>
        <v/>
      </c>
      <c r="P1133" s="73" t="str">
        <f>IF(ISBLANK(C1133),"",_xlfn.IFNA(INDEX(inbound_data[],MATCH(Outbound_data[[#This Row],[STOCK CODE OUT]],Generated_Stockcode,0),23),""))</f>
        <v/>
      </c>
      <c r="Q1133" s="73" t="str">
        <f>IF(ISBLANK(C1133),"",_xlfn.IFNA(INDEX(inbound_data[],MATCH(Outbound_data[[#This Row],[STOCK CODE OUT]],Generated_Stockcode,0),13),""))</f>
        <v/>
      </c>
    </row>
    <row r="1134" spans="2:17" x14ac:dyDescent="0.25">
      <c r="B1134" s="71"/>
      <c r="C1134" s="65"/>
      <c r="D1134" s="55"/>
      <c r="E1134" s="65"/>
      <c r="F1134" s="166"/>
      <c r="G1134" s="167"/>
      <c r="H1134" s="166"/>
      <c r="I1134" s="72"/>
      <c r="J1134" s="55"/>
      <c r="K1134" s="72"/>
      <c r="L1134" s="55"/>
      <c r="M1134" s="174"/>
      <c r="N1134" s="73" t="str">
        <f>IF(ISBLANK(C1134),"",_xlfn.IFNA(INDEX(inbound_data[],MATCH(Outbound_data[[#This Row],[STOCK CODE OUT]],Generated_Stockcode,0),10),""))</f>
        <v/>
      </c>
      <c r="O1134" s="73" t="str">
        <f>IF(ISBLANK(C1134),"",_xlfn.IFNA(INDEX(inbound_data[],MATCH(Outbound_data[[#This Row],[STOCK CODE OUT]],Generated_Stockcode,0),12),""))</f>
        <v/>
      </c>
      <c r="P1134" s="73" t="str">
        <f>IF(ISBLANK(C1134),"",_xlfn.IFNA(INDEX(inbound_data[],MATCH(Outbound_data[[#This Row],[STOCK CODE OUT]],Generated_Stockcode,0),23),""))</f>
        <v/>
      </c>
      <c r="Q1134" s="73" t="str">
        <f>IF(ISBLANK(C1134),"",_xlfn.IFNA(INDEX(inbound_data[],MATCH(Outbound_data[[#This Row],[STOCK CODE OUT]],Generated_Stockcode,0),13),""))</f>
        <v/>
      </c>
    </row>
    <row r="1135" spans="2:17" x14ac:dyDescent="0.25">
      <c r="B1135" s="71"/>
      <c r="C1135" s="65"/>
      <c r="D1135" s="55"/>
      <c r="E1135" s="65"/>
      <c r="F1135" s="166"/>
      <c r="G1135" s="167"/>
      <c r="H1135" s="166"/>
      <c r="I1135" s="72"/>
      <c r="J1135" s="55"/>
      <c r="K1135" s="72"/>
      <c r="L1135" s="55"/>
      <c r="M1135" s="174"/>
      <c r="N1135" s="73" t="str">
        <f>IF(ISBLANK(C1135),"",_xlfn.IFNA(INDEX(inbound_data[],MATCH(Outbound_data[[#This Row],[STOCK CODE OUT]],Generated_Stockcode,0),10),""))</f>
        <v/>
      </c>
      <c r="O1135" s="73" t="str">
        <f>IF(ISBLANK(C1135),"",_xlfn.IFNA(INDEX(inbound_data[],MATCH(Outbound_data[[#This Row],[STOCK CODE OUT]],Generated_Stockcode,0),12),""))</f>
        <v/>
      </c>
      <c r="P1135" s="73" t="str">
        <f>IF(ISBLANK(C1135),"",_xlfn.IFNA(INDEX(inbound_data[],MATCH(Outbound_data[[#This Row],[STOCK CODE OUT]],Generated_Stockcode,0),23),""))</f>
        <v/>
      </c>
      <c r="Q1135" s="73" t="str">
        <f>IF(ISBLANK(C1135),"",_xlfn.IFNA(INDEX(inbound_data[],MATCH(Outbound_data[[#This Row],[STOCK CODE OUT]],Generated_Stockcode,0),13),""))</f>
        <v/>
      </c>
    </row>
    <row r="1136" spans="2:17" x14ac:dyDescent="0.25">
      <c r="B1136" s="71"/>
      <c r="C1136" s="65"/>
      <c r="D1136" s="55"/>
      <c r="E1136" s="65"/>
      <c r="F1136" s="166"/>
      <c r="G1136" s="167"/>
      <c r="H1136" s="166"/>
      <c r="I1136" s="72"/>
      <c r="J1136" s="55"/>
      <c r="K1136" s="72"/>
      <c r="L1136" s="55"/>
      <c r="M1136" s="174"/>
      <c r="N1136" s="73" t="str">
        <f>IF(ISBLANK(C1136),"",_xlfn.IFNA(INDEX(inbound_data[],MATCH(Outbound_data[[#This Row],[STOCK CODE OUT]],Generated_Stockcode,0),10),""))</f>
        <v/>
      </c>
      <c r="O1136" s="73" t="str">
        <f>IF(ISBLANK(C1136),"",_xlfn.IFNA(INDEX(inbound_data[],MATCH(Outbound_data[[#This Row],[STOCK CODE OUT]],Generated_Stockcode,0),12),""))</f>
        <v/>
      </c>
      <c r="P1136" s="73" t="str">
        <f>IF(ISBLANK(C1136),"",_xlfn.IFNA(INDEX(inbound_data[],MATCH(Outbound_data[[#This Row],[STOCK CODE OUT]],Generated_Stockcode,0),23),""))</f>
        <v/>
      </c>
      <c r="Q1136" s="73" t="str">
        <f>IF(ISBLANK(C1136),"",_xlfn.IFNA(INDEX(inbound_data[],MATCH(Outbound_data[[#This Row],[STOCK CODE OUT]],Generated_Stockcode,0),13),""))</f>
        <v/>
      </c>
    </row>
    <row r="1137" spans="2:17" x14ac:dyDescent="0.25">
      <c r="B1137" s="71"/>
      <c r="C1137" s="65"/>
      <c r="D1137" s="55"/>
      <c r="E1137" s="65"/>
      <c r="F1137" s="166"/>
      <c r="G1137" s="167"/>
      <c r="H1137" s="166"/>
      <c r="I1137" s="72"/>
      <c r="J1137" s="55"/>
      <c r="K1137" s="72"/>
      <c r="L1137" s="55"/>
      <c r="M1137" s="174"/>
      <c r="N1137" s="73" t="str">
        <f>IF(ISBLANK(C1137),"",_xlfn.IFNA(INDEX(inbound_data[],MATCH(Outbound_data[[#This Row],[STOCK CODE OUT]],Generated_Stockcode,0),10),""))</f>
        <v/>
      </c>
      <c r="O1137" s="73" t="str">
        <f>IF(ISBLANK(C1137),"",_xlfn.IFNA(INDEX(inbound_data[],MATCH(Outbound_data[[#This Row],[STOCK CODE OUT]],Generated_Stockcode,0),12),""))</f>
        <v/>
      </c>
      <c r="P1137" s="73" t="str">
        <f>IF(ISBLANK(C1137),"",_xlfn.IFNA(INDEX(inbound_data[],MATCH(Outbound_data[[#This Row],[STOCK CODE OUT]],Generated_Stockcode,0),23),""))</f>
        <v/>
      </c>
      <c r="Q1137" s="73" t="str">
        <f>IF(ISBLANK(C1137),"",_xlfn.IFNA(INDEX(inbound_data[],MATCH(Outbound_data[[#This Row],[STOCK CODE OUT]],Generated_Stockcode,0),13),""))</f>
        <v/>
      </c>
    </row>
    <row r="1138" spans="2:17" x14ac:dyDescent="0.25">
      <c r="B1138" s="71"/>
      <c r="C1138" s="65"/>
      <c r="D1138" s="55"/>
      <c r="E1138" s="65"/>
      <c r="F1138" s="166"/>
      <c r="G1138" s="167"/>
      <c r="H1138" s="166"/>
      <c r="I1138" s="72"/>
      <c r="J1138" s="55"/>
      <c r="K1138" s="72"/>
      <c r="L1138" s="55"/>
      <c r="M1138" s="174"/>
      <c r="N1138" s="73" t="str">
        <f>IF(ISBLANK(C1138),"",_xlfn.IFNA(INDEX(inbound_data[],MATCH(Outbound_data[[#This Row],[STOCK CODE OUT]],Generated_Stockcode,0),10),""))</f>
        <v/>
      </c>
      <c r="O1138" s="73" t="str">
        <f>IF(ISBLANK(C1138),"",_xlfn.IFNA(INDEX(inbound_data[],MATCH(Outbound_data[[#This Row],[STOCK CODE OUT]],Generated_Stockcode,0),12),""))</f>
        <v/>
      </c>
      <c r="P1138" s="73" t="str">
        <f>IF(ISBLANK(C1138),"",_xlfn.IFNA(INDEX(inbound_data[],MATCH(Outbound_data[[#This Row],[STOCK CODE OUT]],Generated_Stockcode,0),23),""))</f>
        <v/>
      </c>
      <c r="Q1138" s="73" t="str">
        <f>IF(ISBLANK(C1138),"",_xlfn.IFNA(INDEX(inbound_data[],MATCH(Outbound_data[[#This Row],[STOCK CODE OUT]],Generated_Stockcode,0),13),""))</f>
        <v/>
      </c>
    </row>
    <row r="1139" spans="2:17" x14ac:dyDescent="0.25">
      <c r="B1139" s="71"/>
      <c r="C1139" s="65"/>
      <c r="D1139" s="55"/>
      <c r="E1139" s="65"/>
      <c r="F1139" s="166"/>
      <c r="G1139" s="167"/>
      <c r="H1139" s="166"/>
      <c r="I1139" s="72"/>
      <c r="J1139" s="55"/>
      <c r="K1139" s="72"/>
      <c r="L1139" s="55"/>
      <c r="M1139" s="174"/>
      <c r="N1139" s="73" t="str">
        <f>IF(ISBLANK(C1139),"",_xlfn.IFNA(INDEX(inbound_data[],MATCH(Outbound_data[[#This Row],[STOCK CODE OUT]],Generated_Stockcode,0),10),""))</f>
        <v/>
      </c>
      <c r="O1139" s="73" t="str">
        <f>IF(ISBLANK(C1139),"",_xlfn.IFNA(INDEX(inbound_data[],MATCH(Outbound_data[[#This Row],[STOCK CODE OUT]],Generated_Stockcode,0),12),""))</f>
        <v/>
      </c>
      <c r="P1139" s="73" t="str">
        <f>IF(ISBLANK(C1139),"",_xlfn.IFNA(INDEX(inbound_data[],MATCH(Outbound_data[[#This Row],[STOCK CODE OUT]],Generated_Stockcode,0),23),""))</f>
        <v/>
      </c>
      <c r="Q1139" s="73" t="str">
        <f>IF(ISBLANK(C1139),"",_xlfn.IFNA(INDEX(inbound_data[],MATCH(Outbound_data[[#This Row],[STOCK CODE OUT]],Generated_Stockcode,0),13),""))</f>
        <v/>
      </c>
    </row>
    <row r="1140" spans="2:17" x14ac:dyDescent="0.25">
      <c r="B1140" s="71"/>
      <c r="C1140" s="65"/>
      <c r="D1140" s="55"/>
      <c r="E1140" s="65"/>
      <c r="F1140" s="166"/>
      <c r="G1140" s="167"/>
      <c r="H1140" s="166"/>
      <c r="I1140" s="72"/>
      <c r="J1140" s="55"/>
      <c r="K1140" s="72"/>
      <c r="L1140" s="55"/>
      <c r="M1140" s="174"/>
      <c r="N1140" s="73" t="str">
        <f>IF(ISBLANK(C1140),"",_xlfn.IFNA(INDEX(inbound_data[],MATCH(Outbound_data[[#This Row],[STOCK CODE OUT]],Generated_Stockcode,0),10),""))</f>
        <v/>
      </c>
      <c r="O1140" s="73" t="str">
        <f>IF(ISBLANK(C1140),"",_xlfn.IFNA(INDEX(inbound_data[],MATCH(Outbound_data[[#This Row],[STOCK CODE OUT]],Generated_Stockcode,0),12),""))</f>
        <v/>
      </c>
      <c r="P1140" s="73" t="str">
        <f>IF(ISBLANK(C1140),"",_xlfn.IFNA(INDEX(inbound_data[],MATCH(Outbound_data[[#This Row],[STOCK CODE OUT]],Generated_Stockcode,0),23),""))</f>
        <v/>
      </c>
      <c r="Q1140" s="73" t="str">
        <f>IF(ISBLANK(C1140),"",_xlfn.IFNA(INDEX(inbound_data[],MATCH(Outbound_data[[#This Row],[STOCK CODE OUT]],Generated_Stockcode,0),13),""))</f>
        <v/>
      </c>
    </row>
    <row r="1141" spans="2:17" x14ac:dyDescent="0.25">
      <c r="B1141" s="71"/>
      <c r="C1141" s="65"/>
      <c r="D1141" s="55"/>
      <c r="E1141" s="65"/>
      <c r="F1141" s="166"/>
      <c r="G1141" s="167"/>
      <c r="H1141" s="166"/>
      <c r="I1141" s="72"/>
      <c r="J1141" s="55"/>
      <c r="K1141" s="72"/>
      <c r="L1141" s="55"/>
      <c r="M1141" s="174"/>
      <c r="N1141" s="73" t="str">
        <f>IF(ISBLANK(C1141),"",_xlfn.IFNA(INDEX(inbound_data[],MATCH(Outbound_data[[#This Row],[STOCK CODE OUT]],Generated_Stockcode,0),10),""))</f>
        <v/>
      </c>
      <c r="O1141" s="73" t="str">
        <f>IF(ISBLANK(C1141),"",_xlfn.IFNA(INDEX(inbound_data[],MATCH(Outbound_data[[#This Row],[STOCK CODE OUT]],Generated_Stockcode,0),12),""))</f>
        <v/>
      </c>
      <c r="P1141" s="73" t="str">
        <f>IF(ISBLANK(C1141),"",_xlfn.IFNA(INDEX(inbound_data[],MATCH(Outbound_data[[#This Row],[STOCK CODE OUT]],Generated_Stockcode,0),23),""))</f>
        <v/>
      </c>
      <c r="Q1141" s="73" t="str">
        <f>IF(ISBLANK(C1141),"",_xlfn.IFNA(INDEX(inbound_data[],MATCH(Outbound_data[[#This Row],[STOCK CODE OUT]],Generated_Stockcode,0),13),""))</f>
        <v/>
      </c>
    </row>
    <row r="1142" spans="2:17" x14ac:dyDescent="0.25">
      <c r="B1142" s="71"/>
      <c r="C1142" s="65"/>
      <c r="D1142" s="55"/>
      <c r="E1142" s="65"/>
      <c r="F1142" s="166"/>
      <c r="G1142" s="167"/>
      <c r="H1142" s="166"/>
      <c r="I1142" s="72"/>
      <c r="J1142" s="55"/>
      <c r="K1142" s="72"/>
      <c r="L1142" s="55"/>
      <c r="M1142" s="174"/>
      <c r="N1142" s="73" t="str">
        <f>IF(ISBLANK(C1142),"",_xlfn.IFNA(INDEX(inbound_data[],MATCH(Outbound_data[[#This Row],[STOCK CODE OUT]],Generated_Stockcode,0),10),""))</f>
        <v/>
      </c>
      <c r="O1142" s="73" t="str">
        <f>IF(ISBLANK(C1142),"",_xlfn.IFNA(INDEX(inbound_data[],MATCH(Outbound_data[[#This Row],[STOCK CODE OUT]],Generated_Stockcode,0),12),""))</f>
        <v/>
      </c>
      <c r="P1142" s="73" t="str">
        <f>IF(ISBLANK(C1142),"",_xlfn.IFNA(INDEX(inbound_data[],MATCH(Outbound_data[[#This Row],[STOCK CODE OUT]],Generated_Stockcode,0),23),""))</f>
        <v/>
      </c>
      <c r="Q1142" s="73" t="str">
        <f>IF(ISBLANK(C1142),"",_xlfn.IFNA(INDEX(inbound_data[],MATCH(Outbound_data[[#This Row],[STOCK CODE OUT]],Generated_Stockcode,0),13),""))</f>
        <v/>
      </c>
    </row>
    <row r="1143" spans="2:17" x14ac:dyDescent="0.25">
      <c r="B1143" s="71"/>
      <c r="C1143" s="65"/>
      <c r="D1143" s="55"/>
      <c r="E1143" s="65"/>
      <c r="F1143" s="166"/>
      <c r="G1143" s="167"/>
      <c r="H1143" s="166"/>
      <c r="I1143" s="72"/>
      <c r="J1143" s="55"/>
      <c r="K1143" s="72"/>
      <c r="L1143" s="55"/>
      <c r="M1143" s="174"/>
      <c r="N1143" s="73" t="str">
        <f>IF(ISBLANK(C1143),"",_xlfn.IFNA(INDEX(inbound_data[],MATCH(Outbound_data[[#This Row],[STOCK CODE OUT]],Generated_Stockcode,0),10),""))</f>
        <v/>
      </c>
      <c r="O1143" s="73" t="str">
        <f>IF(ISBLANK(C1143),"",_xlfn.IFNA(INDEX(inbound_data[],MATCH(Outbound_data[[#This Row],[STOCK CODE OUT]],Generated_Stockcode,0),12),""))</f>
        <v/>
      </c>
      <c r="P1143" s="73" t="str">
        <f>IF(ISBLANK(C1143),"",_xlfn.IFNA(INDEX(inbound_data[],MATCH(Outbound_data[[#This Row],[STOCK CODE OUT]],Generated_Stockcode,0),23),""))</f>
        <v/>
      </c>
      <c r="Q1143" s="73" t="str">
        <f>IF(ISBLANK(C1143),"",_xlfn.IFNA(INDEX(inbound_data[],MATCH(Outbound_data[[#This Row],[STOCK CODE OUT]],Generated_Stockcode,0),13),""))</f>
        <v/>
      </c>
    </row>
    <row r="1144" spans="2:17" x14ac:dyDescent="0.25">
      <c r="B1144" s="71"/>
      <c r="C1144" s="65"/>
      <c r="D1144" s="55"/>
      <c r="E1144" s="65"/>
      <c r="F1144" s="166"/>
      <c r="G1144" s="167"/>
      <c r="H1144" s="166"/>
      <c r="I1144" s="72"/>
      <c r="J1144" s="55"/>
      <c r="K1144" s="72"/>
      <c r="L1144" s="55"/>
      <c r="M1144" s="174"/>
      <c r="N1144" s="73" t="str">
        <f>IF(ISBLANK(C1144),"",_xlfn.IFNA(INDEX(inbound_data[],MATCH(Outbound_data[[#This Row],[STOCK CODE OUT]],Generated_Stockcode,0),10),""))</f>
        <v/>
      </c>
      <c r="O1144" s="73" t="str">
        <f>IF(ISBLANK(C1144),"",_xlfn.IFNA(INDEX(inbound_data[],MATCH(Outbound_data[[#This Row],[STOCK CODE OUT]],Generated_Stockcode,0),12),""))</f>
        <v/>
      </c>
      <c r="P1144" s="73" t="str">
        <f>IF(ISBLANK(C1144),"",_xlfn.IFNA(INDEX(inbound_data[],MATCH(Outbound_data[[#This Row],[STOCK CODE OUT]],Generated_Stockcode,0),23),""))</f>
        <v/>
      </c>
      <c r="Q1144" s="73" t="str">
        <f>IF(ISBLANK(C1144),"",_xlfn.IFNA(INDEX(inbound_data[],MATCH(Outbound_data[[#This Row],[STOCK CODE OUT]],Generated_Stockcode,0),13),""))</f>
        <v/>
      </c>
    </row>
    <row r="1145" spans="2:17" x14ac:dyDescent="0.25">
      <c r="B1145" s="71"/>
      <c r="C1145" s="65"/>
      <c r="D1145" s="55"/>
      <c r="E1145" s="65"/>
      <c r="F1145" s="166"/>
      <c r="G1145" s="167"/>
      <c r="H1145" s="166"/>
      <c r="I1145" s="72"/>
      <c r="J1145" s="55"/>
      <c r="K1145" s="72"/>
      <c r="L1145" s="55"/>
      <c r="M1145" s="174"/>
      <c r="N1145" s="73" t="str">
        <f>IF(ISBLANK(C1145),"",_xlfn.IFNA(INDEX(inbound_data[],MATCH(Outbound_data[[#This Row],[STOCK CODE OUT]],Generated_Stockcode,0),10),""))</f>
        <v/>
      </c>
      <c r="O1145" s="73" t="str">
        <f>IF(ISBLANK(C1145),"",_xlfn.IFNA(INDEX(inbound_data[],MATCH(Outbound_data[[#This Row],[STOCK CODE OUT]],Generated_Stockcode,0),12),""))</f>
        <v/>
      </c>
      <c r="P1145" s="73" t="str">
        <f>IF(ISBLANK(C1145),"",_xlfn.IFNA(INDEX(inbound_data[],MATCH(Outbound_data[[#This Row],[STOCK CODE OUT]],Generated_Stockcode,0),23),""))</f>
        <v/>
      </c>
      <c r="Q1145" s="73" t="str">
        <f>IF(ISBLANK(C1145),"",_xlfn.IFNA(INDEX(inbound_data[],MATCH(Outbound_data[[#This Row],[STOCK CODE OUT]],Generated_Stockcode,0),13),""))</f>
        <v/>
      </c>
    </row>
    <row r="1146" spans="2:17" x14ac:dyDescent="0.25">
      <c r="B1146" s="71"/>
      <c r="C1146" s="65"/>
      <c r="D1146" s="55"/>
      <c r="E1146" s="65"/>
      <c r="F1146" s="166"/>
      <c r="G1146" s="167"/>
      <c r="H1146" s="166"/>
      <c r="I1146" s="72"/>
      <c r="J1146" s="55"/>
      <c r="K1146" s="72"/>
      <c r="L1146" s="55"/>
      <c r="M1146" s="174"/>
      <c r="N1146" s="73" t="str">
        <f>IF(ISBLANK(C1146),"",_xlfn.IFNA(INDEX(inbound_data[],MATCH(Outbound_data[[#This Row],[STOCK CODE OUT]],Generated_Stockcode,0),10),""))</f>
        <v/>
      </c>
      <c r="O1146" s="73" t="str">
        <f>IF(ISBLANK(C1146),"",_xlfn.IFNA(INDEX(inbound_data[],MATCH(Outbound_data[[#This Row],[STOCK CODE OUT]],Generated_Stockcode,0),12),""))</f>
        <v/>
      </c>
      <c r="P1146" s="73" t="str">
        <f>IF(ISBLANK(C1146),"",_xlfn.IFNA(INDEX(inbound_data[],MATCH(Outbound_data[[#This Row],[STOCK CODE OUT]],Generated_Stockcode,0),23),""))</f>
        <v/>
      </c>
      <c r="Q1146" s="73" t="str">
        <f>IF(ISBLANK(C1146),"",_xlfn.IFNA(INDEX(inbound_data[],MATCH(Outbound_data[[#This Row],[STOCK CODE OUT]],Generated_Stockcode,0),13),""))</f>
        <v/>
      </c>
    </row>
    <row r="1147" spans="2:17" x14ac:dyDescent="0.25">
      <c r="B1147" s="71"/>
      <c r="C1147" s="65"/>
      <c r="D1147" s="55"/>
      <c r="E1147" s="65"/>
      <c r="F1147" s="166"/>
      <c r="G1147" s="167"/>
      <c r="H1147" s="166"/>
      <c r="I1147" s="72"/>
      <c r="J1147" s="55"/>
      <c r="K1147" s="72"/>
      <c r="L1147" s="55"/>
      <c r="M1147" s="174"/>
      <c r="N1147" s="73" t="str">
        <f>IF(ISBLANK(C1147),"",_xlfn.IFNA(INDEX(inbound_data[],MATCH(Outbound_data[[#This Row],[STOCK CODE OUT]],Generated_Stockcode,0),10),""))</f>
        <v/>
      </c>
      <c r="O1147" s="73" t="str">
        <f>IF(ISBLANK(C1147),"",_xlfn.IFNA(INDEX(inbound_data[],MATCH(Outbound_data[[#This Row],[STOCK CODE OUT]],Generated_Stockcode,0),12),""))</f>
        <v/>
      </c>
      <c r="P1147" s="73" t="str">
        <f>IF(ISBLANK(C1147),"",_xlfn.IFNA(INDEX(inbound_data[],MATCH(Outbound_data[[#This Row],[STOCK CODE OUT]],Generated_Stockcode,0),23),""))</f>
        <v/>
      </c>
      <c r="Q1147" s="73" t="str">
        <f>IF(ISBLANK(C1147),"",_xlfn.IFNA(INDEX(inbound_data[],MATCH(Outbound_data[[#This Row],[STOCK CODE OUT]],Generated_Stockcode,0),13),""))</f>
        <v/>
      </c>
    </row>
    <row r="1148" spans="2:17" x14ac:dyDescent="0.25">
      <c r="B1148" s="71"/>
      <c r="C1148" s="65"/>
      <c r="D1148" s="55"/>
      <c r="E1148" s="65"/>
      <c r="F1148" s="166"/>
      <c r="G1148" s="167"/>
      <c r="H1148" s="166"/>
      <c r="I1148" s="72"/>
      <c r="J1148" s="55"/>
      <c r="K1148" s="72"/>
      <c r="L1148" s="55"/>
      <c r="M1148" s="174"/>
      <c r="N1148" s="73" t="str">
        <f>IF(ISBLANK(C1148),"",_xlfn.IFNA(INDEX(inbound_data[],MATCH(Outbound_data[[#This Row],[STOCK CODE OUT]],Generated_Stockcode,0),10),""))</f>
        <v/>
      </c>
      <c r="O1148" s="73" t="str">
        <f>IF(ISBLANK(C1148),"",_xlfn.IFNA(INDEX(inbound_data[],MATCH(Outbound_data[[#This Row],[STOCK CODE OUT]],Generated_Stockcode,0),12),""))</f>
        <v/>
      </c>
      <c r="P1148" s="73" t="str">
        <f>IF(ISBLANK(C1148),"",_xlfn.IFNA(INDEX(inbound_data[],MATCH(Outbound_data[[#This Row],[STOCK CODE OUT]],Generated_Stockcode,0),23),""))</f>
        <v/>
      </c>
      <c r="Q1148" s="73" t="str">
        <f>IF(ISBLANK(C1148),"",_xlfn.IFNA(INDEX(inbound_data[],MATCH(Outbound_data[[#This Row],[STOCK CODE OUT]],Generated_Stockcode,0),13),""))</f>
        <v/>
      </c>
    </row>
    <row r="1149" spans="2:17" x14ac:dyDescent="0.25">
      <c r="B1149" s="71"/>
      <c r="C1149" s="65"/>
      <c r="D1149" s="55"/>
      <c r="E1149" s="65"/>
      <c r="F1149" s="166"/>
      <c r="G1149" s="167"/>
      <c r="H1149" s="166"/>
      <c r="I1149" s="72"/>
      <c r="J1149" s="55"/>
      <c r="K1149" s="72"/>
      <c r="L1149" s="55"/>
      <c r="M1149" s="174"/>
      <c r="N1149" s="73" t="str">
        <f>IF(ISBLANK(C1149),"",_xlfn.IFNA(INDEX(inbound_data[],MATCH(Outbound_data[[#This Row],[STOCK CODE OUT]],Generated_Stockcode,0),10),""))</f>
        <v/>
      </c>
      <c r="O1149" s="73" t="str">
        <f>IF(ISBLANK(C1149),"",_xlfn.IFNA(INDEX(inbound_data[],MATCH(Outbound_data[[#This Row],[STOCK CODE OUT]],Generated_Stockcode,0),12),""))</f>
        <v/>
      </c>
      <c r="P1149" s="73" t="str">
        <f>IF(ISBLANK(C1149),"",_xlfn.IFNA(INDEX(inbound_data[],MATCH(Outbound_data[[#This Row],[STOCK CODE OUT]],Generated_Stockcode,0),23),""))</f>
        <v/>
      </c>
      <c r="Q1149" s="73" t="str">
        <f>IF(ISBLANK(C1149),"",_xlfn.IFNA(INDEX(inbound_data[],MATCH(Outbound_data[[#This Row],[STOCK CODE OUT]],Generated_Stockcode,0),13),""))</f>
        <v/>
      </c>
    </row>
    <row r="1150" spans="2:17" x14ac:dyDescent="0.25">
      <c r="B1150" s="71"/>
      <c r="C1150" s="65"/>
      <c r="D1150" s="55"/>
      <c r="E1150" s="65"/>
      <c r="F1150" s="166"/>
      <c r="G1150" s="167"/>
      <c r="H1150" s="166"/>
      <c r="I1150" s="72"/>
      <c r="J1150" s="55"/>
      <c r="K1150" s="72"/>
      <c r="L1150" s="55"/>
      <c r="M1150" s="174"/>
      <c r="N1150" s="73" t="str">
        <f>IF(ISBLANK(C1150),"",_xlfn.IFNA(INDEX(inbound_data[],MATCH(Outbound_data[[#This Row],[STOCK CODE OUT]],Generated_Stockcode,0),10),""))</f>
        <v/>
      </c>
      <c r="O1150" s="73" t="str">
        <f>IF(ISBLANK(C1150),"",_xlfn.IFNA(INDEX(inbound_data[],MATCH(Outbound_data[[#This Row],[STOCK CODE OUT]],Generated_Stockcode,0),12),""))</f>
        <v/>
      </c>
      <c r="P1150" s="73" t="str">
        <f>IF(ISBLANK(C1150),"",_xlfn.IFNA(INDEX(inbound_data[],MATCH(Outbound_data[[#This Row],[STOCK CODE OUT]],Generated_Stockcode,0),23),""))</f>
        <v/>
      </c>
      <c r="Q1150" s="73" t="str">
        <f>IF(ISBLANK(C1150),"",_xlfn.IFNA(INDEX(inbound_data[],MATCH(Outbound_data[[#This Row],[STOCK CODE OUT]],Generated_Stockcode,0),13),""))</f>
        <v/>
      </c>
    </row>
    <row r="1151" spans="2:17" x14ac:dyDescent="0.25">
      <c r="B1151" s="71"/>
      <c r="C1151" s="65"/>
      <c r="D1151" s="55"/>
      <c r="E1151" s="65"/>
      <c r="F1151" s="166"/>
      <c r="G1151" s="167"/>
      <c r="H1151" s="166"/>
      <c r="I1151" s="72"/>
      <c r="J1151" s="55"/>
      <c r="K1151" s="72"/>
      <c r="L1151" s="55"/>
      <c r="M1151" s="174"/>
      <c r="N1151" s="73" t="str">
        <f>IF(ISBLANK(C1151),"",_xlfn.IFNA(INDEX(inbound_data[],MATCH(Outbound_data[[#This Row],[STOCK CODE OUT]],Generated_Stockcode,0),10),""))</f>
        <v/>
      </c>
      <c r="O1151" s="73" t="str">
        <f>IF(ISBLANK(C1151),"",_xlfn.IFNA(INDEX(inbound_data[],MATCH(Outbound_data[[#This Row],[STOCK CODE OUT]],Generated_Stockcode,0),12),""))</f>
        <v/>
      </c>
      <c r="P1151" s="73" t="str">
        <f>IF(ISBLANK(C1151),"",_xlfn.IFNA(INDEX(inbound_data[],MATCH(Outbound_data[[#This Row],[STOCK CODE OUT]],Generated_Stockcode,0),23),""))</f>
        <v/>
      </c>
      <c r="Q1151" s="73" t="str">
        <f>IF(ISBLANK(C1151),"",_xlfn.IFNA(INDEX(inbound_data[],MATCH(Outbound_data[[#This Row],[STOCK CODE OUT]],Generated_Stockcode,0),13),""))</f>
        <v/>
      </c>
    </row>
    <row r="1152" spans="2:17" x14ac:dyDescent="0.25">
      <c r="B1152" s="71"/>
      <c r="C1152" s="65"/>
      <c r="D1152" s="55"/>
      <c r="E1152" s="65"/>
      <c r="F1152" s="166"/>
      <c r="G1152" s="167"/>
      <c r="H1152" s="166"/>
      <c r="I1152" s="72"/>
      <c r="J1152" s="55"/>
      <c r="K1152" s="72"/>
      <c r="L1152" s="55"/>
      <c r="M1152" s="174"/>
      <c r="N1152" s="73" t="str">
        <f>IF(ISBLANK(C1152),"",_xlfn.IFNA(INDEX(inbound_data[],MATCH(Outbound_data[[#This Row],[STOCK CODE OUT]],Generated_Stockcode,0),10),""))</f>
        <v/>
      </c>
      <c r="O1152" s="73" t="str">
        <f>IF(ISBLANK(C1152),"",_xlfn.IFNA(INDEX(inbound_data[],MATCH(Outbound_data[[#This Row],[STOCK CODE OUT]],Generated_Stockcode,0),12),""))</f>
        <v/>
      </c>
      <c r="P1152" s="73" t="str">
        <f>IF(ISBLANK(C1152),"",_xlfn.IFNA(INDEX(inbound_data[],MATCH(Outbound_data[[#This Row],[STOCK CODE OUT]],Generated_Stockcode,0),23),""))</f>
        <v/>
      </c>
      <c r="Q1152" s="73" t="str">
        <f>IF(ISBLANK(C1152),"",_xlfn.IFNA(INDEX(inbound_data[],MATCH(Outbound_data[[#This Row],[STOCK CODE OUT]],Generated_Stockcode,0),13),""))</f>
        <v/>
      </c>
    </row>
    <row r="1153" spans="2:17" x14ac:dyDescent="0.25">
      <c r="B1153" s="71"/>
      <c r="C1153" s="65"/>
      <c r="D1153" s="55"/>
      <c r="E1153" s="65"/>
      <c r="F1153" s="166"/>
      <c r="G1153" s="167"/>
      <c r="H1153" s="166"/>
      <c r="I1153" s="72"/>
      <c r="J1153" s="55"/>
      <c r="K1153" s="72"/>
      <c r="L1153" s="55"/>
      <c r="M1153" s="174"/>
      <c r="N1153" s="73" t="str">
        <f>IF(ISBLANK(C1153),"",_xlfn.IFNA(INDEX(inbound_data[],MATCH(Outbound_data[[#This Row],[STOCK CODE OUT]],Generated_Stockcode,0),10),""))</f>
        <v/>
      </c>
      <c r="O1153" s="73" t="str">
        <f>IF(ISBLANK(C1153),"",_xlfn.IFNA(INDEX(inbound_data[],MATCH(Outbound_data[[#This Row],[STOCK CODE OUT]],Generated_Stockcode,0),12),""))</f>
        <v/>
      </c>
      <c r="P1153" s="73" t="str">
        <f>IF(ISBLANK(C1153),"",_xlfn.IFNA(INDEX(inbound_data[],MATCH(Outbound_data[[#This Row],[STOCK CODE OUT]],Generated_Stockcode,0),23),""))</f>
        <v/>
      </c>
      <c r="Q1153" s="73" t="str">
        <f>IF(ISBLANK(C1153),"",_xlfn.IFNA(INDEX(inbound_data[],MATCH(Outbound_data[[#This Row],[STOCK CODE OUT]],Generated_Stockcode,0),13),""))</f>
        <v/>
      </c>
    </row>
    <row r="1154" spans="2:17" x14ac:dyDescent="0.25">
      <c r="B1154" s="71"/>
      <c r="C1154" s="65"/>
      <c r="D1154" s="55"/>
      <c r="E1154" s="65"/>
      <c r="F1154" s="166"/>
      <c r="G1154" s="167"/>
      <c r="H1154" s="166"/>
      <c r="I1154" s="72"/>
      <c r="J1154" s="55"/>
      <c r="K1154" s="72"/>
      <c r="L1154" s="55"/>
      <c r="M1154" s="174"/>
      <c r="N1154" s="73" t="str">
        <f>IF(ISBLANK(C1154),"",_xlfn.IFNA(INDEX(inbound_data[],MATCH(Outbound_data[[#This Row],[STOCK CODE OUT]],Generated_Stockcode,0),10),""))</f>
        <v/>
      </c>
      <c r="O1154" s="73" t="str">
        <f>IF(ISBLANK(C1154),"",_xlfn.IFNA(INDEX(inbound_data[],MATCH(Outbound_data[[#This Row],[STOCK CODE OUT]],Generated_Stockcode,0),12),""))</f>
        <v/>
      </c>
      <c r="P1154" s="73" t="str">
        <f>IF(ISBLANK(C1154),"",_xlfn.IFNA(INDEX(inbound_data[],MATCH(Outbound_data[[#This Row],[STOCK CODE OUT]],Generated_Stockcode,0),23),""))</f>
        <v/>
      </c>
      <c r="Q1154" s="73" t="str">
        <f>IF(ISBLANK(C1154),"",_xlfn.IFNA(INDEX(inbound_data[],MATCH(Outbound_data[[#This Row],[STOCK CODE OUT]],Generated_Stockcode,0),13),""))</f>
        <v/>
      </c>
    </row>
    <row r="1155" spans="2:17" x14ac:dyDescent="0.25">
      <c r="B1155" s="71"/>
      <c r="C1155" s="65"/>
      <c r="D1155" s="55"/>
      <c r="E1155" s="65"/>
      <c r="F1155" s="166"/>
      <c r="G1155" s="167"/>
      <c r="H1155" s="166"/>
      <c r="I1155" s="72"/>
      <c r="J1155" s="55"/>
      <c r="K1155" s="72"/>
      <c r="L1155" s="55"/>
      <c r="M1155" s="174"/>
      <c r="N1155" s="73" t="str">
        <f>IF(ISBLANK(C1155),"",_xlfn.IFNA(INDEX(inbound_data[],MATCH(Outbound_data[[#This Row],[STOCK CODE OUT]],Generated_Stockcode,0),10),""))</f>
        <v/>
      </c>
      <c r="O1155" s="73" t="str">
        <f>IF(ISBLANK(C1155),"",_xlfn.IFNA(INDEX(inbound_data[],MATCH(Outbound_data[[#This Row],[STOCK CODE OUT]],Generated_Stockcode,0),12),""))</f>
        <v/>
      </c>
      <c r="P1155" s="73" t="str">
        <f>IF(ISBLANK(C1155),"",_xlfn.IFNA(INDEX(inbound_data[],MATCH(Outbound_data[[#This Row],[STOCK CODE OUT]],Generated_Stockcode,0),23),""))</f>
        <v/>
      </c>
      <c r="Q1155" s="73" t="str">
        <f>IF(ISBLANK(C1155),"",_xlfn.IFNA(INDEX(inbound_data[],MATCH(Outbound_data[[#This Row],[STOCK CODE OUT]],Generated_Stockcode,0),13),""))</f>
        <v/>
      </c>
    </row>
    <row r="1156" spans="2:17" x14ac:dyDescent="0.25">
      <c r="B1156" s="71"/>
      <c r="C1156" s="65"/>
      <c r="D1156" s="55"/>
      <c r="E1156" s="65"/>
      <c r="F1156" s="166"/>
      <c r="G1156" s="167"/>
      <c r="H1156" s="166"/>
      <c r="I1156" s="72"/>
      <c r="J1156" s="55"/>
      <c r="K1156" s="72"/>
      <c r="L1156" s="55"/>
      <c r="M1156" s="174"/>
      <c r="N1156" s="73" t="str">
        <f>IF(ISBLANK(C1156),"",_xlfn.IFNA(INDEX(inbound_data[],MATCH(Outbound_data[[#This Row],[STOCK CODE OUT]],Generated_Stockcode,0),10),""))</f>
        <v/>
      </c>
      <c r="O1156" s="73" t="str">
        <f>IF(ISBLANK(C1156),"",_xlfn.IFNA(INDEX(inbound_data[],MATCH(Outbound_data[[#This Row],[STOCK CODE OUT]],Generated_Stockcode,0),12),""))</f>
        <v/>
      </c>
      <c r="P1156" s="73" t="str">
        <f>IF(ISBLANK(C1156),"",_xlfn.IFNA(INDEX(inbound_data[],MATCH(Outbound_data[[#This Row],[STOCK CODE OUT]],Generated_Stockcode,0),23),""))</f>
        <v/>
      </c>
      <c r="Q1156" s="73" t="str">
        <f>IF(ISBLANK(C1156),"",_xlfn.IFNA(INDEX(inbound_data[],MATCH(Outbound_data[[#This Row],[STOCK CODE OUT]],Generated_Stockcode,0),13),""))</f>
        <v/>
      </c>
    </row>
    <row r="1157" spans="2:17" x14ac:dyDescent="0.25">
      <c r="B1157" s="71"/>
      <c r="C1157" s="65"/>
      <c r="D1157" s="55"/>
      <c r="E1157" s="65"/>
      <c r="F1157" s="166"/>
      <c r="G1157" s="167"/>
      <c r="H1157" s="166"/>
      <c r="I1157" s="72"/>
      <c r="J1157" s="55"/>
      <c r="K1157" s="72"/>
      <c r="L1157" s="55"/>
      <c r="M1157" s="174"/>
      <c r="N1157" s="73" t="str">
        <f>IF(ISBLANK(C1157),"",_xlfn.IFNA(INDEX(inbound_data[],MATCH(Outbound_data[[#This Row],[STOCK CODE OUT]],Generated_Stockcode,0),10),""))</f>
        <v/>
      </c>
      <c r="O1157" s="73" t="str">
        <f>IF(ISBLANK(C1157),"",_xlfn.IFNA(INDEX(inbound_data[],MATCH(Outbound_data[[#This Row],[STOCK CODE OUT]],Generated_Stockcode,0),12),""))</f>
        <v/>
      </c>
      <c r="P1157" s="73" t="str">
        <f>IF(ISBLANK(C1157),"",_xlfn.IFNA(INDEX(inbound_data[],MATCH(Outbound_data[[#This Row],[STOCK CODE OUT]],Generated_Stockcode,0),23),""))</f>
        <v/>
      </c>
      <c r="Q1157" s="73" t="str">
        <f>IF(ISBLANK(C1157),"",_xlfn.IFNA(INDEX(inbound_data[],MATCH(Outbound_data[[#This Row],[STOCK CODE OUT]],Generated_Stockcode,0),13),""))</f>
        <v/>
      </c>
    </row>
    <row r="1158" spans="2:17" x14ac:dyDescent="0.25">
      <c r="B1158" s="71"/>
      <c r="C1158" s="65"/>
      <c r="D1158" s="55"/>
      <c r="E1158" s="65"/>
      <c r="F1158" s="166"/>
      <c r="G1158" s="167"/>
      <c r="H1158" s="166"/>
      <c r="I1158" s="72"/>
      <c r="J1158" s="55"/>
      <c r="K1158" s="72"/>
      <c r="L1158" s="55"/>
      <c r="M1158" s="174"/>
      <c r="N1158" s="73" t="str">
        <f>IF(ISBLANK(C1158),"",_xlfn.IFNA(INDEX(inbound_data[],MATCH(Outbound_data[[#This Row],[STOCK CODE OUT]],Generated_Stockcode,0),10),""))</f>
        <v/>
      </c>
      <c r="O1158" s="73" t="str">
        <f>IF(ISBLANK(C1158),"",_xlfn.IFNA(INDEX(inbound_data[],MATCH(Outbound_data[[#This Row],[STOCK CODE OUT]],Generated_Stockcode,0),12),""))</f>
        <v/>
      </c>
      <c r="P1158" s="73" t="str">
        <f>IF(ISBLANK(C1158),"",_xlfn.IFNA(INDEX(inbound_data[],MATCH(Outbound_data[[#This Row],[STOCK CODE OUT]],Generated_Stockcode,0),23),""))</f>
        <v/>
      </c>
      <c r="Q1158" s="73" t="str">
        <f>IF(ISBLANK(C1158),"",_xlfn.IFNA(INDEX(inbound_data[],MATCH(Outbound_data[[#This Row],[STOCK CODE OUT]],Generated_Stockcode,0),13),""))</f>
        <v/>
      </c>
    </row>
    <row r="1159" spans="2:17" x14ac:dyDescent="0.25">
      <c r="B1159" s="71"/>
      <c r="C1159" s="65"/>
      <c r="D1159" s="55"/>
      <c r="E1159" s="65"/>
      <c r="F1159" s="166"/>
      <c r="G1159" s="167"/>
      <c r="H1159" s="166"/>
      <c r="I1159" s="72"/>
      <c r="J1159" s="55"/>
      <c r="K1159" s="72"/>
      <c r="L1159" s="55"/>
      <c r="M1159" s="174"/>
      <c r="N1159" s="73" t="str">
        <f>IF(ISBLANK(C1159),"",_xlfn.IFNA(INDEX(inbound_data[],MATCH(Outbound_data[[#This Row],[STOCK CODE OUT]],Generated_Stockcode,0),10),""))</f>
        <v/>
      </c>
      <c r="O1159" s="73" t="str">
        <f>IF(ISBLANK(C1159),"",_xlfn.IFNA(INDEX(inbound_data[],MATCH(Outbound_data[[#This Row],[STOCK CODE OUT]],Generated_Stockcode,0),12),""))</f>
        <v/>
      </c>
      <c r="P1159" s="73" t="str">
        <f>IF(ISBLANK(C1159),"",_xlfn.IFNA(INDEX(inbound_data[],MATCH(Outbound_data[[#This Row],[STOCK CODE OUT]],Generated_Stockcode,0),23),""))</f>
        <v/>
      </c>
      <c r="Q1159" s="73" t="str">
        <f>IF(ISBLANK(C1159),"",_xlfn.IFNA(INDEX(inbound_data[],MATCH(Outbound_data[[#This Row],[STOCK CODE OUT]],Generated_Stockcode,0),13),""))</f>
        <v/>
      </c>
    </row>
    <row r="1160" spans="2:17" x14ac:dyDescent="0.25">
      <c r="B1160" s="71"/>
      <c r="C1160" s="65"/>
      <c r="D1160" s="55"/>
      <c r="E1160" s="65"/>
      <c r="F1160" s="166"/>
      <c r="G1160" s="167"/>
      <c r="H1160" s="166"/>
      <c r="I1160" s="72"/>
      <c r="J1160" s="55"/>
      <c r="K1160" s="72"/>
      <c r="L1160" s="55"/>
      <c r="M1160" s="174"/>
      <c r="N1160" s="73" t="str">
        <f>IF(ISBLANK(C1160),"",_xlfn.IFNA(INDEX(inbound_data[],MATCH(Outbound_data[[#This Row],[STOCK CODE OUT]],Generated_Stockcode,0),10),""))</f>
        <v/>
      </c>
      <c r="O1160" s="73" t="str">
        <f>IF(ISBLANK(C1160),"",_xlfn.IFNA(INDEX(inbound_data[],MATCH(Outbound_data[[#This Row],[STOCK CODE OUT]],Generated_Stockcode,0),12),""))</f>
        <v/>
      </c>
      <c r="P1160" s="73" t="str">
        <f>IF(ISBLANK(C1160),"",_xlfn.IFNA(INDEX(inbound_data[],MATCH(Outbound_data[[#This Row],[STOCK CODE OUT]],Generated_Stockcode,0),23),""))</f>
        <v/>
      </c>
      <c r="Q1160" s="73" t="str">
        <f>IF(ISBLANK(C1160),"",_xlfn.IFNA(INDEX(inbound_data[],MATCH(Outbound_data[[#This Row],[STOCK CODE OUT]],Generated_Stockcode,0),13),""))</f>
        <v/>
      </c>
    </row>
    <row r="1161" spans="2:17" x14ac:dyDescent="0.25">
      <c r="B1161" s="71"/>
      <c r="C1161" s="65"/>
      <c r="D1161" s="55"/>
      <c r="E1161" s="65"/>
      <c r="F1161" s="166"/>
      <c r="G1161" s="167"/>
      <c r="H1161" s="166"/>
      <c r="I1161" s="72"/>
      <c r="J1161" s="55"/>
      <c r="K1161" s="72"/>
      <c r="L1161" s="55"/>
      <c r="M1161" s="174"/>
      <c r="N1161" s="73" t="str">
        <f>IF(ISBLANK(C1161),"",_xlfn.IFNA(INDEX(inbound_data[],MATCH(Outbound_data[[#This Row],[STOCK CODE OUT]],Generated_Stockcode,0),10),""))</f>
        <v/>
      </c>
      <c r="O1161" s="73" t="str">
        <f>IF(ISBLANK(C1161),"",_xlfn.IFNA(INDEX(inbound_data[],MATCH(Outbound_data[[#This Row],[STOCK CODE OUT]],Generated_Stockcode,0),12),""))</f>
        <v/>
      </c>
      <c r="P1161" s="73" t="str">
        <f>IF(ISBLANK(C1161),"",_xlfn.IFNA(INDEX(inbound_data[],MATCH(Outbound_data[[#This Row],[STOCK CODE OUT]],Generated_Stockcode,0),23),""))</f>
        <v/>
      </c>
      <c r="Q1161" s="73" t="str">
        <f>IF(ISBLANK(C1161),"",_xlfn.IFNA(INDEX(inbound_data[],MATCH(Outbound_data[[#This Row],[STOCK CODE OUT]],Generated_Stockcode,0),13),""))</f>
        <v/>
      </c>
    </row>
    <row r="1162" spans="2:17" x14ac:dyDescent="0.25">
      <c r="B1162" s="71"/>
      <c r="C1162" s="65"/>
      <c r="D1162" s="55"/>
      <c r="E1162" s="65"/>
      <c r="F1162" s="166"/>
      <c r="G1162" s="167"/>
      <c r="H1162" s="166"/>
      <c r="I1162" s="72"/>
      <c r="J1162" s="55"/>
      <c r="K1162" s="72"/>
      <c r="L1162" s="55"/>
      <c r="M1162" s="174"/>
      <c r="N1162" s="73" t="str">
        <f>IF(ISBLANK(C1162),"",_xlfn.IFNA(INDEX(inbound_data[],MATCH(Outbound_data[[#This Row],[STOCK CODE OUT]],Generated_Stockcode,0),10),""))</f>
        <v/>
      </c>
      <c r="O1162" s="73" t="str">
        <f>IF(ISBLANK(C1162),"",_xlfn.IFNA(INDEX(inbound_data[],MATCH(Outbound_data[[#This Row],[STOCK CODE OUT]],Generated_Stockcode,0),12),""))</f>
        <v/>
      </c>
      <c r="P1162" s="73" t="str">
        <f>IF(ISBLANK(C1162),"",_xlfn.IFNA(INDEX(inbound_data[],MATCH(Outbound_data[[#This Row],[STOCK CODE OUT]],Generated_Stockcode,0),23),""))</f>
        <v/>
      </c>
      <c r="Q1162" s="73" t="str">
        <f>IF(ISBLANK(C1162),"",_xlfn.IFNA(INDEX(inbound_data[],MATCH(Outbound_data[[#This Row],[STOCK CODE OUT]],Generated_Stockcode,0),13),""))</f>
        <v/>
      </c>
    </row>
    <row r="1163" spans="2:17" x14ac:dyDescent="0.25">
      <c r="B1163" s="71"/>
      <c r="C1163" s="65"/>
      <c r="D1163" s="55"/>
      <c r="E1163" s="65"/>
      <c r="F1163" s="166"/>
      <c r="G1163" s="167"/>
      <c r="H1163" s="166"/>
      <c r="I1163" s="72"/>
      <c r="J1163" s="55"/>
      <c r="K1163" s="72"/>
      <c r="L1163" s="55"/>
      <c r="M1163" s="174"/>
      <c r="N1163" s="73" t="str">
        <f>IF(ISBLANK(C1163),"",_xlfn.IFNA(INDEX(inbound_data[],MATCH(Outbound_data[[#This Row],[STOCK CODE OUT]],Generated_Stockcode,0),10),""))</f>
        <v/>
      </c>
      <c r="O1163" s="73" t="str">
        <f>IF(ISBLANK(C1163),"",_xlfn.IFNA(INDEX(inbound_data[],MATCH(Outbound_data[[#This Row],[STOCK CODE OUT]],Generated_Stockcode,0),12),""))</f>
        <v/>
      </c>
      <c r="P1163" s="73" t="str">
        <f>IF(ISBLANK(C1163),"",_xlfn.IFNA(INDEX(inbound_data[],MATCH(Outbound_data[[#This Row],[STOCK CODE OUT]],Generated_Stockcode,0),23),""))</f>
        <v/>
      </c>
      <c r="Q1163" s="73" t="str">
        <f>IF(ISBLANK(C1163),"",_xlfn.IFNA(INDEX(inbound_data[],MATCH(Outbound_data[[#This Row],[STOCK CODE OUT]],Generated_Stockcode,0),13),""))</f>
        <v/>
      </c>
    </row>
    <row r="1164" spans="2:17" x14ac:dyDescent="0.25">
      <c r="B1164" s="71"/>
      <c r="C1164" s="65"/>
      <c r="D1164" s="55"/>
      <c r="E1164" s="65"/>
      <c r="F1164" s="166"/>
      <c r="G1164" s="167"/>
      <c r="H1164" s="166"/>
      <c r="I1164" s="72"/>
      <c r="J1164" s="55"/>
      <c r="K1164" s="72"/>
      <c r="L1164" s="55"/>
      <c r="M1164" s="174"/>
      <c r="N1164" s="73" t="str">
        <f>IF(ISBLANK(C1164),"",_xlfn.IFNA(INDEX(inbound_data[],MATCH(Outbound_data[[#This Row],[STOCK CODE OUT]],Generated_Stockcode,0),10),""))</f>
        <v/>
      </c>
      <c r="O1164" s="73" t="str">
        <f>IF(ISBLANK(C1164),"",_xlfn.IFNA(INDEX(inbound_data[],MATCH(Outbound_data[[#This Row],[STOCK CODE OUT]],Generated_Stockcode,0),12),""))</f>
        <v/>
      </c>
      <c r="P1164" s="73" t="str">
        <f>IF(ISBLANK(C1164),"",_xlfn.IFNA(INDEX(inbound_data[],MATCH(Outbound_data[[#This Row],[STOCK CODE OUT]],Generated_Stockcode,0),23),""))</f>
        <v/>
      </c>
      <c r="Q1164" s="73" t="str">
        <f>IF(ISBLANK(C1164),"",_xlfn.IFNA(INDEX(inbound_data[],MATCH(Outbound_data[[#This Row],[STOCK CODE OUT]],Generated_Stockcode,0),13),""))</f>
        <v/>
      </c>
    </row>
    <row r="1165" spans="2:17" x14ac:dyDescent="0.25">
      <c r="B1165" s="71"/>
      <c r="C1165" s="65"/>
      <c r="D1165" s="55"/>
      <c r="E1165" s="65"/>
      <c r="F1165" s="166"/>
      <c r="G1165" s="167"/>
      <c r="H1165" s="166"/>
      <c r="I1165" s="72"/>
      <c r="J1165" s="55"/>
      <c r="K1165" s="72"/>
      <c r="L1165" s="55"/>
      <c r="M1165" s="174"/>
      <c r="N1165" s="73" t="str">
        <f>IF(ISBLANK(C1165),"",_xlfn.IFNA(INDEX(inbound_data[],MATCH(Outbound_data[[#This Row],[STOCK CODE OUT]],Generated_Stockcode,0),10),""))</f>
        <v/>
      </c>
      <c r="O1165" s="73" t="str">
        <f>IF(ISBLANK(C1165),"",_xlfn.IFNA(INDEX(inbound_data[],MATCH(Outbound_data[[#This Row],[STOCK CODE OUT]],Generated_Stockcode,0),12),""))</f>
        <v/>
      </c>
      <c r="P1165" s="73" t="str">
        <f>IF(ISBLANK(C1165),"",_xlfn.IFNA(INDEX(inbound_data[],MATCH(Outbound_data[[#This Row],[STOCK CODE OUT]],Generated_Stockcode,0),23),""))</f>
        <v/>
      </c>
      <c r="Q1165" s="73" t="str">
        <f>IF(ISBLANK(C1165),"",_xlfn.IFNA(INDEX(inbound_data[],MATCH(Outbound_data[[#This Row],[STOCK CODE OUT]],Generated_Stockcode,0),13),""))</f>
        <v/>
      </c>
    </row>
    <row r="1166" spans="2:17" x14ac:dyDescent="0.25">
      <c r="B1166" s="71"/>
      <c r="C1166" s="65"/>
      <c r="D1166" s="55"/>
      <c r="E1166" s="65"/>
      <c r="F1166" s="166"/>
      <c r="G1166" s="167"/>
      <c r="H1166" s="166"/>
      <c r="I1166" s="72"/>
      <c r="J1166" s="55"/>
      <c r="K1166" s="72"/>
      <c r="L1166" s="55"/>
      <c r="M1166" s="174"/>
      <c r="N1166" s="73" t="str">
        <f>IF(ISBLANK(C1166),"",_xlfn.IFNA(INDEX(inbound_data[],MATCH(Outbound_data[[#This Row],[STOCK CODE OUT]],Generated_Stockcode,0),10),""))</f>
        <v/>
      </c>
      <c r="O1166" s="73" t="str">
        <f>IF(ISBLANK(C1166),"",_xlfn.IFNA(INDEX(inbound_data[],MATCH(Outbound_data[[#This Row],[STOCK CODE OUT]],Generated_Stockcode,0),12),""))</f>
        <v/>
      </c>
      <c r="P1166" s="73" t="str">
        <f>IF(ISBLANK(C1166),"",_xlfn.IFNA(INDEX(inbound_data[],MATCH(Outbound_data[[#This Row],[STOCK CODE OUT]],Generated_Stockcode,0),23),""))</f>
        <v/>
      </c>
      <c r="Q1166" s="73" t="str">
        <f>IF(ISBLANK(C1166),"",_xlfn.IFNA(INDEX(inbound_data[],MATCH(Outbound_data[[#This Row],[STOCK CODE OUT]],Generated_Stockcode,0),13),""))</f>
        <v/>
      </c>
    </row>
    <row r="1167" spans="2:17" x14ac:dyDescent="0.25">
      <c r="B1167" s="71"/>
      <c r="C1167" s="65"/>
      <c r="D1167" s="55"/>
      <c r="E1167" s="65"/>
      <c r="F1167" s="166"/>
      <c r="G1167" s="167"/>
      <c r="H1167" s="166"/>
      <c r="I1167" s="72"/>
      <c r="J1167" s="55"/>
      <c r="K1167" s="72"/>
      <c r="L1167" s="55"/>
      <c r="M1167" s="174"/>
      <c r="N1167" s="73" t="str">
        <f>IF(ISBLANK(C1167),"",_xlfn.IFNA(INDEX(inbound_data[],MATCH(Outbound_data[[#This Row],[STOCK CODE OUT]],Generated_Stockcode,0),10),""))</f>
        <v/>
      </c>
      <c r="O1167" s="73" t="str">
        <f>IF(ISBLANK(C1167),"",_xlfn.IFNA(INDEX(inbound_data[],MATCH(Outbound_data[[#This Row],[STOCK CODE OUT]],Generated_Stockcode,0),12),""))</f>
        <v/>
      </c>
      <c r="P1167" s="73" t="str">
        <f>IF(ISBLANK(C1167),"",_xlfn.IFNA(INDEX(inbound_data[],MATCH(Outbound_data[[#This Row],[STOCK CODE OUT]],Generated_Stockcode,0),23),""))</f>
        <v/>
      </c>
      <c r="Q1167" s="73" t="str">
        <f>IF(ISBLANK(C1167),"",_xlfn.IFNA(INDEX(inbound_data[],MATCH(Outbound_data[[#This Row],[STOCK CODE OUT]],Generated_Stockcode,0),13),""))</f>
        <v/>
      </c>
    </row>
    <row r="1168" spans="2:17" x14ac:dyDescent="0.25">
      <c r="B1168" s="71"/>
      <c r="C1168" s="65"/>
      <c r="D1168" s="55"/>
      <c r="E1168" s="65"/>
      <c r="F1168" s="166"/>
      <c r="G1168" s="167"/>
      <c r="H1168" s="166"/>
      <c r="I1168" s="72"/>
      <c r="J1168" s="55"/>
      <c r="K1168" s="72"/>
      <c r="L1168" s="55"/>
      <c r="M1168" s="174"/>
      <c r="N1168" s="73" t="str">
        <f>IF(ISBLANK(C1168),"",_xlfn.IFNA(INDEX(inbound_data[],MATCH(Outbound_data[[#This Row],[STOCK CODE OUT]],Generated_Stockcode,0),10),""))</f>
        <v/>
      </c>
      <c r="O1168" s="73" t="str">
        <f>IF(ISBLANK(C1168),"",_xlfn.IFNA(INDEX(inbound_data[],MATCH(Outbound_data[[#This Row],[STOCK CODE OUT]],Generated_Stockcode,0),12),""))</f>
        <v/>
      </c>
      <c r="P1168" s="73" t="str">
        <f>IF(ISBLANK(C1168),"",_xlfn.IFNA(INDEX(inbound_data[],MATCH(Outbound_data[[#This Row],[STOCK CODE OUT]],Generated_Stockcode,0),23),""))</f>
        <v/>
      </c>
      <c r="Q1168" s="73" t="str">
        <f>IF(ISBLANK(C1168),"",_xlfn.IFNA(INDEX(inbound_data[],MATCH(Outbound_data[[#This Row],[STOCK CODE OUT]],Generated_Stockcode,0),13),""))</f>
        <v/>
      </c>
    </row>
    <row r="1169" spans="2:17" x14ac:dyDescent="0.25">
      <c r="B1169" s="71"/>
      <c r="C1169" s="65"/>
      <c r="D1169" s="55"/>
      <c r="E1169" s="65"/>
      <c r="F1169" s="166"/>
      <c r="G1169" s="167"/>
      <c r="H1169" s="166"/>
      <c r="I1169" s="72"/>
      <c r="J1169" s="55"/>
      <c r="K1169" s="72"/>
      <c r="L1169" s="55"/>
      <c r="M1169" s="174"/>
      <c r="N1169" s="73" t="str">
        <f>IF(ISBLANK(C1169),"",_xlfn.IFNA(INDEX(inbound_data[],MATCH(Outbound_data[[#This Row],[STOCK CODE OUT]],Generated_Stockcode,0),10),""))</f>
        <v/>
      </c>
      <c r="O1169" s="73" t="str">
        <f>IF(ISBLANK(C1169),"",_xlfn.IFNA(INDEX(inbound_data[],MATCH(Outbound_data[[#This Row],[STOCK CODE OUT]],Generated_Stockcode,0),12),""))</f>
        <v/>
      </c>
      <c r="P1169" s="73" t="str">
        <f>IF(ISBLANK(C1169),"",_xlfn.IFNA(INDEX(inbound_data[],MATCH(Outbound_data[[#This Row],[STOCK CODE OUT]],Generated_Stockcode,0),23),""))</f>
        <v/>
      </c>
      <c r="Q1169" s="73" t="str">
        <f>IF(ISBLANK(C1169),"",_xlfn.IFNA(INDEX(inbound_data[],MATCH(Outbound_data[[#This Row],[STOCK CODE OUT]],Generated_Stockcode,0),13),""))</f>
        <v/>
      </c>
    </row>
    <row r="1170" spans="2:17" x14ac:dyDescent="0.25">
      <c r="B1170" s="71"/>
      <c r="C1170" s="65"/>
      <c r="D1170" s="55"/>
      <c r="E1170" s="65"/>
      <c r="F1170" s="166"/>
      <c r="G1170" s="167"/>
      <c r="H1170" s="166"/>
      <c r="I1170" s="72"/>
      <c r="J1170" s="55"/>
      <c r="K1170" s="72"/>
      <c r="L1170" s="55"/>
      <c r="M1170" s="174"/>
      <c r="N1170" s="73" t="str">
        <f>IF(ISBLANK(C1170),"",_xlfn.IFNA(INDEX(inbound_data[],MATCH(Outbound_data[[#This Row],[STOCK CODE OUT]],Generated_Stockcode,0),10),""))</f>
        <v/>
      </c>
      <c r="O1170" s="73" t="str">
        <f>IF(ISBLANK(C1170),"",_xlfn.IFNA(INDEX(inbound_data[],MATCH(Outbound_data[[#This Row],[STOCK CODE OUT]],Generated_Stockcode,0),12),""))</f>
        <v/>
      </c>
      <c r="P1170" s="73" t="str">
        <f>IF(ISBLANK(C1170),"",_xlfn.IFNA(INDEX(inbound_data[],MATCH(Outbound_data[[#This Row],[STOCK CODE OUT]],Generated_Stockcode,0),23),""))</f>
        <v/>
      </c>
      <c r="Q1170" s="73" t="str">
        <f>IF(ISBLANK(C1170),"",_xlfn.IFNA(INDEX(inbound_data[],MATCH(Outbound_data[[#This Row],[STOCK CODE OUT]],Generated_Stockcode,0),13),""))</f>
        <v/>
      </c>
    </row>
    <row r="1171" spans="2:17" x14ac:dyDescent="0.25">
      <c r="B1171" s="71"/>
      <c r="C1171" s="65"/>
      <c r="D1171" s="55"/>
      <c r="E1171" s="65"/>
      <c r="F1171" s="166"/>
      <c r="G1171" s="167"/>
      <c r="H1171" s="166"/>
      <c r="I1171" s="72"/>
      <c r="J1171" s="55"/>
      <c r="K1171" s="72"/>
      <c r="L1171" s="55"/>
      <c r="M1171" s="174"/>
      <c r="N1171" s="73" t="str">
        <f>IF(ISBLANK(C1171),"",_xlfn.IFNA(INDEX(inbound_data[],MATCH(Outbound_data[[#This Row],[STOCK CODE OUT]],Generated_Stockcode,0),10),""))</f>
        <v/>
      </c>
      <c r="O1171" s="73" t="str">
        <f>IF(ISBLANK(C1171),"",_xlfn.IFNA(INDEX(inbound_data[],MATCH(Outbound_data[[#This Row],[STOCK CODE OUT]],Generated_Stockcode,0),12),""))</f>
        <v/>
      </c>
      <c r="P1171" s="73" t="str">
        <f>IF(ISBLANK(C1171),"",_xlfn.IFNA(INDEX(inbound_data[],MATCH(Outbound_data[[#This Row],[STOCK CODE OUT]],Generated_Stockcode,0),23),""))</f>
        <v/>
      </c>
      <c r="Q1171" s="73" t="str">
        <f>IF(ISBLANK(C1171),"",_xlfn.IFNA(INDEX(inbound_data[],MATCH(Outbound_data[[#This Row],[STOCK CODE OUT]],Generated_Stockcode,0),13),""))</f>
        <v/>
      </c>
    </row>
    <row r="1172" spans="2:17" x14ac:dyDescent="0.25">
      <c r="B1172" s="71"/>
      <c r="C1172" s="65"/>
      <c r="D1172" s="55"/>
      <c r="E1172" s="65"/>
      <c r="F1172" s="166"/>
      <c r="G1172" s="167"/>
      <c r="H1172" s="166"/>
      <c r="I1172" s="72"/>
      <c r="J1172" s="55"/>
      <c r="K1172" s="72"/>
      <c r="L1172" s="55"/>
      <c r="M1172" s="174"/>
      <c r="N1172" s="73" t="str">
        <f>IF(ISBLANK(C1172),"",_xlfn.IFNA(INDEX(inbound_data[],MATCH(Outbound_data[[#This Row],[STOCK CODE OUT]],Generated_Stockcode,0),10),""))</f>
        <v/>
      </c>
      <c r="O1172" s="73" t="str">
        <f>IF(ISBLANK(C1172),"",_xlfn.IFNA(INDEX(inbound_data[],MATCH(Outbound_data[[#This Row],[STOCK CODE OUT]],Generated_Stockcode,0),12),""))</f>
        <v/>
      </c>
      <c r="P1172" s="73" t="str">
        <f>IF(ISBLANK(C1172),"",_xlfn.IFNA(INDEX(inbound_data[],MATCH(Outbound_data[[#This Row],[STOCK CODE OUT]],Generated_Stockcode,0),23),""))</f>
        <v/>
      </c>
      <c r="Q1172" s="73" t="str">
        <f>IF(ISBLANK(C1172),"",_xlfn.IFNA(INDEX(inbound_data[],MATCH(Outbound_data[[#This Row],[STOCK CODE OUT]],Generated_Stockcode,0),13),""))</f>
        <v/>
      </c>
    </row>
    <row r="1173" spans="2:17" x14ac:dyDescent="0.25">
      <c r="B1173" s="71"/>
      <c r="C1173" s="65"/>
      <c r="D1173" s="55"/>
      <c r="E1173" s="65"/>
      <c r="F1173" s="166"/>
      <c r="G1173" s="167"/>
      <c r="H1173" s="166"/>
      <c r="I1173" s="72"/>
      <c r="J1173" s="55"/>
      <c r="K1173" s="72"/>
      <c r="L1173" s="55"/>
      <c r="M1173" s="174"/>
      <c r="N1173" s="73" t="str">
        <f>IF(ISBLANK(C1173),"",_xlfn.IFNA(INDEX(inbound_data[],MATCH(Outbound_data[[#This Row],[STOCK CODE OUT]],Generated_Stockcode,0),10),""))</f>
        <v/>
      </c>
      <c r="O1173" s="73" t="str">
        <f>IF(ISBLANK(C1173),"",_xlfn.IFNA(INDEX(inbound_data[],MATCH(Outbound_data[[#This Row],[STOCK CODE OUT]],Generated_Stockcode,0),12),""))</f>
        <v/>
      </c>
      <c r="P1173" s="73" t="str">
        <f>IF(ISBLANK(C1173),"",_xlfn.IFNA(INDEX(inbound_data[],MATCH(Outbound_data[[#This Row],[STOCK CODE OUT]],Generated_Stockcode,0),23),""))</f>
        <v/>
      </c>
      <c r="Q1173" s="73" t="str">
        <f>IF(ISBLANK(C1173),"",_xlfn.IFNA(INDEX(inbound_data[],MATCH(Outbound_data[[#This Row],[STOCK CODE OUT]],Generated_Stockcode,0),13),""))</f>
        <v/>
      </c>
    </row>
    <row r="1174" spans="2:17" x14ac:dyDescent="0.25">
      <c r="B1174" s="71"/>
      <c r="C1174" s="65"/>
      <c r="D1174" s="55"/>
      <c r="E1174" s="65"/>
      <c r="F1174" s="166"/>
      <c r="G1174" s="167"/>
      <c r="H1174" s="166"/>
      <c r="I1174" s="72"/>
      <c r="J1174" s="55"/>
      <c r="K1174" s="72"/>
      <c r="L1174" s="55"/>
      <c r="M1174" s="174"/>
      <c r="N1174" s="73" t="str">
        <f>IF(ISBLANK(C1174),"",_xlfn.IFNA(INDEX(inbound_data[],MATCH(Outbound_data[[#This Row],[STOCK CODE OUT]],Generated_Stockcode,0),10),""))</f>
        <v/>
      </c>
      <c r="O1174" s="73" t="str">
        <f>IF(ISBLANK(C1174),"",_xlfn.IFNA(INDEX(inbound_data[],MATCH(Outbound_data[[#This Row],[STOCK CODE OUT]],Generated_Stockcode,0),12),""))</f>
        <v/>
      </c>
      <c r="P1174" s="73" t="str">
        <f>IF(ISBLANK(C1174),"",_xlfn.IFNA(INDEX(inbound_data[],MATCH(Outbound_data[[#This Row],[STOCK CODE OUT]],Generated_Stockcode,0),23),""))</f>
        <v/>
      </c>
      <c r="Q1174" s="73" t="str">
        <f>IF(ISBLANK(C1174),"",_xlfn.IFNA(INDEX(inbound_data[],MATCH(Outbound_data[[#This Row],[STOCK CODE OUT]],Generated_Stockcode,0),13),""))</f>
        <v/>
      </c>
    </row>
    <row r="1175" spans="2:17" x14ac:dyDescent="0.25">
      <c r="B1175" s="71"/>
      <c r="C1175" s="65"/>
      <c r="D1175" s="55"/>
      <c r="E1175" s="65"/>
      <c r="F1175" s="166"/>
      <c r="G1175" s="167"/>
      <c r="H1175" s="166"/>
      <c r="I1175" s="72"/>
      <c r="J1175" s="55"/>
      <c r="K1175" s="72"/>
      <c r="L1175" s="55"/>
      <c r="M1175" s="174"/>
      <c r="N1175" s="73" t="str">
        <f>IF(ISBLANK(C1175),"",_xlfn.IFNA(INDEX(inbound_data[],MATCH(Outbound_data[[#This Row],[STOCK CODE OUT]],Generated_Stockcode,0),10),""))</f>
        <v/>
      </c>
      <c r="O1175" s="73" t="str">
        <f>IF(ISBLANK(C1175),"",_xlfn.IFNA(INDEX(inbound_data[],MATCH(Outbound_data[[#This Row],[STOCK CODE OUT]],Generated_Stockcode,0),12),""))</f>
        <v/>
      </c>
      <c r="P1175" s="73" t="str">
        <f>IF(ISBLANK(C1175),"",_xlfn.IFNA(INDEX(inbound_data[],MATCH(Outbound_data[[#This Row],[STOCK CODE OUT]],Generated_Stockcode,0),23),""))</f>
        <v/>
      </c>
      <c r="Q1175" s="73" t="str">
        <f>IF(ISBLANK(C1175),"",_xlfn.IFNA(INDEX(inbound_data[],MATCH(Outbound_data[[#This Row],[STOCK CODE OUT]],Generated_Stockcode,0),13),""))</f>
        <v/>
      </c>
    </row>
    <row r="1176" spans="2:17" x14ac:dyDescent="0.25">
      <c r="B1176" s="71"/>
      <c r="C1176" s="65"/>
      <c r="D1176" s="55"/>
      <c r="E1176" s="65"/>
      <c r="F1176" s="166"/>
      <c r="G1176" s="167"/>
      <c r="H1176" s="166"/>
      <c r="I1176" s="72"/>
      <c r="J1176" s="55"/>
      <c r="K1176" s="72"/>
      <c r="L1176" s="55"/>
      <c r="M1176" s="174"/>
      <c r="N1176" s="73" t="str">
        <f>IF(ISBLANK(C1176),"",_xlfn.IFNA(INDEX(inbound_data[],MATCH(Outbound_data[[#This Row],[STOCK CODE OUT]],Generated_Stockcode,0),10),""))</f>
        <v/>
      </c>
      <c r="O1176" s="73" t="str">
        <f>IF(ISBLANK(C1176),"",_xlfn.IFNA(INDEX(inbound_data[],MATCH(Outbound_data[[#This Row],[STOCK CODE OUT]],Generated_Stockcode,0),12),""))</f>
        <v/>
      </c>
      <c r="P1176" s="73" t="str">
        <f>IF(ISBLANK(C1176),"",_xlfn.IFNA(INDEX(inbound_data[],MATCH(Outbound_data[[#This Row],[STOCK CODE OUT]],Generated_Stockcode,0),23),""))</f>
        <v/>
      </c>
      <c r="Q1176" s="73" t="str">
        <f>IF(ISBLANK(C1176),"",_xlfn.IFNA(INDEX(inbound_data[],MATCH(Outbound_data[[#This Row],[STOCK CODE OUT]],Generated_Stockcode,0),13),""))</f>
        <v/>
      </c>
    </row>
    <row r="1177" spans="2:17" x14ac:dyDescent="0.25">
      <c r="B1177" s="71"/>
      <c r="C1177" s="65"/>
      <c r="D1177" s="55"/>
      <c r="E1177" s="65"/>
      <c r="F1177" s="166"/>
      <c r="G1177" s="167"/>
      <c r="H1177" s="166"/>
      <c r="I1177" s="72"/>
      <c r="J1177" s="55"/>
      <c r="K1177" s="72"/>
      <c r="L1177" s="55"/>
      <c r="M1177" s="174"/>
      <c r="N1177" s="73" t="str">
        <f>IF(ISBLANK(C1177),"",_xlfn.IFNA(INDEX(inbound_data[],MATCH(Outbound_data[[#This Row],[STOCK CODE OUT]],Generated_Stockcode,0),10),""))</f>
        <v/>
      </c>
      <c r="O1177" s="73" t="str">
        <f>IF(ISBLANK(C1177),"",_xlfn.IFNA(INDEX(inbound_data[],MATCH(Outbound_data[[#This Row],[STOCK CODE OUT]],Generated_Stockcode,0),12),""))</f>
        <v/>
      </c>
      <c r="P1177" s="73" t="str">
        <f>IF(ISBLANK(C1177),"",_xlfn.IFNA(INDEX(inbound_data[],MATCH(Outbound_data[[#This Row],[STOCK CODE OUT]],Generated_Stockcode,0),23),""))</f>
        <v/>
      </c>
      <c r="Q1177" s="73" t="str">
        <f>IF(ISBLANK(C1177),"",_xlfn.IFNA(INDEX(inbound_data[],MATCH(Outbound_data[[#This Row],[STOCK CODE OUT]],Generated_Stockcode,0),13),""))</f>
        <v/>
      </c>
    </row>
    <row r="1178" spans="2:17" x14ac:dyDescent="0.25">
      <c r="B1178" s="71"/>
      <c r="C1178" s="65"/>
      <c r="D1178" s="55"/>
      <c r="E1178" s="65"/>
      <c r="F1178" s="166"/>
      <c r="G1178" s="167"/>
      <c r="H1178" s="166"/>
      <c r="I1178" s="72"/>
      <c r="J1178" s="55"/>
      <c r="K1178" s="72"/>
      <c r="L1178" s="55"/>
      <c r="M1178" s="174"/>
      <c r="N1178" s="73" t="str">
        <f>IF(ISBLANK(C1178),"",_xlfn.IFNA(INDEX(inbound_data[],MATCH(Outbound_data[[#This Row],[STOCK CODE OUT]],Generated_Stockcode,0),10),""))</f>
        <v/>
      </c>
      <c r="O1178" s="73" t="str">
        <f>IF(ISBLANK(C1178),"",_xlfn.IFNA(INDEX(inbound_data[],MATCH(Outbound_data[[#This Row],[STOCK CODE OUT]],Generated_Stockcode,0),12),""))</f>
        <v/>
      </c>
      <c r="P1178" s="73" t="str">
        <f>IF(ISBLANK(C1178),"",_xlfn.IFNA(INDEX(inbound_data[],MATCH(Outbound_data[[#This Row],[STOCK CODE OUT]],Generated_Stockcode,0),23),""))</f>
        <v/>
      </c>
      <c r="Q1178" s="73" t="str">
        <f>IF(ISBLANK(C1178),"",_xlfn.IFNA(INDEX(inbound_data[],MATCH(Outbound_data[[#This Row],[STOCK CODE OUT]],Generated_Stockcode,0),13),""))</f>
        <v/>
      </c>
    </row>
    <row r="1179" spans="2:17" x14ac:dyDescent="0.25">
      <c r="B1179" s="71"/>
      <c r="C1179" s="65"/>
      <c r="D1179" s="55"/>
      <c r="E1179" s="65"/>
      <c r="F1179" s="166"/>
      <c r="G1179" s="167"/>
      <c r="H1179" s="166"/>
      <c r="I1179" s="72"/>
      <c r="J1179" s="55"/>
      <c r="K1179" s="72"/>
      <c r="L1179" s="55"/>
      <c r="M1179" s="174"/>
      <c r="N1179" s="73" t="str">
        <f>IF(ISBLANK(C1179),"",_xlfn.IFNA(INDEX(inbound_data[],MATCH(Outbound_data[[#This Row],[STOCK CODE OUT]],Generated_Stockcode,0),10),""))</f>
        <v/>
      </c>
      <c r="O1179" s="73" t="str">
        <f>IF(ISBLANK(C1179),"",_xlfn.IFNA(INDEX(inbound_data[],MATCH(Outbound_data[[#This Row],[STOCK CODE OUT]],Generated_Stockcode,0),12),""))</f>
        <v/>
      </c>
      <c r="P1179" s="73" t="str">
        <f>IF(ISBLANK(C1179),"",_xlfn.IFNA(INDEX(inbound_data[],MATCH(Outbound_data[[#This Row],[STOCK CODE OUT]],Generated_Stockcode,0),23),""))</f>
        <v/>
      </c>
      <c r="Q1179" s="73" t="str">
        <f>IF(ISBLANK(C1179),"",_xlfn.IFNA(INDEX(inbound_data[],MATCH(Outbound_data[[#This Row],[STOCK CODE OUT]],Generated_Stockcode,0),13),""))</f>
        <v/>
      </c>
    </row>
    <row r="1180" spans="2:17" x14ac:dyDescent="0.25">
      <c r="B1180" s="71"/>
      <c r="C1180" s="65"/>
      <c r="D1180" s="55"/>
      <c r="E1180" s="65"/>
      <c r="F1180" s="166"/>
      <c r="G1180" s="167"/>
      <c r="H1180" s="166"/>
      <c r="I1180" s="72"/>
      <c r="J1180" s="55"/>
      <c r="K1180" s="72"/>
      <c r="L1180" s="55"/>
      <c r="M1180" s="174"/>
      <c r="N1180" s="73" t="str">
        <f>IF(ISBLANK(C1180),"",_xlfn.IFNA(INDEX(inbound_data[],MATCH(Outbound_data[[#This Row],[STOCK CODE OUT]],Generated_Stockcode,0),10),""))</f>
        <v/>
      </c>
      <c r="O1180" s="73" t="str">
        <f>IF(ISBLANK(C1180),"",_xlfn.IFNA(INDEX(inbound_data[],MATCH(Outbound_data[[#This Row],[STOCK CODE OUT]],Generated_Stockcode,0),12),""))</f>
        <v/>
      </c>
      <c r="P1180" s="73" t="str">
        <f>IF(ISBLANK(C1180),"",_xlfn.IFNA(INDEX(inbound_data[],MATCH(Outbound_data[[#This Row],[STOCK CODE OUT]],Generated_Stockcode,0),23),""))</f>
        <v/>
      </c>
      <c r="Q1180" s="73" t="str">
        <f>IF(ISBLANK(C1180),"",_xlfn.IFNA(INDEX(inbound_data[],MATCH(Outbound_data[[#This Row],[STOCK CODE OUT]],Generated_Stockcode,0),13),""))</f>
        <v/>
      </c>
    </row>
    <row r="1181" spans="2:17" x14ac:dyDescent="0.25">
      <c r="B1181" s="71"/>
      <c r="C1181" s="65"/>
      <c r="D1181" s="55"/>
      <c r="E1181" s="65"/>
      <c r="F1181" s="166"/>
      <c r="G1181" s="167"/>
      <c r="H1181" s="166"/>
      <c r="I1181" s="72"/>
      <c r="J1181" s="55"/>
      <c r="K1181" s="72"/>
      <c r="L1181" s="55"/>
      <c r="M1181" s="174"/>
      <c r="N1181" s="73" t="str">
        <f>IF(ISBLANK(C1181),"",_xlfn.IFNA(INDEX(inbound_data[],MATCH(Outbound_data[[#This Row],[STOCK CODE OUT]],Generated_Stockcode,0),10),""))</f>
        <v/>
      </c>
      <c r="O1181" s="73" t="str">
        <f>IF(ISBLANK(C1181),"",_xlfn.IFNA(INDEX(inbound_data[],MATCH(Outbound_data[[#This Row],[STOCK CODE OUT]],Generated_Stockcode,0),12),""))</f>
        <v/>
      </c>
      <c r="P1181" s="73" t="str">
        <f>IF(ISBLANK(C1181),"",_xlfn.IFNA(INDEX(inbound_data[],MATCH(Outbound_data[[#This Row],[STOCK CODE OUT]],Generated_Stockcode,0),23),""))</f>
        <v/>
      </c>
      <c r="Q1181" s="73" t="str">
        <f>IF(ISBLANK(C1181),"",_xlfn.IFNA(INDEX(inbound_data[],MATCH(Outbound_data[[#This Row],[STOCK CODE OUT]],Generated_Stockcode,0),13),""))</f>
        <v/>
      </c>
    </row>
    <row r="1182" spans="2:17" x14ac:dyDescent="0.25">
      <c r="B1182" s="71"/>
      <c r="C1182" s="65"/>
      <c r="D1182" s="55"/>
      <c r="E1182" s="65"/>
      <c r="F1182" s="166"/>
      <c r="G1182" s="167"/>
      <c r="H1182" s="166"/>
      <c r="I1182" s="72"/>
      <c r="J1182" s="55"/>
      <c r="K1182" s="72"/>
      <c r="L1182" s="55"/>
      <c r="M1182" s="174"/>
      <c r="N1182" s="73" t="str">
        <f>IF(ISBLANK(C1182),"",_xlfn.IFNA(INDEX(inbound_data[],MATCH(Outbound_data[[#This Row],[STOCK CODE OUT]],Generated_Stockcode,0),10),""))</f>
        <v/>
      </c>
      <c r="O1182" s="73" t="str">
        <f>IF(ISBLANK(C1182),"",_xlfn.IFNA(INDEX(inbound_data[],MATCH(Outbound_data[[#This Row],[STOCK CODE OUT]],Generated_Stockcode,0),12),""))</f>
        <v/>
      </c>
      <c r="P1182" s="73" t="str">
        <f>IF(ISBLANK(C1182),"",_xlfn.IFNA(INDEX(inbound_data[],MATCH(Outbound_data[[#This Row],[STOCK CODE OUT]],Generated_Stockcode,0),23),""))</f>
        <v/>
      </c>
      <c r="Q1182" s="73" t="str">
        <f>IF(ISBLANK(C1182),"",_xlfn.IFNA(INDEX(inbound_data[],MATCH(Outbound_data[[#This Row],[STOCK CODE OUT]],Generated_Stockcode,0),13),""))</f>
        <v/>
      </c>
    </row>
    <row r="1183" spans="2:17" x14ac:dyDescent="0.25">
      <c r="B1183" s="71"/>
      <c r="C1183" s="65"/>
      <c r="D1183" s="55"/>
      <c r="E1183" s="65"/>
      <c r="F1183" s="166"/>
      <c r="G1183" s="167"/>
      <c r="H1183" s="166"/>
      <c r="I1183" s="72"/>
      <c r="J1183" s="55"/>
      <c r="K1183" s="72"/>
      <c r="L1183" s="55"/>
      <c r="M1183" s="174"/>
      <c r="N1183" s="73" t="str">
        <f>IF(ISBLANK(C1183),"",_xlfn.IFNA(INDEX(inbound_data[],MATCH(Outbound_data[[#This Row],[STOCK CODE OUT]],Generated_Stockcode,0),10),""))</f>
        <v/>
      </c>
      <c r="O1183" s="73" t="str">
        <f>IF(ISBLANK(C1183),"",_xlfn.IFNA(INDEX(inbound_data[],MATCH(Outbound_data[[#This Row],[STOCK CODE OUT]],Generated_Stockcode,0),12),""))</f>
        <v/>
      </c>
      <c r="P1183" s="73" t="str">
        <f>IF(ISBLANK(C1183),"",_xlfn.IFNA(INDEX(inbound_data[],MATCH(Outbound_data[[#This Row],[STOCK CODE OUT]],Generated_Stockcode,0),23),""))</f>
        <v/>
      </c>
      <c r="Q1183" s="73" t="str">
        <f>IF(ISBLANK(C1183),"",_xlfn.IFNA(INDEX(inbound_data[],MATCH(Outbound_data[[#This Row],[STOCK CODE OUT]],Generated_Stockcode,0),13),""))</f>
        <v/>
      </c>
    </row>
    <row r="1184" spans="2:17" x14ac:dyDescent="0.25">
      <c r="B1184" s="71"/>
      <c r="C1184" s="65"/>
      <c r="D1184" s="55"/>
      <c r="E1184" s="65"/>
      <c r="F1184" s="166"/>
      <c r="G1184" s="167"/>
      <c r="H1184" s="166"/>
      <c r="I1184" s="72"/>
      <c r="J1184" s="55"/>
      <c r="K1184" s="72"/>
      <c r="L1184" s="55"/>
      <c r="M1184" s="174"/>
      <c r="N1184" s="73" t="str">
        <f>IF(ISBLANK(C1184),"",_xlfn.IFNA(INDEX(inbound_data[],MATCH(Outbound_data[[#This Row],[STOCK CODE OUT]],Generated_Stockcode,0),10),""))</f>
        <v/>
      </c>
      <c r="O1184" s="73" t="str">
        <f>IF(ISBLANK(C1184),"",_xlfn.IFNA(INDEX(inbound_data[],MATCH(Outbound_data[[#This Row],[STOCK CODE OUT]],Generated_Stockcode,0),12),""))</f>
        <v/>
      </c>
      <c r="P1184" s="73" t="str">
        <f>IF(ISBLANK(C1184),"",_xlfn.IFNA(INDEX(inbound_data[],MATCH(Outbound_data[[#This Row],[STOCK CODE OUT]],Generated_Stockcode,0),23),""))</f>
        <v/>
      </c>
      <c r="Q1184" s="73" t="str">
        <f>IF(ISBLANK(C1184),"",_xlfn.IFNA(INDEX(inbound_data[],MATCH(Outbound_data[[#This Row],[STOCK CODE OUT]],Generated_Stockcode,0),13),""))</f>
        <v/>
      </c>
    </row>
    <row r="1185" spans="2:17" x14ac:dyDescent="0.25">
      <c r="B1185" s="71"/>
      <c r="C1185" s="65"/>
      <c r="D1185" s="55"/>
      <c r="E1185" s="65"/>
      <c r="F1185" s="166"/>
      <c r="G1185" s="167"/>
      <c r="H1185" s="166"/>
      <c r="I1185" s="72"/>
      <c r="J1185" s="55"/>
      <c r="K1185" s="72"/>
      <c r="L1185" s="55"/>
      <c r="M1185" s="174"/>
      <c r="N1185" s="73" t="str">
        <f>IF(ISBLANK(C1185),"",_xlfn.IFNA(INDEX(inbound_data[],MATCH(Outbound_data[[#This Row],[STOCK CODE OUT]],Generated_Stockcode,0),10),""))</f>
        <v/>
      </c>
      <c r="O1185" s="73" t="str">
        <f>IF(ISBLANK(C1185),"",_xlfn.IFNA(INDEX(inbound_data[],MATCH(Outbound_data[[#This Row],[STOCK CODE OUT]],Generated_Stockcode,0),12),""))</f>
        <v/>
      </c>
      <c r="P1185" s="73" t="str">
        <f>IF(ISBLANK(C1185),"",_xlfn.IFNA(INDEX(inbound_data[],MATCH(Outbound_data[[#This Row],[STOCK CODE OUT]],Generated_Stockcode,0),23),""))</f>
        <v/>
      </c>
      <c r="Q1185" s="73" t="str">
        <f>IF(ISBLANK(C1185),"",_xlfn.IFNA(INDEX(inbound_data[],MATCH(Outbound_data[[#This Row],[STOCK CODE OUT]],Generated_Stockcode,0),13),""))</f>
        <v/>
      </c>
    </row>
    <row r="1186" spans="2:17" x14ac:dyDescent="0.25">
      <c r="B1186" s="71"/>
      <c r="C1186" s="65"/>
      <c r="D1186" s="55"/>
      <c r="E1186" s="65"/>
      <c r="F1186" s="166"/>
      <c r="G1186" s="167"/>
      <c r="H1186" s="166"/>
      <c r="I1186" s="72"/>
      <c r="J1186" s="55"/>
      <c r="K1186" s="72"/>
      <c r="L1186" s="55"/>
      <c r="M1186" s="174"/>
      <c r="N1186" s="73" t="str">
        <f>IF(ISBLANK(C1186),"",_xlfn.IFNA(INDEX(inbound_data[],MATCH(Outbound_data[[#This Row],[STOCK CODE OUT]],Generated_Stockcode,0),10),""))</f>
        <v/>
      </c>
      <c r="O1186" s="73" t="str">
        <f>IF(ISBLANK(C1186),"",_xlfn.IFNA(INDEX(inbound_data[],MATCH(Outbound_data[[#This Row],[STOCK CODE OUT]],Generated_Stockcode,0),12),""))</f>
        <v/>
      </c>
      <c r="P1186" s="73" t="str">
        <f>IF(ISBLANK(C1186),"",_xlfn.IFNA(INDEX(inbound_data[],MATCH(Outbound_data[[#This Row],[STOCK CODE OUT]],Generated_Stockcode,0),23),""))</f>
        <v/>
      </c>
      <c r="Q1186" s="73" t="str">
        <f>IF(ISBLANK(C1186),"",_xlfn.IFNA(INDEX(inbound_data[],MATCH(Outbound_data[[#This Row],[STOCK CODE OUT]],Generated_Stockcode,0),13),""))</f>
        <v/>
      </c>
    </row>
    <row r="1187" spans="2:17" x14ac:dyDescent="0.25">
      <c r="B1187" s="71"/>
      <c r="C1187" s="65"/>
      <c r="D1187" s="55"/>
      <c r="E1187" s="65"/>
      <c r="F1187" s="166"/>
      <c r="G1187" s="167"/>
      <c r="H1187" s="166"/>
      <c r="I1187" s="72"/>
      <c r="J1187" s="55"/>
      <c r="K1187" s="72"/>
      <c r="L1187" s="55"/>
      <c r="M1187" s="174"/>
      <c r="N1187" s="73" t="str">
        <f>IF(ISBLANK(C1187),"",_xlfn.IFNA(INDEX(inbound_data[],MATCH(Outbound_data[[#This Row],[STOCK CODE OUT]],Generated_Stockcode,0),10),""))</f>
        <v/>
      </c>
      <c r="O1187" s="73" t="str">
        <f>IF(ISBLANK(C1187),"",_xlfn.IFNA(INDEX(inbound_data[],MATCH(Outbound_data[[#This Row],[STOCK CODE OUT]],Generated_Stockcode,0),12),""))</f>
        <v/>
      </c>
      <c r="P1187" s="73" t="str">
        <f>IF(ISBLANK(C1187),"",_xlfn.IFNA(INDEX(inbound_data[],MATCH(Outbound_data[[#This Row],[STOCK CODE OUT]],Generated_Stockcode,0),23),""))</f>
        <v/>
      </c>
      <c r="Q1187" s="73" t="str">
        <f>IF(ISBLANK(C1187),"",_xlfn.IFNA(INDEX(inbound_data[],MATCH(Outbound_data[[#This Row],[STOCK CODE OUT]],Generated_Stockcode,0),13),""))</f>
        <v/>
      </c>
    </row>
    <row r="1188" spans="2:17" x14ac:dyDescent="0.25">
      <c r="B1188" s="71"/>
      <c r="C1188" s="65"/>
      <c r="D1188" s="55"/>
      <c r="E1188" s="65"/>
      <c r="F1188" s="166"/>
      <c r="G1188" s="167"/>
      <c r="H1188" s="166"/>
      <c r="I1188" s="72"/>
      <c r="J1188" s="55"/>
      <c r="K1188" s="72"/>
      <c r="L1188" s="55"/>
      <c r="M1188" s="174"/>
      <c r="N1188" s="73" t="str">
        <f>IF(ISBLANK(C1188),"",_xlfn.IFNA(INDEX(inbound_data[],MATCH(Outbound_data[[#This Row],[STOCK CODE OUT]],Generated_Stockcode,0),10),""))</f>
        <v/>
      </c>
      <c r="O1188" s="73" t="str">
        <f>IF(ISBLANK(C1188),"",_xlfn.IFNA(INDEX(inbound_data[],MATCH(Outbound_data[[#This Row],[STOCK CODE OUT]],Generated_Stockcode,0),12),""))</f>
        <v/>
      </c>
      <c r="P1188" s="73" t="str">
        <f>IF(ISBLANK(C1188),"",_xlfn.IFNA(INDEX(inbound_data[],MATCH(Outbound_data[[#This Row],[STOCK CODE OUT]],Generated_Stockcode,0),23),""))</f>
        <v/>
      </c>
      <c r="Q1188" s="73" t="str">
        <f>IF(ISBLANK(C1188),"",_xlfn.IFNA(INDEX(inbound_data[],MATCH(Outbound_data[[#This Row],[STOCK CODE OUT]],Generated_Stockcode,0),13),""))</f>
        <v/>
      </c>
    </row>
    <row r="1189" spans="2:17" x14ac:dyDescent="0.25">
      <c r="B1189" s="71"/>
      <c r="C1189" s="65"/>
      <c r="D1189" s="55"/>
      <c r="E1189" s="65"/>
      <c r="F1189" s="166"/>
      <c r="G1189" s="167"/>
      <c r="H1189" s="166"/>
      <c r="I1189" s="72"/>
      <c r="J1189" s="55"/>
      <c r="K1189" s="72"/>
      <c r="L1189" s="55"/>
      <c r="M1189" s="174"/>
      <c r="N1189" s="73" t="str">
        <f>IF(ISBLANK(C1189),"",_xlfn.IFNA(INDEX(inbound_data[],MATCH(Outbound_data[[#This Row],[STOCK CODE OUT]],Generated_Stockcode,0),10),""))</f>
        <v/>
      </c>
      <c r="O1189" s="73" t="str">
        <f>IF(ISBLANK(C1189),"",_xlfn.IFNA(INDEX(inbound_data[],MATCH(Outbound_data[[#This Row],[STOCK CODE OUT]],Generated_Stockcode,0),12),""))</f>
        <v/>
      </c>
      <c r="P1189" s="73" t="str">
        <f>IF(ISBLANK(C1189),"",_xlfn.IFNA(INDEX(inbound_data[],MATCH(Outbound_data[[#This Row],[STOCK CODE OUT]],Generated_Stockcode,0),23),""))</f>
        <v/>
      </c>
      <c r="Q1189" s="73" t="str">
        <f>IF(ISBLANK(C1189),"",_xlfn.IFNA(INDEX(inbound_data[],MATCH(Outbound_data[[#This Row],[STOCK CODE OUT]],Generated_Stockcode,0),13),""))</f>
        <v/>
      </c>
    </row>
    <row r="1190" spans="2:17" x14ac:dyDescent="0.25">
      <c r="B1190" s="71"/>
      <c r="C1190" s="65"/>
      <c r="D1190" s="55"/>
      <c r="E1190" s="65"/>
      <c r="F1190" s="166"/>
      <c r="G1190" s="167"/>
      <c r="H1190" s="166"/>
      <c r="I1190" s="72"/>
      <c r="J1190" s="55"/>
      <c r="K1190" s="72"/>
      <c r="L1190" s="55"/>
      <c r="M1190" s="174"/>
      <c r="N1190" s="73" t="str">
        <f>IF(ISBLANK(C1190),"",_xlfn.IFNA(INDEX(inbound_data[],MATCH(Outbound_data[[#This Row],[STOCK CODE OUT]],Generated_Stockcode,0),10),""))</f>
        <v/>
      </c>
      <c r="O1190" s="73" t="str">
        <f>IF(ISBLANK(C1190),"",_xlfn.IFNA(INDEX(inbound_data[],MATCH(Outbound_data[[#This Row],[STOCK CODE OUT]],Generated_Stockcode,0),12),""))</f>
        <v/>
      </c>
      <c r="P1190" s="73" t="str">
        <f>IF(ISBLANK(C1190),"",_xlfn.IFNA(INDEX(inbound_data[],MATCH(Outbound_data[[#This Row],[STOCK CODE OUT]],Generated_Stockcode,0),23),""))</f>
        <v/>
      </c>
      <c r="Q1190" s="73" t="str">
        <f>IF(ISBLANK(C1190),"",_xlfn.IFNA(INDEX(inbound_data[],MATCH(Outbound_data[[#This Row],[STOCK CODE OUT]],Generated_Stockcode,0),13),""))</f>
        <v/>
      </c>
    </row>
    <row r="1191" spans="2:17" x14ac:dyDescent="0.25">
      <c r="B1191" s="71"/>
      <c r="C1191" s="65"/>
      <c r="D1191" s="55"/>
      <c r="E1191" s="65"/>
      <c r="F1191" s="166"/>
      <c r="G1191" s="167"/>
      <c r="H1191" s="166"/>
      <c r="I1191" s="72"/>
      <c r="J1191" s="55"/>
      <c r="K1191" s="72"/>
      <c r="L1191" s="55"/>
      <c r="M1191" s="174"/>
      <c r="N1191" s="73" t="str">
        <f>IF(ISBLANK(C1191),"",_xlfn.IFNA(INDEX(inbound_data[],MATCH(Outbound_data[[#This Row],[STOCK CODE OUT]],Generated_Stockcode,0),10),""))</f>
        <v/>
      </c>
      <c r="O1191" s="73" t="str">
        <f>IF(ISBLANK(C1191),"",_xlfn.IFNA(INDEX(inbound_data[],MATCH(Outbound_data[[#This Row],[STOCK CODE OUT]],Generated_Stockcode,0),12),""))</f>
        <v/>
      </c>
      <c r="P1191" s="73" t="str">
        <f>IF(ISBLANK(C1191),"",_xlfn.IFNA(INDEX(inbound_data[],MATCH(Outbound_data[[#This Row],[STOCK CODE OUT]],Generated_Stockcode,0),23),""))</f>
        <v/>
      </c>
      <c r="Q1191" s="73" t="str">
        <f>IF(ISBLANK(C1191),"",_xlfn.IFNA(INDEX(inbound_data[],MATCH(Outbound_data[[#This Row],[STOCK CODE OUT]],Generated_Stockcode,0),13),""))</f>
        <v/>
      </c>
    </row>
    <row r="1192" spans="2:17" x14ac:dyDescent="0.25">
      <c r="B1192" s="71"/>
      <c r="C1192" s="65"/>
      <c r="D1192" s="55"/>
      <c r="E1192" s="65"/>
      <c r="F1192" s="166"/>
      <c r="G1192" s="167"/>
      <c r="H1192" s="166"/>
      <c r="I1192" s="72"/>
      <c r="J1192" s="55"/>
      <c r="K1192" s="72"/>
      <c r="L1192" s="55"/>
      <c r="M1192" s="174"/>
      <c r="N1192" s="73" t="str">
        <f>IF(ISBLANK(C1192),"",_xlfn.IFNA(INDEX(inbound_data[],MATCH(Outbound_data[[#This Row],[STOCK CODE OUT]],Generated_Stockcode,0),10),""))</f>
        <v/>
      </c>
      <c r="O1192" s="73" t="str">
        <f>IF(ISBLANK(C1192),"",_xlfn.IFNA(INDEX(inbound_data[],MATCH(Outbound_data[[#This Row],[STOCK CODE OUT]],Generated_Stockcode,0),12),""))</f>
        <v/>
      </c>
      <c r="P1192" s="73" t="str">
        <f>IF(ISBLANK(C1192),"",_xlfn.IFNA(INDEX(inbound_data[],MATCH(Outbound_data[[#This Row],[STOCK CODE OUT]],Generated_Stockcode,0),23),""))</f>
        <v/>
      </c>
      <c r="Q1192" s="73" t="str">
        <f>IF(ISBLANK(C1192),"",_xlfn.IFNA(INDEX(inbound_data[],MATCH(Outbound_data[[#This Row],[STOCK CODE OUT]],Generated_Stockcode,0),13),""))</f>
        <v/>
      </c>
    </row>
    <row r="1193" spans="2:17" x14ac:dyDescent="0.25">
      <c r="B1193" s="71"/>
      <c r="C1193" s="65"/>
      <c r="D1193" s="55"/>
      <c r="E1193" s="65"/>
      <c r="F1193" s="166"/>
      <c r="G1193" s="167"/>
      <c r="H1193" s="166"/>
      <c r="I1193" s="72"/>
      <c r="J1193" s="55"/>
      <c r="K1193" s="72"/>
      <c r="L1193" s="55"/>
      <c r="M1193" s="174"/>
      <c r="N1193" s="73" t="str">
        <f>IF(ISBLANK(C1193),"",_xlfn.IFNA(INDEX(inbound_data[],MATCH(Outbound_data[[#This Row],[STOCK CODE OUT]],Generated_Stockcode,0),10),""))</f>
        <v/>
      </c>
      <c r="O1193" s="73" t="str">
        <f>IF(ISBLANK(C1193),"",_xlfn.IFNA(INDEX(inbound_data[],MATCH(Outbound_data[[#This Row],[STOCK CODE OUT]],Generated_Stockcode,0),12),""))</f>
        <v/>
      </c>
      <c r="P1193" s="73" t="str">
        <f>IF(ISBLANK(C1193),"",_xlfn.IFNA(INDEX(inbound_data[],MATCH(Outbound_data[[#This Row],[STOCK CODE OUT]],Generated_Stockcode,0),23),""))</f>
        <v/>
      </c>
      <c r="Q1193" s="73" t="str">
        <f>IF(ISBLANK(C1193),"",_xlfn.IFNA(INDEX(inbound_data[],MATCH(Outbound_data[[#This Row],[STOCK CODE OUT]],Generated_Stockcode,0),13),""))</f>
        <v/>
      </c>
    </row>
    <row r="1194" spans="2:17" x14ac:dyDescent="0.25">
      <c r="B1194" s="71"/>
      <c r="C1194" s="65"/>
      <c r="D1194" s="55"/>
      <c r="E1194" s="65"/>
      <c r="F1194" s="166"/>
      <c r="G1194" s="167"/>
      <c r="H1194" s="166"/>
      <c r="I1194" s="72"/>
      <c r="J1194" s="55"/>
      <c r="K1194" s="72"/>
      <c r="L1194" s="55"/>
      <c r="M1194" s="174"/>
      <c r="N1194" s="73" t="str">
        <f>IF(ISBLANK(C1194),"",_xlfn.IFNA(INDEX(inbound_data[],MATCH(Outbound_data[[#This Row],[STOCK CODE OUT]],Generated_Stockcode,0),10),""))</f>
        <v/>
      </c>
      <c r="O1194" s="73" t="str">
        <f>IF(ISBLANK(C1194),"",_xlfn.IFNA(INDEX(inbound_data[],MATCH(Outbound_data[[#This Row],[STOCK CODE OUT]],Generated_Stockcode,0),12),""))</f>
        <v/>
      </c>
      <c r="P1194" s="73" t="str">
        <f>IF(ISBLANK(C1194),"",_xlfn.IFNA(INDEX(inbound_data[],MATCH(Outbound_data[[#This Row],[STOCK CODE OUT]],Generated_Stockcode,0),23),""))</f>
        <v/>
      </c>
      <c r="Q1194" s="73" t="str">
        <f>IF(ISBLANK(C1194),"",_xlfn.IFNA(INDEX(inbound_data[],MATCH(Outbound_data[[#This Row],[STOCK CODE OUT]],Generated_Stockcode,0),13),""))</f>
        <v/>
      </c>
    </row>
    <row r="1195" spans="2:17" x14ac:dyDescent="0.25">
      <c r="B1195" s="71"/>
      <c r="C1195" s="65"/>
      <c r="D1195" s="55"/>
      <c r="E1195" s="65"/>
      <c r="F1195" s="166"/>
      <c r="G1195" s="167"/>
      <c r="H1195" s="166"/>
      <c r="I1195" s="72"/>
      <c r="J1195" s="55"/>
      <c r="K1195" s="72"/>
      <c r="L1195" s="55"/>
      <c r="M1195" s="174"/>
      <c r="N1195" s="73" t="str">
        <f>IF(ISBLANK(C1195),"",_xlfn.IFNA(INDEX(inbound_data[],MATCH(Outbound_data[[#This Row],[STOCK CODE OUT]],Generated_Stockcode,0),10),""))</f>
        <v/>
      </c>
      <c r="O1195" s="73" t="str">
        <f>IF(ISBLANK(C1195),"",_xlfn.IFNA(INDEX(inbound_data[],MATCH(Outbound_data[[#This Row],[STOCK CODE OUT]],Generated_Stockcode,0),12),""))</f>
        <v/>
      </c>
      <c r="P1195" s="73" t="str">
        <f>IF(ISBLANK(C1195),"",_xlfn.IFNA(INDEX(inbound_data[],MATCH(Outbound_data[[#This Row],[STOCK CODE OUT]],Generated_Stockcode,0),23),""))</f>
        <v/>
      </c>
      <c r="Q1195" s="73" t="str">
        <f>IF(ISBLANK(C1195),"",_xlfn.IFNA(INDEX(inbound_data[],MATCH(Outbound_data[[#This Row],[STOCK CODE OUT]],Generated_Stockcode,0),13),""))</f>
        <v/>
      </c>
    </row>
    <row r="1196" spans="2:17" x14ac:dyDescent="0.25">
      <c r="B1196" s="71"/>
      <c r="C1196" s="65"/>
      <c r="D1196" s="55"/>
      <c r="E1196" s="65"/>
      <c r="F1196" s="166"/>
      <c r="G1196" s="167"/>
      <c r="H1196" s="166"/>
      <c r="I1196" s="72"/>
      <c r="J1196" s="55"/>
      <c r="K1196" s="72"/>
      <c r="L1196" s="55"/>
      <c r="M1196" s="174"/>
      <c r="N1196" s="73" t="str">
        <f>IF(ISBLANK(C1196),"",_xlfn.IFNA(INDEX(inbound_data[],MATCH(Outbound_data[[#This Row],[STOCK CODE OUT]],Generated_Stockcode,0),10),""))</f>
        <v/>
      </c>
      <c r="O1196" s="73" t="str">
        <f>IF(ISBLANK(C1196),"",_xlfn.IFNA(INDEX(inbound_data[],MATCH(Outbound_data[[#This Row],[STOCK CODE OUT]],Generated_Stockcode,0),12),""))</f>
        <v/>
      </c>
      <c r="P1196" s="73" t="str">
        <f>IF(ISBLANK(C1196),"",_xlfn.IFNA(INDEX(inbound_data[],MATCH(Outbound_data[[#This Row],[STOCK CODE OUT]],Generated_Stockcode,0),23),""))</f>
        <v/>
      </c>
      <c r="Q1196" s="73" t="str">
        <f>IF(ISBLANK(C1196),"",_xlfn.IFNA(INDEX(inbound_data[],MATCH(Outbound_data[[#This Row],[STOCK CODE OUT]],Generated_Stockcode,0),13),""))</f>
        <v/>
      </c>
    </row>
    <row r="1197" spans="2:17" x14ac:dyDescent="0.25">
      <c r="B1197" s="71"/>
      <c r="C1197" s="65"/>
      <c r="D1197" s="55"/>
      <c r="E1197" s="65"/>
      <c r="F1197" s="166"/>
      <c r="G1197" s="167"/>
      <c r="H1197" s="166"/>
      <c r="I1197" s="72"/>
      <c r="J1197" s="55"/>
      <c r="K1197" s="72"/>
      <c r="L1197" s="55"/>
      <c r="M1197" s="174"/>
      <c r="N1197" s="73" t="str">
        <f>IF(ISBLANK(C1197),"",_xlfn.IFNA(INDEX(inbound_data[],MATCH(Outbound_data[[#This Row],[STOCK CODE OUT]],Generated_Stockcode,0),10),""))</f>
        <v/>
      </c>
      <c r="O1197" s="73" t="str">
        <f>IF(ISBLANK(C1197),"",_xlfn.IFNA(INDEX(inbound_data[],MATCH(Outbound_data[[#This Row],[STOCK CODE OUT]],Generated_Stockcode,0),12),""))</f>
        <v/>
      </c>
      <c r="P1197" s="73" t="str">
        <f>IF(ISBLANK(C1197),"",_xlfn.IFNA(INDEX(inbound_data[],MATCH(Outbound_data[[#This Row],[STOCK CODE OUT]],Generated_Stockcode,0),23),""))</f>
        <v/>
      </c>
      <c r="Q1197" s="73" t="str">
        <f>IF(ISBLANK(C1197),"",_xlfn.IFNA(INDEX(inbound_data[],MATCH(Outbound_data[[#This Row],[STOCK CODE OUT]],Generated_Stockcode,0),13),""))</f>
        <v/>
      </c>
    </row>
    <row r="1198" spans="2:17" x14ac:dyDescent="0.25">
      <c r="B1198" s="71"/>
      <c r="C1198" s="65"/>
      <c r="D1198" s="55"/>
      <c r="E1198" s="65"/>
      <c r="F1198" s="166"/>
      <c r="G1198" s="167"/>
      <c r="H1198" s="166"/>
      <c r="I1198" s="72"/>
      <c r="J1198" s="55"/>
      <c r="K1198" s="72"/>
      <c r="L1198" s="55"/>
      <c r="M1198" s="174"/>
      <c r="N1198" s="73" t="str">
        <f>IF(ISBLANK(C1198),"",_xlfn.IFNA(INDEX(inbound_data[],MATCH(Outbound_data[[#This Row],[STOCK CODE OUT]],Generated_Stockcode,0),10),""))</f>
        <v/>
      </c>
      <c r="O1198" s="73" t="str">
        <f>IF(ISBLANK(C1198),"",_xlfn.IFNA(INDEX(inbound_data[],MATCH(Outbound_data[[#This Row],[STOCK CODE OUT]],Generated_Stockcode,0),12),""))</f>
        <v/>
      </c>
      <c r="P1198" s="73" t="str">
        <f>IF(ISBLANK(C1198),"",_xlfn.IFNA(INDEX(inbound_data[],MATCH(Outbound_data[[#This Row],[STOCK CODE OUT]],Generated_Stockcode,0),23),""))</f>
        <v/>
      </c>
      <c r="Q1198" s="73" t="str">
        <f>IF(ISBLANK(C1198),"",_xlfn.IFNA(INDEX(inbound_data[],MATCH(Outbound_data[[#This Row],[STOCK CODE OUT]],Generated_Stockcode,0),13),""))</f>
        <v/>
      </c>
    </row>
    <row r="1199" spans="2:17" x14ac:dyDescent="0.25">
      <c r="B1199" s="71"/>
      <c r="C1199" s="65"/>
      <c r="D1199" s="55"/>
      <c r="E1199" s="65"/>
      <c r="F1199" s="166"/>
      <c r="G1199" s="167"/>
      <c r="H1199" s="166"/>
      <c r="I1199" s="72"/>
      <c r="J1199" s="55"/>
      <c r="K1199" s="72"/>
      <c r="L1199" s="55"/>
      <c r="M1199" s="174"/>
      <c r="N1199" s="73" t="str">
        <f>IF(ISBLANK(C1199),"",_xlfn.IFNA(INDEX(inbound_data[],MATCH(Outbound_data[[#This Row],[STOCK CODE OUT]],Generated_Stockcode,0),10),""))</f>
        <v/>
      </c>
      <c r="O1199" s="73" t="str">
        <f>IF(ISBLANK(C1199),"",_xlfn.IFNA(INDEX(inbound_data[],MATCH(Outbound_data[[#This Row],[STOCK CODE OUT]],Generated_Stockcode,0),12),""))</f>
        <v/>
      </c>
      <c r="P1199" s="73" t="str">
        <f>IF(ISBLANK(C1199),"",_xlfn.IFNA(INDEX(inbound_data[],MATCH(Outbound_data[[#This Row],[STOCK CODE OUT]],Generated_Stockcode,0),23),""))</f>
        <v/>
      </c>
      <c r="Q1199" s="73" t="str">
        <f>IF(ISBLANK(C1199),"",_xlfn.IFNA(INDEX(inbound_data[],MATCH(Outbound_data[[#This Row],[STOCK CODE OUT]],Generated_Stockcode,0),13),""))</f>
        <v/>
      </c>
    </row>
    <row r="1200" spans="2:17" x14ac:dyDescent="0.25">
      <c r="B1200" s="71"/>
      <c r="C1200" s="65"/>
      <c r="D1200" s="55"/>
      <c r="E1200" s="65"/>
      <c r="F1200" s="166"/>
      <c r="G1200" s="167"/>
      <c r="H1200" s="166"/>
      <c r="I1200" s="72"/>
      <c r="J1200" s="55"/>
      <c r="K1200" s="72"/>
      <c r="L1200" s="55"/>
      <c r="M1200" s="174"/>
      <c r="N1200" s="73" t="str">
        <f>IF(ISBLANK(C1200),"",_xlfn.IFNA(INDEX(inbound_data[],MATCH(Outbound_data[[#This Row],[STOCK CODE OUT]],Generated_Stockcode,0),10),""))</f>
        <v/>
      </c>
      <c r="O1200" s="73" t="str">
        <f>IF(ISBLANK(C1200),"",_xlfn.IFNA(INDEX(inbound_data[],MATCH(Outbound_data[[#This Row],[STOCK CODE OUT]],Generated_Stockcode,0),12),""))</f>
        <v/>
      </c>
      <c r="P1200" s="73" t="str">
        <f>IF(ISBLANK(C1200),"",_xlfn.IFNA(INDEX(inbound_data[],MATCH(Outbound_data[[#This Row],[STOCK CODE OUT]],Generated_Stockcode,0),23),""))</f>
        <v/>
      </c>
      <c r="Q1200" s="73" t="str">
        <f>IF(ISBLANK(C1200),"",_xlfn.IFNA(INDEX(inbound_data[],MATCH(Outbound_data[[#This Row],[STOCK CODE OUT]],Generated_Stockcode,0),13),""))</f>
        <v/>
      </c>
    </row>
    <row r="1201" spans="2:17" x14ac:dyDescent="0.25">
      <c r="B1201" s="71"/>
      <c r="C1201" s="65"/>
      <c r="D1201" s="55"/>
      <c r="E1201" s="65"/>
      <c r="F1201" s="166"/>
      <c r="G1201" s="167"/>
      <c r="H1201" s="166"/>
      <c r="I1201" s="72"/>
      <c r="J1201" s="55"/>
      <c r="K1201" s="72"/>
      <c r="L1201" s="55"/>
      <c r="M1201" s="174"/>
      <c r="N1201" s="73" t="str">
        <f>IF(ISBLANK(C1201),"",_xlfn.IFNA(INDEX(inbound_data[],MATCH(Outbound_data[[#This Row],[STOCK CODE OUT]],Generated_Stockcode,0),10),""))</f>
        <v/>
      </c>
      <c r="O1201" s="73" t="str">
        <f>IF(ISBLANK(C1201),"",_xlfn.IFNA(INDEX(inbound_data[],MATCH(Outbound_data[[#This Row],[STOCK CODE OUT]],Generated_Stockcode,0),12),""))</f>
        <v/>
      </c>
      <c r="P1201" s="73" t="str">
        <f>IF(ISBLANK(C1201),"",_xlfn.IFNA(INDEX(inbound_data[],MATCH(Outbound_data[[#This Row],[STOCK CODE OUT]],Generated_Stockcode,0),23),""))</f>
        <v/>
      </c>
      <c r="Q1201" s="73" t="str">
        <f>IF(ISBLANK(C1201),"",_xlfn.IFNA(INDEX(inbound_data[],MATCH(Outbound_data[[#This Row],[STOCK CODE OUT]],Generated_Stockcode,0),13),""))</f>
        <v/>
      </c>
    </row>
    <row r="1202" spans="2:17" x14ac:dyDescent="0.25">
      <c r="B1202" s="71"/>
      <c r="C1202" s="65"/>
      <c r="D1202" s="55"/>
      <c r="E1202" s="65"/>
      <c r="F1202" s="166"/>
      <c r="G1202" s="167"/>
      <c r="H1202" s="166"/>
      <c r="I1202" s="72"/>
      <c r="J1202" s="55"/>
      <c r="K1202" s="72"/>
      <c r="L1202" s="55"/>
      <c r="M1202" s="174"/>
      <c r="N1202" s="73" t="str">
        <f>IF(ISBLANK(C1202),"",_xlfn.IFNA(INDEX(inbound_data[],MATCH(Outbound_data[[#This Row],[STOCK CODE OUT]],Generated_Stockcode,0),10),""))</f>
        <v/>
      </c>
      <c r="O1202" s="73" t="str">
        <f>IF(ISBLANK(C1202),"",_xlfn.IFNA(INDEX(inbound_data[],MATCH(Outbound_data[[#This Row],[STOCK CODE OUT]],Generated_Stockcode,0),12),""))</f>
        <v/>
      </c>
      <c r="P1202" s="73" t="str">
        <f>IF(ISBLANK(C1202),"",_xlfn.IFNA(INDEX(inbound_data[],MATCH(Outbound_data[[#This Row],[STOCK CODE OUT]],Generated_Stockcode,0),23),""))</f>
        <v/>
      </c>
      <c r="Q1202" s="73" t="str">
        <f>IF(ISBLANK(C1202),"",_xlfn.IFNA(INDEX(inbound_data[],MATCH(Outbound_data[[#This Row],[STOCK CODE OUT]],Generated_Stockcode,0),13),""))</f>
        <v/>
      </c>
    </row>
    <row r="1203" spans="2:17" x14ac:dyDescent="0.25">
      <c r="B1203" s="71"/>
      <c r="C1203" s="65"/>
      <c r="D1203" s="55"/>
      <c r="E1203" s="65"/>
      <c r="F1203" s="166"/>
      <c r="G1203" s="167"/>
      <c r="H1203" s="166"/>
      <c r="I1203" s="72"/>
      <c r="J1203" s="55"/>
      <c r="K1203" s="72"/>
      <c r="L1203" s="55"/>
      <c r="M1203" s="174"/>
      <c r="N1203" s="73" t="str">
        <f>IF(ISBLANK(C1203),"",_xlfn.IFNA(INDEX(inbound_data[],MATCH(Outbound_data[[#This Row],[STOCK CODE OUT]],Generated_Stockcode,0),10),""))</f>
        <v/>
      </c>
      <c r="O1203" s="73" t="str">
        <f>IF(ISBLANK(C1203),"",_xlfn.IFNA(INDEX(inbound_data[],MATCH(Outbound_data[[#This Row],[STOCK CODE OUT]],Generated_Stockcode,0),12),""))</f>
        <v/>
      </c>
      <c r="P1203" s="73" t="str">
        <f>IF(ISBLANK(C1203),"",_xlfn.IFNA(INDEX(inbound_data[],MATCH(Outbound_data[[#This Row],[STOCK CODE OUT]],Generated_Stockcode,0),23),""))</f>
        <v/>
      </c>
      <c r="Q1203" s="73" t="str">
        <f>IF(ISBLANK(C1203),"",_xlfn.IFNA(INDEX(inbound_data[],MATCH(Outbound_data[[#This Row],[STOCK CODE OUT]],Generated_Stockcode,0),13),""))</f>
        <v/>
      </c>
    </row>
    <row r="1204" spans="2:17" x14ac:dyDescent="0.25">
      <c r="B1204" s="71"/>
      <c r="C1204" s="65"/>
      <c r="D1204" s="55"/>
      <c r="E1204" s="65"/>
      <c r="F1204" s="166"/>
      <c r="G1204" s="167"/>
      <c r="H1204" s="166"/>
      <c r="I1204" s="72"/>
      <c r="J1204" s="55"/>
      <c r="K1204" s="72"/>
      <c r="L1204" s="55"/>
      <c r="M1204" s="174"/>
      <c r="N1204" s="73" t="str">
        <f>IF(ISBLANK(C1204),"",_xlfn.IFNA(INDEX(inbound_data[],MATCH(Outbound_data[[#This Row],[STOCK CODE OUT]],Generated_Stockcode,0),10),""))</f>
        <v/>
      </c>
      <c r="O1204" s="73" t="str">
        <f>IF(ISBLANK(C1204),"",_xlfn.IFNA(INDEX(inbound_data[],MATCH(Outbound_data[[#This Row],[STOCK CODE OUT]],Generated_Stockcode,0),12),""))</f>
        <v/>
      </c>
      <c r="P1204" s="73" t="str">
        <f>IF(ISBLANK(C1204),"",_xlfn.IFNA(INDEX(inbound_data[],MATCH(Outbound_data[[#This Row],[STOCK CODE OUT]],Generated_Stockcode,0),23),""))</f>
        <v/>
      </c>
      <c r="Q1204" s="73" t="str">
        <f>IF(ISBLANK(C1204),"",_xlfn.IFNA(INDEX(inbound_data[],MATCH(Outbound_data[[#This Row],[STOCK CODE OUT]],Generated_Stockcode,0),13),""))</f>
        <v/>
      </c>
    </row>
    <row r="1205" spans="2:17" x14ac:dyDescent="0.25">
      <c r="B1205" s="71"/>
      <c r="C1205" s="65"/>
      <c r="D1205" s="55"/>
      <c r="E1205" s="65"/>
      <c r="F1205" s="166"/>
      <c r="G1205" s="167"/>
      <c r="H1205" s="166"/>
      <c r="I1205" s="72"/>
      <c r="J1205" s="55"/>
      <c r="K1205" s="72"/>
      <c r="L1205" s="55"/>
      <c r="M1205" s="174"/>
      <c r="N1205" s="73" t="str">
        <f>IF(ISBLANK(C1205),"",_xlfn.IFNA(INDEX(inbound_data[],MATCH(Outbound_data[[#This Row],[STOCK CODE OUT]],Generated_Stockcode,0),10),""))</f>
        <v/>
      </c>
      <c r="O1205" s="73" t="str">
        <f>IF(ISBLANK(C1205),"",_xlfn.IFNA(INDEX(inbound_data[],MATCH(Outbound_data[[#This Row],[STOCK CODE OUT]],Generated_Stockcode,0),12),""))</f>
        <v/>
      </c>
      <c r="P1205" s="73" t="str">
        <f>IF(ISBLANK(C1205),"",_xlfn.IFNA(INDEX(inbound_data[],MATCH(Outbound_data[[#This Row],[STOCK CODE OUT]],Generated_Stockcode,0),23),""))</f>
        <v/>
      </c>
      <c r="Q1205" s="73" t="str">
        <f>IF(ISBLANK(C1205),"",_xlfn.IFNA(INDEX(inbound_data[],MATCH(Outbound_data[[#This Row],[STOCK CODE OUT]],Generated_Stockcode,0),13),""))</f>
        <v/>
      </c>
    </row>
    <row r="1206" spans="2:17" x14ac:dyDescent="0.25">
      <c r="B1206" s="71"/>
      <c r="C1206" s="65"/>
      <c r="D1206" s="55"/>
      <c r="E1206" s="65"/>
      <c r="F1206" s="166"/>
      <c r="G1206" s="167"/>
      <c r="H1206" s="166"/>
      <c r="I1206" s="72"/>
      <c r="J1206" s="55"/>
      <c r="K1206" s="72"/>
      <c r="L1206" s="55"/>
      <c r="M1206" s="174"/>
      <c r="N1206" s="73" t="str">
        <f>IF(ISBLANK(C1206),"",_xlfn.IFNA(INDEX(inbound_data[],MATCH(Outbound_data[[#This Row],[STOCK CODE OUT]],Generated_Stockcode,0),10),""))</f>
        <v/>
      </c>
      <c r="O1206" s="73" t="str">
        <f>IF(ISBLANK(C1206),"",_xlfn.IFNA(INDEX(inbound_data[],MATCH(Outbound_data[[#This Row],[STOCK CODE OUT]],Generated_Stockcode,0),12),""))</f>
        <v/>
      </c>
      <c r="P1206" s="73" t="str">
        <f>IF(ISBLANK(C1206),"",_xlfn.IFNA(INDEX(inbound_data[],MATCH(Outbound_data[[#This Row],[STOCK CODE OUT]],Generated_Stockcode,0),23),""))</f>
        <v/>
      </c>
      <c r="Q1206" s="73" t="str">
        <f>IF(ISBLANK(C1206),"",_xlfn.IFNA(INDEX(inbound_data[],MATCH(Outbound_data[[#This Row],[STOCK CODE OUT]],Generated_Stockcode,0),13),""))</f>
        <v/>
      </c>
    </row>
    <row r="1207" spans="2:17" x14ac:dyDescent="0.25">
      <c r="B1207" s="71"/>
      <c r="C1207" s="65"/>
      <c r="D1207" s="55"/>
      <c r="E1207" s="65"/>
      <c r="F1207" s="166"/>
      <c r="G1207" s="167"/>
      <c r="H1207" s="166"/>
      <c r="I1207" s="72"/>
      <c r="J1207" s="55"/>
      <c r="K1207" s="72"/>
      <c r="L1207" s="55"/>
      <c r="M1207" s="174"/>
      <c r="N1207" s="73" t="str">
        <f>IF(ISBLANK(C1207),"",_xlfn.IFNA(INDEX(inbound_data[],MATCH(Outbound_data[[#This Row],[STOCK CODE OUT]],Generated_Stockcode,0),10),""))</f>
        <v/>
      </c>
      <c r="O1207" s="73" t="str">
        <f>IF(ISBLANK(C1207),"",_xlfn.IFNA(INDEX(inbound_data[],MATCH(Outbound_data[[#This Row],[STOCK CODE OUT]],Generated_Stockcode,0),12),""))</f>
        <v/>
      </c>
      <c r="P1207" s="73" t="str">
        <f>IF(ISBLANK(C1207),"",_xlfn.IFNA(INDEX(inbound_data[],MATCH(Outbound_data[[#This Row],[STOCK CODE OUT]],Generated_Stockcode,0),23),""))</f>
        <v/>
      </c>
      <c r="Q1207" s="73" t="str">
        <f>IF(ISBLANK(C1207),"",_xlfn.IFNA(INDEX(inbound_data[],MATCH(Outbound_data[[#This Row],[STOCK CODE OUT]],Generated_Stockcode,0),13),""))</f>
        <v/>
      </c>
    </row>
    <row r="1208" spans="2:17" x14ac:dyDescent="0.25">
      <c r="B1208" s="71"/>
      <c r="C1208" s="65"/>
      <c r="D1208" s="55"/>
      <c r="E1208" s="65"/>
      <c r="F1208" s="166"/>
      <c r="G1208" s="167"/>
      <c r="H1208" s="166"/>
      <c r="I1208" s="72"/>
      <c r="J1208" s="55"/>
      <c r="K1208" s="72"/>
      <c r="L1208" s="55"/>
      <c r="M1208" s="174"/>
      <c r="N1208" s="73" t="str">
        <f>IF(ISBLANK(C1208),"",_xlfn.IFNA(INDEX(inbound_data[],MATCH(Outbound_data[[#This Row],[STOCK CODE OUT]],Generated_Stockcode,0),10),""))</f>
        <v/>
      </c>
      <c r="O1208" s="73" t="str">
        <f>IF(ISBLANK(C1208),"",_xlfn.IFNA(INDEX(inbound_data[],MATCH(Outbound_data[[#This Row],[STOCK CODE OUT]],Generated_Stockcode,0),12),""))</f>
        <v/>
      </c>
      <c r="P1208" s="73" t="str">
        <f>IF(ISBLANK(C1208),"",_xlfn.IFNA(INDEX(inbound_data[],MATCH(Outbound_data[[#This Row],[STOCK CODE OUT]],Generated_Stockcode,0),23),""))</f>
        <v/>
      </c>
      <c r="Q1208" s="73" t="str">
        <f>IF(ISBLANK(C1208),"",_xlfn.IFNA(INDEX(inbound_data[],MATCH(Outbound_data[[#This Row],[STOCK CODE OUT]],Generated_Stockcode,0),13),""))</f>
        <v/>
      </c>
    </row>
    <row r="1209" spans="2:17" x14ac:dyDescent="0.25">
      <c r="B1209" s="71"/>
      <c r="C1209" s="65"/>
      <c r="D1209" s="55"/>
      <c r="E1209" s="65"/>
      <c r="F1209" s="166"/>
      <c r="G1209" s="167"/>
      <c r="H1209" s="166"/>
      <c r="I1209" s="72"/>
      <c r="J1209" s="55"/>
      <c r="K1209" s="72"/>
      <c r="L1209" s="55"/>
      <c r="M1209" s="174"/>
      <c r="N1209" s="73" t="str">
        <f>IF(ISBLANK(C1209),"",_xlfn.IFNA(INDEX(inbound_data[],MATCH(Outbound_data[[#This Row],[STOCK CODE OUT]],Generated_Stockcode,0),10),""))</f>
        <v/>
      </c>
      <c r="O1209" s="73" t="str">
        <f>IF(ISBLANK(C1209),"",_xlfn.IFNA(INDEX(inbound_data[],MATCH(Outbound_data[[#This Row],[STOCK CODE OUT]],Generated_Stockcode,0),12),""))</f>
        <v/>
      </c>
      <c r="P1209" s="73" t="str">
        <f>IF(ISBLANK(C1209),"",_xlfn.IFNA(INDEX(inbound_data[],MATCH(Outbound_data[[#This Row],[STOCK CODE OUT]],Generated_Stockcode,0),23),""))</f>
        <v/>
      </c>
      <c r="Q1209" s="73" t="str">
        <f>IF(ISBLANK(C1209),"",_xlfn.IFNA(INDEX(inbound_data[],MATCH(Outbound_data[[#This Row],[STOCK CODE OUT]],Generated_Stockcode,0),13),""))</f>
        <v/>
      </c>
    </row>
    <row r="1210" spans="2:17" x14ac:dyDescent="0.25">
      <c r="B1210" s="71"/>
      <c r="C1210" s="65"/>
      <c r="D1210" s="55"/>
      <c r="E1210" s="65"/>
      <c r="F1210" s="166"/>
      <c r="G1210" s="167"/>
      <c r="H1210" s="166"/>
      <c r="I1210" s="72"/>
      <c r="J1210" s="55"/>
      <c r="K1210" s="72"/>
      <c r="L1210" s="55"/>
      <c r="M1210" s="174"/>
      <c r="N1210" s="73" t="str">
        <f>IF(ISBLANK(C1210),"",_xlfn.IFNA(INDEX(inbound_data[],MATCH(Outbound_data[[#This Row],[STOCK CODE OUT]],Generated_Stockcode,0),10),""))</f>
        <v/>
      </c>
      <c r="O1210" s="73" t="str">
        <f>IF(ISBLANK(C1210),"",_xlfn.IFNA(INDEX(inbound_data[],MATCH(Outbound_data[[#This Row],[STOCK CODE OUT]],Generated_Stockcode,0),12),""))</f>
        <v/>
      </c>
      <c r="P1210" s="73" t="str">
        <f>IF(ISBLANK(C1210),"",_xlfn.IFNA(INDEX(inbound_data[],MATCH(Outbound_data[[#This Row],[STOCK CODE OUT]],Generated_Stockcode,0),23),""))</f>
        <v/>
      </c>
      <c r="Q1210" s="73" t="str">
        <f>IF(ISBLANK(C1210),"",_xlfn.IFNA(INDEX(inbound_data[],MATCH(Outbound_data[[#This Row],[STOCK CODE OUT]],Generated_Stockcode,0),13),""))</f>
        <v/>
      </c>
    </row>
    <row r="1211" spans="2:17" x14ac:dyDescent="0.25">
      <c r="B1211" s="71"/>
      <c r="C1211" s="65"/>
      <c r="D1211" s="55"/>
      <c r="E1211" s="65"/>
      <c r="F1211" s="166"/>
      <c r="G1211" s="167"/>
      <c r="H1211" s="166"/>
      <c r="I1211" s="72"/>
      <c r="J1211" s="55"/>
      <c r="K1211" s="72"/>
      <c r="L1211" s="55"/>
      <c r="M1211" s="174"/>
      <c r="N1211" s="73" t="str">
        <f>IF(ISBLANK(C1211),"",_xlfn.IFNA(INDEX(inbound_data[],MATCH(Outbound_data[[#This Row],[STOCK CODE OUT]],Generated_Stockcode,0),10),""))</f>
        <v/>
      </c>
      <c r="O1211" s="73" t="str">
        <f>IF(ISBLANK(C1211),"",_xlfn.IFNA(INDEX(inbound_data[],MATCH(Outbound_data[[#This Row],[STOCK CODE OUT]],Generated_Stockcode,0),12),""))</f>
        <v/>
      </c>
      <c r="P1211" s="73" t="str">
        <f>IF(ISBLANK(C1211),"",_xlfn.IFNA(INDEX(inbound_data[],MATCH(Outbound_data[[#This Row],[STOCK CODE OUT]],Generated_Stockcode,0),23),""))</f>
        <v/>
      </c>
      <c r="Q1211" s="73" t="str">
        <f>IF(ISBLANK(C1211),"",_xlfn.IFNA(INDEX(inbound_data[],MATCH(Outbound_data[[#This Row],[STOCK CODE OUT]],Generated_Stockcode,0),13),""))</f>
        <v/>
      </c>
    </row>
    <row r="1212" spans="2:17" x14ac:dyDescent="0.25">
      <c r="B1212" s="71"/>
      <c r="C1212" s="65"/>
      <c r="D1212" s="55"/>
      <c r="E1212" s="65"/>
      <c r="F1212" s="166"/>
      <c r="G1212" s="167"/>
      <c r="H1212" s="166"/>
      <c r="I1212" s="72"/>
      <c r="J1212" s="55"/>
      <c r="K1212" s="72"/>
      <c r="L1212" s="55"/>
      <c r="M1212" s="174"/>
      <c r="N1212" s="73" t="str">
        <f>IF(ISBLANK(C1212),"",_xlfn.IFNA(INDEX(inbound_data[],MATCH(Outbound_data[[#This Row],[STOCK CODE OUT]],Generated_Stockcode,0),10),""))</f>
        <v/>
      </c>
      <c r="O1212" s="73" t="str">
        <f>IF(ISBLANK(C1212),"",_xlfn.IFNA(INDEX(inbound_data[],MATCH(Outbound_data[[#This Row],[STOCK CODE OUT]],Generated_Stockcode,0),12),""))</f>
        <v/>
      </c>
      <c r="P1212" s="73" t="str">
        <f>IF(ISBLANK(C1212),"",_xlfn.IFNA(INDEX(inbound_data[],MATCH(Outbound_data[[#This Row],[STOCK CODE OUT]],Generated_Stockcode,0),23),""))</f>
        <v/>
      </c>
      <c r="Q1212" s="73" t="str">
        <f>IF(ISBLANK(C1212),"",_xlfn.IFNA(INDEX(inbound_data[],MATCH(Outbound_data[[#This Row],[STOCK CODE OUT]],Generated_Stockcode,0),13),""))</f>
        <v/>
      </c>
    </row>
    <row r="1213" spans="2:17" x14ac:dyDescent="0.25">
      <c r="B1213" s="71"/>
      <c r="C1213" s="65"/>
      <c r="D1213" s="55"/>
      <c r="E1213" s="65"/>
      <c r="F1213" s="166"/>
      <c r="G1213" s="167"/>
      <c r="H1213" s="166"/>
      <c r="I1213" s="72"/>
      <c r="J1213" s="55"/>
      <c r="K1213" s="72"/>
      <c r="L1213" s="55"/>
      <c r="M1213" s="174"/>
      <c r="N1213" s="73" t="str">
        <f>IF(ISBLANK(C1213),"",_xlfn.IFNA(INDEX(inbound_data[],MATCH(Outbound_data[[#This Row],[STOCK CODE OUT]],Generated_Stockcode,0),10),""))</f>
        <v/>
      </c>
      <c r="O1213" s="73" t="str">
        <f>IF(ISBLANK(C1213),"",_xlfn.IFNA(INDEX(inbound_data[],MATCH(Outbound_data[[#This Row],[STOCK CODE OUT]],Generated_Stockcode,0),12),""))</f>
        <v/>
      </c>
      <c r="P1213" s="73" t="str">
        <f>IF(ISBLANK(C1213),"",_xlfn.IFNA(INDEX(inbound_data[],MATCH(Outbound_data[[#This Row],[STOCK CODE OUT]],Generated_Stockcode,0),23),""))</f>
        <v/>
      </c>
      <c r="Q1213" s="73" t="str">
        <f>IF(ISBLANK(C1213),"",_xlfn.IFNA(INDEX(inbound_data[],MATCH(Outbound_data[[#This Row],[STOCK CODE OUT]],Generated_Stockcode,0),13),""))</f>
        <v/>
      </c>
    </row>
    <row r="1214" spans="2:17" x14ac:dyDescent="0.25">
      <c r="B1214" s="71"/>
      <c r="C1214" s="65"/>
      <c r="D1214" s="55"/>
      <c r="E1214" s="65"/>
      <c r="F1214" s="166"/>
      <c r="G1214" s="167"/>
      <c r="H1214" s="166"/>
      <c r="I1214" s="72"/>
      <c r="J1214" s="55"/>
      <c r="K1214" s="72"/>
      <c r="L1214" s="55"/>
      <c r="M1214" s="174"/>
      <c r="N1214" s="73" t="str">
        <f>IF(ISBLANK(C1214),"",_xlfn.IFNA(INDEX(inbound_data[],MATCH(Outbound_data[[#This Row],[STOCK CODE OUT]],Generated_Stockcode,0),10),""))</f>
        <v/>
      </c>
      <c r="O1214" s="73" t="str">
        <f>IF(ISBLANK(C1214),"",_xlfn.IFNA(INDEX(inbound_data[],MATCH(Outbound_data[[#This Row],[STOCK CODE OUT]],Generated_Stockcode,0),12),""))</f>
        <v/>
      </c>
      <c r="P1214" s="73" t="str">
        <f>IF(ISBLANK(C1214),"",_xlfn.IFNA(INDEX(inbound_data[],MATCH(Outbound_data[[#This Row],[STOCK CODE OUT]],Generated_Stockcode,0),23),""))</f>
        <v/>
      </c>
      <c r="Q1214" s="73" t="str">
        <f>IF(ISBLANK(C1214),"",_xlfn.IFNA(INDEX(inbound_data[],MATCH(Outbound_data[[#This Row],[STOCK CODE OUT]],Generated_Stockcode,0),13),""))</f>
        <v/>
      </c>
    </row>
    <row r="1215" spans="2:17" x14ac:dyDescent="0.25">
      <c r="B1215" s="71"/>
      <c r="C1215" s="65"/>
      <c r="D1215" s="55"/>
      <c r="E1215" s="65"/>
      <c r="F1215" s="166"/>
      <c r="G1215" s="167"/>
      <c r="H1215" s="166"/>
      <c r="I1215" s="72"/>
      <c r="J1215" s="55"/>
      <c r="K1215" s="72"/>
      <c r="L1215" s="55"/>
      <c r="M1215" s="174"/>
      <c r="N1215" s="73" t="str">
        <f>IF(ISBLANK(C1215),"",_xlfn.IFNA(INDEX(inbound_data[],MATCH(Outbound_data[[#This Row],[STOCK CODE OUT]],Generated_Stockcode,0),10),""))</f>
        <v/>
      </c>
      <c r="O1215" s="73" t="str">
        <f>IF(ISBLANK(C1215),"",_xlfn.IFNA(INDEX(inbound_data[],MATCH(Outbound_data[[#This Row],[STOCK CODE OUT]],Generated_Stockcode,0),12),""))</f>
        <v/>
      </c>
      <c r="P1215" s="73" t="str">
        <f>IF(ISBLANK(C1215),"",_xlfn.IFNA(INDEX(inbound_data[],MATCH(Outbound_data[[#This Row],[STOCK CODE OUT]],Generated_Stockcode,0),23),""))</f>
        <v/>
      </c>
      <c r="Q1215" s="73" t="str">
        <f>IF(ISBLANK(C1215),"",_xlfn.IFNA(INDEX(inbound_data[],MATCH(Outbound_data[[#This Row],[STOCK CODE OUT]],Generated_Stockcode,0),13),""))</f>
        <v/>
      </c>
    </row>
    <row r="1216" spans="2:17" x14ac:dyDescent="0.25">
      <c r="B1216" s="71"/>
      <c r="C1216" s="65"/>
      <c r="D1216" s="55"/>
      <c r="E1216" s="65"/>
      <c r="F1216" s="166"/>
      <c r="G1216" s="167"/>
      <c r="H1216" s="166"/>
      <c r="I1216" s="72"/>
      <c r="J1216" s="55"/>
      <c r="K1216" s="72"/>
      <c r="L1216" s="55"/>
      <c r="M1216" s="174"/>
      <c r="N1216" s="73" t="str">
        <f>IF(ISBLANK(C1216),"",_xlfn.IFNA(INDEX(inbound_data[],MATCH(Outbound_data[[#This Row],[STOCK CODE OUT]],Generated_Stockcode,0),10),""))</f>
        <v/>
      </c>
      <c r="O1216" s="73" t="str">
        <f>IF(ISBLANK(C1216),"",_xlfn.IFNA(INDEX(inbound_data[],MATCH(Outbound_data[[#This Row],[STOCK CODE OUT]],Generated_Stockcode,0),12),""))</f>
        <v/>
      </c>
      <c r="P1216" s="73" t="str">
        <f>IF(ISBLANK(C1216),"",_xlfn.IFNA(INDEX(inbound_data[],MATCH(Outbound_data[[#This Row],[STOCK CODE OUT]],Generated_Stockcode,0),23),""))</f>
        <v/>
      </c>
      <c r="Q1216" s="73" t="str">
        <f>IF(ISBLANK(C1216),"",_xlfn.IFNA(INDEX(inbound_data[],MATCH(Outbound_data[[#This Row],[STOCK CODE OUT]],Generated_Stockcode,0),13),""))</f>
        <v/>
      </c>
    </row>
    <row r="1217" spans="2:17" x14ac:dyDescent="0.25">
      <c r="B1217" s="71"/>
      <c r="C1217" s="65"/>
      <c r="D1217" s="55"/>
      <c r="E1217" s="65"/>
      <c r="F1217" s="166"/>
      <c r="G1217" s="167"/>
      <c r="H1217" s="166"/>
      <c r="I1217" s="72"/>
      <c r="J1217" s="55"/>
      <c r="K1217" s="72"/>
      <c r="L1217" s="55"/>
      <c r="M1217" s="174"/>
      <c r="N1217" s="73" t="str">
        <f>IF(ISBLANK(C1217),"",_xlfn.IFNA(INDEX(inbound_data[],MATCH(Outbound_data[[#This Row],[STOCK CODE OUT]],Generated_Stockcode,0),10),""))</f>
        <v/>
      </c>
      <c r="O1217" s="73" t="str">
        <f>IF(ISBLANK(C1217),"",_xlfn.IFNA(INDEX(inbound_data[],MATCH(Outbound_data[[#This Row],[STOCK CODE OUT]],Generated_Stockcode,0),12),""))</f>
        <v/>
      </c>
      <c r="P1217" s="73" t="str">
        <f>IF(ISBLANK(C1217),"",_xlfn.IFNA(INDEX(inbound_data[],MATCH(Outbound_data[[#This Row],[STOCK CODE OUT]],Generated_Stockcode,0),23),""))</f>
        <v/>
      </c>
      <c r="Q1217" s="73" t="str">
        <f>IF(ISBLANK(C1217),"",_xlfn.IFNA(INDEX(inbound_data[],MATCH(Outbound_data[[#This Row],[STOCK CODE OUT]],Generated_Stockcode,0),13),""))</f>
        <v/>
      </c>
    </row>
    <row r="1218" spans="2:17" x14ac:dyDescent="0.25">
      <c r="B1218" s="71"/>
      <c r="C1218" s="65"/>
      <c r="D1218" s="55"/>
      <c r="E1218" s="65"/>
      <c r="F1218" s="166"/>
      <c r="G1218" s="167"/>
      <c r="H1218" s="166"/>
      <c r="I1218" s="72"/>
      <c r="J1218" s="55"/>
      <c r="K1218" s="72"/>
      <c r="L1218" s="55"/>
      <c r="M1218" s="174"/>
      <c r="N1218" s="73" t="str">
        <f>IF(ISBLANK(C1218),"",_xlfn.IFNA(INDEX(inbound_data[],MATCH(Outbound_data[[#This Row],[STOCK CODE OUT]],Generated_Stockcode,0),10),""))</f>
        <v/>
      </c>
      <c r="O1218" s="73" t="str">
        <f>IF(ISBLANK(C1218),"",_xlfn.IFNA(INDEX(inbound_data[],MATCH(Outbound_data[[#This Row],[STOCK CODE OUT]],Generated_Stockcode,0),12),""))</f>
        <v/>
      </c>
      <c r="P1218" s="73" t="str">
        <f>IF(ISBLANK(C1218),"",_xlfn.IFNA(INDEX(inbound_data[],MATCH(Outbound_data[[#This Row],[STOCK CODE OUT]],Generated_Stockcode,0),23),""))</f>
        <v/>
      </c>
      <c r="Q1218" s="73" t="str">
        <f>IF(ISBLANK(C1218),"",_xlfn.IFNA(INDEX(inbound_data[],MATCH(Outbound_data[[#This Row],[STOCK CODE OUT]],Generated_Stockcode,0),13),""))</f>
        <v/>
      </c>
    </row>
    <row r="1219" spans="2:17" x14ac:dyDescent="0.25">
      <c r="B1219" s="71"/>
      <c r="C1219" s="65"/>
      <c r="D1219" s="55"/>
      <c r="E1219" s="65"/>
      <c r="F1219" s="166"/>
      <c r="G1219" s="167"/>
      <c r="H1219" s="166"/>
      <c r="I1219" s="72"/>
      <c r="J1219" s="55"/>
      <c r="K1219" s="72"/>
      <c r="L1219" s="55"/>
      <c r="M1219" s="174"/>
      <c r="N1219" s="73" t="str">
        <f>IF(ISBLANK(C1219),"",_xlfn.IFNA(INDEX(inbound_data[],MATCH(Outbound_data[[#This Row],[STOCK CODE OUT]],Generated_Stockcode,0),10),""))</f>
        <v/>
      </c>
      <c r="O1219" s="73" t="str">
        <f>IF(ISBLANK(C1219),"",_xlfn.IFNA(INDEX(inbound_data[],MATCH(Outbound_data[[#This Row],[STOCK CODE OUT]],Generated_Stockcode,0),12),""))</f>
        <v/>
      </c>
      <c r="P1219" s="73" t="str">
        <f>IF(ISBLANK(C1219),"",_xlfn.IFNA(INDEX(inbound_data[],MATCH(Outbound_data[[#This Row],[STOCK CODE OUT]],Generated_Stockcode,0),23),""))</f>
        <v/>
      </c>
      <c r="Q1219" s="73" t="str">
        <f>IF(ISBLANK(C1219),"",_xlfn.IFNA(INDEX(inbound_data[],MATCH(Outbound_data[[#This Row],[STOCK CODE OUT]],Generated_Stockcode,0),13),""))</f>
        <v/>
      </c>
    </row>
    <row r="1220" spans="2:17" x14ac:dyDescent="0.25">
      <c r="B1220" s="71"/>
      <c r="C1220" s="65"/>
      <c r="D1220" s="55"/>
      <c r="E1220" s="65"/>
      <c r="F1220" s="166"/>
      <c r="G1220" s="167"/>
      <c r="H1220" s="166"/>
      <c r="I1220" s="72"/>
      <c r="J1220" s="55"/>
      <c r="K1220" s="72"/>
      <c r="L1220" s="55"/>
      <c r="M1220" s="174"/>
      <c r="N1220" s="73" t="str">
        <f>IF(ISBLANK(C1220),"",_xlfn.IFNA(INDEX(inbound_data[],MATCH(Outbound_data[[#This Row],[STOCK CODE OUT]],Generated_Stockcode,0),10),""))</f>
        <v/>
      </c>
      <c r="O1220" s="73" t="str">
        <f>IF(ISBLANK(C1220),"",_xlfn.IFNA(INDEX(inbound_data[],MATCH(Outbound_data[[#This Row],[STOCK CODE OUT]],Generated_Stockcode,0),12),""))</f>
        <v/>
      </c>
      <c r="P1220" s="73" t="str">
        <f>IF(ISBLANK(C1220),"",_xlfn.IFNA(INDEX(inbound_data[],MATCH(Outbound_data[[#This Row],[STOCK CODE OUT]],Generated_Stockcode,0),23),""))</f>
        <v/>
      </c>
      <c r="Q1220" s="73" t="str">
        <f>IF(ISBLANK(C1220),"",_xlfn.IFNA(INDEX(inbound_data[],MATCH(Outbound_data[[#This Row],[STOCK CODE OUT]],Generated_Stockcode,0),13),""))</f>
        <v/>
      </c>
    </row>
    <row r="1221" spans="2:17" x14ac:dyDescent="0.25">
      <c r="B1221" s="71"/>
      <c r="C1221" s="65"/>
      <c r="D1221" s="55"/>
      <c r="E1221" s="65"/>
      <c r="F1221" s="166"/>
      <c r="G1221" s="167"/>
      <c r="H1221" s="166"/>
      <c r="I1221" s="72"/>
      <c r="J1221" s="55"/>
      <c r="K1221" s="72"/>
      <c r="L1221" s="55"/>
      <c r="M1221" s="174"/>
      <c r="N1221" s="73" t="str">
        <f>IF(ISBLANK(C1221),"",_xlfn.IFNA(INDEX(inbound_data[],MATCH(Outbound_data[[#This Row],[STOCK CODE OUT]],Generated_Stockcode,0),10),""))</f>
        <v/>
      </c>
      <c r="O1221" s="73" t="str">
        <f>IF(ISBLANK(C1221),"",_xlfn.IFNA(INDEX(inbound_data[],MATCH(Outbound_data[[#This Row],[STOCK CODE OUT]],Generated_Stockcode,0),12),""))</f>
        <v/>
      </c>
      <c r="P1221" s="73" t="str">
        <f>IF(ISBLANK(C1221),"",_xlfn.IFNA(INDEX(inbound_data[],MATCH(Outbound_data[[#This Row],[STOCK CODE OUT]],Generated_Stockcode,0),23),""))</f>
        <v/>
      </c>
      <c r="Q1221" s="73" t="str">
        <f>IF(ISBLANK(C1221),"",_xlfn.IFNA(INDEX(inbound_data[],MATCH(Outbound_data[[#This Row],[STOCK CODE OUT]],Generated_Stockcode,0),13),""))</f>
        <v/>
      </c>
    </row>
    <row r="1222" spans="2:17" x14ac:dyDescent="0.25">
      <c r="B1222" s="71"/>
      <c r="C1222" s="65"/>
      <c r="D1222" s="55"/>
      <c r="E1222" s="65"/>
      <c r="F1222" s="166"/>
      <c r="G1222" s="167"/>
      <c r="H1222" s="166"/>
      <c r="I1222" s="72"/>
      <c r="J1222" s="55"/>
      <c r="K1222" s="72"/>
      <c r="L1222" s="55"/>
      <c r="M1222" s="174"/>
      <c r="N1222" s="73" t="str">
        <f>IF(ISBLANK(C1222),"",_xlfn.IFNA(INDEX(inbound_data[],MATCH(Outbound_data[[#This Row],[STOCK CODE OUT]],Generated_Stockcode,0),10),""))</f>
        <v/>
      </c>
      <c r="O1222" s="73" t="str">
        <f>IF(ISBLANK(C1222),"",_xlfn.IFNA(INDEX(inbound_data[],MATCH(Outbound_data[[#This Row],[STOCK CODE OUT]],Generated_Stockcode,0),12),""))</f>
        <v/>
      </c>
      <c r="P1222" s="73" t="str">
        <f>IF(ISBLANK(C1222),"",_xlfn.IFNA(INDEX(inbound_data[],MATCH(Outbound_data[[#This Row],[STOCK CODE OUT]],Generated_Stockcode,0),23),""))</f>
        <v/>
      </c>
      <c r="Q1222" s="73" t="str">
        <f>IF(ISBLANK(C1222),"",_xlfn.IFNA(INDEX(inbound_data[],MATCH(Outbound_data[[#This Row],[STOCK CODE OUT]],Generated_Stockcode,0),13),""))</f>
        <v/>
      </c>
    </row>
    <row r="1223" spans="2:17" x14ac:dyDescent="0.25">
      <c r="B1223" s="71"/>
      <c r="C1223" s="65"/>
      <c r="D1223" s="55"/>
      <c r="E1223" s="65"/>
      <c r="F1223" s="166"/>
      <c r="G1223" s="167"/>
      <c r="H1223" s="166"/>
      <c r="I1223" s="72"/>
      <c r="J1223" s="55"/>
      <c r="K1223" s="72"/>
      <c r="L1223" s="55"/>
      <c r="M1223" s="174"/>
      <c r="N1223" s="73" t="str">
        <f>IF(ISBLANK(C1223),"",_xlfn.IFNA(INDEX(inbound_data[],MATCH(Outbound_data[[#This Row],[STOCK CODE OUT]],Generated_Stockcode,0),10),""))</f>
        <v/>
      </c>
      <c r="O1223" s="73" t="str">
        <f>IF(ISBLANK(C1223),"",_xlfn.IFNA(INDEX(inbound_data[],MATCH(Outbound_data[[#This Row],[STOCK CODE OUT]],Generated_Stockcode,0),12),""))</f>
        <v/>
      </c>
      <c r="P1223" s="73" t="str">
        <f>IF(ISBLANK(C1223),"",_xlfn.IFNA(INDEX(inbound_data[],MATCH(Outbound_data[[#This Row],[STOCK CODE OUT]],Generated_Stockcode,0),23),""))</f>
        <v/>
      </c>
      <c r="Q1223" s="73" t="str">
        <f>IF(ISBLANK(C1223),"",_xlfn.IFNA(INDEX(inbound_data[],MATCH(Outbound_data[[#This Row],[STOCK CODE OUT]],Generated_Stockcode,0),13),""))</f>
        <v/>
      </c>
    </row>
    <row r="1224" spans="2:17" x14ac:dyDescent="0.25">
      <c r="B1224" s="71"/>
      <c r="C1224" s="65"/>
      <c r="D1224" s="55"/>
      <c r="E1224" s="65"/>
      <c r="F1224" s="166"/>
      <c r="G1224" s="167"/>
      <c r="H1224" s="166"/>
      <c r="I1224" s="72"/>
      <c r="J1224" s="55"/>
      <c r="K1224" s="72"/>
      <c r="L1224" s="55"/>
      <c r="M1224" s="174"/>
      <c r="N1224" s="73" t="str">
        <f>IF(ISBLANK(C1224),"",_xlfn.IFNA(INDEX(inbound_data[],MATCH(Outbound_data[[#This Row],[STOCK CODE OUT]],Generated_Stockcode,0),10),""))</f>
        <v/>
      </c>
      <c r="O1224" s="73" t="str">
        <f>IF(ISBLANK(C1224),"",_xlfn.IFNA(INDEX(inbound_data[],MATCH(Outbound_data[[#This Row],[STOCK CODE OUT]],Generated_Stockcode,0),12),""))</f>
        <v/>
      </c>
      <c r="P1224" s="73" t="str">
        <f>IF(ISBLANK(C1224),"",_xlfn.IFNA(INDEX(inbound_data[],MATCH(Outbound_data[[#This Row],[STOCK CODE OUT]],Generated_Stockcode,0),23),""))</f>
        <v/>
      </c>
      <c r="Q1224" s="73" t="str">
        <f>IF(ISBLANK(C1224),"",_xlfn.IFNA(INDEX(inbound_data[],MATCH(Outbound_data[[#This Row],[STOCK CODE OUT]],Generated_Stockcode,0),13),""))</f>
        <v/>
      </c>
    </row>
    <row r="1225" spans="2:17" x14ac:dyDescent="0.25">
      <c r="B1225" s="71"/>
      <c r="C1225" s="65"/>
      <c r="D1225" s="55"/>
      <c r="E1225" s="65"/>
      <c r="F1225" s="166"/>
      <c r="G1225" s="167"/>
      <c r="H1225" s="166"/>
      <c r="I1225" s="72"/>
      <c r="J1225" s="55"/>
      <c r="K1225" s="72"/>
      <c r="L1225" s="55"/>
      <c r="M1225" s="174"/>
      <c r="N1225" s="73" t="str">
        <f>IF(ISBLANK(C1225),"",_xlfn.IFNA(INDEX(inbound_data[],MATCH(Outbound_data[[#This Row],[STOCK CODE OUT]],Generated_Stockcode,0),10),""))</f>
        <v/>
      </c>
      <c r="O1225" s="73" t="str">
        <f>IF(ISBLANK(C1225),"",_xlfn.IFNA(INDEX(inbound_data[],MATCH(Outbound_data[[#This Row],[STOCK CODE OUT]],Generated_Stockcode,0),12),""))</f>
        <v/>
      </c>
      <c r="P1225" s="73" t="str">
        <f>IF(ISBLANK(C1225),"",_xlfn.IFNA(INDEX(inbound_data[],MATCH(Outbound_data[[#This Row],[STOCK CODE OUT]],Generated_Stockcode,0),23),""))</f>
        <v/>
      </c>
      <c r="Q1225" s="73" t="str">
        <f>IF(ISBLANK(C1225),"",_xlfn.IFNA(INDEX(inbound_data[],MATCH(Outbound_data[[#This Row],[STOCK CODE OUT]],Generated_Stockcode,0),13),""))</f>
        <v/>
      </c>
    </row>
    <row r="1226" spans="2:17" x14ac:dyDescent="0.25">
      <c r="B1226" s="71"/>
      <c r="C1226" s="65"/>
      <c r="D1226" s="55"/>
      <c r="E1226" s="65"/>
      <c r="F1226" s="166"/>
      <c r="G1226" s="167"/>
      <c r="H1226" s="166"/>
      <c r="I1226" s="72"/>
      <c r="J1226" s="55"/>
      <c r="K1226" s="72"/>
      <c r="L1226" s="55"/>
      <c r="M1226" s="174"/>
      <c r="N1226" s="73" t="str">
        <f>IF(ISBLANK(C1226),"",_xlfn.IFNA(INDEX(inbound_data[],MATCH(Outbound_data[[#This Row],[STOCK CODE OUT]],Generated_Stockcode,0),10),""))</f>
        <v/>
      </c>
      <c r="O1226" s="73" t="str">
        <f>IF(ISBLANK(C1226),"",_xlfn.IFNA(INDEX(inbound_data[],MATCH(Outbound_data[[#This Row],[STOCK CODE OUT]],Generated_Stockcode,0),12),""))</f>
        <v/>
      </c>
      <c r="P1226" s="73" t="str">
        <f>IF(ISBLANK(C1226),"",_xlfn.IFNA(INDEX(inbound_data[],MATCH(Outbound_data[[#This Row],[STOCK CODE OUT]],Generated_Stockcode,0),23),""))</f>
        <v/>
      </c>
      <c r="Q1226" s="73" t="str">
        <f>IF(ISBLANK(C1226),"",_xlfn.IFNA(INDEX(inbound_data[],MATCH(Outbound_data[[#This Row],[STOCK CODE OUT]],Generated_Stockcode,0),13),""))</f>
        <v/>
      </c>
    </row>
    <row r="1227" spans="2:17" x14ac:dyDescent="0.25">
      <c r="B1227" s="71"/>
      <c r="C1227" s="65"/>
      <c r="D1227" s="55"/>
      <c r="E1227" s="65"/>
      <c r="F1227" s="166"/>
      <c r="G1227" s="167"/>
      <c r="H1227" s="166"/>
      <c r="I1227" s="72"/>
      <c r="J1227" s="55"/>
      <c r="K1227" s="72"/>
      <c r="L1227" s="55"/>
      <c r="M1227" s="174"/>
      <c r="N1227" s="73" t="str">
        <f>IF(ISBLANK(C1227),"",_xlfn.IFNA(INDEX(inbound_data[],MATCH(Outbound_data[[#This Row],[STOCK CODE OUT]],Generated_Stockcode,0),10),""))</f>
        <v/>
      </c>
      <c r="O1227" s="73" t="str">
        <f>IF(ISBLANK(C1227),"",_xlfn.IFNA(INDEX(inbound_data[],MATCH(Outbound_data[[#This Row],[STOCK CODE OUT]],Generated_Stockcode,0),12),""))</f>
        <v/>
      </c>
      <c r="P1227" s="73" t="str">
        <f>IF(ISBLANK(C1227),"",_xlfn.IFNA(INDEX(inbound_data[],MATCH(Outbound_data[[#This Row],[STOCK CODE OUT]],Generated_Stockcode,0),23),""))</f>
        <v/>
      </c>
      <c r="Q1227" s="73" t="str">
        <f>IF(ISBLANK(C1227),"",_xlfn.IFNA(INDEX(inbound_data[],MATCH(Outbound_data[[#This Row],[STOCK CODE OUT]],Generated_Stockcode,0),13),""))</f>
        <v/>
      </c>
    </row>
    <row r="1228" spans="2:17" x14ac:dyDescent="0.25">
      <c r="B1228" s="71"/>
      <c r="C1228" s="65"/>
      <c r="D1228" s="55"/>
      <c r="E1228" s="65"/>
      <c r="F1228" s="166"/>
      <c r="G1228" s="167"/>
      <c r="H1228" s="166"/>
      <c r="I1228" s="72"/>
      <c r="J1228" s="55"/>
      <c r="K1228" s="72"/>
      <c r="L1228" s="55"/>
      <c r="M1228" s="174"/>
      <c r="N1228" s="73" t="str">
        <f>IF(ISBLANK(C1228),"",_xlfn.IFNA(INDEX(inbound_data[],MATCH(Outbound_data[[#This Row],[STOCK CODE OUT]],Generated_Stockcode,0),10),""))</f>
        <v/>
      </c>
      <c r="O1228" s="73" t="str">
        <f>IF(ISBLANK(C1228),"",_xlfn.IFNA(INDEX(inbound_data[],MATCH(Outbound_data[[#This Row],[STOCK CODE OUT]],Generated_Stockcode,0),12),""))</f>
        <v/>
      </c>
      <c r="P1228" s="73" t="str">
        <f>IF(ISBLANK(C1228),"",_xlfn.IFNA(INDEX(inbound_data[],MATCH(Outbound_data[[#This Row],[STOCK CODE OUT]],Generated_Stockcode,0),23),""))</f>
        <v/>
      </c>
      <c r="Q1228" s="73" t="str">
        <f>IF(ISBLANK(C1228),"",_xlfn.IFNA(INDEX(inbound_data[],MATCH(Outbound_data[[#This Row],[STOCK CODE OUT]],Generated_Stockcode,0),13),""))</f>
        <v/>
      </c>
    </row>
    <row r="1229" spans="2:17" x14ac:dyDescent="0.25">
      <c r="B1229" s="71"/>
      <c r="C1229" s="65"/>
      <c r="D1229" s="55"/>
      <c r="E1229" s="65"/>
      <c r="F1229" s="166"/>
      <c r="G1229" s="167"/>
      <c r="H1229" s="166"/>
      <c r="I1229" s="72"/>
      <c r="J1229" s="55"/>
      <c r="K1229" s="72"/>
      <c r="L1229" s="55"/>
      <c r="M1229" s="174"/>
      <c r="N1229" s="73" t="str">
        <f>IF(ISBLANK(C1229),"",_xlfn.IFNA(INDEX(inbound_data[],MATCH(Outbound_data[[#This Row],[STOCK CODE OUT]],Generated_Stockcode,0),10),""))</f>
        <v/>
      </c>
      <c r="O1229" s="73" t="str">
        <f>IF(ISBLANK(C1229),"",_xlfn.IFNA(INDEX(inbound_data[],MATCH(Outbound_data[[#This Row],[STOCK CODE OUT]],Generated_Stockcode,0),12),""))</f>
        <v/>
      </c>
      <c r="P1229" s="73" t="str">
        <f>IF(ISBLANK(C1229),"",_xlfn.IFNA(INDEX(inbound_data[],MATCH(Outbound_data[[#This Row],[STOCK CODE OUT]],Generated_Stockcode,0),23),""))</f>
        <v/>
      </c>
      <c r="Q1229" s="73" t="str">
        <f>IF(ISBLANK(C1229),"",_xlfn.IFNA(INDEX(inbound_data[],MATCH(Outbound_data[[#This Row],[STOCK CODE OUT]],Generated_Stockcode,0),13),""))</f>
        <v/>
      </c>
    </row>
    <row r="1230" spans="2:17" x14ac:dyDescent="0.25">
      <c r="B1230" s="71"/>
      <c r="C1230" s="65"/>
      <c r="D1230" s="55"/>
      <c r="E1230" s="65"/>
      <c r="F1230" s="166"/>
      <c r="G1230" s="167"/>
      <c r="H1230" s="166"/>
      <c r="I1230" s="72"/>
      <c r="J1230" s="55"/>
      <c r="K1230" s="72"/>
      <c r="L1230" s="55"/>
      <c r="M1230" s="174"/>
      <c r="N1230" s="73" t="str">
        <f>IF(ISBLANK(C1230),"",_xlfn.IFNA(INDEX(inbound_data[],MATCH(Outbound_data[[#This Row],[STOCK CODE OUT]],Generated_Stockcode,0),10),""))</f>
        <v/>
      </c>
      <c r="O1230" s="73" t="str">
        <f>IF(ISBLANK(C1230),"",_xlfn.IFNA(INDEX(inbound_data[],MATCH(Outbound_data[[#This Row],[STOCK CODE OUT]],Generated_Stockcode,0),12),""))</f>
        <v/>
      </c>
      <c r="P1230" s="73" t="str">
        <f>IF(ISBLANK(C1230),"",_xlfn.IFNA(INDEX(inbound_data[],MATCH(Outbound_data[[#This Row],[STOCK CODE OUT]],Generated_Stockcode,0),23),""))</f>
        <v/>
      </c>
      <c r="Q1230" s="73" t="str">
        <f>IF(ISBLANK(C1230),"",_xlfn.IFNA(INDEX(inbound_data[],MATCH(Outbound_data[[#This Row],[STOCK CODE OUT]],Generated_Stockcode,0),13),""))</f>
        <v/>
      </c>
    </row>
    <row r="1231" spans="2:17" x14ac:dyDescent="0.25">
      <c r="B1231" s="71"/>
      <c r="C1231" s="65"/>
      <c r="D1231" s="55"/>
      <c r="E1231" s="65"/>
      <c r="F1231" s="166"/>
      <c r="G1231" s="167"/>
      <c r="H1231" s="166"/>
      <c r="I1231" s="72"/>
      <c r="J1231" s="55"/>
      <c r="K1231" s="72"/>
      <c r="L1231" s="55"/>
      <c r="M1231" s="174"/>
      <c r="N1231" s="73" t="str">
        <f>IF(ISBLANK(C1231),"",_xlfn.IFNA(INDEX(inbound_data[],MATCH(Outbound_data[[#This Row],[STOCK CODE OUT]],Generated_Stockcode,0),10),""))</f>
        <v/>
      </c>
      <c r="O1231" s="73" t="str">
        <f>IF(ISBLANK(C1231),"",_xlfn.IFNA(INDEX(inbound_data[],MATCH(Outbound_data[[#This Row],[STOCK CODE OUT]],Generated_Stockcode,0),12),""))</f>
        <v/>
      </c>
      <c r="P1231" s="73" t="str">
        <f>IF(ISBLANK(C1231),"",_xlfn.IFNA(INDEX(inbound_data[],MATCH(Outbound_data[[#This Row],[STOCK CODE OUT]],Generated_Stockcode,0),23),""))</f>
        <v/>
      </c>
      <c r="Q1231" s="73" t="str">
        <f>IF(ISBLANK(C1231),"",_xlfn.IFNA(INDEX(inbound_data[],MATCH(Outbound_data[[#This Row],[STOCK CODE OUT]],Generated_Stockcode,0),13),""))</f>
        <v/>
      </c>
    </row>
    <row r="1232" spans="2:17" x14ac:dyDescent="0.25">
      <c r="B1232" s="71"/>
      <c r="C1232" s="65"/>
      <c r="D1232" s="55"/>
      <c r="E1232" s="65"/>
      <c r="F1232" s="166"/>
      <c r="G1232" s="167"/>
      <c r="H1232" s="166"/>
      <c r="I1232" s="72"/>
      <c r="J1232" s="55"/>
      <c r="K1232" s="72"/>
      <c r="L1232" s="55"/>
      <c r="M1232" s="174"/>
      <c r="N1232" s="73" t="str">
        <f>IF(ISBLANK(C1232),"",_xlfn.IFNA(INDEX(inbound_data[],MATCH(Outbound_data[[#This Row],[STOCK CODE OUT]],Generated_Stockcode,0),10),""))</f>
        <v/>
      </c>
      <c r="O1232" s="73" t="str">
        <f>IF(ISBLANK(C1232),"",_xlfn.IFNA(INDEX(inbound_data[],MATCH(Outbound_data[[#This Row],[STOCK CODE OUT]],Generated_Stockcode,0),12),""))</f>
        <v/>
      </c>
      <c r="P1232" s="73" t="str">
        <f>IF(ISBLANK(C1232),"",_xlfn.IFNA(INDEX(inbound_data[],MATCH(Outbound_data[[#This Row],[STOCK CODE OUT]],Generated_Stockcode,0),23),""))</f>
        <v/>
      </c>
      <c r="Q1232" s="73" t="str">
        <f>IF(ISBLANK(C1232),"",_xlfn.IFNA(INDEX(inbound_data[],MATCH(Outbound_data[[#This Row],[STOCK CODE OUT]],Generated_Stockcode,0),13),""))</f>
        <v/>
      </c>
    </row>
    <row r="1233" spans="2:17" x14ac:dyDescent="0.25">
      <c r="B1233" s="71"/>
      <c r="C1233" s="65"/>
      <c r="D1233" s="55"/>
      <c r="E1233" s="65"/>
      <c r="F1233" s="166"/>
      <c r="G1233" s="167"/>
      <c r="H1233" s="166"/>
      <c r="I1233" s="72"/>
      <c r="J1233" s="55"/>
      <c r="K1233" s="72"/>
      <c r="L1233" s="55"/>
      <c r="M1233" s="174"/>
      <c r="N1233" s="73" t="str">
        <f>IF(ISBLANK(C1233),"",_xlfn.IFNA(INDEX(inbound_data[],MATCH(Outbound_data[[#This Row],[STOCK CODE OUT]],Generated_Stockcode,0),10),""))</f>
        <v/>
      </c>
      <c r="O1233" s="73" t="str">
        <f>IF(ISBLANK(C1233),"",_xlfn.IFNA(INDEX(inbound_data[],MATCH(Outbound_data[[#This Row],[STOCK CODE OUT]],Generated_Stockcode,0),12),""))</f>
        <v/>
      </c>
      <c r="P1233" s="73" t="str">
        <f>IF(ISBLANK(C1233),"",_xlfn.IFNA(INDEX(inbound_data[],MATCH(Outbound_data[[#This Row],[STOCK CODE OUT]],Generated_Stockcode,0),23),""))</f>
        <v/>
      </c>
      <c r="Q1233" s="73" t="str">
        <f>IF(ISBLANK(C1233),"",_xlfn.IFNA(INDEX(inbound_data[],MATCH(Outbound_data[[#This Row],[STOCK CODE OUT]],Generated_Stockcode,0),13),""))</f>
        <v/>
      </c>
    </row>
    <row r="1234" spans="2:17" x14ac:dyDescent="0.25">
      <c r="B1234" s="71"/>
      <c r="C1234" s="65"/>
      <c r="D1234" s="55"/>
      <c r="E1234" s="65"/>
      <c r="F1234" s="166"/>
      <c r="G1234" s="167"/>
      <c r="H1234" s="166"/>
      <c r="I1234" s="72"/>
      <c r="J1234" s="55"/>
      <c r="K1234" s="72"/>
      <c r="L1234" s="55"/>
      <c r="M1234" s="174"/>
      <c r="N1234" s="73" t="str">
        <f>IF(ISBLANK(C1234),"",_xlfn.IFNA(INDEX(inbound_data[],MATCH(Outbound_data[[#This Row],[STOCK CODE OUT]],Generated_Stockcode,0),10),""))</f>
        <v/>
      </c>
      <c r="O1234" s="73" t="str">
        <f>IF(ISBLANK(C1234),"",_xlfn.IFNA(INDEX(inbound_data[],MATCH(Outbound_data[[#This Row],[STOCK CODE OUT]],Generated_Stockcode,0),12),""))</f>
        <v/>
      </c>
      <c r="P1234" s="73" t="str">
        <f>IF(ISBLANK(C1234),"",_xlfn.IFNA(INDEX(inbound_data[],MATCH(Outbound_data[[#This Row],[STOCK CODE OUT]],Generated_Stockcode,0),23),""))</f>
        <v/>
      </c>
      <c r="Q1234" s="73" t="str">
        <f>IF(ISBLANK(C1234),"",_xlfn.IFNA(INDEX(inbound_data[],MATCH(Outbound_data[[#This Row],[STOCK CODE OUT]],Generated_Stockcode,0),13),""))</f>
        <v/>
      </c>
    </row>
    <row r="1235" spans="2:17" x14ac:dyDescent="0.25">
      <c r="B1235" s="71"/>
      <c r="C1235" s="65"/>
      <c r="D1235" s="55"/>
      <c r="E1235" s="65"/>
      <c r="F1235" s="166"/>
      <c r="G1235" s="167"/>
      <c r="H1235" s="166"/>
      <c r="I1235" s="72"/>
      <c r="J1235" s="55"/>
      <c r="K1235" s="72"/>
      <c r="L1235" s="55"/>
      <c r="M1235" s="174"/>
      <c r="N1235" s="73" t="str">
        <f>IF(ISBLANK(C1235),"",_xlfn.IFNA(INDEX(inbound_data[],MATCH(Outbound_data[[#This Row],[STOCK CODE OUT]],Generated_Stockcode,0),10),""))</f>
        <v/>
      </c>
      <c r="O1235" s="73" t="str">
        <f>IF(ISBLANK(C1235),"",_xlfn.IFNA(INDEX(inbound_data[],MATCH(Outbound_data[[#This Row],[STOCK CODE OUT]],Generated_Stockcode,0),12),""))</f>
        <v/>
      </c>
      <c r="P1235" s="73" t="str">
        <f>IF(ISBLANK(C1235),"",_xlfn.IFNA(INDEX(inbound_data[],MATCH(Outbound_data[[#This Row],[STOCK CODE OUT]],Generated_Stockcode,0),23),""))</f>
        <v/>
      </c>
      <c r="Q1235" s="73" t="str">
        <f>IF(ISBLANK(C1235),"",_xlfn.IFNA(INDEX(inbound_data[],MATCH(Outbound_data[[#This Row],[STOCK CODE OUT]],Generated_Stockcode,0),13),""))</f>
        <v/>
      </c>
    </row>
    <row r="1236" spans="2:17" x14ac:dyDescent="0.25">
      <c r="B1236" s="71"/>
      <c r="C1236" s="65"/>
      <c r="D1236" s="55"/>
      <c r="E1236" s="65"/>
      <c r="F1236" s="166"/>
      <c r="G1236" s="167"/>
      <c r="H1236" s="166"/>
      <c r="I1236" s="72"/>
      <c r="J1236" s="55"/>
      <c r="K1236" s="72"/>
      <c r="L1236" s="55"/>
      <c r="M1236" s="174"/>
      <c r="N1236" s="73" t="str">
        <f>IF(ISBLANK(C1236),"",_xlfn.IFNA(INDEX(inbound_data[],MATCH(Outbound_data[[#This Row],[STOCK CODE OUT]],Generated_Stockcode,0),10),""))</f>
        <v/>
      </c>
      <c r="O1236" s="73" t="str">
        <f>IF(ISBLANK(C1236),"",_xlfn.IFNA(INDEX(inbound_data[],MATCH(Outbound_data[[#This Row],[STOCK CODE OUT]],Generated_Stockcode,0),12),""))</f>
        <v/>
      </c>
      <c r="P1236" s="73" t="str">
        <f>IF(ISBLANK(C1236),"",_xlfn.IFNA(INDEX(inbound_data[],MATCH(Outbound_data[[#This Row],[STOCK CODE OUT]],Generated_Stockcode,0),23),""))</f>
        <v/>
      </c>
      <c r="Q1236" s="73" t="str">
        <f>IF(ISBLANK(C1236),"",_xlfn.IFNA(INDEX(inbound_data[],MATCH(Outbound_data[[#This Row],[STOCK CODE OUT]],Generated_Stockcode,0),13),""))</f>
        <v/>
      </c>
    </row>
    <row r="1237" spans="2:17" x14ac:dyDescent="0.25">
      <c r="B1237" s="71"/>
      <c r="C1237" s="65"/>
      <c r="D1237" s="55"/>
      <c r="E1237" s="65"/>
      <c r="F1237" s="166"/>
      <c r="G1237" s="167"/>
      <c r="H1237" s="166"/>
      <c r="I1237" s="72"/>
      <c r="J1237" s="55"/>
      <c r="K1237" s="72"/>
      <c r="L1237" s="55"/>
      <c r="M1237" s="174"/>
      <c r="N1237" s="73" t="str">
        <f>IF(ISBLANK(C1237),"",_xlfn.IFNA(INDEX(inbound_data[],MATCH(Outbound_data[[#This Row],[STOCK CODE OUT]],Generated_Stockcode,0),10),""))</f>
        <v/>
      </c>
      <c r="O1237" s="73" t="str">
        <f>IF(ISBLANK(C1237),"",_xlfn.IFNA(INDEX(inbound_data[],MATCH(Outbound_data[[#This Row],[STOCK CODE OUT]],Generated_Stockcode,0),12),""))</f>
        <v/>
      </c>
      <c r="P1237" s="73" t="str">
        <f>IF(ISBLANK(C1237),"",_xlfn.IFNA(INDEX(inbound_data[],MATCH(Outbound_data[[#This Row],[STOCK CODE OUT]],Generated_Stockcode,0),23),""))</f>
        <v/>
      </c>
      <c r="Q1237" s="73" t="str">
        <f>IF(ISBLANK(C1237),"",_xlfn.IFNA(INDEX(inbound_data[],MATCH(Outbound_data[[#This Row],[STOCK CODE OUT]],Generated_Stockcode,0),13),""))</f>
        <v/>
      </c>
    </row>
    <row r="1238" spans="2:17" x14ac:dyDescent="0.25">
      <c r="B1238" s="71"/>
      <c r="C1238" s="65"/>
      <c r="D1238" s="55"/>
      <c r="E1238" s="65"/>
      <c r="F1238" s="166"/>
      <c r="G1238" s="167"/>
      <c r="H1238" s="166"/>
      <c r="I1238" s="72"/>
      <c r="J1238" s="55"/>
      <c r="K1238" s="72"/>
      <c r="L1238" s="55"/>
      <c r="M1238" s="174"/>
      <c r="N1238" s="73" t="str">
        <f>IF(ISBLANK(C1238),"",_xlfn.IFNA(INDEX(inbound_data[],MATCH(Outbound_data[[#This Row],[STOCK CODE OUT]],Generated_Stockcode,0),10),""))</f>
        <v/>
      </c>
      <c r="O1238" s="73" t="str">
        <f>IF(ISBLANK(C1238),"",_xlfn.IFNA(INDEX(inbound_data[],MATCH(Outbound_data[[#This Row],[STOCK CODE OUT]],Generated_Stockcode,0),12),""))</f>
        <v/>
      </c>
      <c r="P1238" s="73" t="str">
        <f>IF(ISBLANK(C1238),"",_xlfn.IFNA(INDEX(inbound_data[],MATCH(Outbound_data[[#This Row],[STOCK CODE OUT]],Generated_Stockcode,0),23),""))</f>
        <v/>
      </c>
      <c r="Q1238" s="73" t="str">
        <f>IF(ISBLANK(C1238),"",_xlfn.IFNA(INDEX(inbound_data[],MATCH(Outbound_data[[#This Row],[STOCK CODE OUT]],Generated_Stockcode,0),13),""))</f>
        <v/>
      </c>
    </row>
    <row r="1239" spans="2:17" x14ac:dyDescent="0.25">
      <c r="B1239" s="71"/>
      <c r="C1239" s="65"/>
      <c r="D1239" s="55"/>
      <c r="E1239" s="65"/>
      <c r="F1239" s="166"/>
      <c r="G1239" s="167"/>
      <c r="H1239" s="166"/>
      <c r="I1239" s="72"/>
      <c r="J1239" s="55"/>
      <c r="K1239" s="72"/>
      <c r="L1239" s="55"/>
      <c r="M1239" s="174"/>
      <c r="N1239" s="73" t="str">
        <f>IF(ISBLANK(C1239),"",_xlfn.IFNA(INDEX(inbound_data[],MATCH(Outbound_data[[#This Row],[STOCK CODE OUT]],Generated_Stockcode,0),10),""))</f>
        <v/>
      </c>
      <c r="O1239" s="73" t="str">
        <f>IF(ISBLANK(C1239),"",_xlfn.IFNA(INDEX(inbound_data[],MATCH(Outbound_data[[#This Row],[STOCK CODE OUT]],Generated_Stockcode,0),12),""))</f>
        <v/>
      </c>
      <c r="P1239" s="73" t="str">
        <f>IF(ISBLANK(C1239),"",_xlfn.IFNA(INDEX(inbound_data[],MATCH(Outbound_data[[#This Row],[STOCK CODE OUT]],Generated_Stockcode,0),23),""))</f>
        <v/>
      </c>
      <c r="Q1239" s="73" t="str">
        <f>IF(ISBLANK(C1239),"",_xlfn.IFNA(INDEX(inbound_data[],MATCH(Outbound_data[[#This Row],[STOCK CODE OUT]],Generated_Stockcode,0),13),""))</f>
        <v/>
      </c>
    </row>
    <row r="1240" spans="2:17" x14ac:dyDescent="0.25">
      <c r="B1240" s="71"/>
      <c r="C1240" s="65"/>
      <c r="D1240" s="55"/>
      <c r="E1240" s="65"/>
      <c r="F1240" s="166"/>
      <c r="G1240" s="167"/>
      <c r="H1240" s="166"/>
      <c r="I1240" s="72"/>
      <c r="J1240" s="55"/>
      <c r="K1240" s="72"/>
      <c r="L1240" s="55"/>
      <c r="M1240" s="174"/>
      <c r="N1240" s="73" t="str">
        <f>IF(ISBLANK(C1240),"",_xlfn.IFNA(INDEX(inbound_data[],MATCH(Outbound_data[[#This Row],[STOCK CODE OUT]],Generated_Stockcode,0),10),""))</f>
        <v/>
      </c>
      <c r="O1240" s="73" t="str">
        <f>IF(ISBLANK(C1240),"",_xlfn.IFNA(INDEX(inbound_data[],MATCH(Outbound_data[[#This Row],[STOCK CODE OUT]],Generated_Stockcode,0),12),""))</f>
        <v/>
      </c>
      <c r="P1240" s="73" t="str">
        <f>IF(ISBLANK(C1240),"",_xlfn.IFNA(INDEX(inbound_data[],MATCH(Outbound_data[[#This Row],[STOCK CODE OUT]],Generated_Stockcode,0),23),""))</f>
        <v/>
      </c>
      <c r="Q1240" s="73" t="str">
        <f>IF(ISBLANK(C1240),"",_xlfn.IFNA(INDEX(inbound_data[],MATCH(Outbound_data[[#This Row],[STOCK CODE OUT]],Generated_Stockcode,0),13),""))</f>
        <v/>
      </c>
    </row>
    <row r="1241" spans="2:17" x14ac:dyDescent="0.25">
      <c r="B1241" s="71"/>
      <c r="C1241" s="65"/>
      <c r="D1241" s="55"/>
      <c r="E1241" s="65"/>
      <c r="F1241" s="166"/>
      <c r="G1241" s="167"/>
      <c r="H1241" s="166"/>
      <c r="I1241" s="72"/>
      <c r="J1241" s="55"/>
      <c r="K1241" s="72"/>
      <c r="L1241" s="55"/>
      <c r="M1241" s="174"/>
      <c r="N1241" s="73" t="str">
        <f>IF(ISBLANK(C1241),"",_xlfn.IFNA(INDEX(inbound_data[],MATCH(Outbound_data[[#This Row],[STOCK CODE OUT]],Generated_Stockcode,0),10),""))</f>
        <v/>
      </c>
      <c r="O1241" s="73" t="str">
        <f>IF(ISBLANK(C1241),"",_xlfn.IFNA(INDEX(inbound_data[],MATCH(Outbound_data[[#This Row],[STOCK CODE OUT]],Generated_Stockcode,0),12),""))</f>
        <v/>
      </c>
      <c r="P1241" s="73" t="str">
        <f>IF(ISBLANK(C1241),"",_xlfn.IFNA(INDEX(inbound_data[],MATCH(Outbound_data[[#This Row],[STOCK CODE OUT]],Generated_Stockcode,0),23),""))</f>
        <v/>
      </c>
      <c r="Q1241" s="73" t="str">
        <f>IF(ISBLANK(C1241),"",_xlfn.IFNA(INDEX(inbound_data[],MATCH(Outbound_data[[#This Row],[STOCK CODE OUT]],Generated_Stockcode,0),13),""))</f>
        <v/>
      </c>
    </row>
    <row r="1242" spans="2:17" x14ac:dyDescent="0.25">
      <c r="B1242" s="71"/>
      <c r="C1242" s="65"/>
      <c r="D1242" s="55"/>
      <c r="E1242" s="65"/>
      <c r="F1242" s="166"/>
      <c r="G1242" s="167"/>
      <c r="H1242" s="166"/>
      <c r="I1242" s="72"/>
      <c r="J1242" s="55"/>
      <c r="K1242" s="72"/>
      <c r="L1242" s="55"/>
      <c r="M1242" s="174"/>
      <c r="N1242" s="73" t="str">
        <f>IF(ISBLANK(C1242),"",_xlfn.IFNA(INDEX(inbound_data[],MATCH(Outbound_data[[#This Row],[STOCK CODE OUT]],Generated_Stockcode,0),10),""))</f>
        <v/>
      </c>
      <c r="O1242" s="73" t="str">
        <f>IF(ISBLANK(C1242),"",_xlfn.IFNA(INDEX(inbound_data[],MATCH(Outbound_data[[#This Row],[STOCK CODE OUT]],Generated_Stockcode,0),12),""))</f>
        <v/>
      </c>
      <c r="P1242" s="73" t="str">
        <f>IF(ISBLANK(C1242),"",_xlfn.IFNA(INDEX(inbound_data[],MATCH(Outbound_data[[#This Row],[STOCK CODE OUT]],Generated_Stockcode,0),23),""))</f>
        <v/>
      </c>
      <c r="Q1242" s="73" t="str">
        <f>IF(ISBLANK(C1242),"",_xlfn.IFNA(INDEX(inbound_data[],MATCH(Outbound_data[[#This Row],[STOCK CODE OUT]],Generated_Stockcode,0),13),""))</f>
        <v/>
      </c>
    </row>
    <row r="1243" spans="2:17" x14ac:dyDescent="0.25">
      <c r="B1243" s="71"/>
      <c r="C1243" s="65"/>
      <c r="D1243" s="55"/>
      <c r="E1243" s="65"/>
      <c r="F1243" s="166"/>
      <c r="G1243" s="167"/>
      <c r="H1243" s="166"/>
      <c r="I1243" s="72"/>
      <c r="J1243" s="55"/>
      <c r="K1243" s="72"/>
      <c r="L1243" s="55"/>
      <c r="M1243" s="174"/>
      <c r="N1243" s="73" t="str">
        <f>IF(ISBLANK(C1243),"",_xlfn.IFNA(INDEX(inbound_data[],MATCH(Outbound_data[[#This Row],[STOCK CODE OUT]],Generated_Stockcode,0),10),""))</f>
        <v/>
      </c>
      <c r="O1243" s="73" t="str">
        <f>IF(ISBLANK(C1243),"",_xlfn.IFNA(INDEX(inbound_data[],MATCH(Outbound_data[[#This Row],[STOCK CODE OUT]],Generated_Stockcode,0),12),""))</f>
        <v/>
      </c>
      <c r="P1243" s="73" t="str">
        <f>IF(ISBLANK(C1243),"",_xlfn.IFNA(INDEX(inbound_data[],MATCH(Outbound_data[[#This Row],[STOCK CODE OUT]],Generated_Stockcode,0),23),""))</f>
        <v/>
      </c>
      <c r="Q1243" s="73" t="str">
        <f>IF(ISBLANK(C1243),"",_xlfn.IFNA(INDEX(inbound_data[],MATCH(Outbound_data[[#This Row],[STOCK CODE OUT]],Generated_Stockcode,0),13),""))</f>
        <v/>
      </c>
    </row>
    <row r="1244" spans="2:17" x14ac:dyDescent="0.25">
      <c r="B1244" s="71"/>
      <c r="C1244" s="65"/>
      <c r="D1244" s="55"/>
      <c r="E1244" s="65"/>
      <c r="F1244" s="166"/>
      <c r="G1244" s="167"/>
      <c r="H1244" s="166"/>
      <c r="I1244" s="72"/>
      <c r="J1244" s="55"/>
      <c r="K1244" s="72"/>
      <c r="L1244" s="55"/>
      <c r="M1244" s="174"/>
      <c r="N1244" s="73" t="str">
        <f>IF(ISBLANK(C1244),"",_xlfn.IFNA(INDEX(inbound_data[],MATCH(Outbound_data[[#This Row],[STOCK CODE OUT]],Generated_Stockcode,0),10),""))</f>
        <v/>
      </c>
      <c r="O1244" s="73" t="str">
        <f>IF(ISBLANK(C1244),"",_xlfn.IFNA(INDEX(inbound_data[],MATCH(Outbound_data[[#This Row],[STOCK CODE OUT]],Generated_Stockcode,0),12),""))</f>
        <v/>
      </c>
      <c r="P1244" s="73" t="str">
        <f>IF(ISBLANK(C1244),"",_xlfn.IFNA(INDEX(inbound_data[],MATCH(Outbound_data[[#This Row],[STOCK CODE OUT]],Generated_Stockcode,0),23),""))</f>
        <v/>
      </c>
      <c r="Q1244" s="73" t="str">
        <f>IF(ISBLANK(C1244),"",_xlfn.IFNA(INDEX(inbound_data[],MATCH(Outbound_data[[#This Row],[STOCK CODE OUT]],Generated_Stockcode,0),13),""))</f>
        <v/>
      </c>
    </row>
    <row r="1245" spans="2:17" x14ac:dyDescent="0.25">
      <c r="B1245" s="71"/>
      <c r="C1245" s="65"/>
      <c r="D1245" s="55"/>
      <c r="E1245" s="65"/>
      <c r="F1245" s="166"/>
      <c r="G1245" s="167"/>
      <c r="H1245" s="166"/>
      <c r="I1245" s="72"/>
      <c r="J1245" s="55"/>
      <c r="K1245" s="72"/>
      <c r="L1245" s="55"/>
      <c r="M1245" s="174"/>
      <c r="N1245" s="73" t="str">
        <f>IF(ISBLANK(C1245),"",_xlfn.IFNA(INDEX(inbound_data[],MATCH(Outbound_data[[#This Row],[STOCK CODE OUT]],Generated_Stockcode,0),10),""))</f>
        <v/>
      </c>
      <c r="O1245" s="73" t="str">
        <f>IF(ISBLANK(C1245),"",_xlfn.IFNA(INDEX(inbound_data[],MATCH(Outbound_data[[#This Row],[STOCK CODE OUT]],Generated_Stockcode,0),12),""))</f>
        <v/>
      </c>
      <c r="P1245" s="73" t="str">
        <f>IF(ISBLANK(C1245),"",_xlfn.IFNA(INDEX(inbound_data[],MATCH(Outbound_data[[#This Row],[STOCK CODE OUT]],Generated_Stockcode,0),23),""))</f>
        <v/>
      </c>
      <c r="Q1245" s="73" t="str">
        <f>IF(ISBLANK(C1245),"",_xlfn.IFNA(INDEX(inbound_data[],MATCH(Outbound_data[[#This Row],[STOCK CODE OUT]],Generated_Stockcode,0),13),""))</f>
        <v/>
      </c>
    </row>
    <row r="1246" spans="2:17" x14ac:dyDescent="0.25">
      <c r="B1246" s="71"/>
      <c r="C1246" s="65"/>
      <c r="D1246" s="55"/>
      <c r="E1246" s="65"/>
      <c r="F1246" s="166"/>
      <c r="G1246" s="167"/>
      <c r="H1246" s="166"/>
      <c r="I1246" s="72"/>
      <c r="J1246" s="55"/>
      <c r="K1246" s="72"/>
      <c r="L1246" s="55"/>
      <c r="M1246" s="174"/>
      <c r="N1246" s="73" t="str">
        <f>IF(ISBLANK(C1246),"",_xlfn.IFNA(INDEX(inbound_data[],MATCH(Outbound_data[[#This Row],[STOCK CODE OUT]],Generated_Stockcode,0),10),""))</f>
        <v/>
      </c>
      <c r="O1246" s="73" t="str">
        <f>IF(ISBLANK(C1246),"",_xlfn.IFNA(INDEX(inbound_data[],MATCH(Outbound_data[[#This Row],[STOCK CODE OUT]],Generated_Stockcode,0),12),""))</f>
        <v/>
      </c>
      <c r="P1246" s="73" t="str">
        <f>IF(ISBLANK(C1246),"",_xlfn.IFNA(INDEX(inbound_data[],MATCH(Outbound_data[[#This Row],[STOCK CODE OUT]],Generated_Stockcode,0),23),""))</f>
        <v/>
      </c>
      <c r="Q1246" s="73" t="str">
        <f>IF(ISBLANK(C1246),"",_xlfn.IFNA(INDEX(inbound_data[],MATCH(Outbound_data[[#This Row],[STOCK CODE OUT]],Generated_Stockcode,0),13),""))</f>
        <v/>
      </c>
    </row>
    <row r="1247" spans="2:17" x14ac:dyDescent="0.25">
      <c r="B1247" s="71"/>
      <c r="C1247" s="65"/>
      <c r="D1247" s="55"/>
      <c r="E1247" s="65"/>
      <c r="F1247" s="166"/>
      <c r="G1247" s="167"/>
      <c r="H1247" s="166"/>
      <c r="I1247" s="72"/>
      <c r="J1247" s="55"/>
      <c r="K1247" s="72"/>
      <c r="L1247" s="55"/>
      <c r="M1247" s="174"/>
      <c r="N1247" s="73" t="str">
        <f>IF(ISBLANK(C1247),"",_xlfn.IFNA(INDEX(inbound_data[],MATCH(Outbound_data[[#This Row],[STOCK CODE OUT]],Generated_Stockcode,0),10),""))</f>
        <v/>
      </c>
      <c r="O1247" s="73" t="str">
        <f>IF(ISBLANK(C1247),"",_xlfn.IFNA(INDEX(inbound_data[],MATCH(Outbound_data[[#This Row],[STOCK CODE OUT]],Generated_Stockcode,0),12),""))</f>
        <v/>
      </c>
      <c r="P1247" s="73" t="str">
        <f>IF(ISBLANK(C1247),"",_xlfn.IFNA(INDEX(inbound_data[],MATCH(Outbound_data[[#This Row],[STOCK CODE OUT]],Generated_Stockcode,0),23),""))</f>
        <v/>
      </c>
      <c r="Q1247" s="73" t="str">
        <f>IF(ISBLANK(C1247),"",_xlfn.IFNA(INDEX(inbound_data[],MATCH(Outbound_data[[#This Row],[STOCK CODE OUT]],Generated_Stockcode,0),13),""))</f>
        <v/>
      </c>
    </row>
    <row r="1248" spans="2:17" x14ac:dyDescent="0.25">
      <c r="B1248" s="71"/>
      <c r="C1248" s="65"/>
      <c r="D1248" s="55"/>
      <c r="E1248" s="65"/>
      <c r="F1248" s="166"/>
      <c r="G1248" s="167"/>
      <c r="H1248" s="166"/>
      <c r="I1248" s="72"/>
      <c r="J1248" s="55"/>
      <c r="K1248" s="72"/>
      <c r="L1248" s="55"/>
      <c r="M1248" s="174"/>
      <c r="N1248" s="73" t="str">
        <f>IF(ISBLANK(C1248),"",_xlfn.IFNA(INDEX(inbound_data[],MATCH(Outbound_data[[#This Row],[STOCK CODE OUT]],Generated_Stockcode,0),10),""))</f>
        <v/>
      </c>
      <c r="O1248" s="73" t="str">
        <f>IF(ISBLANK(C1248),"",_xlfn.IFNA(INDEX(inbound_data[],MATCH(Outbound_data[[#This Row],[STOCK CODE OUT]],Generated_Stockcode,0),12),""))</f>
        <v/>
      </c>
      <c r="P1248" s="73" t="str">
        <f>IF(ISBLANK(C1248),"",_xlfn.IFNA(INDEX(inbound_data[],MATCH(Outbound_data[[#This Row],[STOCK CODE OUT]],Generated_Stockcode,0),23),""))</f>
        <v/>
      </c>
      <c r="Q1248" s="73" t="str">
        <f>IF(ISBLANK(C1248),"",_xlfn.IFNA(INDEX(inbound_data[],MATCH(Outbound_data[[#This Row],[STOCK CODE OUT]],Generated_Stockcode,0),13),""))</f>
        <v/>
      </c>
    </row>
    <row r="1249" spans="2:17" x14ac:dyDescent="0.25">
      <c r="B1249" s="71"/>
      <c r="C1249" s="65"/>
      <c r="D1249" s="55"/>
      <c r="E1249" s="65"/>
      <c r="F1249" s="166"/>
      <c r="G1249" s="167"/>
      <c r="H1249" s="166"/>
      <c r="I1249" s="72"/>
      <c r="J1249" s="55"/>
      <c r="K1249" s="72"/>
      <c r="L1249" s="55"/>
      <c r="M1249" s="174"/>
      <c r="N1249" s="73" t="str">
        <f>IF(ISBLANK(C1249),"",_xlfn.IFNA(INDEX(inbound_data[],MATCH(Outbound_data[[#This Row],[STOCK CODE OUT]],Generated_Stockcode,0),10),""))</f>
        <v/>
      </c>
      <c r="O1249" s="73" t="str">
        <f>IF(ISBLANK(C1249),"",_xlfn.IFNA(INDEX(inbound_data[],MATCH(Outbound_data[[#This Row],[STOCK CODE OUT]],Generated_Stockcode,0),12),""))</f>
        <v/>
      </c>
      <c r="P1249" s="73" t="str">
        <f>IF(ISBLANK(C1249),"",_xlfn.IFNA(INDEX(inbound_data[],MATCH(Outbound_data[[#This Row],[STOCK CODE OUT]],Generated_Stockcode,0),23),""))</f>
        <v/>
      </c>
      <c r="Q1249" s="73" t="str">
        <f>IF(ISBLANK(C1249),"",_xlfn.IFNA(INDEX(inbound_data[],MATCH(Outbound_data[[#This Row],[STOCK CODE OUT]],Generated_Stockcode,0),13),""))</f>
        <v/>
      </c>
    </row>
    <row r="1250" spans="2:17" x14ac:dyDescent="0.25">
      <c r="B1250" s="71"/>
      <c r="C1250" s="65"/>
      <c r="D1250" s="55"/>
      <c r="E1250" s="65"/>
      <c r="F1250" s="166"/>
      <c r="G1250" s="167"/>
      <c r="H1250" s="166"/>
      <c r="I1250" s="72"/>
      <c r="J1250" s="55"/>
      <c r="K1250" s="72"/>
      <c r="L1250" s="55"/>
      <c r="M1250" s="174"/>
      <c r="N1250" s="73" t="str">
        <f>IF(ISBLANK(C1250),"",_xlfn.IFNA(INDEX(inbound_data[],MATCH(Outbound_data[[#This Row],[STOCK CODE OUT]],Generated_Stockcode,0),10),""))</f>
        <v/>
      </c>
      <c r="O1250" s="73" t="str">
        <f>IF(ISBLANK(C1250),"",_xlfn.IFNA(INDEX(inbound_data[],MATCH(Outbound_data[[#This Row],[STOCK CODE OUT]],Generated_Stockcode,0),12),""))</f>
        <v/>
      </c>
      <c r="P1250" s="73" t="str">
        <f>IF(ISBLANK(C1250),"",_xlfn.IFNA(INDEX(inbound_data[],MATCH(Outbound_data[[#This Row],[STOCK CODE OUT]],Generated_Stockcode,0),23),""))</f>
        <v/>
      </c>
      <c r="Q1250" s="73" t="str">
        <f>IF(ISBLANK(C1250),"",_xlfn.IFNA(INDEX(inbound_data[],MATCH(Outbound_data[[#This Row],[STOCK CODE OUT]],Generated_Stockcode,0),13),""))</f>
        <v/>
      </c>
    </row>
    <row r="1251" spans="2:17" x14ac:dyDescent="0.25">
      <c r="B1251" s="71"/>
      <c r="C1251" s="65"/>
      <c r="D1251" s="55"/>
      <c r="E1251" s="65"/>
      <c r="F1251" s="166"/>
      <c r="G1251" s="167"/>
      <c r="H1251" s="166"/>
      <c r="I1251" s="72"/>
      <c r="J1251" s="55"/>
      <c r="K1251" s="72"/>
      <c r="L1251" s="55"/>
      <c r="M1251" s="174"/>
      <c r="N1251" s="73" t="str">
        <f>IF(ISBLANK(C1251),"",_xlfn.IFNA(INDEX(inbound_data[],MATCH(Outbound_data[[#This Row],[STOCK CODE OUT]],Generated_Stockcode,0),10),""))</f>
        <v/>
      </c>
      <c r="O1251" s="73" t="str">
        <f>IF(ISBLANK(C1251),"",_xlfn.IFNA(INDEX(inbound_data[],MATCH(Outbound_data[[#This Row],[STOCK CODE OUT]],Generated_Stockcode,0),12),""))</f>
        <v/>
      </c>
      <c r="P1251" s="73" t="str">
        <f>IF(ISBLANK(C1251),"",_xlfn.IFNA(INDEX(inbound_data[],MATCH(Outbound_data[[#This Row],[STOCK CODE OUT]],Generated_Stockcode,0),23),""))</f>
        <v/>
      </c>
      <c r="Q1251" s="73" t="str">
        <f>IF(ISBLANK(C1251),"",_xlfn.IFNA(INDEX(inbound_data[],MATCH(Outbound_data[[#This Row],[STOCK CODE OUT]],Generated_Stockcode,0),13),""))</f>
        <v/>
      </c>
    </row>
    <row r="1252" spans="2:17" x14ac:dyDescent="0.25">
      <c r="B1252" s="71"/>
      <c r="C1252" s="65"/>
      <c r="D1252" s="55"/>
      <c r="E1252" s="65"/>
      <c r="F1252" s="166"/>
      <c r="G1252" s="167"/>
      <c r="H1252" s="166"/>
      <c r="I1252" s="72"/>
      <c r="J1252" s="55"/>
      <c r="K1252" s="72"/>
      <c r="L1252" s="55"/>
      <c r="M1252" s="174"/>
      <c r="N1252" s="73" t="str">
        <f>IF(ISBLANK(C1252),"",_xlfn.IFNA(INDEX(inbound_data[],MATCH(Outbound_data[[#This Row],[STOCK CODE OUT]],Generated_Stockcode,0),10),""))</f>
        <v/>
      </c>
      <c r="O1252" s="73" t="str">
        <f>IF(ISBLANK(C1252),"",_xlfn.IFNA(INDEX(inbound_data[],MATCH(Outbound_data[[#This Row],[STOCK CODE OUT]],Generated_Stockcode,0),12),""))</f>
        <v/>
      </c>
      <c r="P1252" s="73" t="str">
        <f>IF(ISBLANK(C1252),"",_xlfn.IFNA(INDEX(inbound_data[],MATCH(Outbound_data[[#This Row],[STOCK CODE OUT]],Generated_Stockcode,0),23),""))</f>
        <v/>
      </c>
      <c r="Q1252" s="73" t="str">
        <f>IF(ISBLANK(C1252),"",_xlfn.IFNA(INDEX(inbound_data[],MATCH(Outbound_data[[#This Row],[STOCK CODE OUT]],Generated_Stockcode,0),13),""))</f>
        <v/>
      </c>
    </row>
    <row r="1253" spans="2:17" x14ac:dyDescent="0.25">
      <c r="B1253" s="71"/>
      <c r="C1253" s="65"/>
      <c r="D1253" s="55"/>
      <c r="E1253" s="65"/>
      <c r="F1253" s="166"/>
      <c r="G1253" s="167"/>
      <c r="H1253" s="166"/>
      <c r="I1253" s="72"/>
      <c r="J1253" s="55"/>
      <c r="K1253" s="72"/>
      <c r="L1253" s="55"/>
      <c r="M1253" s="174"/>
      <c r="N1253" s="73" t="str">
        <f>IF(ISBLANK(C1253),"",_xlfn.IFNA(INDEX(inbound_data[],MATCH(Outbound_data[[#This Row],[STOCK CODE OUT]],Generated_Stockcode,0),10),""))</f>
        <v/>
      </c>
      <c r="O1253" s="73" t="str">
        <f>IF(ISBLANK(C1253),"",_xlfn.IFNA(INDEX(inbound_data[],MATCH(Outbound_data[[#This Row],[STOCK CODE OUT]],Generated_Stockcode,0),12),""))</f>
        <v/>
      </c>
      <c r="P1253" s="73" t="str">
        <f>IF(ISBLANK(C1253),"",_xlfn.IFNA(INDEX(inbound_data[],MATCH(Outbound_data[[#This Row],[STOCK CODE OUT]],Generated_Stockcode,0),23),""))</f>
        <v/>
      </c>
      <c r="Q1253" s="73" t="str">
        <f>IF(ISBLANK(C1253),"",_xlfn.IFNA(INDEX(inbound_data[],MATCH(Outbound_data[[#This Row],[STOCK CODE OUT]],Generated_Stockcode,0),13),""))</f>
        <v/>
      </c>
    </row>
    <row r="1254" spans="2:17" x14ac:dyDescent="0.25">
      <c r="B1254" s="71"/>
      <c r="C1254" s="65"/>
      <c r="D1254" s="55"/>
      <c r="E1254" s="65"/>
      <c r="F1254" s="166"/>
      <c r="G1254" s="167"/>
      <c r="H1254" s="166"/>
      <c r="I1254" s="72"/>
      <c r="J1254" s="55"/>
      <c r="K1254" s="72"/>
      <c r="L1254" s="55"/>
      <c r="M1254" s="174"/>
      <c r="N1254" s="73" t="str">
        <f>IF(ISBLANK(C1254),"",_xlfn.IFNA(INDEX(inbound_data[],MATCH(Outbound_data[[#This Row],[STOCK CODE OUT]],Generated_Stockcode,0),10),""))</f>
        <v/>
      </c>
      <c r="O1254" s="73" t="str">
        <f>IF(ISBLANK(C1254),"",_xlfn.IFNA(INDEX(inbound_data[],MATCH(Outbound_data[[#This Row],[STOCK CODE OUT]],Generated_Stockcode,0),12),""))</f>
        <v/>
      </c>
      <c r="P1254" s="73" t="str">
        <f>IF(ISBLANK(C1254),"",_xlfn.IFNA(INDEX(inbound_data[],MATCH(Outbound_data[[#This Row],[STOCK CODE OUT]],Generated_Stockcode,0),23),""))</f>
        <v/>
      </c>
      <c r="Q1254" s="73" t="str">
        <f>IF(ISBLANK(C1254),"",_xlfn.IFNA(INDEX(inbound_data[],MATCH(Outbound_data[[#This Row],[STOCK CODE OUT]],Generated_Stockcode,0),13),""))</f>
        <v/>
      </c>
    </row>
    <row r="1255" spans="2:17" x14ac:dyDescent="0.25">
      <c r="B1255" s="71"/>
      <c r="C1255" s="65"/>
      <c r="D1255" s="55"/>
      <c r="E1255" s="65"/>
      <c r="F1255" s="166"/>
      <c r="G1255" s="167"/>
      <c r="H1255" s="166"/>
      <c r="I1255" s="72"/>
      <c r="J1255" s="55"/>
      <c r="K1255" s="72"/>
      <c r="L1255" s="55"/>
      <c r="M1255" s="174"/>
      <c r="N1255" s="73" t="str">
        <f>IF(ISBLANK(C1255),"",_xlfn.IFNA(INDEX(inbound_data[],MATCH(Outbound_data[[#This Row],[STOCK CODE OUT]],Generated_Stockcode,0),10),""))</f>
        <v/>
      </c>
      <c r="O1255" s="73" t="str">
        <f>IF(ISBLANK(C1255),"",_xlfn.IFNA(INDEX(inbound_data[],MATCH(Outbound_data[[#This Row],[STOCK CODE OUT]],Generated_Stockcode,0),12),""))</f>
        <v/>
      </c>
      <c r="P1255" s="73" t="str">
        <f>IF(ISBLANK(C1255),"",_xlfn.IFNA(INDEX(inbound_data[],MATCH(Outbound_data[[#This Row],[STOCK CODE OUT]],Generated_Stockcode,0),23),""))</f>
        <v/>
      </c>
      <c r="Q1255" s="73" t="str">
        <f>IF(ISBLANK(C1255),"",_xlfn.IFNA(INDEX(inbound_data[],MATCH(Outbound_data[[#This Row],[STOCK CODE OUT]],Generated_Stockcode,0),13),""))</f>
        <v/>
      </c>
    </row>
    <row r="1256" spans="2:17" x14ac:dyDescent="0.25">
      <c r="B1256" s="71"/>
      <c r="C1256" s="65"/>
      <c r="D1256" s="55"/>
      <c r="E1256" s="65"/>
      <c r="F1256" s="166"/>
      <c r="G1256" s="167"/>
      <c r="H1256" s="166"/>
      <c r="I1256" s="72"/>
      <c r="J1256" s="55"/>
      <c r="K1256" s="72"/>
      <c r="L1256" s="55"/>
      <c r="M1256" s="174"/>
      <c r="N1256" s="73" t="str">
        <f>IF(ISBLANK(C1256),"",_xlfn.IFNA(INDEX(inbound_data[],MATCH(Outbound_data[[#This Row],[STOCK CODE OUT]],Generated_Stockcode,0),10),""))</f>
        <v/>
      </c>
      <c r="O1256" s="73" t="str">
        <f>IF(ISBLANK(C1256),"",_xlfn.IFNA(INDEX(inbound_data[],MATCH(Outbound_data[[#This Row],[STOCK CODE OUT]],Generated_Stockcode,0),12),""))</f>
        <v/>
      </c>
      <c r="P1256" s="73" t="str">
        <f>IF(ISBLANK(C1256),"",_xlfn.IFNA(INDEX(inbound_data[],MATCH(Outbound_data[[#This Row],[STOCK CODE OUT]],Generated_Stockcode,0),23),""))</f>
        <v/>
      </c>
      <c r="Q1256" s="73" t="str">
        <f>IF(ISBLANK(C1256),"",_xlfn.IFNA(INDEX(inbound_data[],MATCH(Outbound_data[[#This Row],[STOCK CODE OUT]],Generated_Stockcode,0),13),""))</f>
        <v/>
      </c>
    </row>
    <row r="1257" spans="2:17" x14ac:dyDescent="0.25">
      <c r="B1257" s="71"/>
      <c r="C1257" s="65"/>
      <c r="D1257" s="55"/>
      <c r="E1257" s="65"/>
      <c r="F1257" s="166"/>
      <c r="G1257" s="167"/>
      <c r="H1257" s="166"/>
      <c r="I1257" s="72"/>
      <c r="J1257" s="55"/>
      <c r="K1257" s="72"/>
      <c r="L1257" s="55"/>
      <c r="M1257" s="174"/>
      <c r="N1257" s="73" t="str">
        <f>IF(ISBLANK(C1257),"",_xlfn.IFNA(INDEX(inbound_data[],MATCH(Outbound_data[[#This Row],[STOCK CODE OUT]],Generated_Stockcode,0),10),""))</f>
        <v/>
      </c>
      <c r="O1257" s="73" t="str">
        <f>IF(ISBLANK(C1257),"",_xlfn.IFNA(INDEX(inbound_data[],MATCH(Outbound_data[[#This Row],[STOCK CODE OUT]],Generated_Stockcode,0),12),""))</f>
        <v/>
      </c>
      <c r="P1257" s="73" t="str">
        <f>IF(ISBLANK(C1257),"",_xlfn.IFNA(INDEX(inbound_data[],MATCH(Outbound_data[[#This Row],[STOCK CODE OUT]],Generated_Stockcode,0),23),""))</f>
        <v/>
      </c>
      <c r="Q1257" s="73" t="str">
        <f>IF(ISBLANK(C1257),"",_xlfn.IFNA(INDEX(inbound_data[],MATCH(Outbound_data[[#This Row],[STOCK CODE OUT]],Generated_Stockcode,0),13),""))</f>
        <v/>
      </c>
    </row>
    <row r="1258" spans="2:17" x14ac:dyDescent="0.25">
      <c r="B1258" s="71"/>
      <c r="C1258" s="65"/>
      <c r="D1258" s="55"/>
      <c r="E1258" s="65"/>
      <c r="F1258" s="166"/>
      <c r="G1258" s="167"/>
      <c r="H1258" s="166"/>
      <c r="I1258" s="72"/>
      <c r="J1258" s="55"/>
      <c r="K1258" s="72"/>
      <c r="L1258" s="55"/>
      <c r="M1258" s="174"/>
      <c r="N1258" s="73" t="str">
        <f>IF(ISBLANK(C1258),"",_xlfn.IFNA(INDEX(inbound_data[],MATCH(Outbound_data[[#This Row],[STOCK CODE OUT]],Generated_Stockcode,0),10),""))</f>
        <v/>
      </c>
      <c r="O1258" s="73" t="str">
        <f>IF(ISBLANK(C1258),"",_xlfn.IFNA(INDEX(inbound_data[],MATCH(Outbound_data[[#This Row],[STOCK CODE OUT]],Generated_Stockcode,0),12),""))</f>
        <v/>
      </c>
      <c r="P1258" s="73" t="str">
        <f>IF(ISBLANK(C1258),"",_xlfn.IFNA(INDEX(inbound_data[],MATCH(Outbound_data[[#This Row],[STOCK CODE OUT]],Generated_Stockcode,0),23),""))</f>
        <v/>
      </c>
      <c r="Q1258" s="73" t="str">
        <f>IF(ISBLANK(C1258),"",_xlfn.IFNA(INDEX(inbound_data[],MATCH(Outbound_data[[#This Row],[STOCK CODE OUT]],Generated_Stockcode,0),13),""))</f>
        <v/>
      </c>
    </row>
    <row r="1259" spans="2:17" x14ac:dyDescent="0.25">
      <c r="B1259" s="71"/>
      <c r="C1259" s="65"/>
      <c r="D1259" s="55"/>
      <c r="E1259" s="65"/>
      <c r="F1259" s="166"/>
      <c r="G1259" s="167"/>
      <c r="H1259" s="166"/>
      <c r="I1259" s="72"/>
      <c r="J1259" s="55"/>
      <c r="K1259" s="72"/>
      <c r="L1259" s="55"/>
      <c r="M1259" s="174"/>
      <c r="N1259" s="73" t="str">
        <f>IF(ISBLANK(C1259),"",_xlfn.IFNA(INDEX(inbound_data[],MATCH(Outbound_data[[#This Row],[STOCK CODE OUT]],Generated_Stockcode,0),10),""))</f>
        <v/>
      </c>
      <c r="O1259" s="73" t="str">
        <f>IF(ISBLANK(C1259),"",_xlfn.IFNA(INDEX(inbound_data[],MATCH(Outbound_data[[#This Row],[STOCK CODE OUT]],Generated_Stockcode,0),12),""))</f>
        <v/>
      </c>
      <c r="P1259" s="73" t="str">
        <f>IF(ISBLANK(C1259),"",_xlfn.IFNA(INDEX(inbound_data[],MATCH(Outbound_data[[#This Row],[STOCK CODE OUT]],Generated_Stockcode,0),23),""))</f>
        <v/>
      </c>
      <c r="Q1259" s="73" t="str">
        <f>IF(ISBLANK(C1259),"",_xlfn.IFNA(INDEX(inbound_data[],MATCH(Outbound_data[[#This Row],[STOCK CODE OUT]],Generated_Stockcode,0),13),""))</f>
        <v/>
      </c>
    </row>
    <row r="1260" spans="2:17" x14ac:dyDescent="0.25">
      <c r="B1260" s="71"/>
      <c r="C1260" s="65"/>
      <c r="D1260" s="55"/>
      <c r="E1260" s="65"/>
      <c r="F1260" s="166"/>
      <c r="G1260" s="167"/>
      <c r="H1260" s="166"/>
      <c r="I1260" s="72"/>
      <c r="J1260" s="55"/>
      <c r="K1260" s="72"/>
      <c r="L1260" s="55"/>
      <c r="M1260" s="174"/>
      <c r="N1260" s="73" t="str">
        <f>IF(ISBLANK(C1260),"",_xlfn.IFNA(INDEX(inbound_data[],MATCH(Outbound_data[[#This Row],[STOCK CODE OUT]],Generated_Stockcode,0),10),""))</f>
        <v/>
      </c>
      <c r="O1260" s="73" t="str">
        <f>IF(ISBLANK(C1260),"",_xlfn.IFNA(INDEX(inbound_data[],MATCH(Outbound_data[[#This Row],[STOCK CODE OUT]],Generated_Stockcode,0),12),""))</f>
        <v/>
      </c>
      <c r="P1260" s="73" t="str">
        <f>IF(ISBLANK(C1260),"",_xlfn.IFNA(INDEX(inbound_data[],MATCH(Outbound_data[[#This Row],[STOCK CODE OUT]],Generated_Stockcode,0),23),""))</f>
        <v/>
      </c>
      <c r="Q1260" s="73" t="str">
        <f>IF(ISBLANK(C1260),"",_xlfn.IFNA(INDEX(inbound_data[],MATCH(Outbound_data[[#This Row],[STOCK CODE OUT]],Generated_Stockcode,0),13),""))</f>
        <v/>
      </c>
    </row>
    <row r="1261" spans="2:17" x14ac:dyDescent="0.25">
      <c r="B1261" s="71"/>
      <c r="C1261" s="65"/>
      <c r="D1261" s="55"/>
      <c r="E1261" s="65"/>
      <c r="F1261" s="166"/>
      <c r="G1261" s="167"/>
      <c r="H1261" s="166"/>
      <c r="I1261" s="72"/>
      <c r="J1261" s="55"/>
      <c r="K1261" s="72"/>
      <c r="L1261" s="55"/>
      <c r="M1261" s="174"/>
      <c r="N1261" s="73" t="str">
        <f>IF(ISBLANK(C1261),"",_xlfn.IFNA(INDEX(inbound_data[],MATCH(Outbound_data[[#This Row],[STOCK CODE OUT]],Generated_Stockcode,0),10),""))</f>
        <v/>
      </c>
      <c r="O1261" s="73" t="str">
        <f>IF(ISBLANK(C1261),"",_xlfn.IFNA(INDEX(inbound_data[],MATCH(Outbound_data[[#This Row],[STOCK CODE OUT]],Generated_Stockcode,0),12),""))</f>
        <v/>
      </c>
      <c r="P1261" s="73" t="str">
        <f>IF(ISBLANK(C1261),"",_xlfn.IFNA(INDEX(inbound_data[],MATCH(Outbound_data[[#This Row],[STOCK CODE OUT]],Generated_Stockcode,0),23),""))</f>
        <v/>
      </c>
      <c r="Q1261" s="73" t="str">
        <f>IF(ISBLANK(C1261),"",_xlfn.IFNA(INDEX(inbound_data[],MATCH(Outbound_data[[#This Row],[STOCK CODE OUT]],Generated_Stockcode,0),13),""))</f>
        <v/>
      </c>
    </row>
    <row r="1262" spans="2:17" x14ac:dyDescent="0.25">
      <c r="B1262" s="71"/>
      <c r="C1262" s="65"/>
      <c r="D1262" s="55"/>
      <c r="E1262" s="65"/>
      <c r="F1262" s="166"/>
      <c r="G1262" s="167"/>
      <c r="H1262" s="166"/>
      <c r="I1262" s="72"/>
      <c r="J1262" s="55"/>
      <c r="K1262" s="72"/>
      <c r="L1262" s="55"/>
      <c r="M1262" s="174"/>
      <c r="N1262" s="73" t="str">
        <f>IF(ISBLANK(C1262),"",_xlfn.IFNA(INDEX(inbound_data[],MATCH(Outbound_data[[#This Row],[STOCK CODE OUT]],Generated_Stockcode,0),10),""))</f>
        <v/>
      </c>
      <c r="O1262" s="73" t="str">
        <f>IF(ISBLANK(C1262),"",_xlfn.IFNA(INDEX(inbound_data[],MATCH(Outbound_data[[#This Row],[STOCK CODE OUT]],Generated_Stockcode,0),12),""))</f>
        <v/>
      </c>
      <c r="P1262" s="73" t="str">
        <f>IF(ISBLANK(C1262),"",_xlfn.IFNA(INDEX(inbound_data[],MATCH(Outbound_data[[#This Row],[STOCK CODE OUT]],Generated_Stockcode,0),23),""))</f>
        <v/>
      </c>
      <c r="Q1262" s="73" t="str">
        <f>IF(ISBLANK(C1262),"",_xlfn.IFNA(INDEX(inbound_data[],MATCH(Outbound_data[[#This Row],[STOCK CODE OUT]],Generated_Stockcode,0),13),""))</f>
        <v/>
      </c>
    </row>
    <row r="1263" spans="2:17" x14ac:dyDescent="0.25">
      <c r="B1263" s="71"/>
      <c r="C1263" s="65"/>
      <c r="D1263" s="55"/>
      <c r="E1263" s="65"/>
      <c r="F1263" s="166"/>
      <c r="G1263" s="167"/>
      <c r="H1263" s="166"/>
      <c r="I1263" s="72"/>
      <c r="J1263" s="55"/>
      <c r="K1263" s="72"/>
      <c r="L1263" s="55"/>
      <c r="M1263" s="174"/>
      <c r="N1263" s="73" t="str">
        <f>IF(ISBLANK(C1263),"",_xlfn.IFNA(INDEX(inbound_data[],MATCH(Outbound_data[[#This Row],[STOCK CODE OUT]],Generated_Stockcode,0),10),""))</f>
        <v/>
      </c>
      <c r="O1263" s="73" t="str">
        <f>IF(ISBLANK(C1263),"",_xlfn.IFNA(INDEX(inbound_data[],MATCH(Outbound_data[[#This Row],[STOCK CODE OUT]],Generated_Stockcode,0),12),""))</f>
        <v/>
      </c>
      <c r="P1263" s="73" t="str">
        <f>IF(ISBLANK(C1263),"",_xlfn.IFNA(INDEX(inbound_data[],MATCH(Outbound_data[[#This Row],[STOCK CODE OUT]],Generated_Stockcode,0),23),""))</f>
        <v/>
      </c>
      <c r="Q1263" s="73" t="str">
        <f>IF(ISBLANK(C1263),"",_xlfn.IFNA(INDEX(inbound_data[],MATCH(Outbound_data[[#This Row],[STOCK CODE OUT]],Generated_Stockcode,0),13),""))</f>
        <v/>
      </c>
    </row>
    <row r="1264" spans="2:17" x14ac:dyDescent="0.25">
      <c r="B1264" s="71"/>
      <c r="C1264" s="65"/>
      <c r="D1264" s="55"/>
      <c r="E1264" s="65"/>
      <c r="F1264" s="166"/>
      <c r="G1264" s="167"/>
      <c r="H1264" s="166"/>
      <c r="I1264" s="72"/>
      <c r="J1264" s="55"/>
      <c r="K1264" s="72"/>
      <c r="L1264" s="55"/>
      <c r="M1264" s="174"/>
      <c r="N1264" s="73" t="str">
        <f>IF(ISBLANK(C1264),"",_xlfn.IFNA(INDEX(inbound_data[],MATCH(Outbound_data[[#This Row],[STOCK CODE OUT]],Generated_Stockcode,0),10),""))</f>
        <v/>
      </c>
      <c r="O1264" s="73" t="str">
        <f>IF(ISBLANK(C1264),"",_xlfn.IFNA(INDEX(inbound_data[],MATCH(Outbound_data[[#This Row],[STOCK CODE OUT]],Generated_Stockcode,0),12),""))</f>
        <v/>
      </c>
      <c r="P1264" s="73" t="str">
        <f>IF(ISBLANK(C1264),"",_xlfn.IFNA(INDEX(inbound_data[],MATCH(Outbound_data[[#This Row],[STOCK CODE OUT]],Generated_Stockcode,0),23),""))</f>
        <v/>
      </c>
      <c r="Q1264" s="73" t="str">
        <f>IF(ISBLANK(C1264),"",_xlfn.IFNA(INDEX(inbound_data[],MATCH(Outbound_data[[#This Row],[STOCK CODE OUT]],Generated_Stockcode,0),13),""))</f>
        <v/>
      </c>
    </row>
    <row r="1265" spans="2:17" x14ac:dyDescent="0.25">
      <c r="B1265" s="71"/>
      <c r="C1265" s="65"/>
      <c r="D1265" s="55"/>
      <c r="E1265" s="65"/>
      <c r="F1265" s="166"/>
      <c r="G1265" s="167"/>
      <c r="H1265" s="166"/>
      <c r="I1265" s="72"/>
      <c r="J1265" s="55"/>
      <c r="K1265" s="72"/>
      <c r="L1265" s="55"/>
      <c r="M1265" s="174"/>
      <c r="N1265" s="73" t="str">
        <f>IF(ISBLANK(C1265),"",_xlfn.IFNA(INDEX(inbound_data[],MATCH(Outbound_data[[#This Row],[STOCK CODE OUT]],Generated_Stockcode,0),10),""))</f>
        <v/>
      </c>
      <c r="O1265" s="73" t="str">
        <f>IF(ISBLANK(C1265),"",_xlfn.IFNA(INDEX(inbound_data[],MATCH(Outbound_data[[#This Row],[STOCK CODE OUT]],Generated_Stockcode,0),12),""))</f>
        <v/>
      </c>
      <c r="P1265" s="73" t="str">
        <f>IF(ISBLANK(C1265),"",_xlfn.IFNA(INDEX(inbound_data[],MATCH(Outbound_data[[#This Row],[STOCK CODE OUT]],Generated_Stockcode,0),23),""))</f>
        <v/>
      </c>
      <c r="Q1265" s="73" t="str">
        <f>IF(ISBLANK(C1265),"",_xlfn.IFNA(INDEX(inbound_data[],MATCH(Outbound_data[[#This Row],[STOCK CODE OUT]],Generated_Stockcode,0),13),""))</f>
        <v/>
      </c>
    </row>
    <row r="1266" spans="2:17" x14ac:dyDescent="0.25">
      <c r="B1266" s="71"/>
      <c r="C1266" s="65"/>
      <c r="D1266" s="55"/>
      <c r="E1266" s="65"/>
      <c r="F1266" s="166"/>
      <c r="G1266" s="167"/>
      <c r="H1266" s="166"/>
      <c r="I1266" s="72"/>
      <c r="J1266" s="55"/>
      <c r="K1266" s="72"/>
      <c r="L1266" s="55"/>
      <c r="M1266" s="174"/>
      <c r="N1266" s="73" t="str">
        <f>IF(ISBLANK(C1266),"",_xlfn.IFNA(INDEX(inbound_data[],MATCH(Outbound_data[[#This Row],[STOCK CODE OUT]],Generated_Stockcode,0),10),""))</f>
        <v/>
      </c>
      <c r="O1266" s="73" t="str">
        <f>IF(ISBLANK(C1266),"",_xlfn.IFNA(INDEX(inbound_data[],MATCH(Outbound_data[[#This Row],[STOCK CODE OUT]],Generated_Stockcode,0),12),""))</f>
        <v/>
      </c>
      <c r="P1266" s="73" t="str">
        <f>IF(ISBLANK(C1266),"",_xlfn.IFNA(INDEX(inbound_data[],MATCH(Outbound_data[[#This Row],[STOCK CODE OUT]],Generated_Stockcode,0),23),""))</f>
        <v/>
      </c>
      <c r="Q1266" s="73" t="str">
        <f>IF(ISBLANK(C1266),"",_xlfn.IFNA(INDEX(inbound_data[],MATCH(Outbound_data[[#This Row],[STOCK CODE OUT]],Generated_Stockcode,0),13),""))</f>
        <v/>
      </c>
    </row>
    <row r="1267" spans="2:17" x14ac:dyDescent="0.25">
      <c r="B1267" s="71"/>
      <c r="C1267" s="65"/>
      <c r="D1267" s="55"/>
      <c r="E1267" s="65"/>
      <c r="F1267" s="166"/>
      <c r="G1267" s="167"/>
      <c r="H1267" s="166"/>
      <c r="I1267" s="72"/>
      <c r="J1267" s="55"/>
      <c r="K1267" s="72"/>
      <c r="L1267" s="55"/>
      <c r="M1267" s="174"/>
      <c r="N1267" s="73" t="str">
        <f>IF(ISBLANK(C1267),"",_xlfn.IFNA(INDEX(inbound_data[],MATCH(Outbound_data[[#This Row],[STOCK CODE OUT]],Generated_Stockcode,0),10),""))</f>
        <v/>
      </c>
      <c r="O1267" s="73" t="str">
        <f>IF(ISBLANK(C1267),"",_xlfn.IFNA(INDEX(inbound_data[],MATCH(Outbound_data[[#This Row],[STOCK CODE OUT]],Generated_Stockcode,0),12),""))</f>
        <v/>
      </c>
      <c r="P1267" s="73" t="str">
        <f>IF(ISBLANK(C1267),"",_xlfn.IFNA(INDEX(inbound_data[],MATCH(Outbound_data[[#This Row],[STOCK CODE OUT]],Generated_Stockcode,0),23),""))</f>
        <v/>
      </c>
      <c r="Q1267" s="73" t="str">
        <f>IF(ISBLANK(C1267),"",_xlfn.IFNA(INDEX(inbound_data[],MATCH(Outbound_data[[#This Row],[STOCK CODE OUT]],Generated_Stockcode,0),13),""))</f>
        <v/>
      </c>
    </row>
    <row r="1268" spans="2:17" x14ac:dyDescent="0.25">
      <c r="B1268" s="71"/>
      <c r="C1268" s="65"/>
      <c r="D1268" s="55"/>
      <c r="E1268" s="65"/>
      <c r="F1268" s="166"/>
      <c r="G1268" s="167"/>
      <c r="H1268" s="166"/>
      <c r="I1268" s="72"/>
      <c r="J1268" s="55"/>
      <c r="K1268" s="72"/>
      <c r="L1268" s="55"/>
      <c r="M1268" s="174"/>
      <c r="N1268" s="73" t="str">
        <f>IF(ISBLANK(C1268),"",_xlfn.IFNA(INDEX(inbound_data[],MATCH(Outbound_data[[#This Row],[STOCK CODE OUT]],Generated_Stockcode,0),10),""))</f>
        <v/>
      </c>
      <c r="O1268" s="73" t="str">
        <f>IF(ISBLANK(C1268),"",_xlfn.IFNA(INDEX(inbound_data[],MATCH(Outbound_data[[#This Row],[STOCK CODE OUT]],Generated_Stockcode,0),12),""))</f>
        <v/>
      </c>
      <c r="P1268" s="73" t="str">
        <f>IF(ISBLANK(C1268),"",_xlfn.IFNA(INDEX(inbound_data[],MATCH(Outbound_data[[#This Row],[STOCK CODE OUT]],Generated_Stockcode,0),23),""))</f>
        <v/>
      </c>
      <c r="Q1268" s="73" t="str">
        <f>IF(ISBLANK(C1268),"",_xlfn.IFNA(INDEX(inbound_data[],MATCH(Outbound_data[[#This Row],[STOCK CODE OUT]],Generated_Stockcode,0),13),""))</f>
        <v/>
      </c>
    </row>
    <row r="1269" spans="2:17" x14ac:dyDescent="0.25">
      <c r="B1269" s="71"/>
      <c r="C1269" s="65"/>
      <c r="D1269" s="55"/>
      <c r="E1269" s="65"/>
      <c r="F1269" s="166"/>
      <c r="G1269" s="167"/>
      <c r="H1269" s="166"/>
      <c r="I1269" s="72"/>
      <c r="J1269" s="55"/>
      <c r="K1269" s="72"/>
      <c r="L1269" s="55"/>
      <c r="M1269" s="174"/>
      <c r="N1269" s="73" t="str">
        <f>IF(ISBLANK(C1269),"",_xlfn.IFNA(INDEX(inbound_data[],MATCH(Outbound_data[[#This Row],[STOCK CODE OUT]],Generated_Stockcode,0),10),""))</f>
        <v/>
      </c>
      <c r="O1269" s="73" t="str">
        <f>IF(ISBLANK(C1269),"",_xlfn.IFNA(INDEX(inbound_data[],MATCH(Outbound_data[[#This Row],[STOCK CODE OUT]],Generated_Stockcode,0),12),""))</f>
        <v/>
      </c>
      <c r="P1269" s="73" t="str">
        <f>IF(ISBLANK(C1269),"",_xlfn.IFNA(INDEX(inbound_data[],MATCH(Outbound_data[[#This Row],[STOCK CODE OUT]],Generated_Stockcode,0),23),""))</f>
        <v/>
      </c>
      <c r="Q1269" s="73" t="str">
        <f>IF(ISBLANK(C1269),"",_xlfn.IFNA(INDEX(inbound_data[],MATCH(Outbound_data[[#This Row],[STOCK CODE OUT]],Generated_Stockcode,0),13),""))</f>
        <v/>
      </c>
    </row>
    <row r="1270" spans="2:17" x14ac:dyDescent="0.25">
      <c r="B1270" s="71"/>
      <c r="C1270" s="65"/>
      <c r="D1270" s="55"/>
      <c r="E1270" s="65"/>
      <c r="F1270" s="166"/>
      <c r="G1270" s="167"/>
      <c r="H1270" s="166"/>
      <c r="I1270" s="72"/>
      <c r="J1270" s="55"/>
      <c r="K1270" s="72"/>
      <c r="L1270" s="55"/>
      <c r="M1270" s="174"/>
      <c r="N1270" s="73" t="str">
        <f>IF(ISBLANK(C1270),"",_xlfn.IFNA(INDEX(inbound_data[],MATCH(Outbound_data[[#This Row],[STOCK CODE OUT]],Generated_Stockcode,0),10),""))</f>
        <v/>
      </c>
      <c r="O1270" s="73" t="str">
        <f>IF(ISBLANK(C1270),"",_xlfn.IFNA(INDEX(inbound_data[],MATCH(Outbound_data[[#This Row],[STOCK CODE OUT]],Generated_Stockcode,0),12),""))</f>
        <v/>
      </c>
      <c r="P1270" s="73" t="str">
        <f>IF(ISBLANK(C1270),"",_xlfn.IFNA(INDEX(inbound_data[],MATCH(Outbound_data[[#This Row],[STOCK CODE OUT]],Generated_Stockcode,0),23),""))</f>
        <v/>
      </c>
      <c r="Q1270" s="73" t="str">
        <f>IF(ISBLANK(C1270),"",_xlfn.IFNA(INDEX(inbound_data[],MATCH(Outbound_data[[#This Row],[STOCK CODE OUT]],Generated_Stockcode,0),13),""))</f>
        <v/>
      </c>
    </row>
    <row r="1271" spans="2:17" x14ac:dyDescent="0.25">
      <c r="B1271" s="71"/>
      <c r="C1271" s="65"/>
      <c r="D1271" s="55"/>
      <c r="E1271" s="65"/>
      <c r="F1271" s="166"/>
      <c r="G1271" s="167"/>
      <c r="H1271" s="166"/>
      <c r="I1271" s="72"/>
      <c r="J1271" s="55"/>
      <c r="K1271" s="72"/>
      <c r="L1271" s="55"/>
      <c r="M1271" s="174"/>
      <c r="N1271" s="73" t="str">
        <f>IF(ISBLANK(C1271),"",_xlfn.IFNA(INDEX(inbound_data[],MATCH(Outbound_data[[#This Row],[STOCK CODE OUT]],Generated_Stockcode,0),10),""))</f>
        <v/>
      </c>
      <c r="O1271" s="73" t="str">
        <f>IF(ISBLANK(C1271),"",_xlfn.IFNA(INDEX(inbound_data[],MATCH(Outbound_data[[#This Row],[STOCK CODE OUT]],Generated_Stockcode,0),12),""))</f>
        <v/>
      </c>
      <c r="P1271" s="73" t="str">
        <f>IF(ISBLANK(C1271),"",_xlfn.IFNA(INDEX(inbound_data[],MATCH(Outbound_data[[#This Row],[STOCK CODE OUT]],Generated_Stockcode,0),23),""))</f>
        <v/>
      </c>
      <c r="Q1271" s="73" t="str">
        <f>IF(ISBLANK(C1271),"",_xlfn.IFNA(INDEX(inbound_data[],MATCH(Outbound_data[[#This Row],[STOCK CODE OUT]],Generated_Stockcode,0),13),""))</f>
        <v/>
      </c>
    </row>
    <row r="1272" spans="2:17" x14ac:dyDescent="0.25">
      <c r="B1272" s="71"/>
      <c r="C1272" s="65"/>
      <c r="D1272" s="55"/>
      <c r="E1272" s="65"/>
      <c r="F1272" s="166"/>
      <c r="G1272" s="167"/>
      <c r="H1272" s="166"/>
      <c r="I1272" s="72"/>
      <c r="J1272" s="55"/>
      <c r="K1272" s="72"/>
      <c r="L1272" s="55"/>
      <c r="M1272" s="174"/>
      <c r="N1272" s="73" t="str">
        <f>IF(ISBLANK(C1272),"",_xlfn.IFNA(INDEX(inbound_data[],MATCH(Outbound_data[[#This Row],[STOCK CODE OUT]],Generated_Stockcode,0),10),""))</f>
        <v/>
      </c>
      <c r="O1272" s="73" t="str">
        <f>IF(ISBLANK(C1272),"",_xlfn.IFNA(INDEX(inbound_data[],MATCH(Outbound_data[[#This Row],[STOCK CODE OUT]],Generated_Stockcode,0),12),""))</f>
        <v/>
      </c>
      <c r="P1272" s="73" t="str">
        <f>IF(ISBLANK(C1272),"",_xlfn.IFNA(INDEX(inbound_data[],MATCH(Outbound_data[[#This Row],[STOCK CODE OUT]],Generated_Stockcode,0),23),""))</f>
        <v/>
      </c>
      <c r="Q1272" s="73" t="str">
        <f>IF(ISBLANK(C1272),"",_xlfn.IFNA(INDEX(inbound_data[],MATCH(Outbound_data[[#This Row],[STOCK CODE OUT]],Generated_Stockcode,0),13),""))</f>
        <v/>
      </c>
    </row>
    <row r="1273" spans="2:17" x14ac:dyDescent="0.25">
      <c r="B1273" s="71"/>
      <c r="C1273" s="65"/>
      <c r="D1273" s="55"/>
      <c r="E1273" s="65"/>
      <c r="F1273" s="166"/>
      <c r="G1273" s="167"/>
      <c r="H1273" s="166"/>
      <c r="I1273" s="72"/>
      <c r="J1273" s="55"/>
      <c r="K1273" s="72"/>
      <c r="L1273" s="55"/>
      <c r="M1273" s="174"/>
      <c r="N1273" s="73" t="str">
        <f>IF(ISBLANK(C1273),"",_xlfn.IFNA(INDEX(inbound_data[],MATCH(Outbound_data[[#This Row],[STOCK CODE OUT]],Generated_Stockcode,0),10),""))</f>
        <v/>
      </c>
      <c r="O1273" s="73" t="str">
        <f>IF(ISBLANK(C1273),"",_xlfn.IFNA(INDEX(inbound_data[],MATCH(Outbound_data[[#This Row],[STOCK CODE OUT]],Generated_Stockcode,0),12),""))</f>
        <v/>
      </c>
      <c r="P1273" s="73" t="str">
        <f>IF(ISBLANK(C1273),"",_xlfn.IFNA(INDEX(inbound_data[],MATCH(Outbound_data[[#This Row],[STOCK CODE OUT]],Generated_Stockcode,0),23),""))</f>
        <v/>
      </c>
      <c r="Q1273" s="73" t="str">
        <f>IF(ISBLANK(C1273),"",_xlfn.IFNA(INDEX(inbound_data[],MATCH(Outbound_data[[#This Row],[STOCK CODE OUT]],Generated_Stockcode,0),13),""))</f>
        <v/>
      </c>
    </row>
    <row r="1274" spans="2:17" x14ac:dyDescent="0.25">
      <c r="B1274" s="71"/>
      <c r="C1274" s="65"/>
      <c r="D1274" s="55"/>
      <c r="E1274" s="65"/>
      <c r="F1274" s="166"/>
      <c r="G1274" s="167"/>
      <c r="H1274" s="166"/>
      <c r="I1274" s="72"/>
      <c r="J1274" s="55"/>
      <c r="K1274" s="72"/>
      <c r="L1274" s="55"/>
      <c r="M1274" s="174"/>
      <c r="N1274" s="73" t="str">
        <f>IF(ISBLANK(C1274),"",_xlfn.IFNA(INDEX(inbound_data[],MATCH(Outbound_data[[#This Row],[STOCK CODE OUT]],Generated_Stockcode,0),10),""))</f>
        <v/>
      </c>
      <c r="O1274" s="73" t="str">
        <f>IF(ISBLANK(C1274),"",_xlfn.IFNA(INDEX(inbound_data[],MATCH(Outbound_data[[#This Row],[STOCK CODE OUT]],Generated_Stockcode,0),12),""))</f>
        <v/>
      </c>
      <c r="P1274" s="73" t="str">
        <f>IF(ISBLANK(C1274),"",_xlfn.IFNA(INDEX(inbound_data[],MATCH(Outbound_data[[#This Row],[STOCK CODE OUT]],Generated_Stockcode,0),23),""))</f>
        <v/>
      </c>
      <c r="Q1274" s="73" t="str">
        <f>IF(ISBLANK(C1274),"",_xlfn.IFNA(INDEX(inbound_data[],MATCH(Outbound_data[[#This Row],[STOCK CODE OUT]],Generated_Stockcode,0),13),""))</f>
        <v/>
      </c>
    </row>
    <row r="1275" spans="2:17" x14ac:dyDescent="0.25">
      <c r="B1275" s="71"/>
      <c r="C1275" s="65"/>
      <c r="D1275" s="55"/>
      <c r="E1275" s="65"/>
      <c r="F1275" s="166"/>
      <c r="G1275" s="167"/>
      <c r="H1275" s="166"/>
      <c r="I1275" s="72"/>
      <c r="J1275" s="55"/>
      <c r="K1275" s="72"/>
      <c r="L1275" s="55"/>
      <c r="M1275" s="174"/>
      <c r="N1275" s="73" t="str">
        <f>IF(ISBLANK(C1275),"",_xlfn.IFNA(INDEX(inbound_data[],MATCH(Outbound_data[[#This Row],[STOCK CODE OUT]],Generated_Stockcode,0),10),""))</f>
        <v/>
      </c>
      <c r="O1275" s="73" t="str">
        <f>IF(ISBLANK(C1275),"",_xlfn.IFNA(INDEX(inbound_data[],MATCH(Outbound_data[[#This Row],[STOCK CODE OUT]],Generated_Stockcode,0),12),""))</f>
        <v/>
      </c>
      <c r="P1275" s="73" t="str">
        <f>IF(ISBLANK(C1275),"",_xlfn.IFNA(INDEX(inbound_data[],MATCH(Outbound_data[[#This Row],[STOCK CODE OUT]],Generated_Stockcode,0),23),""))</f>
        <v/>
      </c>
      <c r="Q1275" s="73" t="str">
        <f>IF(ISBLANK(C1275),"",_xlfn.IFNA(INDEX(inbound_data[],MATCH(Outbound_data[[#This Row],[STOCK CODE OUT]],Generated_Stockcode,0),13),""))</f>
        <v/>
      </c>
    </row>
    <row r="1276" spans="2:17" x14ac:dyDescent="0.25">
      <c r="B1276" s="71"/>
      <c r="C1276" s="65"/>
      <c r="D1276" s="55"/>
      <c r="E1276" s="65"/>
      <c r="F1276" s="166"/>
      <c r="G1276" s="167"/>
      <c r="H1276" s="166"/>
      <c r="I1276" s="72"/>
      <c r="J1276" s="55"/>
      <c r="K1276" s="72"/>
      <c r="L1276" s="55"/>
      <c r="M1276" s="174"/>
      <c r="N1276" s="73" t="str">
        <f>IF(ISBLANK(C1276),"",_xlfn.IFNA(INDEX(inbound_data[],MATCH(Outbound_data[[#This Row],[STOCK CODE OUT]],Generated_Stockcode,0),10),""))</f>
        <v/>
      </c>
      <c r="O1276" s="73" t="str">
        <f>IF(ISBLANK(C1276),"",_xlfn.IFNA(INDEX(inbound_data[],MATCH(Outbound_data[[#This Row],[STOCK CODE OUT]],Generated_Stockcode,0),12),""))</f>
        <v/>
      </c>
      <c r="P1276" s="73" t="str">
        <f>IF(ISBLANK(C1276),"",_xlfn.IFNA(INDEX(inbound_data[],MATCH(Outbound_data[[#This Row],[STOCK CODE OUT]],Generated_Stockcode,0),23),""))</f>
        <v/>
      </c>
      <c r="Q1276" s="73" t="str">
        <f>IF(ISBLANK(C1276),"",_xlfn.IFNA(INDEX(inbound_data[],MATCH(Outbound_data[[#This Row],[STOCK CODE OUT]],Generated_Stockcode,0),13),""))</f>
        <v/>
      </c>
    </row>
    <row r="1277" spans="2:17" x14ac:dyDescent="0.25">
      <c r="B1277" s="71"/>
      <c r="C1277" s="65"/>
      <c r="D1277" s="55"/>
      <c r="E1277" s="65"/>
      <c r="F1277" s="166"/>
      <c r="G1277" s="167"/>
      <c r="H1277" s="166"/>
      <c r="I1277" s="72"/>
      <c r="J1277" s="55"/>
      <c r="K1277" s="72"/>
      <c r="L1277" s="55"/>
      <c r="M1277" s="174"/>
      <c r="N1277" s="73" t="str">
        <f>IF(ISBLANK(C1277),"",_xlfn.IFNA(INDEX(inbound_data[],MATCH(Outbound_data[[#This Row],[STOCK CODE OUT]],Generated_Stockcode,0),10),""))</f>
        <v/>
      </c>
      <c r="O1277" s="73" t="str">
        <f>IF(ISBLANK(C1277),"",_xlfn.IFNA(INDEX(inbound_data[],MATCH(Outbound_data[[#This Row],[STOCK CODE OUT]],Generated_Stockcode,0),12),""))</f>
        <v/>
      </c>
      <c r="P1277" s="73" t="str">
        <f>IF(ISBLANK(C1277),"",_xlfn.IFNA(INDEX(inbound_data[],MATCH(Outbound_data[[#This Row],[STOCK CODE OUT]],Generated_Stockcode,0),23),""))</f>
        <v/>
      </c>
      <c r="Q1277" s="73" t="str">
        <f>IF(ISBLANK(C1277),"",_xlfn.IFNA(INDEX(inbound_data[],MATCH(Outbound_data[[#This Row],[STOCK CODE OUT]],Generated_Stockcode,0),13),""))</f>
        <v/>
      </c>
    </row>
    <row r="1278" spans="2:17" x14ac:dyDescent="0.25">
      <c r="B1278" s="71"/>
      <c r="C1278" s="65"/>
      <c r="D1278" s="55"/>
      <c r="E1278" s="65"/>
      <c r="F1278" s="166"/>
      <c r="G1278" s="167"/>
      <c r="H1278" s="166"/>
      <c r="I1278" s="72"/>
      <c r="J1278" s="55"/>
      <c r="K1278" s="72"/>
      <c r="L1278" s="55"/>
      <c r="M1278" s="174"/>
      <c r="N1278" s="73" t="str">
        <f>IF(ISBLANK(C1278),"",_xlfn.IFNA(INDEX(inbound_data[],MATCH(Outbound_data[[#This Row],[STOCK CODE OUT]],Generated_Stockcode,0),10),""))</f>
        <v/>
      </c>
      <c r="O1278" s="73" t="str">
        <f>IF(ISBLANK(C1278),"",_xlfn.IFNA(INDEX(inbound_data[],MATCH(Outbound_data[[#This Row],[STOCK CODE OUT]],Generated_Stockcode,0),12),""))</f>
        <v/>
      </c>
      <c r="P1278" s="73" t="str">
        <f>IF(ISBLANK(C1278),"",_xlfn.IFNA(INDEX(inbound_data[],MATCH(Outbound_data[[#This Row],[STOCK CODE OUT]],Generated_Stockcode,0),23),""))</f>
        <v/>
      </c>
      <c r="Q1278" s="73" t="str">
        <f>IF(ISBLANK(C1278),"",_xlfn.IFNA(INDEX(inbound_data[],MATCH(Outbound_data[[#This Row],[STOCK CODE OUT]],Generated_Stockcode,0),13),""))</f>
        <v/>
      </c>
    </row>
    <row r="1279" spans="2:17" x14ac:dyDescent="0.25">
      <c r="B1279" s="71"/>
      <c r="C1279" s="65"/>
      <c r="D1279" s="55"/>
      <c r="E1279" s="65"/>
      <c r="F1279" s="166"/>
      <c r="G1279" s="167"/>
      <c r="H1279" s="166"/>
      <c r="I1279" s="72"/>
      <c r="J1279" s="55"/>
      <c r="K1279" s="72"/>
      <c r="L1279" s="55"/>
      <c r="M1279" s="174"/>
      <c r="N1279" s="73" t="str">
        <f>IF(ISBLANK(C1279),"",_xlfn.IFNA(INDEX(inbound_data[],MATCH(Outbound_data[[#This Row],[STOCK CODE OUT]],Generated_Stockcode,0),10),""))</f>
        <v/>
      </c>
      <c r="O1279" s="73" t="str">
        <f>IF(ISBLANK(C1279),"",_xlfn.IFNA(INDEX(inbound_data[],MATCH(Outbound_data[[#This Row],[STOCK CODE OUT]],Generated_Stockcode,0),12),""))</f>
        <v/>
      </c>
      <c r="P1279" s="73" t="str">
        <f>IF(ISBLANK(C1279),"",_xlfn.IFNA(INDEX(inbound_data[],MATCH(Outbound_data[[#This Row],[STOCK CODE OUT]],Generated_Stockcode,0),23),""))</f>
        <v/>
      </c>
      <c r="Q1279" s="73" t="str">
        <f>IF(ISBLANK(C1279),"",_xlfn.IFNA(INDEX(inbound_data[],MATCH(Outbound_data[[#This Row],[STOCK CODE OUT]],Generated_Stockcode,0),13),""))</f>
        <v/>
      </c>
    </row>
    <row r="1280" spans="2:17" x14ac:dyDescent="0.25">
      <c r="B1280" s="71"/>
      <c r="C1280" s="65"/>
      <c r="D1280" s="55"/>
      <c r="E1280" s="65"/>
      <c r="F1280" s="166"/>
      <c r="G1280" s="167"/>
      <c r="H1280" s="166"/>
      <c r="I1280" s="72"/>
      <c r="J1280" s="55"/>
      <c r="K1280" s="72"/>
      <c r="L1280" s="55"/>
      <c r="M1280" s="174"/>
      <c r="N1280" s="73" t="str">
        <f>IF(ISBLANK(C1280),"",_xlfn.IFNA(INDEX(inbound_data[],MATCH(Outbound_data[[#This Row],[STOCK CODE OUT]],Generated_Stockcode,0),10),""))</f>
        <v/>
      </c>
      <c r="O1280" s="73" t="str">
        <f>IF(ISBLANK(C1280),"",_xlfn.IFNA(INDEX(inbound_data[],MATCH(Outbound_data[[#This Row],[STOCK CODE OUT]],Generated_Stockcode,0),12),""))</f>
        <v/>
      </c>
      <c r="P1280" s="73" t="str">
        <f>IF(ISBLANK(C1280),"",_xlfn.IFNA(INDEX(inbound_data[],MATCH(Outbound_data[[#This Row],[STOCK CODE OUT]],Generated_Stockcode,0),23),""))</f>
        <v/>
      </c>
      <c r="Q1280" s="73" t="str">
        <f>IF(ISBLANK(C1280),"",_xlfn.IFNA(INDEX(inbound_data[],MATCH(Outbound_data[[#This Row],[STOCK CODE OUT]],Generated_Stockcode,0),13),""))</f>
        <v/>
      </c>
    </row>
    <row r="1281" spans="2:17" x14ac:dyDescent="0.25">
      <c r="B1281" s="71"/>
      <c r="C1281" s="65"/>
      <c r="D1281" s="55"/>
      <c r="E1281" s="65"/>
      <c r="F1281" s="166"/>
      <c r="G1281" s="167"/>
      <c r="H1281" s="166"/>
      <c r="I1281" s="72"/>
      <c r="J1281" s="55"/>
      <c r="K1281" s="72"/>
      <c r="L1281" s="55"/>
      <c r="M1281" s="174"/>
      <c r="N1281" s="73" t="str">
        <f>IF(ISBLANK(C1281),"",_xlfn.IFNA(INDEX(inbound_data[],MATCH(Outbound_data[[#This Row],[STOCK CODE OUT]],Generated_Stockcode,0),10),""))</f>
        <v/>
      </c>
      <c r="O1281" s="73" t="str">
        <f>IF(ISBLANK(C1281),"",_xlfn.IFNA(INDEX(inbound_data[],MATCH(Outbound_data[[#This Row],[STOCK CODE OUT]],Generated_Stockcode,0),12),""))</f>
        <v/>
      </c>
      <c r="P1281" s="73" t="str">
        <f>IF(ISBLANK(C1281),"",_xlfn.IFNA(INDEX(inbound_data[],MATCH(Outbound_data[[#This Row],[STOCK CODE OUT]],Generated_Stockcode,0),23),""))</f>
        <v/>
      </c>
      <c r="Q1281" s="73" t="str">
        <f>IF(ISBLANK(C1281),"",_xlfn.IFNA(INDEX(inbound_data[],MATCH(Outbound_data[[#This Row],[STOCK CODE OUT]],Generated_Stockcode,0),13),""))</f>
        <v/>
      </c>
    </row>
    <row r="1282" spans="2:17" x14ac:dyDescent="0.25">
      <c r="B1282" s="71"/>
      <c r="C1282" s="65"/>
      <c r="D1282" s="55"/>
      <c r="E1282" s="65"/>
      <c r="F1282" s="166"/>
      <c r="G1282" s="167"/>
      <c r="H1282" s="166"/>
      <c r="I1282" s="72"/>
      <c r="J1282" s="55"/>
      <c r="K1282" s="72"/>
      <c r="L1282" s="55"/>
      <c r="M1282" s="174"/>
      <c r="N1282" s="73" t="str">
        <f>IF(ISBLANK(C1282),"",_xlfn.IFNA(INDEX(inbound_data[],MATCH(Outbound_data[[#This Row],[STOCK CODE OUT]],Generated_Stockcode,0),10),""))</f>
        <v/>
      </c>
      <c r="O1282" s="73" t="str">
        <f>IF(ISBLANK(C1282),"",_xlfn.IFNA(INDEX(inbound_data[],MATCH(Outbound_data[[#This Row],[STOCK CODE OUT]],Generated_Stockcode,0),12),""))</f>
        <v/>
      </c>
      <c r="P1282" s="73" t="str">
        <f>IF(ISBLANK(C1282),"",_xlfn.IFNA(INDEX(inbound_data[],MATCH(Outbound_data[[#This Row],[STOCK CODE OUT]],Generated_Stockcode,0),23),""))</f>
        <v/>
      </c>
      <c r="Q1282" s="73" t="str">
        <f>IF(ISBLANK(C1282),"",_xlfn.IFNA(INDEX(inbound_data[],MATCH(Outbound_data[[#This Row],[STOCK CODE OUT]],Generated_Stockcode,0),13),""))</f>
        <v/>
      </c>
    </row>
    <row r="1283" spans="2:17" x14ac:dyDescent="0.25">
      <c r="B1283" s="71"/>
      <c r="C1283" s="65"/>
      <c r="D1283" s="55"/>
      <c r="E1283" s="65"/>
      <c r="F1283" s="166"/>
      <c r="G1283" s="167"/>
      <c r="H1283" s="166"/>
      <c r="I1283" s="72"/>
      <c r="J1283" s="55"/>
      <c r="K1283" s="72"/>
      <c r="L1283" s="55"/>
      <c r="M1283" s="174"/>
      <c r="N1283" s="73" t="str">
        <f>IF(ISBLANK(C1283),"",_xlfn.IFNA(INDEX(inbound_data[],MATCH(Outbound_data[[#This Row],[STOCK CODE OUT]],Generated_Stockcode,0),10),""))</f>
        <v/>
      </c>
      <c r="O1283" s="73" t="str">
        <f>IF(ISBLANK(C1283),"",_xlfn.IFNA(INDEX(inbound_data[],MATCH(Outbound_data[[#This Row],[STOCK CODE OUT]],Generated_Stockcode,0),12),""))</f>
        <v/>
      </c>
      <c r="P1283" s="73" t="str">
        <f>IF(ISBLANK(C1283),"",_xlfn.IFNA(INDEX(inbound_data[],MATCH(Outbound_data[[#This Row],[STOCK CODE OUT]],Generated_Stockcode,0),23),""))</f>
        <v/>
      </c>
      <c r="Q1283" s="73" t="str">
        <f>IF(ISBLANK(C1283),"",_xlfn.IFNA(INDEX(inbound_data[],MATCH(Outbound_data[[#This Row],[STOCK CODE OUT]],Generated_Stockcode,0),13),""))</f>
        <v/>
      </c>
    </row>
    <row r="1284" spans="2:17" x14ac:dyDescent="0.25">
      <c r="B1284" s="71"/>
      <c r="C1284" s="65"/>
      <c r="D1284" s="55"/>
      <c r="E1284" s="65"/>
      <c r="F1284" s="166"/>
      <c r="G1284" s="167"/>
      <c r="H1284" s="166"/>
      <c r="I1284" s="72"/>
      <c r="J1284" s="55"/>
      <c r="K1284" s="72"/>
      <c r="L1284" s="55"/>
      <c r="M1284" s="174"/>
      <c r="N1284" s="73" t="str">
        <f>IF(ISBLANK(C1284),"",_xlfn.IFNA(INDEX(inbound_data[],MATCH(Outbound_data[[#This Row],[STOCK CODE OUT]],Generated_Stockcode,0),10),""))</f>
        <v/>
      </c>
      <c r="O1284" s="73" t="str">
        <f>IF(ISBLANK(C1284),"",_xlfn.IFNA(INDEX(inbound_data[],MATCH(Outbound_data[[#This Row],[STOCK CODE OUT]],Generated_Stockcode,0),12),""))</f>
        <v/>
      </c>
      <c r="P1284" s="73" t="str">
        <f>IF(ISBLANK(C1284),"",_xlfn.IFNA(INDEX(inbound_data[],MATCH(Outbound_data[[#This Row],[STOCK CODE OUT]],Generated_Stockcode,0),23),""))</f>
        <v/>
      </c>
      <c r="Q1284" s="73" t="str">
        <f>IF(ISBLANK(C1284),"",_xlfn.IFNA(INDEX(inbound_data[],MATCH(Outbound_data[[#This Row],[STOCK CODE OUT]],Generated_Stockcode,0),13),""))</f>
        <v/>
      </c>
    </row>
    <row r="1285" spans="2:17" x14ac:dyDescent="0.25">
      <c r="B1285" s="71"/>
      <c r="C1285" s="65"/>
      <c r="D1285" s="55"/>
      <c r="E1285" s="65"/>
      <c r="F1285" s="166"/>
      <c r="G1285" s="167"/>
      <c r="H1285" s="166"/>
      <c r="I1285" s="72"/>
      <c r="J1285" s="55"/>
      <c r="K1285" s="72"/>
      <c r="L1285" s="55"/>
      <c r="M1285" s="174"/>
      <c r="N1285" s="73" t="str">
        <f>IF(ISBLANK(C1285),"",_xlfn.IFNA(INDEX(inbound_data[],MATCH(Outbound_data[[#This Row],[STOCK CODE OUT]],Generated_Stockcode,0),10),""))</f>
        <v/>
      </c>
      <c r="O1285" s="73" t="str">
        <f>IF(ISBLANK(C1285),"",_xlfn.IFNA(INDEX(inbound_data[],MATCH(Outbound_data[[#This Row],[STOCK CODE OUT]],Generated_Stockcode,0),12),""))</f>
        <v/>
      </c>
      <c r="P1285" s="73" t="str">
        <f>IF(ISBLANK(C1285),"",_xlfn.IFNA(INDEX(inbound_data[],MATCH(Outbound_data[[#This Row],[STOCK CODE OUT]],Generated_Stockcode,0),23),""))</f>
        <v/>
      </c>
      <c r="Q1285" s="73" t="str">
        <f>IF(ISBLANK(C1285),"",_xlfn.IFNA(INDEX(inbound_data[],MATCH(Outbound_data[[#This Row],[STOCK CODE OUT]],Generated_Stockcode,0),13),""))</f>
        <v/>
      </c>
    </row>
    <row r="1286" spans="2:17" x14ac:dyDescent="0.25">
      <c r="B1286" s="71"/>
      <c r="C1286" s="65"/>
      <c r="D1286" s="55"/>
      <c r="E1286" s="65"/>
      <c r="F1286" s="166"/>
      <c r="G1286" s="167"/>
      <c r="H1286" s="166"/>
      <c r="I1286" s="72"/>
      <c r="J1286" s="55"/>
      <c r="K1286" s="72"/>
      <c r="L1286" s="55"/>
      <c r="M1286" s="174"/>
      <c r="N1286" s="73" t="str">
        <f>IF(ISBLANK(C1286),"",_xlfn.IFNA(INDEX(inbound_data[],MATCH(Outbound_data[[#This Row],[STOCK CODE OUT]],Generated_Stockcode,0),10),""))</f>
        <v/>
      </c>
      <c r="O1286" s="73" t="str">
        <f>IF(ISBLANK(C1286),"",_xlfn.IFNA(INDEX(inbound_data[],MATCH(Outbound_data[[#This Row],[STOCK CODE OUT]],Generated_Stockcode,0),12),""))</f>
        <v/>
      </c>
      <c r="P1286" s="73" t="str">
        <f>IF(ISBLANK(C1286),"",_xlfn.IFNA(INDEX(inbound_data[],MATCH(Outbound_data[[#This Row],[STOCK CODE OUT]],Generated_Stockcode,0),23),""))</f>
        <v/>
      </c>
      <c r="Q1286" s="73" t="str">
        <f>IF(ISBLANK(C1286),"",_xlfn.IFNA(INDEX(inbound_data[],MATCH(Outbound_data[[#This Row],[STOCK CODE OUT]],Generated_Stockcode,0),13),""))</f>
        <v/>
      </c>
    </row>
    <row r="1287" spans="2:17" x14ac:dyDescent="0.25">
      <c r="B1287" s="71"/>
      <c r="C1287" s="65"/>
      <c r="D1287" s="55"/>
      <c r="E1287" s="65"/>
      <c r="F1287" s="166"/>
      <c r="G1287" s="167"/>
      <c r="H1287" s="166"/>
      <c r="I1287" s="72"/>
      <c r="J1287" s="55"/>
      <c r="K1287" s="72"/>
      <c r="L1287" s="55"/>
      <c r="M1287" s="174"/>
      <c r="N1287" s="73" t="str">
        <f>IF(ISBLANK(C1287),"",_xlfn.IFNA(INDEX(inbound_data[],MATCH(Outbound_data[[#This Row],[STOCK CODE OUT]],Generated_Stockcode,0),10),""))</f>
        <v/>
      </c>
      <c r="O1287" s="73" t="str">
        <f>IF(ISBLANK(C1287),"",_xlfn.IFNA(INDEX(inbound_data[],MATCH(Outbound_data[[#This Row],[STOCK CODE OUT]],Generated_Stockcode,0),12),""))</f>
        <v/>
      </c>
      <c r="P1287" s="73" t="str">
        <f>IF(ISBLANK(C1287),"",_xlfn.IFNA(INDEX(inbound_data[],MATCH(Outbound_data[[#This Row],[STOCK CODE OUT]],Generated_Stockcode,0),23),""))</f>
        <v/>
      </c>
      <c r="Q1287" s="73" t="str">
        <f>IF(ISBLANK(C1287),"",_xlfn.IFNA(INDEX(inbound_data[],MATCH(Outbound_data[[#This Row],[STOCK CODE OUT]],Generated_Stockcode,0),13),""))</f>
        <v/>
      </c>
    </row>
    <row r="1288" spans="2:17" x14ac:dyDescent="0.25">
      <c r="B1288" s="71"/>
      <c r="C1288" s="65"/>
      <c r="D1288" s="55"/>
      <c r="E1288" s="65"/>
      <c r="F1288" s="166"/>
      <c r="G1288" s="167"/>
      <c r="H1288" s="166"/>
      <c r="I1288" s="72"/>
      <c r="J1288" s="55"/>
      <c r="K1288" s="72"/>
      <c r="L1288" s="55"/>
      <c r="M1288" s="174"/>
      <c r="N1288" s="73" t="str">
        <f>IF(ISBLANK(C1288),"",_xlfn.IFNA(INDEX(inbound_data[],MATCH(Outbound_data[[#This Row],[STOCK CODE OUT]],Generated_Stockcode,0),10),""))</f>
        <v/>
      </c>
      <c r="O1288" s="73" t="str">
        <f>IF(ISBLANK(C1288),"",_xlfn.IFNA(INDEX(inbound_data[],MATCH(Outbound_data[[#This Row],[STOCK CODE OUT]],Generated_Stockcode,0),12),""))</f>
        <v/>
      </c>
      <c r="P1288" s="73" t="str">
        <f>IF(ISBLANK(C1288),"",_xlfn.IFNA(INDEX(inbound_data[],MATCH(Outbound_data[[#This Row],[STOCK CODE OUT]],Generated_Stockcode,0),23),""))</f>
        <v/>
      </c>
      <c r="Q1288" s="73" t="str">
        <f>IF(ISBLANK(C1288),"",_xlfn.IFNA(INDEX(inbound_data[],MATCH(Outbound_data[[#This Row],[STOCK CODE OUT]],Generated_Stockcode,0),13),""))</f>
        <v/>
      </c>
    </row>
    <row r="1289" spans="2:17" x14ac:dyDescent="0.25">
      <c r="B1289" s="71"/>
      <c r="C1289" s="65"/>
      <c r="D1289" s="55"/>
      <c r="E1289" s="65"/>
      <c r="F1289" s="166"/>
      <c r="G1289" s="167"/>
      <c r="H1289" s="166"/>
      <c r="I1289" s="72"/>
      <c r="J1289" s="55"/>
      <c r="K1289" s="72"/>
      <c r="L1289" s="55"/>
      <c r="M1289" s="174"/>
      <c r="N1289" s="73" t="str">
        <f>IF(ISBLANK(C1289),"",_xlfn.IFNA(INDEX(inbound_data[],MATCH(Outbound_data[[#This Row],[STOCK CODE OUT]],Generated_Stockcode,0),10),""))</f>
        <v/>
      </c>
      <c r="O1289" s="73" t="str">
        <f>IF(ISBLANK(C1289),"",_xlfn.IFNA(INDEX(inbound_data[],MATCH(Outbound_data[[#This Row],[STOCK CODE OUT]],Generated_Stockcode,0),12),""))</f>
        <v/>
      </c>
      <c r="P1289" s="73" t="str">
        <f>IF(ISBLANK(C1289),"",_xlfn.IFNA(INDEX(inbound_data[],MATCH(Outbound_data[[#This Row],[STOCK CODE OUT]],Generated_Stockcode,0),23),""))</f>
        <v/>
      </c>
      <c r="Q1289" s="73" t="str">
        <f>IF(ISBLANK(C1289),"",_xlfn.IFNA(INDEX(inbound_data[],MATCH(Outbound_data[[#This Row],[STOCK CODE OUT]],Generated_Stockcode,0),13),""))</f>
        <v/>
      </c>
    </row>
    <row r="1290" spans="2:17" x14ac:dyDescent="0.25">
      <c r="B1290" s="71"/>
      <c r="C1290" s="65"/>
      <c r="D1290" s="55"/>
      <c r="E1290" s="65"/>
      <c r="F1290" s="166"/>
      <c r="G1290" s="167"/>
      <c r="H1290" s="166"/>
      <c r="I1290" s="72"/>
      <c r="J1290" s="55"/>
      <c r="K1290" s="72"/>
      <c r="L1290" s="55"/>
      <c r="M1290" s="174"/>
      <c r="N1290" s="73" t="str">
        <f>IF(ISBLANK(C1290),"",_xlfn.IFNA(INDEX(inbound_data[],MATCH(Outbound_data[[#This Row],[STOCK CODE OUT]],Generated_Stockcode,0),10),""))</f>
        <v/>
      </c>
      <c r="O1290" s="73" t="str">
        <f>IF(ISBLANK(C1290),"",_xlfn.IFNA(INDEX(inbound_data[],MATCH(Outbound_data[[#This Row],[STOCK CODE OUT]],Generated_Stockcode,0),12),""))</f>
        <v/>
      </c>
      <c r="P1290" s="73" t="str">
        <f>IF(ISBLANK(C1290),"",_xlfn.IFNA(INDEX(inbound_data[],MATCH(Outbound_data[[#This Row],[STOCK CODE OUT]],Generated_Stockcode,0),23),""))</f>
        <v/>
      </c>
      <c r="Q1290" s="73" t="str">
        <f>IF(ISBLANK(C1290),"",_xlfn.IFNA(INDEX(inbound_data[],MATCH(Outbound_data[[#This Row],[STOCK CODE OUT]],Generated_Stockcode,0),13),""))</f>
        <v/>
      </c>
    </row>
    <row r="1291" spans="2:17" x14ac:dyDescent="0.25">
      <c r="B1291" s="71"/>
      <c r="C1291" s="65"/>
      <c r="D1291" s="55"/>
      <c r="E1291" s="65"/>
      <c r="F1291" s="166"/>
      <c r="G1291" s="167"/>
      <c r="H1291" s="166"/>
      <c r="I1291" s="72"/>
      <c r="J1291" s="55"/>
      <c r="K1291" s="72"/>
      <c r="L1291" s="55"/>
      <c r="M1291" s="174"/>
      <c r="N1291" s="73" t="str">
        <f>IF(ISBLANK(C1291),"",_xlfn.IFNA(INDEX(inbound_data[],MATCH(Outbound_data[[#This Row],[STOCK CODE OUT]],Generated_Stockcode,0),10),""))</f>
        <v/>
      </c>
      <c r="O1291" s="73" t="str">
        <f>IF(ISBLANK(C1291),"",_xlfn.IFNA(INDEX(inbound_data[],MATCH(Outbound_data[[#This Row],[STOCK CODE OUT]],Generated_Stockcode,0),12),""))</f>
        <v/>
      </c>
      <c r="P1291" s="73" t="str">
        <f>IF(ISBLANK(C1291),"",_xlfn.IFNA(INDEX(inbound_data[],MATCH(Outbound_data[[#This Row],[STOCK CODE OUT]],Generated_Stockcode,0),23),""))</f>
        <v/>
      </c>
      <c r="Q1291" s="73" t="str">
        <f>IF(ISBLANK(C1291),"",_xlfn.IFNA(INDEX(inbound_data[],MATCH(Outbound_data[[#This Row],[STOCK CODE OUT]],Generated_Stockcode,0),13),""))</f>
        <v/>
      </c>
    </row>
    <row r="1292" spans="2:17" x14ac:dyDescent="0.25">
      <c r="B1292" s="71"/>
      <c r="C1292" s="65"/>
      <c r="D1292" s="55"/>
      <c r="E1292" s="65"/>
      <c r="F1292" s="166"/>
      <c r="G1292" s="167"/>
      <c r="H1292" s="166"/>
      <c r="I1292" s="72"/>
      <c r="J1292" s="55"/>
      <c r="K1292" s="72"/>
      <c r="L1292" s="55"/>
      <c r="M1292" s="174"/>
      <c r="N1292" s="73" t="str">
        <f>IF(ISBLANK(C1292),"",_xlfn.IFNA(INDEX(inbound_data[],MATCH(Outbound_data[[#This Row],[STOCK CODE OUT]],Generated_Stockcode,0),10),""))</f>
        <v/>
      </c>
      <c r="O1292" s="73" t="str">
        <f>IF(ISBLANK(C1292),"",_xlfn.IFNA(INDEX(inbound_data[],MATCH(Outbound_data[[#This Row],[STOCK CODE OUT]],Generated_Stockcode,0),12),""))</f>
        <v/>
      </c>
      <c r="P1292" s="73" t="str">
        <f>IF(ISBLANK(C1292),"",_xlfn.IFNA(INDEX(inbound_data[],MATCH(Outbound_data[[#This Row],[STOCK CODE OUT]],Generated_Stockcode,0),23),""))</f>
        <v/>
      </c>
      <c r="Q1292" s="73" t="str">
        <f>IF(ISBLANK(C1292),"",_xlfn.IFNA(INDEX(inbound_data[],MATCH(Outbound_data[[#This Row],[STOCK CODE OUT]],Generated_Stockcode,0),13),""))</f>
        <v/>
      </c>
    </row>
    <row r="1293" spans="2:17" x14ac:dyDescent="0.25">
      <c r="B1293" s="71"/>
      <c r="C1293" s="65"/>
      <c r="D1293" s="55"/>
      <c r="E1293" s="65"/>
      <c r="F1293" s="166"/>
      <c r="G1293" s="167"/>
      <c r="H1293" s="166"/>
      <c r="I1293" s="72"/>
      <c r="J1293" s="55"/>
      <c r="K1293" s="72"/>
      <c r="L1293" s="55"/>
      <c r="M1293" s="174"/>
      <c r="N1293" s="73" t="str">
        <f>IF(ISBLANK(C1293),"",_xlfn.IFNA(INDEX(inbound_data[],MATCH(Outbound_data[[#This Row],[STOCK CODE OUT]],Generated_Stockcode,0),10),""))</f>
        <v/>
      </c>
      <c r="O1293" s="73" t="str">
        <f>IF(ISBLANK(C1293),"",_xlfn.IFNA(INDEX(inbound_data[],MATCH(Outbound_data[[#This Row],[STOCK CODE OUT]],Generated_Stockcode,0),12),""))</f>
        <v/>
      </c>
      <c r="P1293" s="73" t="str">
        <f>IF(ISBLANK(C1293),"",_xlfn.IFNA(INDEX(inbound_data[],MATCH(Outbound_data[[#This Row],[STOCK CODE OUT]],Generated_Stockcode,0),23),""))</f>
        <v/>
      </c>
      <c r="Q1293" s="73" t="str">
        <f>IF(ISBLANK(C1293),"",_xlfn.IFNA(INDEX(inbound_data[],MATCH(Outbound_data[[#This Row],[STOCK CODE OUT]],Generated_Stockcode,0),13),""))</f>
        <v/>
      </c>
    </row>
    <row r="1294" spans="2:17" x14ac:dyDescent="0.25">
      <c r="B1294" s="71"/>
      <c r="C1294" s="65"/>
      <c r="D1294" s="55"/>
      <c r="E1294" s="65"/>
      <c r="F1294" s="166"/>
      <c r="G1294" s="167"/>
      <c r="H1294" s="166"/>
      <c r="I1294" s="72"/>
      <c r="J1294" s="55"/>
      <c r="K1294" s="72"/>
      <c r="L1294" s="55"/>
      <c r="M1294" s="174"/>
      <c r="N1294" s="73" t="str">
        <f>IF(ISBLANK(C1294),"",_xlfn.IFNA(INDEX(inbound_data[],MATCH(Outbound_data[[#This Row],[STOCK CODE OUT]],Generated_Stockcode,0),10),""))</f>
        <v/>
      </c>
      <c r="O1294" s="73" t="str">
        <f>IF(ISBLANK(C1294),"",_xlfn.IFNA(INDEX(inbound_data[],MATCH(Outbound_data[[#This Row],[STOCK CODE OUT]],Generated_Stockcode,0),12),""))</f>
        <v/>
      </c>
      <c r="P1294" s="73" t="str">
        <f>IF(ISBLANK(C1294),"",_xlfn.IFNA(INDEX(inbound_data[],MATCH(Outbound_data[[#This Row],[STOCK CODE OUT]],Generated_Stockcode,0),23),""))</f>
        <v/>
      </c>
      <c r="Q1294" s="73" t="str">
        <f>IF(ISBLANK(C1294),"",_xlfn.IFNA(INDEX(inbound_data[],MATCH(Outbound_data[[#This Row],[STOCK CODE OUT]],Generated_Stockcode,0),13),""))</f>
        <v/>
      </c>
    </row>
    <row r="1295" spans="2:17" x14ac:dyDescent="0.25">
      <c r="B1295" s="71"/>
      <c r="C1295" s="65"/>
      <c r="D1295" s="55"/>
      <c r="E1295" s="65"/>
      <c r="F1295" s="166"/>
      <c r="G1295" s="167"/>
      <c r="H1295" s="166"/>
      <c r="I1295" s="72"/>
      <c r="J1295" s="55"/>
      <c r="K1295" s="72"/>
      <c r="L1295" s="55"/>
      <c r="M1295" s="174"/>
      <c r="N1295" s="73" t="str">
        <f>IF(ISBLANK(C1295),"",_xlfn.IFNA(INDEX(inbound_data[],MATCH(Outbound_data[[#This Row],[STOCK CODE OUT]],Generated_Stockcode,0),10),""))</f>
        <v/>
      </c>
      <c r="O1295" s="73" t="str">
        <f>IF(ISBLANK(C1295),"",_xlfn.IFNA(INDEX(inbound_data[],MATCH(Outbound_data[[#This Row],[STOCK CODE OUT]],Generated_Stockcode,0),12),""))</f>
        <v/>
      </c>
      <c r="P1295" s="73" t="str">
        <f>IF(ISBLANK(C1295),"",_xlfn.IFNA(INDEX(inbound_data[],MATCH(Outbound_data[[#This Row],[STOCK CODE OUT]],Generated_Stockcode,0),23),""))</f>
        <v/>
      </c>
      <c r="Q1295" s="73" t="str">
        <f>IF(ISBLANK(C1295),"",_xlfn.IFNA(INDEX(inbound_data[],MATCH(Outbound_data[[#This Row],[STOCK CODE OUT]],Generated_Stockcode,0),13),""))</f>
        <v/>
      </c>
    </row>
    <row r="1296" spans="2:17" x14ac:dyDescent="0.25">
      <c r="B1296" s="71"/>
      <c r="C1296" s="65"/>
      <c r="D1296" s="55"/>
      <c r="E1296" s="65"/>
      <c r="F1296" s="166"/>
      <c r="G1296" s="167"/>
      <c r="H1296" s="166"/>
      <c r="I1296" s="72"/>
      <c r="J1296" s="55"/>
      <c r="K1296" s="72"/>
      <c r="L1296" s="55"/>
      <c r="M1296" s="174"/>
      <c r="N1296" s="73" t="str">
        <f>IF(ISBLANK(C1296),"",_xlfn.IFNA(INDEX(inbound_data[],MATCH(Outbound_data[[#This Row],[STOCK CODE OUT]],Generated_Stockcode,0),10),""))</f>
        <v/>
      </c>
      <c r="O1296" s="73" t="str">
        <f>IF(ISBLANK(C1296),"",_xlfn.IFNA(INDEX(inbound_data[],MATCH(Outbound_data[[#This Row],[STOCK CODE OUT]],Generated_Stockcode,0),12),""))</f>
        <v/>
      </c>
      <c r="P1296" s="73" t="str">
        <f>IF(ISBLANK(C1296),"",_xlfn.IFNA(INDEX(inbound_data[],MATCH(Outbound_data[[#This Row],[STOCK CODE OUT]],Generated_Stockcode,0),23),""))</f>
        <v/>
      </c>
      <c r="Q1296" s="73" t="str">
        <f>IF(ISBLANK(C1296),"",_xlfn.IFNA(INDEX(inbound_data[],MATCH(Outbound_data[[#This Row],[STOCK CODE OUT]],Generated_Stockcode,0),13),""))</f>
        <v/>
      </c>
    </row>
    <row r="1297" spans="2:17" x14ac:dyDescent="0.25">
      <c r="B1297" s="71"/>
      <c r="C1297" s="65"/>
      <c r="D1297" s="55"/>
      <c r="E1297" s="65"/>
      <c r="F1297" s="166"/>
      <c r="G1297" s="167"/>
      <c r="H1297" s="166"/>
      <c r="I1297" s="72"/>
      <c r="J1297" s="55"/>
      <c r="K1297" s="72"/>
      <c r="L1297" s="55"/>
      <c r="M1297" s="174"/>
      <c r="N1297" s="73" t="str">
        <f>IF(ISBLANK(C1297),"",_xlfn.IFNA(INDEX(inbound_data[],MATCH(Outbound_data[[#This Row],[STOCK CODE OUT]],Generated_Stockcode,0),10),""))</f>
        <v/>
      </c>
      <c r="O1297" s="73" t="str">
        <f>IF(ISBLANK(C1297),"",_xlfn.IFNA(INDEX(inbound_data[],MATCH(Outbound_data[[#This Row],[STOCK CODE OUT]],Generated_Stockcode,0),12),""))</f>
        <v/>
      </c>
      <c r="P1297" s="73" t="str">
        <f>IF(ISBLANK(C1297),"",_xlfn.IFNA(INDEX(inbound_data[],MATCH(Outbound_data[[#This Row],[STOCK CODE OUT]],Generated_Stockcode,0),23),""))</f>
        <v/>
      </c>
      <c r="Q1297" s="73" t="str">
        <f>IF(ISBLANK(C1297),"",_xlfn.IFNA(INDEX(inbound_data[],MATCH(Outbound_data[[#This Row],[STOCK CODE OUT]],Generated_Stockcode,0),13),""))</f>
        <v/>
      </c>
    </row>
    <row r="1298" spans="2:17" x14ac:dyDescent="0.25">
      <c r="B1298" s="71"/>
      <c r="C1298" s="65"/>
      <c r="D1298" s="55"/>
      <c r="E1298" s="65"/>
      <c r="F1298" s="166"/>
      <c r="G1298" s="167"/>
      <c r="H1298" s="166"/>
      <c r="I1298" s="72"/>
      <c r="J1298" s="55"/>
      <c r="K1298" s="72"/>
      <c r="L1298" s="55"/>
      <c r="M1298" s="174"/>
      <c r="N1298" s="73" t="str">
        <f>IF(ISBLANK(C1298),"",_xlfn.IFNA(INDEX(inbound_data[],MATCH(Outbound_data[[#This Row],[STOCK CODE OUT]],Generated_Stockcode,0),10),""))</f>
        <v/>
      </c>
      <c r="O1298" s="73" t="str">
        <f>IF(ISBLANK(C1298),"",_xlfn.IFNA(INDEX(inbound_data[],MATCH(Outbound_data[[#This Row],[STOCK CODE OUT]],Generated_Stockcode,0),12),""))</f>
        <v/>
      </c>
      <c r="P1298" s="73" t="str">
        <f>IF(ISBLANK(C1298),"",_xlfn.IFNA(INDEX(inbound_data[],MATCH(Outbound_data[[#This Row],[STOCK CODE OUT]],Generated_Stockcode,0),23),""))</f>
        <v/>
      </c>
      <c r="Q1298" s="73" t="str">
        <f>IF(ISBLANK(C1298),"",_xlfn.IFNA(INDEX(inbound_data[],MATCH(Outbound_data[[#This Row],[STOCK CODE OUT]],Generated_Stockcode,0),13),""))</f>
        <v/>
      </c>
    </row>
    <row r="1299" spans="2:17" x14ac:dyDescent="0.25">
      <c r="B1299" s="71"/>
      <c r="C1299" s="65"/>
      <c r="D1299" s="55"/>
      <c r="E1299" s="65"/>
      <c r="F1299" s="166"/>
      <c r="G1299" s="167"/>
      <c r="H1299" s="166"/>
      <c r="I1299" s="72"/>
      <c r="J1299" s="55"/>
      <c r="K1299" s="72"/>
      <c r="L1299" s="55"/>
      <c r="M1299" s="174"/>
      <c r="N1299" s="73" t="str">
        <f>IF(ISBLANK(C1299),"",_xlfn.IFNA(INDEX(inbound_data[],MATCH(Outbound_data[[#This Row],[STOCK CODE OUT]],Generated_Stockcode,0),10),""))</f>
        <v/>
      </c>
      <c r="O1299" s="73" t="str">
        <f>IF(ISBLANK(C1299),"",_xlfn.IFNA(INDEX(inbound_data[],MATCH(Outbound_data[[#This Row],[STOCK CODE OUT]],Generated_Stockcode,0),12),""))</f>
        <v/>
      </c>
      <c r="P1299" s="73" t="str">
        <f>IF(ISBLANK(C1299),"",_xlfn.IFNA(INDEX(inbound_data[],MATCH(Outbound_data[[#This Row],[STOCK CODE OUT]],Generated_Stockcode,0),23),""))</f>
        <v/>
      </c>
      <c r="Q1299" s="73" t="str">
        <f>IF(ISBLANK(C1299),"",_xlfn.IFNA(INDEX(inbound_data[],MATCH(Outbound_data[[#This Row],[STOCK CODE OUT]],Generated_Stockcode,0),13),""))</f>
        <v/>
      </c>
    </row>
    <row r="1300" spans="2:17" x14ac:dyDescent="0.25">
      <c r="B1300" s="71"/>
      <c r="C1300" s="65"/>
      <c r="D1300" s="55"/>
      <c r="E1300" s="65"/>
      <c r="F1300" s="166"/>
      <c r="G1300" s="167"/>
      <c r="H1300" s="166"/>
      <c r="I1300" s="72"/>
      <c r="J1300" s="55"/>
      <c r="K1300" s="72"/>
      <c r="L1300" s="55"/>
      <c r="M1300" s="174"/>
      <c r="N1300" s="73" t="str">
        <f>IF(ISBLANK(C1300),"",_xlfn.IFNA(INDEX(inbound_data[],MATCH(Outbound_data[[#This Row],[STOCK CODE OUT]],Generated_Stockcode,0),10),""))</f>
        <v/>
      </c>
      <c r="O1300" s="73" t="str">
        <f>IF(ISBLANK(C1300),"",_xlfn.IFNA(INDEX(inbound_data[],MATCH(Outbound_data[[#This Row],[STOCK CODE OUT]],Generated_Stockcode,0),12),""))</f>
        <v/>
      </c>
      <c r="P1300" s="73" t="str">
        <f>IF(ISBLANK(C1300),"",_xlfn.IFNA(INDEX(inbound_data[],MATCH(Outbound_data[[#This Row],[STOCK CODE OUT]],Generated_Stockcode,0),23),""))</f>
        <v/>
      </c>
      <c r="Q1300" s="73" t="str">
        <f>IF(ISBLANK(C1300),"",_xlfn.IFNA(INDEX(inbound_data[],MATCH(Outbound_data[[#This Row],[STOCK CODE OUT]],Generated_Stockcode,0),13),""))</f>
        <v/>
      </c>
    </row>
    <row r="1301" spans="2:17" x14ac:dyDescent="0.25">
      <c r="B1301" s="71"/>
      <c r="C1301" s="65"/>
      <c r="D1301" s="55"/>
      <c r="E1301" s="65"/>
      <c r="F1301" s="166"/>
      <c r="G1301" s="167"/>
      <c r="H1301" s="166"/>
      <c r="I1301" s="72"/>
      <c r="J1301" s="55"/>
      <c r="K1301" s="72"/>
      <c r="L1301" s="55"/>
      <c r="M1301" s="174"/>
      <c r="N1301" s="73" t="str">
        <f>IF(ISBLANK(C1301),"",_xlfn.IFNA(INDEX(inbound_data[],MATCH(Outbound_data[[#This Row],[STOCK CODE OUT]],Generated_Stockcode,0),10),""))</f>
        <v/>
      </c>
      <c r="O1301" s="73" t="str">
        <f>IF(ISBLANK(C1301),"",_xlfn.IFNA(INDEX(inbound_data[],MATCH(Outbound_data[[#This Row],[STOCK CODE OUT]],Generated_Stockcode,0),12),""))</f>
        <v/>
      </c>
      <c r="P1301" s="73" t="str">
        <f>IF(ISBLANK(C1301),"",_xlfn.IFNA(INDEX(inbound_data[],MATCH(Outbound_data[[#This Row],[STOCK CODE OUT]],Generated_Stockcode,0),23),""))</f>
        <v/>
      </c>
      <c r="Q1301" s="73" t="str">
        <f>IF(ISBLANK(C1301),"",_xlfn.IFNA(INDEX(inbound_data[],MATCH(Outbound_data[[#This Row],[STOCK CODE OUT]],Generated_Stockcode,0),13),""))</f>
        <v/>
      </c>
    </row>
    <row r="1302" spans="2:17" x14ac:dyDescent="0.25">
      <c r="B1302" s="71"/>
      <c r="C1302" s="65"/>
      <c r="D1302" s="55"/>
      <c r="E1302" s="65"/>
      <c r="F1302" s="166"/>
      <c r="G1302" s="167"/>
      <c r="H1302" s="166"/>
      <c r="I1302" s="72"/>
      <c r="J1302" s="55"/>
      <c r="K1302" s="72"/>
      <c r="L1302" s="55"/>
      <c r="M1302" s="174"/>
      <c r="N1302" s="73" t="str">
        <f>IF(ISBLANK(C1302),"",_xlfn.IFNA(INDEX(inbound_data[],MATCH(Outbound_data[[#This Row],[STOCK CODE OUT]],Generated_Stockcode,0),10),""))</f>
        <v/>
      </c>
      <c r="O1302" s="73" t="str">
        <f>IF(ISBLANK(C1302),"",_xlfn.IFNA(INDEX(inbound_data[],MATCH(Outbound_data[[#This Row],[STOCK CODE OUT]],Generated_Stockcode,0),12),""))</f>
        <v/>
      </c>
      <c r="P1302" s="73" t="str">
        <f>IF(ISBLANK(C1302),"",_xlfn.IFNA(INDEX(inbound_data[],MATCH(Outbound_data[[#This Row],[STOCK CODE OUT]],Generated_Stockcode,0),23),""))</f>
        <v/>
      </c>
      <c r="Q1302" s="73" t="str">
        <f>IF(ISBLANK(C1302),"",_xlfn.IFNA(INDEX(inbound_data[],MATCH(Outbound_data[[#This Row],[STOCK CODE OUT]],Generated_Stockcode,0),13),""))</f>
        <v/>
      </c>
    </row>
    <row r="1303" spans="2:17" x14ac:dyDescent="0.25">
      <c r="B1303" s="71"/>
      <c r="C1303" s="65"/>
      <c r="D1303" s="55"/>
      <c r="E1303" s="65"/>
      <c r="F1303" s="166"/>
      <c r="G1303" s="167"/>
      <c r="H1303" s="166"/>
      <c r="I1303" s="72"/>
      <c r="J1303" s="55"/>
      <c r="K1303" s="72"/>
      <c r="L1303" s="55"/>
      <c r="M1303" s="174"/>
      <c r="N1303" s="73" t="str">
        <f>IF(ISBLANK(C1303),"",_xlfn.IFNA(INDEX(inbound_data[],MATCH(Outbound_data[[#This Row],[STOCK CODE OUT]],Generated_Stockcode,0),10),""))</f>
        <v/>
      </c>
      <c r="O1303" s="73" t="str">
        <f>IF(ISBLANK(C1303),"",_xlfn.IFNA(INDEX(inbound_data[],MATCH(Outbound_data[[#This Row],[STOCK CODE OUT]],Generated_Stockcode,0),12),""))</f>
        <v/>
      </c>
      <c r="P1303" s="73" t="str">
        <f>IF(ISBLANK(C1303),"",_xlfn.IFNA(INDEX(inbound_data[],MATCH(Outbound_data[[#This Row],[STOCK CODE OUT]],Generated_Stockcode,0),23),""))</f>
        <v/>
      </c>
      <c r="Q1303" s="73" t="str">
        <f>IF(ISBLANK(C1303),"",_xlfn.IFNA(INDEX(inbound_data[],MATCH(Outbound_data[[#This Row],[STOCK CODE OUT]],Generated_Stockcode,0),13),""))</f>
        <v/>
      </c>
    </row>
    <row r="1304" spans="2:17" x14ac:dyDescent="0.25">
      <c r="B1304" s="71"/>
      <c r="C1304" s="65"/>
      <c r="D1304" s="55"/>
      <c r="E1304" s="65"/>
      <c r="F1304" s="166"/>
      <c r="G1304" s="167"/>
      <c r="H1304" s="166"/>
      <c r="I1304" s="72"/>
      <c r="J1304" s="55"/>
      <c r="K1304" s="72"/>
      <c r="L1304" s="55"/>
      <c r="M1304" s="174"/>
      <c r="N1304" s="73" t="str">
        <f>IF(ISBLANK(C1304),"",_xlfn.IFNA(INDEX(inbound_data[],MATCH(Outbound_data[[#This Row],[STOCK CODE OUT]],Generated_Stockcode,0),10),""))</f>
        <v/>
      </c>
      <c r="O1304" s="73" t="str">
        <f>IF(ISBLANK(C1304),"",_xlfn.IFNA(INDEX(inbound_data[],MATCH(Outbound_data[[#This Row],[STOCK CODE OUT]],Generated_Stockcode,0),12),""))</f>
        <v/>
      </c>
      <c r="P1304" s="73" t="str">
        <f>IF(ISBLANK(C1304),"",_xlfn.IFNA(INDEX(inbound_data[],MATCH(Outbound_data[[#This Row],[STOCK CODE OUT]],Generated_Stockcode,0),23),""))</f>
        <v/>
      </c>
      <c r="Q1304" s="73" t="str">
        <f>IF(ISBLANK(C1304),"",_xlfn.IFNA(INDEX(inbound_data[],MATCH(Outbound_data[[#This Row],[STOCK CODE OUT]],Generated_Stockcode,0),13),""))</f>
        <v/>
      </c>
    </row>
    <row r="1305" spans="2:17" x14ac:dyDescent="0.25">
      <c r="B1305" s="71"/>
      <c r="C1305" s="65"/>
      <c r="D1305" s="55"/>
      <c r="E1305" s="65"/>
      <c r="F1305" s="166"/>
      <c r="G1305" s="167"/>
      <c r="H1305" s="166"/>
      <c r="I1305" s="72"/>
      <c r="J1305" s="55"/>
      <c r="K1305" s="72"/>
      <c r="L1305" s="55"/>
      <c r="M1305" s="174"/>
      <c r="N1305" s="73" t="str">
        <f>IF(ISBLANK(C1305),"",_xlfn.IFNA(INDEX(inbound_data[],MATCH(Outbound_data[[#This Row],[STOCK CODE OUT]],Generated_Stockcode,0),10),""))</f>
        <v/>
      </c>
      <c r="O1305" s="73" t="str">
        <f>IF(ISBLANK(C1305),"",_xlfn.IFNA(INDEX(inbound_data[],MATCH(Outbound_data[[#This Row],[STOCK CODE OUT]],Generated_Stockcode,0),12),""))</f>
        <v/>
      </c>
      <c r="P1305" s="73" t="str">
        <f>IF(ISBLANK(C1305),"",_xlfn.IFNA(INDEX(inbound_data[],MATCH(Outbound_data[[#This Row],[STOCK CODE OUT]],Generated_Stockcode,0),23),""))</f>
        <v/>
      </c>
      <c r="Q1305" s="73" t="str">
        <f>IF(ISBLANK(C1305),"",_xlfn.IFNA(INDEX(inbound_data[],MATCH(Outbound_data[[#This Row],[STOCK CODE OUT]],Generated_Stockcode,0),13),""))</f>
        <v/>
      </c>
    </row>
    <row r="1306" spans="2:17" x14ac:dyDescent="0.25">
      <c r="B1306" s="71"/>
      <c r="C1306" s="65"/>
      <c r="D1306" s="55"/>
      <c r="E1306" s="65"/>
      <c r="F1306" s="166"/>
      <c r="G1306" s="167"/>
      <c r="H1306" s="166"/>
      <c r="I1306" s="72"/>
      <c r="J1306" s="55"/>
      <c r="K1306" s="72"/>
      <c r="L1306" s="55"/>
      <c r="M1306" s="174"/>
      <c r="N1306" s="73" t="str">
        <f>IF(ISBLANK(C1306),"",_xlfn.IFNA(INDEX(inbound_data[],MATCH(Outbound_data[[#This Row],[STOCK CODE OUT]],Generated_Stockcode,0),10),""))</f>
        <v/>
      </c>
      <c r="O1306" s="73" t="str">
        <f>IF(ISBLANK(C1306),"",_xlfn.IFNA(INDEX(inbound_data[],MATCH(Outbound_data[[#This Row],[STOCK CODE OUT]],Generated_Stockcode,0),12),""))</f>
        <v/>
      </c>
      <c r="P1306" s="73" t="str">
        <f>IF(ISBLANK(C1306),"",_xlfn.IFNA(INDEX(inbound_data[],MATCH(Outbound_data[[#This Row],[STOCK CODE OUT]],Generated_Stockcode,0),23),""))</f>
        <v/>
      </c>
      <c r="Q1306" s="73" t="str">
        <f>IF(ISBLANK(C1306),"",_xlfn.IFNA(INDEX(inbound_data[],MATCH(Outbound_data[[#This Row],[STOCK CODE OUT]],Generated_Stockcode,0),13),""))</f>
        <v/>
      </c>
    </row>
    <row r="1307" spans="2:17" x14ac:dyDescent="0.25">
      <c r="B1307" s="71"/>
      <c r="C1307" s="65"/>
      <c r="D1307" s="55"/>
      <c r="E1307" s="65"/>
      <c r="F1307" s="166"/>
      <c r="G1307" s="167"/>
      <c r="H1307" s="166"/>
      <c r="I1307" s="72"/>
      <c r="J1307" s="55"/>
      <c r="K1307" s="72"/>
      <c r="L1307" s="55"/>
      <c r="M1307" s="174"/>
      <c r="N1307" s="73" t="str">
        <f>IF(ISBLANK(C1307),"",_xlfn.IFNA(INDEX(inbound_data[],MATCH(Outbound_data[[#This Row],[STOCK CODE OUT]],Generated_Stockcode,0),10),""))</f>
        <v/>
      </c>
      <c r="O1307" s="73" t="str">
        <f>IF(ISBLANK(C1307),"",_xlfn.IFNA(INDEX(inbound_data[],MATCH(Outbound_data[[#This Row],[STOCK CODE OUT]],Generated_Stockcode,0),12),""))</f>
        <v/>
      </c>
      <c r="P1307" s="73" t="str">
        <f>IF(ISBLANK(C1307),"",_xlfn.IFNA(INDEX(inbound_data[],MATCH(Outbound_data[[#This Row],[STOCK CODE OUT]],Generated_Stockcode,0),23),""))</f>
        <v/>
      </c>
      <c r="Q1307" s="73" t="str">
        <f>IF(ISBLANK(C1307),"",_xlfn.IFNA(INDEX(inbound_data[],MATCH(Outbound_data[[#This Row],[STOCK CODE OUT]],Generated_Stockcode,0),13),""))</f>
        <v/>
      </c>
    </row>
    <row r="1308" spans="2:17" x14ac:dyDescent="0.25">
      <c r="B1308" s="71"/>
      <c r="C1308" s="65"/>
      <c r="D1308" s="55"/>
      <c r="E1308" s="65"/>
      <c r="F1308" s="166"/>
      <c r="G1308" s="167"/>
      <c r="H1308" s="166"/>
      <c r="I1308" s="72"/>
      <c r="J1308" s="55"/>
      <c r="K1308" s="72"/>
      <c r="L1308" s="55"/>
      <c r="M1308" s="174"/>
      <c r="N1308" s="73" t="str">
        <f>IF(ISBLANK(C1308),"",_xlfn.IFNA(INDEX(inbound_data[],MATCH(Outbound_data[[#This Row],[STOCK CODE OUT]],Generated_Stockcode,0),10),""))</f>
        <v/>
      </c>
      <c r="O1308" s="73" t="str">
        <f>IF(ISBLANK(C1308),"",_xlfn.IFNA(INDEX(inbound_data[],MATCH(Outbound_data[[#This Row],[STOCK CODE OUT]],Generated_Stockcode,0),12),""))</f>
        <v/>
      </c>
      <c r="P1308" s="73" t="str">
        <f>IF(ISBLANK(C1308),"",_xlfn.IFNA(INDEX(inbound_data[],MATCH(Outbound_data[[#This Row],[STOCK CODE OUT]],Generated_Stockcode,0),23),""))</f>
        <v/>
      </c>
      <c r="Q1308" s="73" t="str">
        <f>IF(ISBLANK(C1308),"",_xlfn.IFNA(INDEX(inbound_data[],MATCH(Outbound_data[[#This Row],[STOCK CODE OUT]],Generated_Stockcode,0),13),""))</f>
        <v/>
      </c>
    </row>
    <row r="1309" spans="2:17" x14ac:dyDescent="0.25">
      <c r="B1309" s="71"/>
      <c r="C1309" s="65"/>
      <c r="D1309" s="55"/>
      <c r="E1309" s="65"/>
      <c r="F1309" s="166"/>
      <c r="G1309" s="167"/>
      <c r="H1309" s="166"/>
      <c r="I1309" s="72"/>
      <c r="J1309" s="55"/>
      <c r="K1309" s="72"/>
      <c r="L1309" s="55"/>
      <c r="M1309" s="174"/>
      <c r="N1309" s="73" t="str">
        <f>IF(ISBLANK(C1309),"",_xlfn.IFNA(INDEX(inbound_data[],MATCH(Outbound_data[[#This Row],[STOCK CODE OUT]],Generated_Stockcode,0),10),""))</f>
        <v/>
      </c>
      <c r="O1309" s="73" t="str">
        <f>IF(ISBLANK(C1309),"",_xlfn.IFNA(INDEX(inbound_data[],MATCH(Outbound_data[[#This Row],[STOCK CODE OUT]],Generated_Stockcode,0),12),""))</f>
        <v/>
      </c>
      <c r="P1309" s="73" t="str">
        <f>IF(ISBLANK(C1309),"",_xlfn.IFNA(INDEX(inbound_data[],MATCH(Outbound_data[[#This Row],[STOCK CODE OUT]],Generated_Stockcode,0),23),""))</f>
        <v/>
      </c>
      <c r="Q1309" s="73" t="str">
        <f>IF(ISBLANK(C1309),"",_xlfn.IFNA(INDEX(inbound_data[],MATCH(Outbound_data[[#This Row],[STOCK CODE OUT]],Generated_Stockcode,0),13),""))</f>
        <v/>
      </c>
    </row>
    <row r="1310" spans="2:17" x14ac:dyDescent="0.25">
      <c r="B1310" s="71"/>
      <c r="C1310" s="65"/>
      <c r="D1310" s="55"/>
      <c r="E1310" s="65"/>
      <c r="F1310" s="166"/>
      <c r="G1310" s="167"/>
      <c r="H1310" s="166"/>
      <c r="I1310" s="72"/>
      <c r="J1310" s="55"/>
      <c r="K1310" s="72"/>
      <c r="L1310" s="55"/>
      <c r="M1310" s="174"/>
      <c r="N1310" s="73" t="str">
        <f>IF(ISBLANK(C1310),"",_xlfn.IFNA(INDEX(inbound_data[],MATCH(Outbound_data[[#This Row],[STOCK CODE OUT]],Generated_Stockcode,0),10),""))</f>
        <v/>
      </c>
      <c r="O1310" s="73" t="str">
        <f>IF(ISBLANK(C1310),"",_xlfn.IFNA(INDEX(inbound_data[],MATCH(Outbound_data[[#This Row],[STOCK CODE OUT]],Generated_Stockcode,0),12),""))</f>
        <v/>
      </c>
      <c r="P1310" s="73" t="str">
        <f>IF(ISBLANK(C1310),"",_xlfn.IFNA(INDEX(inbound_data[],MATCH(Outbound_data[[#This Row],[STOCK CODE OUT]],Generated_Stockcode,0),23),""))</f>
        <v/>
      </c>
      <c r="Q1310" s="73" t="str">
        <f>IF(ISBLANK(C1310),"",_xlfn.IFNA(INDEX(inbound_data[],MATCH(Outbound_data[[#This Row],[STOCK CODE OUT]],Generated_Stockcode,0),13),""))</f>
        <v/>
      </c>
    </row>
    <row r="1311" spans="2:17" x14ac:dyDescent="0.25">
      <c r="B1311" s="71"/>
      <c r="C1311" s="65"/>
      <c r="D1311" s="55"/>
      <c r="E1311" s="65"/>
      <c r="F1311" s="166"/>
      <c r="G1311" s="167"/>
      <c r="H1311" s="166"/>
      <c r="I1311" s="72"/>
      <c r="J1311" s="55"/>
      <c r="K1311" s="72"/>
      <c r="L1311" s="55"/>
      <c r="M1311" s="174"/>
      <c r="N1311" s="73" t="str">
        <f>IF(ISBLANK(C1311),"",_xlfn.IFNA(INDEX(inbound_data[],MATCH(Outbound_data[[#This Row],[STOCK CODE OUT]],Generated_Stockcode,0),10),""))</f>
        <v/>
      </c>
      <c r="O1311" s="73" t="str">
        <f>IF(ISBLANK(C1311),"",_xlfn.IFNA(INDEX(inbound_data[],MATCH(Outbound_data[[#This Row],[STOCK CODE OUT]],Generated_Stockcode,0),12),""))</f>
        <v/>
      </c>
      <c r="P1311" s="73" t="str">
        <f>IF(ISBLANK(C1311),"",_xlfn.IFNA(INDEX(inbound_data[],MATCH(Outbound_data[[#This Row],[STOCK CODE OUT]],Generated_Stockcode,0),23),""))</f>
        <v/>
      </c>
      <c r="Q1311" s="73" t="str">
        <f>IF(ISBLANK(C1311),"",_xlfn.IFNA(INDEX(inbound_data[],MATCH(Outbound_data[[#This Row],[STOCK CODE OUT]],Generated_Stockcode,0),13),""))</f>
        <v/>
      </c>
    </row>
    <row r="1312" spans="2:17" x14ac:dyDescent="0.25">
      <c r="B1312" s="71"/>
      <c r="C1312" s="65"/>
      <c r="D1312" s="55"/>
      <c r="E1312" s="65"/>
      <c r="F1312" s="166"/>
      <c r="G1312" s="167"/>
      <c r="H1312" s="166"/>
      <c r="I1312" s="72"/>
      <c r="J1312" s="55"/>
      <c r="K1312" s="72"/>
      <c r="L1312" s="55"/>
      <c r="M1312" s="174"/>
      <c r="N1312" s="73" t="str">
        <f>IF(ISBLANK(C1312),"",_xlfn.IFNA(INDEX(inbound_data[],MATCH(Outbound_data[[#This Row],[STOCK CODE OUT]],Generated_Stockcode,0),10),""))</f>
        <v/>
      </c>
      <c r="O1312" s="73" t="str">
        <f>IF(ISBLANK(C1312),"",_xlfn.IFNA(INDEX(inbound_data[],MATCH(Outbound_data[[#This Row],[STOCK CODE OUT]],Generated_Stockcode,0),12),""))</f>
        <v/>
      </c>
      <c r="P1312" s="73" t="str">
        <f>IF(ISBLANK(C1312),"",_xlfn.IFNA(INDEX(inbound_data[],MATCH(Outbound_data[[#This Row],[STOCK CODE OUT]],Generated_Stockcode,0),23),""))</f>
        <v/>
      </c>
      <c r="Q1312" s="73" t="str">
        <f>IF(ISBLANK(C1312),"",_xlfn.IFNA(INDEX(inbound_data[],MATCH(Outbound_data[[#This Row],[STOCK CODE OUT]],Generated_Stockcode,0),13),""))</f>
        <v/>
      </c>
    </row>
    <row r="1313" spans="2:17" x14ac:dyDescent="0.25">
      <c r="B1313" s="71"/>
      <c r="C1313" s="65"/>
      <c r="D1313" s="55"/>
      <c r="E1313" s="65"/>
      <c r="F1313" s="166"/>
      <c r="G1313" s="167"/>
      <c r="H1313" s="166"/>
      <c r="I1313" s="72"/>
      <c r="J1313" s="55"/>
      <c r="K1313" s="72"/>
      <c r="L1313" s="55"/>
      <c r="M1313" s="174"/>
      <c r="N1313" s="73" t="str">
        <f>IF(ISBLANK(C1313),"",_xlfn.IFNA(INDEX(inbound_data[],MATCH(Outbound_data[[#This Row],[STOCK CODE OUT]],Generated_Stockcode,0),10),""))</f>
        <v/>
      </c>
      <c r="O1313" s="73" t="str">
        <f>IF(ISBLANK(C1313),"",_xlfn.IFNA(INDEX(inbound_data[],MATCH(Outbound_data[[#This Row],[STOCK CODE OUT]],Generated_Stockcode,0),12),""))</f>
        <v/>
      </c>
      <c r="P1313" s="73" t="str">
        <f>IF(ISBLANK(C1313),"",_xlfn.IFNA(INDEX(inbound_data[],MATCH(Outbound_data[[#This Row],[STOCK CODE OUT]],Generated_Stockcode,0),23),""))</f>
        <v/>
      </c>
      <c r="Q1313" s="73" t="str">
        <f>IF(ISBLANK(C1313),"",_xlfn.IFNA(INDEX(inbound_data[],MATCH(Outbound_data[[#This Row],[STOCK CODE OUT]],Generated_Stockcode,0),13),""))</f>
        <v/>
      </c>
    </row>
    <row r="1314" spans="2:17" x14ac:dyDescent="0.25">
      <c r="B1314" s="71"/>
      <c r="C1314" s="65"/>
      <c r="D1314" s="55"/>
      <c r="E1314" s="65"/>
      <c r="F1314" s="166"/>
      <c r="G1314" s="167"/>
      <c r="H1314" s="166"/>
      <c r="I1314" s="72"/>
      <c r="J1314" s="55"/>
      <c r="K1314" s="72"/>
      <c r="L1314" s="55"/>
      <c r="M1314" s="174"/>
      <c r="N1314" s="73" t="str">
        <f>IF(ISBLANK(C1314),"",_xlfn.IFNA(INDEX(inbound_data[],MATCH(Outbound_data[[#This Row],[STOCK CODE OUT]],Generated_Stockcode,0),10),""))</f>
        <v/>
      </c>
      <c r="O1314" s="73" t="str">
        <f>IF(ISBLANK(C1314),"",_xlfn.IFNA(INDEX(inbound_data[],MATCH(Outbound_data[[#This Row],[STOCK CODE OUT]],Generated_Stockcode,0),12),""))</f>
        <v/>
      </c>
      <c r="P1314" s="73" t="str">
        <f>IF(ISBLANK(C1314),"",_xlfn.IFNA(INDEX(inbound_data[],MATCH(Outbound_data[[#This Row],[STOCK CODE OUT]],Generated_Stockcode,0),23),""))</f>
        <v/>
      </c>
      <c r="Q1314" s="73" t="str">
        <f>IF(ISBLANK(C1314),"",_xlfn.IFNA(INDEX(inbound_data[],MATCH(Outbound_data[[#This Row],[STOCK CODE OUT]],Generated_Stockcode,0),13),""))</f>
        <v/>
      </c>
    </row>
    <row r="1315" spans="2:17" x14ac:dyDescent="0.25">
      <c r="B1315" s="71"/>
      <c r="C1315" s="65"/>
      <c r="D1315" s="55"/>
      <c r="E1315" s="65"/>
      <c r="F1315" s="166"/>
      <c r="G1315" s="167"/>
      <c r="H1315" s="166"/>
      <c r="I1315" s="72"/>
      <c r="J1315" s="55"/>
      <c r="K1315" s="72"/>
      <c r="L1315" s="55"/>
      <c r="M1315" s="174"/>
      <c r="N1315" s="73" t="str">
        <f>IF(ISBLANK(C1315),"",_xlfn.IFNA(INDEX(inbound_data[],MATCH(Outbound_data[[#This Row],[STOCK CODE OUT]],Generated_Stockcode,0),10),""))</f>
        <v/>
      </c>
      <c r="O1315" s="73" t="str">
        <f>IF(ISBLANK(C1315),"",_xlfn.IFNA(INDEX(inbound_data[],MATCH(Outbound_data[[#This Row],[STOCK CODE OUT]],Generated_Stockcode,0),12),""))</f>
        <v/>
      </c>
      <c r="P1315" s="73" t="str">
        <f>IF(ISBLANK(C1315),"",_xlfn.IFNA(INDEX(inbound_data[],MATCH(Outbound_data[[#This Row],[STOCK CODE OUT]],Generated_Stockcode,0),23),""))</f>
        <v/>
      </c>
      <c r="Q1315" s="73" t="str">
        <f>IF(ISBLANK(C1315),"",_xlfn.IFNA(INDEX(inbound_data[],MATCH(Outbound_data[[#This Row],[STOCK CODE OUT]],Generated_Stockcode,0),13),""))</f>
        <v/>
      </c>
    </row>
    <row r="1316" spans="2:17" x14ac:dyDescent="0.25">
      <c r="B1316" s="71"/>
      <c r="C1316" s="65"/>
      <c r="D1316" s="55"/>
      <c r="E1316" s="65"/>
      <c r="F1316" s="166"/>
      <c r="G1316" s="167"/>
      <c r="H1316" s="166"/>
      <c r="I1316" s="72"/>
      <c r="J1316" s="55"/>
      <c r="K1316" s="72"/>
      <c r="L1316" s="55"/>
      <c r="M1316" s="174"/>
      <c r="N1316" s="73" t="str">
        <f>IF(ISBLANK(C1316),"",_xlfn.IFNA(INDEX(inbound_data[],MATCH(Outbound_data[[#This Row],[STOCK CODE OUT]],Generated_Stockcode,0),10),""))</f>
        <v/>
      </c>
      <c r="O1316" s="73" t="str">
        <f>IF(ISBLANK(C1316),"",_xlfn.IFNA(INDEX(inbound_data[],MATCH(Outbound_data[[#This Row],[STOCK CODE OUT]],Generated_Stockcode,0),12),""))</f>
        <v/>
      </c>
      <c r="P1316" s="73" t="str">
        <f>IF(ISBLANK(C1316),"",_xlfn.IFNA(INDEX(inbound_data[],MATCH(Outbound_data[[#This Row],[STOCK CODE OUT]],Generated_Stockcode,0),23),""))</f>
        <v/>
      </c>
      <c r="Q1316" s="73" t="str">
        <f>IF(ISBLANK(C1316),"",_xlfn.IFNA(INDEX(inbound_data[],MATCH(Outbound_data[[#This Row],[STOCK CODE OUT]],Generated_Stockcode,0),13),""))</f>
        <v/>
      </c>
    </row>
    <row r="1317" spans="2:17" x14ac:dyDescent="0.25">
      <c r="B1317" s="71"/>
      <c r="C1317" s="65"/>
      <c r="D1317" s="55"/>
      <c r="E1317" s="65"/>
      <c r="F1317" s="166"/>
      <c r="G1317" s="167"/>
      <c r="H1317" s="166"/>
      <c r="I1317" s="72"/>
      <c r="J1317" s="55"/>
      <c r="K1317" s="72"/>
      <c r="L1317" s="55"/>
      <c r="M1317" s="174"/>
      <c r="N1317" s="73" t="str">
        <f>IF(ISBLANK(C1317),"",_xlfn.IFNA(INDEX(inbound_data[],MATCH(Outbound_data[[#This Row],[STOCK CODE OUT]],Generated_Stockcode,0),10),""))</f>
        <v/>
      </c>
      <c r="O1317" s="73" t="str">
        <f>IF(ISBLANK(C1317),"",_xlfn.IFNA(INDEX(inbound_data[],MATCH(Outbound_data[[#This Row],[STOCK CODE OUT]],Generated_Stockcode,0),12),""))</f>
        <v/>
      </c>
      <c r="P1317" s="73" t="str">
        <f>IF(ISBLANK(C1317),"",_xlfn.IFNA(INDEX(inbound_data[],MATCH(Outbound_data[[#This Row],[STOCK CODE OUT]],Generated_Stockcode,0),23),""))</f>
        <v/>
      </c>
      <c r="Q1317" s="73" t="str">
        <f>IF(ISBLANK(C1317),"",_xlfn.IFNA(INDEX(inbound_data[],MATCH(Outbound_data[[#This Row],[STOCK CODE OUT]],Generated_Stockcode,0),13),""))</f>
        <v/>
      </c>
    </row>
    <row r="1318" spans="2:17" x14ac:dyDescent="0.25">
      <c r="B1318" s="71"/>
      <c r="C1318" s="65"/>
      <c r="D1318" s="55"/>
      <c r="E1318" s="65"/>
      <c r="F1318" s="166"/>
      <c r="G1318" s="167"/>
      <c r="H1318" s="166"/>
      <c r="I1318" s="72"/>
      <c r="J1318" s="55"/>
      <c r="K1318" s="72"/>
      <c r="L1318" s="55"/>
      <c r="M1318" s="174"/>
      <c r="N1318" s="73" t="str">
        <f>IF(ISBLANK(C1318),"",_xlfn.IFNA(INDEX(inbound_data[],MATCH(Outbound_data[[#This Row],[STOCK CODE OUT]],Generated_Stockcode,0),10),""))</f>
        <v/>
      </c>
      <c r="O1318" s="73" t="str">
        <f>IF(ISBLANK(C1318),"",_xlfn.IFNA(INDEX(inbound_data[],MATCH(Outbound_data[[#This Row],[STOCK CODE OUT]],Generated_Stockcode,0),12),""))</f>
        <v/>
      </c>
      <c r="P1318" s="73" t="str">
        <f>IF(ISBLANK(C1318),"",_xlfn.IFNA(INDEX(inbound_data[],MATCH(Outbound_data[[#This Row],[STOCK CODE OUT]],Generated_Stockcode,0),23),""))</f>
        <v/>
      </c>
      <c r="Q1318" s="73" t="str">
        <f>IF(ISBLANK(C1318),"",_xlfn.IFNA(INDEX(inbound_data[],MATCH(Outbound_data[[#This Row],[STOCK CODE OUT]],Generated_Stockcode,0),13),""))</f>
        <v/>
      </c>
    </row>
    <row r="1319" spans="2:17" x14ac:dyDescent="0.25">
      <c r="B1319" s="71"/>
      <c r="C1319" s="65"/>
      <c r="D1319" s="55"/>
      <c r="E1319" s="65"/>
      <c r="F1319" s="166"/>
      <c r="G1319" s="167"/>
      <c r="H1319" s="166"/>
      <c r="I1319" s="72"/>
      <c r="J1319" s="55"/>
      <c r="K1319" s="72"/>
      <c r="L1319" s="55"/>
      <c r="M1319" s="174"/>
      <c r="N1319" s="73" t="str">
        <f>IF(ISBLANK(C1319),"",_xlfn.IFNA(INDEX(inbound_data[],MATCH(Outbound_data[[#This Row],[STOCK CODE OUT]],Generated_Stockcode,0),10),""))</f>
        <v/>
      </c>
      <c r="O1319" s="73" t="str">
        <f>IF(ISBLANK(C1319),"",_xlfn.IFNA(INDEX(inbound_data[],MATCH(Outbound_data[[#This Row],[STOCK CODE OUT]],Generated_Stockcode,0),12),""))</f>
        <v/>
      </c>
      <c r="P1319" s="73" t="str">
        <f>IF(ISBLANK(C1319),"",_xlfn.IFNA(INDEX(inbound_data[],MATCH(Outbound_data[[#This Row],[STOCK CODE OUT]],Generated_Stockcode,0),23),""))</f>
        <v/>
      </c>
      <c r="Q1319" s="73" t="str">
        <f>IF(ISBLANK(C1319),"",_xlfn.IFNA(INDEX(inbound_data[],MATCH(Outbound_data[[#This Row],[STOCK CODE OUT]],Generated_Stockcode,0),13),""))</f>
        <v/>
      </c>
    </row>
    <row r="1320" spans="2:17" x14ac:dyDescent="0.25">
      <c r="B1320" s="71"/>
      <c r="C1320" s="65"/>
      <c r="D1320" s="55"/>
      <c r="E1320" s="65"/>
      <c r="F1320" s="166"/>
      <c r="G1320" s="167"/>
      <c r="H1320" s="166"/>
      <c r="I1320" s="72"/>
      <c r="J1320" s="55"/>
      <c r="K1320" s="72"/>
      <c r="L1320" s="55"/>
      <c r="M1320" s="174"/>
      <c r="N1320" s="73" t="str">
        <f>IF(ISBLANK(C1320),"",_xlfn.IFNA(INDEX(inbound_data[],MATCH(Outbound_data[[#This Row],[STOCK CODE OUT]],Generated_Stockcode,0),10),""))</f>
        <v/>
      </c>
      <c r="O1320" s="73" t="str">
        <f>IF(ISBLANK(C1320),"",_xlfn.IFNA(INDEX(inbound_data[],MATCH(Outbound_data[[#This Row],[STOCK CODE OUT]],Generated_Stockcode,0),12),""))</f>
        <v/>
      </c>
      <c r="P1320" s="73" t="str">
        <f>IF(ISBLANK(C1320),"",_xlfn.IFNA(INDEX(inbound_data[],MATCH(Outbound_data[[#This Row],[STOCK CODE OUT]],Generated_Stockcode,0),23),""))</f>
        <v/>
      </c>
      <c r="Q1320" s="73" t="str">
        <f>IF(ISBLANK(C1320),"",_xlfn.IFNA(INDEX(inbound_data[],MATCH(Outbound_data[[#This Row],[STOCK CODE OUT]],Generated_Stockcode,0),13),""))</f>
        <v/>
      </c>
    </row>
    <row r="1321" spans="2:17" x14ac:dyDescent="0.25">
      <c r="B1321" s="71"/>
      <c r="C1321" s="65"/>
      <c r="D1321" s="55"/>
      <c r="E1321" s="65"/>
      <c r="F1321" s="166"/>
      <c r="G1321" s="167"/>
      <c r="H1321" s="166"/>
      <c r="I1321" s="72"/>
      <c r="J1321" s="55"/>
      <c r="K1321" s="72"/>
      <c r="L1321" s="55"/>
      <c r="M1321" s="174"/>
      <c r="N1321" s="73" t="str">
        <f>IF(ISBLANK(C1321),"",_xlfn.IFNA(INDEX(inbound_data[],MATCH(Outbound_data[[#This Row],[STOCK CODE OUT]],Generated_Stockcode,0),10),""))</f>
        <v/>
      </c>
      <c r="O1321" s="73" t="str">
        <f>IF(ISBLANK(C1321),"",_xlfn.IFNA(INDEX(inbound_data[],MATCH(Outbound_data[[#This Row],[STOCK CODE OUT]],Generated_Stockcode,0),12),""))</f>
        <v/>
      </c>
      <c r="P1321" s="73" t="str">
        <f>IF(ISBLANK(C1321),"",_xlfn.IFNA(INDEX(inbound_data[],MATCH(Outbound_data[[#This Row],[STOCK CODE OUT]],Generated_Stockcode,0),23),""))</f>
        <v/>
      </c>
      <c r="Q1321" s="73" t="str">
        <f>IF(ISBLANK(C1321),"",_xlfn.IFNA(INDEX(inbound_data[],MATCH(Outbound_data[[#This Row],[STOCK CODE OUT]],Generated_Stockcode,0),13),""))</f>
        <v/>
      </c>
    </row>
    <row r="1322" spans="2:17" x14ac:dyDescent="0.25">
      <c r="B1322" s="71"/>
      <c r="C1322" s="65"/>
      <c r="D1322" s="55"/>
      <c r="E1322" s="65"/>
      <c r="F1322" s="166"/>
      <c r="G1322" s="167"/>
      <c r="H1322" s="166"/>
      <c r="I1322" s="72"/>
      <c r="J1322" s="55"/>
      <c r="K1322" s="72"/>
      <c r="L1322" s="55"/>
      <c r="M1322" s="174"/>
      <c r="N1322" s="73" t="str">
        <f>IF(ISBLANK(C1322),"",_xlfn.IFNA(INDEX(inbound_data[],MATCH(Outbound_data[[#This Row],[STOCK CODE OUT]],Generated_Stockcode,0),10),""))</f>
        <v/>
      </c>
      <c r="O1322" s="73" t="str">
        <f>IF(ISBLANK(C1322),"",_xlfn.IFNA(INDEX(inbound_data[],MATCH(Outbound_data[[#This Row],[STOCK CODE OUT]],Generated_Stockcode,0),12),""))</f>
        <v/>
      </c>
      <c r="P1322" s="73" t="str">
        <f>IF(ISBLANK(C1322),"",_xlfn.IFNA(INDEX(inbound_data[],MATCH(Outbound_data[[#This Row],[STOCK CODE OUT]],Generated_Stockcode,0),23),""))</f>
        <v/>
      </c>
      <c r="Q1322" s="73" t="str">
        <f>IF(ISBLANK(C1322),"",_xlfn.IFNA(INDEX(inbound_data[],MATCH(Outbound_data[[#This Row],[STOCK CODE OUT]],Generated_Stockcode,0),13),""))</f>
        <v/>
      </c>
    </row>
    <row r="1323" spans="2:17" x14ac:dyDescent="0.25">
      <c r="B1323" s="71"/>
      <c r="C1323" s="65"/>
      <c r="D1323" s="55"/>
      <c r="E1323" s="65"/>
      <c r="F1323" s="166"/>
      <c r="G1323" s="167"/>
      <c r="H1323" s="166"/>
      <c r="I1323" s="72"/>
      <c r="J1323" s="55"/>
      <c r="K1323" s="72"/>
      <c r="L1323" s="55"/>
      <c r="M1323" s="174"/>
      <c r="N1323" s="73" t="str">
        <f>IF(ISBLANK(C1323),"",_xlfn.IFNA(INDEX(inbound_data[],MATCH(Outbound_data[[#This Row],[STOCK CODE OUT]],Generated_Stockcode,0),10),""))</f>
        <v/>
      </c>
      <c r="O1323" s="73" t="str">
        <f>IF(ISBLANK(C1323),"",_xlfn.IFNA(INDEX(inbound_data[],MATCH(Outbound_data[[#This Row],[STOCK CODE OUT]],Generated_Stockcode,0),12),""))</f>
        <v/>
      </c>
      <c r="P1323" s="73" t="str">
        <f>IF(ISBLANK(C1323),"",_xlfn.IFNA(INDEX(inbound_data[],MATCH(Outbound_data[[#This Row],[STOCK CODE OUT]],Generated_Stockcode,0),23),""))</f>
        <v/>
      </c>
      <c r="Q1323" s="73" t="str">
        <f>IF(ISBLANK(C1323),"",_xlfn.IFNA(INDEX(inbound_data[],MATCH(Outbound_data[[#This Row],[STOCK CODE OUT]],Generated_Stockcode,0),13),""))</f>
        <v/>
      </c>
    </row>
    <row r="1324" spans="2:17" x14ac:dyDescent="0.25">
      <c r="B1324" s="71"/>
      <c r="C1324" s="65"/>
      <c r="D1324" s="55"/>
      <c r="E1324" s="65"/>
      <c r="F1324" s="166"/>
      <c r="G1324" s="167"/>
      <c r="H1324" s="166"/>
      <c r="I1324" s="72"/>
      <c r="J1324" s="55"/>
      <c r="K1324" s="72"/>
      <c r="L1324" s="55"/>
      <c r="M1324" s="174"/>
      <c r="N1324" s="73" t="str">
        <f>IF(ISBLANK(C1324),"",_xlfn.IFNA(INDEX(inbound_data[],MATCH(Outbound_data[[#This Row],[STOCK CODE OUT]],Generated_Stockcode,0),10),""))</f>
        <v/>
      </c>
      <c r="O1324" s="73" t="str">
        <f>IF(ISBLANK(C1324),"",_xlfn.IFNA(INDEX(inbound_data[],MATCH(Outbound_data[[#This Row],[STOCK CODE OUT]],Generated_Stockcode,0),12),""))</f>
        <v/>
      </c>
      <c r="P1324" s="73" t="str">
        <f>IF(ISBLANK(C1324),"",_xlfn.IFNA(INDEX(inbound_data[],MATCH(Outbound_data[[#This Row],[STOCK CODE OUT]],Generated_Stockcode,0),23),""))</f>
        <v/>
      </c>
      <c r="Q1324" s="73" t="str">
        <f>IF(ISBLANK(C1324),"",_xlfn.IFNA(INDEX(inbound_data[],MATCH(Outbound_data[[#This Row],[STOCK CODE OUT]],Generated_Stockcode,0),13),""))</f>
        <v/>
      </c>
    </row>
    <row r="1325" spans="2:17" x14ac:dyDescent="0.25">
      <c r="B1325" s="71"/>
      <c r="C1325" s="65"/>
      <c r="D1325" s="55"/>
      <c r="E1325" s="65"/>
      <c r="F1325" s="166"/>
      <c r="G1325" s="167"/>
      <c r="H1325" s="166"/>
      <c r="I1325" s="72"/>
      <c r="J1325" s="55"/>
      <c r="K1325" s="72"/>
      <c r="L1325" s="55"/>
      <c r="M1325" s="174"/>
      <c r="N1325" s="73" t="str">
        <f>IF(ISBLANK(C1325),"",_xlfn.IFNA(INDEX(inbound_data[],MATCH(Outbound_data[[#This Row],[STOCK CODE OUT]],Generated_Stockcode,0),10),""))</f>
        <v/>
      </c>
      <c r="O1325" s="73" t="str">
        <f>IF(ISBLANK(C1325),"",_xlfn.IFNA(INDEX(inbound_data[],MATCH(Outbound_data[[#This Row],[STOCK CODE OUT]],Generated_Stockcode,0),12),""))</f>
        <v/>
      </c>
      <c r="P1325" s="73" t="str">
        <f>IF(ISBLANK(C1325),"",_xlfn.IFNA(INDEX(inbound_data[],MATCH(Outbound_data[[#This Row],[STOCK CODE OUT]],Generated_Stockcode,0),23),""))</f>
        <v/>
      </c>
      <c r="Q1325" s="73" t="str">
        <f>IF(ISBLANK(C1325),"",_xlfn.IFNA(INDEX(inbound_data[],MATCH(Outbound_data[[#This Row],[STOCK CODE OUT]],Generated_Stockcode,0),13),""))</f>
        <v/>
      </c>
    </row>
    <row r="1326" spans="2:17" x14ac:dyDescent="0.25">
      <c r="B1326" s="71"/>
      <c r="C1326" s="65"/>
      <c r="D1326" s="55"/>
      <c r="E1326" s="65"/>
      <c r="F1326" s="166"/>
      <c r="G1326" s="167"/>
      <c r="H1326" s="166"/>
      <c r="I1326" s="72"/>
      <c r="J1326" s="55"/>
      <c r="K1326" s="72"/>
      <c r="L1326" s="55"/>
      <c r="M1326" s="174"/>
      <c r="N1326" s="73" t="str">
        <f>IF(ISBLANK(C1326),"",_xlfn.IFNA(INDEX(inbound_data[],MATCH(Outbound_data[[#This Row],[STOCK CODE OUT]],Generated_Stockcode,0),10),""))</f>
        <v/>
      </c>
      <c r="O1326" s="73" t="str">
        <f>IF(ISBLANK(C1326),"",_xlfn.IFNA(INDEX(inbound_data[],MATCH(Outbound_data[[#This Row],[STOCK CODE OUT]],Generated_Stockcode,0),12),""))</f>
        <v/>
      </c>
      <c r="P1326" s="73" t="str">
        <f>IF(ISBLANK(C1326),"",_xlfn.IFNA(INDEX(inbound_data[],MATCH(Outbound_data[[#This Row],[STOCK CODE OUT]],Generated_Stockcode,0),23),""))</f>
        <v/>
      </c>
      <c r="Q1326" s="73" t="str">
        <f>IF(ISBLANK(C1326),"",_xlfn.IFNA(INDEX(inbound_data[],MATCH(Outbound_data[[#This Row],[STOCK CODE OUT]],Generated_Stockcode,0),13),""))</f>
        <v/>
      </c>
    </row>
    <row r="1327" spans="2:17" x14ac:dyDescent="0.25">
      <c r="B1327" s="71"/>
      <c r="C1327" s="65"/>
      <c r="D1327" s="55"/>
      <c r="E1327" s="65"/>
      <c r="F1327" s="166"/>
      <c r="G1327" s="167"/>
      <c r="H1327" s="166"/>
      <c r="I1327" s="72"/>
      <c r="J1327" s="55"/>
      <c r="K1327" s="72"/>
      <c r="L1327" s="55"/>
      <c r="M1327" s="174"/>
      <c r="N1327" s="73" t="str">
        <f>IF(ISBLANK(C1327),"",_xlfn.IFNA(INDEX(inbound_data[],MATCH(Outbound_data[[#This Row],[STOCK CODE OUT]],Generated_Stockcode,0),10),""))</f>
        <v/>
      </c>
      <c r="O1327" s="73" t="str">
        <f>IF(ISBLANK(C1327),"",_xlfn.IFNA(INDEX(inbound_data[],MATCH(Outbound_data[[#This Row],[STOCK CODE OUT]],Generated_Stockcode,0),12),""))</f>
        <v/>
      </c>
      <c r="P1327" s="73" t="str">
        <f>IF(ISBLANK(C1327),"",_xlfn.IFNA(INDEX(inbound_data[],MATCH(Outbound_data[[#This Row],[STOCK CODE OUT]],Generated_Stockcode,0),23),""))</f>
        <v/>
      </c>
      <c r="Q1327" s="73" t="str">
        <f>IF(ISBLANK(C1327),"",_xlfn.IFNA(INDEX(inbound_data[],MATCH(Outbound_data[[#This Row],[STOCK CODE OUT]],Generated_Stockcode,0),13),""))</f>
        <v/>
      </c>
    </row>
    <row r="1328" spans="2:17" x14ac:dyDescent="0.25">
      <c r="B1328" s="71"/>
      <c r="C1328" s="65"/>
      <c r="D1328" s="55"/>
      <c r="E1328" s="65"/>
      <c r="F1328" s="166"/>
      <c r="G1328" s="167"/>
      <c r="H1328" s="166"/>
      <c r="I1328" s="72"/>
      <c r="J1328" s="55"/>
      <c r="K1328" s="72"/>
      <c r="L1328" s="55"/>
      <c r="M1328" s="174"/>
      <c r="N1328" s="73" t="str">
        <f>IF(ISBLANK(C1328),"",_xlfn.IFNA(INDEX(inbound_data[],MATCH(Outbound_data[[#This Row],[STOCK CODE OUT]],Generated_Stockcode,0),10),""))</f>
        <v/>
      </c>
      <c r="O1328" s="73" t="str">
        <f>IF(ISBLANK(C1328),"",_xlfn.IFNA(INDEX(inbound_data[],MATCH(Outbound_data[[#This Row],[STOCK CODE OUT]],Generated_Stockcode,0),12),""))</f>
        <v/>
      </c>
      <c r="P1328" s="73" t="str">
        <f>IF(ISBLANK(C1328),"",_xlfn.IFNA(INDEX(inbound_data[],MATCH(Outbound_data[[#This Row],[STOCK CODE OUT]],Generated_Stockcode,0),23),""))</f>
        <v/>
      </c>
      <c r="Q1328" s="73" t="str">
        <f>IF(ISBLANK(C1328),"",_xlfn.IFNA(INDEX(inbound_data[],MATCH(Outbound_data[[#This Row],[STOCK CODE OUT]],Generated_Stockcode,0),13),""))</f>
        <v/>
      </c>
    </row>
    <row r="1329" spans="2:17" x14ac:dyDescent="0.25">
      <c r="B1329" s="71"/>
      <c r="C1329" s="65"/>
      <c r="D1329" s="55"/>
      <c r="E1329" s="65"/>
      <c r="F1329" s="166"/>
      <c r="G1329" s="167"/>
      <c r="H1329" s="166"/>
      <c r="I1329" s="72"/>
      <c r="J1329" s="55"/>
      <c r="K1329" s="72"/>
      <c r="L1329" s="55"/>
      <c r="M1329" s="174"/>
      <c r="N1329" s="73" t="str">
        <f>IF(ISBLANK(C1329),"",_xlfn.IFNA(INDEX(inbound_data[],MATCH(Outbound_data[[#This Row],[STOCK CODE OUT]],Generated_Stockcode,0),10),""))</f>
        <v/>
      </c>
      <c r="O1329" s="73" t="str">
        <f>IF(ISBLANK(C1329),"",_xlfn.IFNA(INDEX(inbound_data[],MATCH(Outbound_data[[#This Row],[STOCK CODE OUT]],Generated_Stockcode,0),12),""))</f>
        <v/>
      </c>
      <c r="P1329" s="73" t="str">
        <f>IF(ISBLANK(C1329),"",_xlfn.IFNA(INDEX(inbound_data[],MATCH(Outbound_data[[#This Row],[STOCK CODE OUT]],Generated_Stockcode,0),23),""))</f>
        <v/>
      </c>
      <c r="Q1329" s="73" t="str">
        <f>IF(ISBLANK(C1329),"",_xlfn.IFNA(INDEX(inbound_data[],MATCH(Outbound_data[[#This Row],[STOCK CODE OUT]],Generated_Stockcode,0),13),""))</f>
        <v/>
      </c>
    </row>
    <row r="1330" spans="2:17" x14ac:dyDescent="0.25">
      <c r="B1330" s="71"/>
      <c r="C1330" s="65"/>
      <c r="D1330" s="55"/>
      <c r="E1330" s="65"/>
      <c r="F1330" s="166"/>
      <c r="G1330" s="167"/>
      <c r="H1330" s="166"/>
      <c r="I1330" s="72"/>
      <c r="J1330" s="55"/>
      <c r="K1330" s="72"/>
      <c r="L1330" s="55"/>
      <c r="M1330" s="174"/>
      <c r="N1330" s="73" t="str">
        <f>IF(ISBLANK(C1330),"",_xlfn.IFNA(INDEX(inbound_data[],MATCH(Outbound_data[[#This Row],[STOCK CODE OUT]],Generated_Stockcode,0),10),""))</f>
        <v/>
      </c>
      <c r="O1330" s="73" t="str">
        <f>IF(ISBLANK(C1330),"",_xlfn.IFNA(INDEX(inbound_data[],MATCH(Outbound_data[[#This Row],[STOCK CODE OUT]],Generated_Stockcode,0),12),""))</f>
        <v/>
      </c>
      <c r="P1330" s="73" t="str">
        <f>IF(ISBLANK(C1330),"",_xlfn.IFNA(INDEX(inbound_data[],MATCH(Outbound_data[[#This Row],[STOCK CODE OUT]],Generated_Stockcode,0),23),""))</f>
        <v/>
      </c>
      <c r="Q1330" s="73" t="str">
        <f>IF(ISBLANK(C1330),"",_xlfn.IFNA(INDEX(inbound_data[],MATCH(Outbound_data[[#This Row],[STOCK CODE OUT]],Generated_Stockcode,0),13),""))</f>
        <v/>
      </c>
    </row>
    <row r="1331" spans="2:17" x14ac:dyDescent="0.25">
      <c r="B1331" s="71"/>
      <c r="C1331" s="65"/>
      <c r="D1331" s="55"/>
      <c r="E1331" s="65"/>
      <c r="F1331" s="166"/>
      <c r="G1331" s="167"/>
      <c r="H1331" s="166"/>
      <c r="I1331" s="72"/>
      <c r="J1331" s="55"/>
      <c r="K1331" s="72"/>
      <c r="L1331" s="55"/>
      <c r="M1331" s="174"/>
      <c r="N1331" s="73" t="str">
        <f>IF(ISBLANK(C1331),"",_xlfn.IFNA(INDEX(inbound_data[],MATCH(Outbound_data[[#This Row],[STOCK CODE OUT]],Generated_Stockcode,0),10),""))</f>
        <v/>
      </c>
      <c r="O1331" s="73" t="str">
        <f>IF(ISBLANK(C1331),"",_xlfn.IFNA(INDEX(inbound_data[],MATCH(Outbound_data[[#This Row],[STOCK CODE OUT]],Generated_Stockcode,0),12),""))</f>
        <v/>
      </c>
      <c r="P1331" s="73" t="str">
        <f>IF(ISBLANK(C1331),"",_xlfn.IFNA(INDEX(inbound_data[],MATCH(Outbound_data[[#This Row],[STOCK CODE OUT]],Generated_Stockcode,0),23),""))</f>
        <v/>
      </c>
      <c r="Q1331" s="73" t="str">
        <f>IF(ISBLANK(C1331),"",_xlfn.IFNA(INDEX(inbound_data[],MATCH(Outbound_data[[#This Row],[STOCK CODE OUT]],Generated_Stockcode,0),13),""))</f>
        <v/>
      </c>
    </row>
    <row r="1332" spans="2:17" x14ac:dyDescent="0.25">
      <c r="B1332" s="71"/>
      <c r="C1332" s="65"/>
      <c r="D1332" s="55"/>
      <c r="E1332" s="65"/>
      <c r="F1332" s="166"/>
      <c r="G1332" s="167"/>
      <c r="H1332" s="166"/>
      <c r="I1332" s="72"/>
      <c r="J1332" s="55"/>
      <c r="K1332" s="72"/>
      <c r="L1332" s="55"/>
      <c r="M1332" s="174"/>
      <c r="N1332" s="73" t="str">
        <f>IF(ISBLANK(C1332),"",_xlfn.IFNA(INDEX(inbound_data[],MATCH(Outbound_data[[#This Row],[STOCK CODE OUT]],Generated_Stockcode,0),10),""))</f>
        <v/>
      </c>
      <c r="O1332" s="73" t="str">
        <f>IF(ISBLANK(C1332),"",_xlfn.IFNA(INDEX(inbound_data[],MATCH(Outbound_data[[#This Row],[STOCK CODE OUT]],Generated_Stockcode,0),12),""))</f>
        <v/>
      </c>
      <c r="P1332" s="73" t="str">
        <f>IF(ISBLANK(C1332),"",_xlfn.IFNA(INDEX(inbound_data[],MATCH(Outbound_data[[#This Row],[STOCK CODE OUT]],Generated_Stockcode,0),23),""))</f>
        <v/>
      </c>
      <c r="Q1332" s="73" t="str">
        <f>IF(ISBLANK(C1332),"",_xlfn.IFNA(INDEX(inbound_data[],MATCH(Outbound_data[[#This Row],[STOCK CODE OUT]],Generated_Stockcode,0),13),""))</f>
        <v/>
      </c>
    </row>
    <row r="1333" spans="2:17" x14ac:dyDescent="0.25">
      <c r="B1333" s="71"/>
      <c r="C1333" s="65"/>
      <c r="D1333" s="55"/>
      <c r="E1333" s="65"/>
      <c r="F1333" s="166"/>
      <c r="G1333" s="167"/>
      <c r="H1333" s="166"/>
      <c r="I1333" s="72"/>
      <c r="J1333" s="55"/>
      <c r="K1333" s="72"/>
      <c r="L1333" s="55"/>
      <c r="M1333" s="174"/>
      <c r="N1333" s="73" t="str">
        <f>IF(ISBLANK(C1333),"",_xlfn.IFNA(INDEX(inbound_data[],MATCH(Outbound_data[[#This Row],[STOCK CODE OUT]],Generated_Stockcode,0),10),""))</f>
        <v/>
      </c>
      <c r="O1333" s="73" t="str">
        <f>IF(ISBLANK(C1333),"",_xlfn.IFNA(INDEX(inbound_data[],MATCH(Outbound_data[[#This Row],[STOCK CODE OUT]],Generated_Stockcode,0),12),""))</f>
        <v/>
      </c>
      <c r="P1333" s="73" t="str">
        <f>IF(ISBLANK(C1333),"",_xlfn.IFNA(INDEX(inbound_data[],MATCH(Outbound_data[[#This Row],[STOCK CODE OUT]],Generated_Stockcode,0),23),""))</f>
        <v/>
      </c>
      <c r="Q1333" s="73" t="str">
        <f>IF(ISBLANK(C1333),"",_xlfn.IFNA(INDEX(inbound_data[],MATCH(Outbound_data[[#This Row],[STOCK CODE OUT]],Generated_Stockcode,0),13),""))</f>
        <v/>
      </c>
    </row>
    <row r="1334" spans="2:17" x14ac:dyDescent="0.25">
      <c r="B1334" s="71"/>
      <c r="C1334" s="65"/>
      <c r="D1334" s="55"/>
      <c r="E1334" s="65"/>
      <c r="F1334" s="166"/>
      <c r="G1334" s="167"/>
      <c r="H1334" s="166"/>
      <c r="I1334" s="72"/>
      <c r="J1334" s="55"/>
      <c r="K1334" s="72"/>
      <c r="L1334" s="55"/>
      <c r="M1334" s="174"/>
      <c r="N1334" s="73" t="str">
        <f>IF(ISBLANK(C1334),"",_xlfn.IFNA(INDEX(inbound_data[],MATCH(Outbound_data[[#This Row],[STOCK CODE OUT]],Generated_Stockcode,0),10),""))</f>
        <v/>
      </c>
      <c r="O1334" s="73" t="str">
        <f>IF(ISBLANK(C1334),"",_xlfn.IFNA(INDEX(inbound_data[],MATCH(Outbound_data[[#This Row],[STOCK CODE OUT]],Generated_Stockcode,0),12),""))</f>
        <v/>
      </c>
      <c r="P1334" s="73" t="str">
        <f>IF(ISBLANK(C1334),"",_xlfn.IFNA(INDEX(inbound_data[],MATCH(Outbound_data[[#This Row],[STOCK CODE OUT]],Generated_Stockcode,0),23),""))</f>
        <v/>
      </c>
      <c r="Q1334" s="73" t="str">
        <f>IF(ISBLANK(C1334),"",_xlfn.IFNA(INDEX(inbound_data[],MATCH(Outbound_data[[#This Row],[STOCK CODE OUT]],Generated_Stockcode,0),13),""))</f>
        <v/>
      </c>
    </row>
    <row r="1335" spans="2:17" x14ac:dyDescent="0.25">
      <c r="B1335" s="71"/>
      <c r="C1335" s="65"/>
      <c r="D1335" s="55"/>
      <c r="E1335" s="65"/>
      <c r="F1335" s="166"/>
      <c r="G1335" s="167"/>
      <c r="H1335" s="166"/>
      <c r="I1335" s="72"/>
      <c r="J1335" s="55"/>
      <c r="K1335" s="72"/>
      <c r="L1335" s="55"/>
      <c r="M1335" s="174"/>
      <c r="N1335" s="73" t="str">
        <f>IF(ISBLANK(C1335),"",_xlfn.IFNA(INDEX(inbound_data[],MATCH(Outbound_data[[#This Row],[STOCK CODE OUT]],Generated_Stockcode,0),10),""))</f>
        <v/>
      </c>
      <c r="O1335" s="73" t="str">
        <f>IF(ISBLANK(C1335),"",_xlfn.IFNA(INDEX(inbound_data[],MATCH(Outbound_data[[#This Row],[STOCK CODE OUT]],Generated_Stockcode,0),12),""))</f>
        <v/>
      </c>
      <c r="P1335" s="73" t="str">
        <f>IF(ISBLANK(C1335),"",_xlfn.IFNA(INDEX(inbound_data[],MATCH(Outbound_data[[#This Row],[STOCK CODE OUT]],Generated_Stockcode,0),23),""))</f>
        <v/>
      </c>
      <c r="Q1335" s="73" t="str">
        <f>IF(ISBLANK(C1335),"",_xlfn.IFNA(INDEX(inbound_data[],MATCH(Outbound_data[[#This Row],[STOCK CODE OUT]],Generated_Stockcode,0),13),""))</f>
        <v/>
      </c>
    </row>
    <row r="1336" spans="2:17" x14ac:dyDescent="0.25">
      <c r="B1336" s="71"/>
      <c r="C1336" s="65"/>
      <c r="D1336" s="55"/>
      <c r="E1336" s="65"/>
      <c r="F1336" s="166"/>
      <c r="G1336" s="167"/>
      <c r="H1336" s="166"/>
      <c r="I1336" s="72"/>
      <c r="J1336" s="55"/>
      <c r="K1336" s="72"/>
      <c r="L1336" s="55"/>
      <c r="M1336" s="174"/>
      <c r="N1336" s="73" t="str">
        <f>IF(ISBLANK(C1336),"",_xlfn.IFNA(INDEX(inbound_data[],MATCH(Outbound_data[[#This Row],[STOCK CODE OUT]],Generated_Stockcode,0),10),""))</f>
        <v/>
      </c>
      <c r="O1336" s="73" t="str">
        <f>IF(ISBLANK(C1336),"",_xlfn.IFNA(INDEX(inbound_data[],MATCH(Outbound_data[[#This Row],[STOCK CODE OUT]],Generated_Stockcode,0),12),""))</f>
        <v/>
      </c>
      <c r="P1336" s="73" t="str">
        <f>IF(ISBLANK(C1336),"",_xlfn.IFNA(INDEX(inbound_data[],MATCH(Outbound_data[[#This Row],[STOCK CODE OUT]],Generated_Stockcode,0),23),""))</f>
        <v/>
      </c>
      <c r="Q1336" s="73" t="str">
        <f>IF(ISBLANK(C1336),"",_xlfn.IFNA(INDEX(inbound_data[],MATCH(Outbound_data[[#This Row],[STOCK CODE OUT]],Generated_Stockcode,0),13),""))</f>
        <v/>
      </c>
    </row>
    <row r="1337" spans="2:17" x14ac:dyDescent="0.25">
      <c r="B1337" s="71"/>
      <c r="C1337" s="65"/>
      <c r="D1337" s="55"/>
      <c r="E1337" s="65"/>
      <c r="F1337" s="166"/>
      <c r="G1337" s="167"/>
      <c r="H1337" s="166"/>
      <c r="I1337" s="72"/>
      <c r="J1337" s="55"/>
      <c r="K1337" s="72"/>
      <c r="L1337" s="55"/>
      <c r="M1337" s="174"/>
      <c r="N1337" s="73" t="str">
        <f>IF(ISBLANK(C1337),"",_xlfn.IFNA(INDEX(inbound_data[],MATCH(Outbound_data[[#This Row],[STOCK CODE OUT]],Generated_Stockcode,0),10),""))</f>
        <v/>
      </c>
      <c r="O1337" s="73" t="str">
        <f>IF(ISBLANK(C1337),"",_xlfn.IFNA(INDEX(inbound_data[],MATCH(Outbound_data[[#This Row],[STOCK CODE OUT]],Generated_Stockcode,0),12),""))</f>
        <v/>
      </c>
      <c r="P1337" s="73" t="str">
        <f>IF(ISBLANK(C1337),"",_xlfn.IFNA(INDEX(inbound_data[],MATCH(Outbound_data[[#This Row],[STOCK CODE OUT]],Generated_Stockcode,0),23),""))</f>
        <v/>
      </c>
      <c r="Q1337" s="73" t="str">
        <f>IF(ISBLANK(C1337),"",_xlfn.IFNA(INDEX(inbound_data[],MATCH(Outbound_data[[#This Row],[STOCK CODE OUT]],Generated_Stockcode,0),13),""))</f>
        <v/>
      </c>
    </row>
    <row r="1338" spans="2:17" x14ac:dyDescent="0.25">
      <c r="B1338" s="71"/>
      <c r="C1338" s="65"/>
      <c r="D1338" s="55"/>
      <c r="E1338" s="65"/>
      <c r="F1338" s="166"/>
      <c r="G1338" s="167"/>
      <c r="H1338" s="166"/>
      <c r="I1338" s="72"/>
      <c r="J1338" s="55"/>
      <c r="K1338" s="72"/>
      <c r="L1338" s="55"/>
      <c r="M1338" s="174"/>
      <c r="N1338" s="73" t="str">
        <f>IF(ISBLANK(C1338),"",_xlfn.IFNA(INDEX(inbound_data[],MATCH(Outbound_data[[#This Row],[STOCK CODE OUT]],Generated_Stockcode,0),10),""))</f>
        <v/>
      </c>
      <c r="O1338" s="73" t="str">
        <f>IF(ISBLANK(C1338),"",_xlfn.IFNA(INDEX(inbound_data[],MATCH(Outbound_data[[#This Row],[STOCK CODE OUT]],Generated_Stockcode,0),12),""))</f>
        <v/>
      </c>
      <c r="P1338" s="73" t="str">
        <f>IF(ISBLANK(C1338),"",_xlfn.IFNA(INDEX(inbound_data[],MATCH(Outbound_data[[#This Row],[STOCK CODE OUT]],Generated_Stockcode,0),23),""))</f>
        <v/>
      </c>
      <c r="Q1338" s="73" t="str">
        <f>IF(ISBLANK(C1338),"",_xlfn.IFNA(INDEX(inbound_data[],MATCH(Outbound_data[[#This Row],[STOCK CODE OUT]],Generated_Stockcode,0),13),""))</f>
        <v/>
      </c>
    </row>
    <row r="1339" spans="2:17" x14ac:dyDescent="0.25">
      <c r="B1339" s="71"/>
      <c r="C1339" s="65"/>
      <c r="D1339" s="55"/>
      <c r="E1339" s="65"/>
      <c r="F1339" s="166"/>
      <c r="G1339" s="167"/>
      <c r="H1339" s="166"/>
      <c r="I1339" s="72"/>
      <c r="J1339" s="55"/>
      <c r="K1339" s="72"/>
      <c r="L1339" s="55"/>
      <c r="M1339" s="174"/>
      <c r="N1339" s="73" t="str">
        <f>IF(ISBLANK(C1339),"",_xlfn.IFNA(INDEX(inbound_data[],MATCH(Outbound_data[[#This Row],[STOCK CODE OUT]],Generated_Stockcode,0),10),""))</f>
        <v/>
      </c>
      <c r="O1339" s="73" t="str">
        <f>IF(ISBLANK(C1339),"",_xlfn.IFNA(INDEX(inbound_data[],MATCH(Outbound_data[[#This Row],[STOCK CODE OUT]],Generated_Stockcode,0),12),""))</f>
        <v/>
      </c>
      <c r="P1339" s="73" t="str">
        <f>IF(ISBLANK(C1339),"",_xlfn.IFNA(INDEX(inbound_data[],MATCH(Outbound_data[[#This Row],[STOCK CODE OUT]],Generated_Stockcode,0),23),""))</f>
        <v/>
      </c>
      <c r="Q1339" s="73" t="str">
        <f>IF(ISBLANK(C1339),"",_xlfn.IFNA(INDEX(inbound_data[],MATCH(Outbound_data[[#This Row],[STOCK CODE OUT]],Generated_Stockcode,0),13),""))</f>
        <v/>
      </c>
    </row>
    <row r="1340" spans="2:17" x14ac:dyDescent="0.25">
      <c r="B1340" s="71"/>
      <c r="C1340" s="65"/>
      <c r="D1340" s="55"/>
      <c r="E1340" s="65"/>
      <c r="F1340" s="166"/>
      <c r="G1340" s="167"/>
      <c r="H1340" s="166"/>
      <c r="I1340" s="72"/>
      <c r="J1340" s="55"/>
      <c r="K1340" s="72"/>
      <c r="L1340" s="55"/>
      <c r="M1340" s="174"/>
      <c r="N1340" s="73" t="str">
        <f>IF(ISBLANK(C1340),"",_xlfn.IFNA(INDEX(inbound_data[],MATCH(Outbound_data[[#This Row],[STOCK CODE OUT]],Generated_Stockcode,0),10),""))</f>
        <v/>
      </c>
      <c r="O1340" s="73" t="str">
        <f>IF(ISBLANK(C1340),"",_xlfn.IFNA(INDEX(inbound_data[],MATCH(Outbound_data[[#This Row],[STOCK CODE OUT]],Generated_Stockcode,0),12),""))</f>
        <v/>
      </c>
      <c r="P1340" s="73" t="str">
        <f>IF(ISBLANK(C1340),"",_xlfn.IFNA(INDEX(inbound_data[],MATCH(Outbound_data[[#This Row],[STOCK CODE OUT]],Generated_Stockcode,0),23),""))</f>
        <v/>
      </c>
      <c r="Q1340" s="73" t="str">
        <f>IF(ISBLANK(C1340),"",_xlfn.IFNA(INDEX(inbound_data[],MATCH(Outbound_data[[#This Row],[STOCK CODE OUT]],Generated_Stockcode,0),13),""))</f>
        <v/>
      </c>
    </row>
    <row r="1341" spans="2:17" x14ac:dyDescent="0.25">
      <c r="B1341" s="71"/>
      <c r="C1341" s="65"/>
      <c r="D1341" s="55"/>
      <c r="E1341" s="65"/>
      <c r="F1341" s="166"/>
      <c r="G1341" s="167"/>
      <c r="H1341" s="166"/>
      <c r="I1341" s="72"/>
      <c r="J1341" s="55"/>
      <c r="K1341" s="72"/>
      <c r="L1341" s="55"/>
      <c r="M1341" s="174"/>
      <c r="N1341" s="73" t="str">
        <f>IF(ISBLANK(C1341),"",_xlfn.IFNA(INDEX(inbound_data[],MATCH(Outbound_data[[#This Row],[STOCK CODE OUT]],Generated_Stockcode,0),10),""))</f>
        <v/>
      </c>
      <c r="O1341" s="73" t="str">
        <f>IF(ISBLANK(C1341),"",_xlfn.IFNA(INDEX(inbound_data[],MATCH(Outbound_data[[#This Row],[STOCK CODE OUT]],Generated_Stockcode,0),12),""))</f>
        <v/>
      </c>
      <c r="P1341" s="73" t="str">
        <f>IF(ISBLANK(C1341),"",_xlfn.IFNA(INDEX(inbound_data[],MATCH(Outbound_data[[#This Row],[STOCK CODE OUT]],Generated_Stockcode,0),23),""))</f>
        <v/>
      </c>
      <c r="Q1341" s="73" t="str">
        <f>IF(ISBLANK(C1341),"",_xlfn.IFNA(INDEX(inbound_data[],MATCH(Outbound_data[[#This Row],[STOCK CODE OUT]],Generated_Stockcode,0),13),""))</f>
        <v/>
      </c>
    </row>
    <row r="1342" spans="2:17" x14ac:dyDescent="0.25">
      <c r="B1342" s="71"/>
      <c r="C1342" s="65"/>
      <c r="D1342" s="55"/>
      <c r="E1342" s="65"/>
      <c r="F1342" s="166"/>
      <c r="G1342" s="167"/>
      <c r="H1342" s="166"/>
      <c r="I1342" s="72"/>
      <c r="J1342" s="55"/>
      <c r="K1342" s="72"/>
      <c r="L1342" s="55"/>
      <c r="M1342" s="174"/>
      <c r="N1342" s="73" t="str">
        <f>IF(ISBLANK(C1342),"",_xlfn.IFNA(INDEX(inbound_data[],MATCH(Outbound_data[[#This Row],[STOCK CODE OUT]],Generated_Stockcode,0),10),""))</f>
        <v/>
      </c>
      <c r="O1342" s="73" t="str">
        <f>IF(ISBLANK(C1342),"",_xlfn.IFNA(INDEX(inbound_data[],MATCH(Outbound_data[[#This Row],[STOCK CODE OUT]],Generated_Stockcode,0),12),""))</f>
        <v/>
      </c>
      <c r="P1342" s="73" t="str">
        <f>IF(ISBLANK(C1342),"",_xlfn.IFNA(INDEX(inbound_data[],MATCH(Outbound_data[[#This Row],[STOCK CODE OUT]],Generated_Stockcode,0),23),""))</f>
        <v/>
      </c>
      <c r="Q1342" s="73" t="str">
        <f>IF(ISBLANK(C1342),"",_xlfn.IFNA(INDEX(inbound_data[],MATCH(Outbound_data[[#This Row],[STOCK CODE OUT]],Generated_Stockcode,0),13),""))</f>
        <v/>
      </c>
    </row>
    <row r="1343" spans="2:17" x14ac:dyDescent="0.25">
      <c r="B1343" s="71"/>
      <c r="C1343" s="65"/>
      <c r="D1343" s="55"/>
      <c r="E1343" s="65"/>
      <c r="F1343" s="166"/>
      <c r="G1343" s="167"/>
      <c r="H1343" s="166"/>
      <c r="I1343" s="72"/>
      <c r="J1343" s="55"/>
      <c r="K1343" s="72"/>
      <c r="L1343" s="55"/>
      <c r="M1343" s="174"/>
      <c r="N1343" s="73" t="str">
        <f>IF(ISBLANK(C1343),"",_xlfn.IFNA(INDEX(inbound_data[],MATCH(Outbound_data[[#This Row],[STOCK CODE OUT]],Generated_Stockcode,0),10),""))</f>
        <v/>
      </c>
      <c r="O1343" s="73" t="str">
        <f>IF(ISBLANK(C1343),"",_xlfn.IFNA(INDEX(inbound_data[],MATCH(Outbound_data[[#This Row],[STOCK CODE OUT]],Generated_Stockcode,0),12),""))</f>
        <v/>
      </c>
      <c r="P1343" s="73" t="str">
        <f>IF(ISBLANK(C1343),"",_xlfn.IFNA(INDEX(inbound_data[],MATCH(Outbound_data[[#This Row],[STOCK CODE OUT]],Generated_Stockcode,0),23),""))</f>
        <v/>
      </c>
      <c r="Q1343" s="73" t="str">
        <f>IF(ISBLANK(C1343),"",_xlfn.IFNA(INDEX(inbound_data[],MATCH(Outbound_data[[#This Row],[STOCK CODE OUT]],Generated_Stockcode,0),13),""))</f>
        <v/>
      </c>
    </row>
    <row r="1344" spans="2:17" x14ac:dyDescent="0.25">
      <c r="B1344" s="71"/>
      <c r="C1344" s="65"/>
      <c r="D1344" s="55"/>
      <c r="E1344" s="65"/>
      <c r="F1344" s="166"/>
      <c r="G1344" s="167"/>
      <c r="H1344" s="166"/>
      <c r="I1344" s="72"/>
      <c r="J1344" s="55"/>
      <c r="K1344" s="72"/>
      <c r="L1344" s="55"/>
      <c r="M1344" s="174"/>
      <c r="N1344" s="73" t="str">
        <f>IF(ISBLANK(C1344),"",_xlfn.IFNA(INDEX(inbound_data[],MATCH(Outbound_data[[#This Row],[STOCK CODE OUT]],Generated_Stockcode,0),10),""))</f>
        <v/>
      </c>
      <c r="O1344" s="73" t="str">
        <f>IF(ISBLANK(C1344),"",_xlfn.IFNA(INDEX(inbound_data[],MATCH(Outbound_data[[#This Row],[STOCK CODE OUT]],Generated_Stockcode,0),12),""))</f>
        <v/>
      </c>
      <c r="P1344" s="73" t="str">
        <f>IF(ISBLANK(C1344),"",_xlfn.IFNA(INDEX(inbound_data[],MATCH(Outbound_data[[#This Row],[STOCK CODE OUT]],Generated_Stockcode,0),23),""))</f>
        <v/>
      </c>
      <c r="Q1344" s="73" t="str">
        <f>IF(ISBLANK(C1344),"",_xlfn.IFNA(INDEX(inbound_data[],MATCH(Outbound_data[[#This Row],[STOCK CODE OUT]],Generated_Stockcode,0),13),""))</f>
        <v/>
      </c>
    </row>
    <row r="1345" spans="2:17" x14ac:dyDescent="0.25">
      <c r="B1345" s="71"/>
      <c r="C1345" s="65"/>
      <c r="D1345" s="55"/>
      <c r="E1345" s="65"/>
      <c r="F1345" s="166"/>
      <c r="G1345" s="167"/>
      <c r="H1345" s="166"/>
      <c r="I1345" s="72"/>
      <c r="J1345" s="55"/>
      <c r="K1345" s="72"/>
      <c r="L1345" s="55"/>
      <c r="M1345" s="174"/>
      <c r="N1345" s="73" t="str">
        <f>IF(ISBLANK(C1345),"",_xlfn.IFNA(INDEX(inbound_data[],MATCH(Outbound_data[[#This Row],[STOCK CODE OUT]],Generated_Stockcode,0),10),""))</f>
        <v/>
      </c>
      <c r="O1345" s="73" t="str">
        <f>IF(ISBLANK(C1345),"",_xlfn.IFNA(INDEX(inbound_data[],MATCH(Outbound_data[[#This Row],[STOCK CODE OUT]],Generated_Stockcode,0),12),""))</f>
        <v/>
      </c>
      <c r="P1345" s="73" t="str">
        <f>IF(ISBLANK(C1345),"",_xlfn.IFNA(INDEX(inbound_data[],MATCH(Outbound_data[[#This Row],[STOCK CODE OUT]],Generated_Stockcode,0),23),""))</f>
        <v/>
      </c>
      <c r="Q1345" s="73" t="str">
        <f>IF(ISBLANK(C1345),"",_xlfn.IFNA(INDEX(inbound_data[],MATCH(Outbound_data[[#This Row],[STOCK CODE OUT]],Generated_Stockcode,0),13),""))</f>
        <v/>
      </c>
    </row>
    <row r="1346" spans="2:17" x14ac:dyDescent="0.25">
      <c r="B1346" s="71"/>
      <c r="C1346" s="65"/>
      <c r="D1346" s="55"/>
      <c r="E1346" s="65"/>
      <c r="F1346" s="166"/>
      <c r="G1346" s="167"/>
      <c r="H1346" s="166"/>
      <c r="I1346" s="72"/>
      <c r="J1346" s="55"/>
      <c r="K1346" s="72"/>
      <c r="L1346" s="55"/>
      <c r="M1346" s="174"/>
      <c r="N1346" s="73" t="str">
        <f>IF(ISBLANK(C1346),"",_xlfn.IFNA(INDEX(inbound_data[],MATCH(Outbound_data[[#This Row],[STOCK CODE OUT]],Generated_Stockcode,0),10),""))</f>
        <v/>
      </c>
      <c r="O1346" s="73" t="str">
        <f>IF(ISBLANK(C1346),"",_xlfn.IFNA(INDEX(inbound_data[],MATCH(Outbound_data[[#This Row],[STOCK CODE OUT]],Generated_Stockcode,0),12),""))</f>
        <v/>
      </c>
      <c r="P1346" s="73" t="str">
        <f>IF(ISBLANK(C1346),"",_xlfn.IFNA(INDEX(inbound_data[],MATCH(Outbound_data[[#This Row],[STOCK CODE OUT]],Generated_Stockcode,0),23),""))</f>
        <v/>
      </c>
      <c r="Q1346" s="73" t="str">
        <f>IF(ISBLANK(C1346),"",_xlfn.IFNA(INDEX(inbound_data[],MATCH(Outbound_data[[#This Row],[STOCK CODE OUT]],Generated_Stockcode,0),13),""))</f>
        <v/>
      </c>
    </row>
    <row r="1347" spans="2:17" x14ac:dyDescent="0.25">
      <c r="B1347" s="71"/>
      <c r="C1347" s="65"/>
      <c r="D1347" s="55"/>
      <c r="E1347" s="65"/>
      <c r="F1347" s="166"/>
      <c r="G1347" s="167"/>
      <c r="H1347" s="166"/>
      <c r="I1347" s="72"/>
      <c r="J1347" s="55"/>
      <c r="K1347" s="72"/>
      <c r="L1347" s="55"/>
      <c r="M1347" s="174"/>
      <c r="N1347" s="73" t="str">
        <f>IF(ISBLANK(C1347),"",_xlfn.IFNA(INDEX(inbound_data[],MATCH(Outbound_data[[#This Row],[STOCK CODE OUT]],Generated_Stockcode,0),10),""))</f>
        <v/>
      </c>
      <c r="O1347" s="73" t="str">
        <f>IF(ISBLANK(C1347),"",_xlfn.IFNA(INDEX(inbound_data[],MATCH(Outbound_data[[#This Row],[STOCK CODE OUT]],Generated_Stockcode,0),12),""))</f>
        <v/>
      </c>
      <c r="P1347" s="73" t="str">
        <f>IF(ISBLANK(C1347),"",_xlfn.IFNA(INDEX(inbound_data[],MATCH(Outbound_data[[#This Row],[STOCK CODE OUT]],Generated_Stockcode,0),23),""))</f>
        <v/>
      </c>
      <c r="Q1347" s="73" t="str">
        <f>IF(ISBLANK(C1347),"",_xlfn.IFNA(INDEX(inbound_data[],MATCH(Outbound_data[[#This Row],[STOCK CODE OUT]],Generated_Stockcode,0),13),""))</f>
        <v/>
      </c>
    </row>
    <row r="1348" spans="2:17" x14ac:dyDescent="0.25">
      <c r="B1348" s="71"/>
      <c r="C1348" s="65"/>
      <c r="D1348" s="55"/>
      <c r="E1348" s="65"/>
      <c r="F1348" s="166"/>
      <c r="G1348" s="167"/>
      <c r="H1348" s="166"/>
      <c r="I1348" s="72"/>
      <c r="J1348" s="55"/>
      <c r="K1348" s="72"/>
      <c r="L1348" s="55"/>
      <c r="M1348" s="174"/>
      <c r="N1348" s="73" t="str">
        <f>IF(ISBLANK(C1348),"",_xlfn.IFNA(INDEX(inbound_data[],MATCH(Outbound_data[[#This Row],[STOCK CODE OUT]],Generated_Stockcode,0),10),""))</f>
        <v/>
      </c>
      <c r="O1348" s="73" t="str">
        <f>IF(ISBLANK(C1348),"",_xlfn.IFNA(INDEX(inbound_data[],MATCH(Outbound_data[[#This Row],[STOCK CODE OUT]],Generated_Stockcode,0),12),""))</f>
        <v/>
      </c>
      <c r="P1348" s="73" t="str">
        <f>IF(ISBLANK(C1348),"",_xlfn.IFNA(INDEX(inbound_data[],MATCH(Outbound_data[[#This Row],[STOCK CODE OUT]],Generated_Stockcode,0),23),""))</f>
        <v/>
      </c>
      <c r="Q1348" s="73" t="str">
        <f>IF(ISBLANK(C1348),"",_xlfn.IFNA(INDEX(inbound_data[],MATCH(Outbound_data[[#This Row],[STOCK CODE OUT]],Generated_Stockcode,0),13),""))</f>
        <v/>
      </c>
    </row>
    <row r="1349" spans="2:17" x14ac:dyDescent="0.25">
      <c r="B1349" s="71"/>
      <c r="C1349" s="65"/>
      <c r="D1349" s="55"/>
      <c r="E1349" s="65"/>
      <c r="F1349" s="166"/>
      <c r="G1349" s="167"/>
      <c r="H1349" s="166"/>
      <c r="I1349" s="72"/>
      <c r="J1349" s="55"/>
      <c r="K1349" s="72"/>
      <c r="L1349" s="55"/>
      <c r="M1349" s="174"/>
      <c r="N1349" s="73" t="str">
        <f>IF(ISBLANK(C1349),"",_xlfn.IFNA(INDEX(inbound_data[],MATCH(Outbound_data[[#This Row],[STOCK CODE OUT]],Generated_Stockcode,0),10),""))</f>
        <v/>
      </c>
      <c r="O1349" s="73" t="str">
        <f>IF(ISBLANK(C1349),"",_xlfn.IFNA(INDEX(inbound_data[],MATCH(Outbound_data[[#This Row],[STOCK CODE OUT]],Generated_Stockcode,0),12),""))</f>
        <v/>
      </c>
      <c r="P1349" s="73" t="str">
        <f>IF(ISBLANK(C1349),"",_xlfn.IFNA(INDEX(inbound_data[],MATCH(Outbound_data[[#This Row],[STOCK CODE OUT]],Generated_Stockcode,0),23),""))</f>
        <v/>
      </c>
      <c r="Q1349" s="73" t="str">
        <f>IF(ISBLANK(C1349),"",_xlfn.IFNA(INDEX(inbound_data[],MATCH(Outbound_data[[#This Row],[STOCK CODE OUT]],Generated_Stockcode,0),13),""))</f>
        <v/>
      </c>
    </row>
    <row r="1350" spans="2:17" x14ac:dyDescent="0.25">
      <c r="B1350" s="71"/>
      <c r="C1350" s="65"/>
      <c r="D1350" s="55"/>
      <c r="E1350" s="65"/>
      <c r="F1350" s="166"/>
      <c r="G1350" s="167"/>
      <c r="H1350" s="166"/>
      <c r="I1350" s="72"/>
      <c r="J1350" s="55"/>
      <c r="K1350" s="72"/>
      <c r="L1350" s="55"/>
      <c r="M1350" s="174"/>
      <c r="N1350" s="73" t="str">
        <f>IF(ISBLANK(C1350),"",_xlfn.IFNA(INDEX(inbound_data[],MATCH(Outbound_data[[#This Row],[STOCK CODE OUT]],Generated_Stockcode,0),10),""))</f>
        <v/>
      </c>
      <c r="O1350" s="73" t="str">
        <f>IF(ISBLANK(C1350),"",_xlfn.IFNA(INDEX(inbound_data[],MATCH(Outbound_data[[#This Row],[STOCK CODE OUT]],Generated_Stockcode,0),12),""))</f>
        <v/>
      </c>
      <c r="P1350" s="73" t="str">
        <f>IF(ISBLANK(C1350),"",_xlfn.IFNA(INDEX(inbound_data[],MATCH(Outbound_data[[#This Row],[STOCK CODE OUT]],Generated_Stockcode,0),23),""))</f>
        <v/>
      </c>
      <c r="Q1350" s="73" t="str">
        <f>IF(ISBLANK(C1350),"",_xlfn.IFNA(INDEX(inbound_data[],MATCH(Outbound_data[[#This Row],[STOCK CODE OUT]],Generated_Stockcode,0),13),""))</f>
        <v/>
      </c>
    </row>
    <row r="1351" spans="2:17" x14ac:dyDescent="0.25">
      <c r="B1351" s="71"/>
      <c r="C1351" s="65"/>
      <c r="D1351" s="55"/>
      <c r="E1351" s="65"/>
      <c r="F1351" s="166"/>
      <c r="G1351" s="167"/>
      <c r="H1351" s="166"/>
      <c r="I1351" s="72"/>
      <c r="J1351" s="55"/>
      <c r="K1351" s="72"/>
      <c r="L1351" s="55"/>
      <c r="M1351" s="174"/>
      <c r="N1351" s="73" t="str">
        <f>IF(ISBLANK(C1351),"",_xlfn.IFNA(INDEX(inbound_data[],MATCH(Outbound_data[[#This Row],[STOCK CODE OUT]],Generated_Stockcode,0),10),""))</f>
        <v/>
      </c>
      <c r="O1351" s="73" t="str">
        <f>IF(ISBLANK(C1351),"",_xlfn.IFNA(INDEX(inbound_data[],MATCH(Outbound_data[[#This Row],[STOCK CODE OUT]],Generated_Stockcode,0),12),""))</f>
        <v/>
      </c>
      <c r="P1351" s="73" t="str">
        <f>IF(ISBLANK(C1351),"",_xlfn.IFNA(INDEX(inbound_data[],MATCH(Outbound_data[[#This Row],[STOCK CODE OUT]],Generated_Stockcode,0),23),""))</f>
        <v/>
      </c>
      <c r="Q1351" s="73" t="str">
        <f>IF(ISBLANK(C1351),"",_xlfn.IFNA(INDEX(inbound_data[],MATCH(Outbound_data[[#This Row],[STOCK CODE OUT]],Generated_Stockcode,0),13),""))</f>
        <v/>
      </c>
    </row>
    <row r="1352" spans="2:17" x14ac:dyDescent="0.25">
      <c r="B1352" s="71"/>
      <c r="C1352" s="65"/>
      <c r="D1352" s="55"/>
      <c r="E1352" s="65"/>
      <c r="F1352" s="166"/>
      <c r="G1352" s="167"/>
      <c r="H1352" s="166"/>
      <c r="I1352" s="72"/>
      <c r="J1352" s="55"/>
      <c r="K1352" s="72"/>
      <c r="L1352" s="55"/>
      <c r="M1352" s="174"/>
      <c r="N1352" s="73" t="str">
        <f>IF(ISBLANK(C1352),"",_xlfn.IFNA(INDEX(inbound_data[],MATCH(Outbound_data[[#This Row],[STOCK CODE OUT]],Generated_Stockcode,0),10),""))</f>
        <v/>
      </c>
      <c r="O1352" s="73" t="str">
        <f>IF(ISBLANK(C1352),"",_xlfn.IFNA(INDEX(inbound_data[],MATCH(Outbound_data[[#This Row],[STOCK CODE OUT]],Generated_Stockcode,0),12),""))</f>
        <v/>
      </c>
      <c r="P1352" s="73" t="str">
        <f>IF(ISBLANK(C1352),"",_xlfn.IFNA(INDEX(inbound_data[],MATCH(Outbound_data[[#This Row],[STOCK CODE OUT]],Generated_Stockcode,0),23),""))</f>
        <v/>
      </c>
      <c r="Q1352" s="73" t="str">
        <f>IF(ISBLANK(C1352),"",_xlfn.IFNA(INDEX(inbound_data[],MATCH(Outbound_data[[#This Row],[STOCK CODE OUT]],Generated_Stockcode,0),13),""))</f>
        <v/>
      </c>
    </row>
    <row r="1353" spans="2:17" x14ac:dyDescent="0.25">
      <c r="B1353" s="71"/>
      <c r="C1353" s="65"/>
      <c r="D1353" s="55"/>
      <c r="E1353" s="65"/>
      <c r="F1353" s="166"/>
      <c r="G1353" s="167"/>
      <c r="H1353" s="166"/>
      <c r="I1353" s="72"/>
      <c r="J1353" s="55"/>
      <c r="K1353" s="72"/>
      <c r="L1353" s="55"/>
      <c r="M1353" s="174"/>
      <c r="N1353" s="73" t="str">
        <f>IF(ISBLANK(C1353),"",_xlfn.IFNA(INDEX(inbound_data[],MATCH(Outbound_data[[#This Row],[STOCK CODE OUT]],Generated_Stockcode,0),10),""))</f>
        <v/>
      </c>
      <c r="O1353" s="73" t="str">
        <f>IF(ISBLANK(C1353),"",_xlfn.IFNA(INDEX(inbound_data[],MATCH(Outbound_data[[#This Row],[STOCK CODE OUT]],Generated_Stockcode,0),12),""))</f>
        <v/>
      </c>
      <c r="P1353" s="73" t="str">
        <f>IF(ISBLANK(C1353),"",_xlfn.IFNA(INDEX(inbound_data[],MATCH(Outbound_data[[#This Row],[STOCK CODE OUT]],Generated_Stockcode,0),23),""))</f>
        <v/>
      </c>
      <c r="Q1353" s="73" t="str">
        <f>IF(ISBLANK(C1353),"",_xlfn.IFNA(INDEX(inbound_data[],MATCH(Outbound_data[[#This Row],[STOCK CODE OUT]],Generated_Stockcode,0),13),""))</f>
        <v/>
      </c>
    </row>
    <row r="1354" spans="2:17" x14ac:dyDescent="0.25">
      <c r="B1354" s="71"/>
      <c r="C1354" s="65"/>
      <c r="D1354" s="55"/>
      <c r="E1354" s="65"/>
      <c r="F1354" s="166"/>
      <c r="G1354" s="167"/>
      <c r="H1354" s="166"/>
      <c r="I1354" s="72"/>
      <c r="J1354" s="55"/>
      <c r="K1354" s="72"/>
      <c r="L1354" s="55"/>
      <c r="M1354" s="174"/>
      <c r="N1354" s="73" t="str">
        <f>IF(ISBLANK(C1354),"",_xlfn.IFNA(INDEX(inbound_data[],MATCH(Outbound_data[[#This Row],[STOCK CODE OUT]],Generated_Stockcode,0),10),""))</f>
        <v/>
      </c>
      <c r="O1354" s="73" t="str">
        <f>IF(ISBLANK(C1354),"",_xlfn.IFNA(INDEX(inbound_data[],MATCH(Outbound_data[[#This Row],[STOCK CODE OUT]],Generated_Stockcode,0),12),""))</f>
        <v/>
      </c>
      <c r="P1354" s="73" t="str">
        <f>IF(ISBLANK(C1354),"",_xlfn.IFNA(INDEX(inbound_data[],MATCH(Outbound_data[[#This Row],[STOCK CODE OUT]],Generated_Stockcode,0),23),""))</f>
        <v/>
      </c>
      <c r="Q1354" s="73" t="str">
        <f>IF(ISBLANK(C1354),"",_xlfn.IFNA(INDEX(inbound_data[],MATCH(Outbound_data[[#This Row],[STOCK CODE OUT]],Generated_Stockcode,0),13),""))</f>
        <v/>
      </c>
    </row>
    <row r="1355" spans="2:17" x14ac:dyDescent="0.25">
      <c r="B1355" s="71"/>
      <c r="C1355" s="65"/>
      <c r="D1355" s="55"/>
      <c r="E1355" s="65"/>
      <c r="F1355" s="166"/>
      <c r="G1355" s="167"/>
      <c r="H1355" s="166"/>
      <c r="I1355" s="72"/>
      <c r="J1355" s="55"/>
      <c r="K1355" s="72"/>
      <c r="L1355" s="55"/>
      <c r="M1355" s="174"/>
      <c r="N1355" s="73" t="str">
        <f>IF(ISBLANK(C1355),"",_xlfn.IFNA(INDEX(inbound_data[],MATCH(Outbound_data[[#This Row],[STOCK CODE OUT]],Generated_Stockcode,0),10),""))</f>
        <v/>
      </c>
      <c r="O1355" s="73" t="str">
        <f>IF(ISBLANK(C1355),"",_xlfn.IFNA(INDEX(inbound_data[],MATCH(Outbound_data[[#This Row],[STOCK CODE OUT]],Generated_Stockcode,0),12),""))</f>
        <v/>
      </c>
      <c r="P1355" s="73" t="str">
        <f>IF(ISBLANK(C1355),"",_xlfn.IFNA(INDEX(inbound_data[],MATCH(Outbound_data[[#This Row],[STOCK CODE OUT]],Generated_Stockcode,0),23),""))</f>
        <v/>
      </c>
      <c r="Q1355" s="73" t="str">
        <f>IF(ISBLANK(C1355),"",_xlfn.IFNA(INDEX(inbound_data[],MATCH(Outbound_data[[#This Row],[STOCK CODE OUT]],Generated_Stockcode,0),13),""))</f>
        <v/>
      </c>
    </row>
    <row r="1356" spans="2:17" x14ac:dyDescent="0.25">
      <c r="B1356" s="71"/>
      <c r="C1356" s="65"/>
      <c r="D1356" s="55"/>
      <c r="E1356" s="65"/>
      <c r="F1356" s="166"/>
      <c r="G1356" s="167"/>
      <c r="H1356" s="166"/>
      <c r="I1356" s="72"/>
      <c r="J1356" s="55"/>
      <c r="K1356" s="72"/>
      <c r="L1356" s="55"/>
      <c r="M1356" s="174"/>
      <c r="N1356" s="73" t="str">
        <f>IF(ISBLANK(C1356),"",_xlfn.IFNA(INDEX(inbound_data[],MATCH(Outbound_data[[#This Row],[STOCK CODE OUT]],Generated_Stockcode,0),10),""))</f>
        <v/>
      </c>
      <c r="O1356" s="73" t="str">
        <f>IF(ISBLANK(C1356),"",_xlfn.IFNA(INDEX(inbound_data[],MATCH(Outbound_data[[#This Row],[STOCK CODE OUT]],Generated_Stockcode,0),12),""))</f>
        <v/>
      </c>
      <c r="P1356" s="73" t="str">
        <f>IF(ISBLANK(C1356),"",_xlfn.IFNA(INDEX(inbound_data[],MATCH(Outbound_data[[#This Row],[STOCK CODE OUT]],Generated_Stockcode,0),23),""))</f>
        <v/>
      </c>
      <c r="Q1356" s="73" t="str">
        <f>IF(ISBLANK(C1356),"",_xlfn.IFNA(INDEX(inbound_data[],MATCH(Outbound_data[[#This Row],[STOCK CODE OUT]],Generated_Stockcode,0),13),""))</f>
        <v/>
      </c>
    </row>
    <row r="1357" spans="2:17" x14ac:dyDescent="0.25">
      <c r="B1357" s="71"/>
      <c r="C1357" s="65"/>
      <c r="D1357" s="55"/>
      <c r="E1357" s="65"/>
      <c r="F1357" s="166"/>
      <c r="G1357" s="167"/>
      <c r="H1357" s="166"/>
      <c r="I1357" s="72"/>
      <c r="J1357" s="55"/>
      <c r="K1357" s="72"/>
      <c r="L1357" s="55"/>
      <c r="M1357" s="174"/>
      <c r="N1357" s="73" t="str">
        <f>IF(ISBLANK(C1357),"",_xlfn.IFNA(INDEX(inbound_data[],MATCH(Outbound_data[[#This Row],[STOCK CODE OUT]],Generated_Stockcode,0),10),""))</f>
        <v/>
      </c>
      <c r="O1357" s="73" t="str">
        <f>IF(ISBLANK(C1357),"",_xlfn.IFNA(INDEX(inbound_data[],MATCH(Outbound_data[[#This Row],[STOCK CODE OUT]],Generated_Stockcode,0),12),""))</f>
        <v/>
      </c>
      <c r="P1357" s="73" t="str">
        <f>IF(ISBLANK(C1357),"",_xlfn.IFNA(INDEX(inbound_data[],MATCH(Outbound_data[[#This Row],[STOCK CODE OUT]],Generated_Stockcode,0),23),""))</f>
        <v/>
      </c>
      <c r="Q1357" s="73" t="str">
        <f>IF(ISBLANK(C1357),"",_xlfn.IFNA(INDEX(inbound_data[],MATCH(Outbound_data[[#This Row],[STOCK CODE OUT]],Generated_Stockcode,0),13),""))</f>
        <v/>
      </c>
    </row>
    <row r="1358" spans="2:17" x14ac:dyDescent="0.25">
      <c r="B1358" s="71"/>
      <c r="C1358" s="65"/>
      <c r="D1358" s="55"/>
      <c r="E1358" s="65"/>
      <c r="F1358" s="166"/>
      <c r="G1358" s="167"/>
      <c r="H1358" s="166"/>
      <c r="I1358" s="72"/>
      <c r="J1358" s="55"/>
      <c r="K1358" s="72"/>
      <c r="L1358" s="55"/>
      <c r="M1358" s="174"/>
      <c r="N1358" s="73" t="str">
        <f>IF(ISBLANK(C1358),"",_xlfn.IFNA(INDEX(inbound_data[],MATCH(Outbound_data[[#This Row],[STOCK CODE OUT]],Generated_Stockcode,0),10),""))</f>
        <v/>
      </c>
      <c r="O1358" s="73" t="str">
        <f>IF(ISBLANK(C1358),"",_xlfn.IFNA(INDEX(inbound_data[],MATCH(Outbound_data[[#This Row],[STOCK CODE OUT]],Generated_Stockcode,0),12),""))</f>
        <v/>
      </c>
      <c r="P1358" s="73" t="str">
        <f>IF(ISBLANK(C1358),"",_xlfn.IFNA(INDEX(inbound_data[],MATCH(Outbound_data[[#This Row],[STOCK CODE OUT]],Generated_Stockcode,0),23),""))</f>
        <v/>
      </c>
      <c r="Q1358" s="73" t="str">
        <f>IF(ISBLANK(C1358),"",_xlfn.IFNA(INDEX(inbound_data[],MATCH(Outbound_data[[#This Row],[STOCK CODE OUT]],Generated_Stockcode,0),13),""))</f>
        <v/>
      </c>
    </row>
    <row r="1359" spans="2:17" x14ac:dyDescent="0.25">
      <c r="B1359" s="71"/>
      <c r="C1359" s="65"/>
      <c r="D1359" s="55"/>
      <c r="E1359" s="65"/>
      <c r="F1359" s="166"/>
      <c r="G1359" s="167"/>
      <c r="H1359" s="166"/>
      <c r="I1359" s="72"/>
      <c r="J1359" s="55"/>
      <c r="K1359" s="72"/>
      <c r="L1359" s="55"/>
      <c r="M1359" s="174"/>
      <c r="N1359" s="73" t="str">
        <f>IF(ISBLANK(C1359),"",_xlfn.IFNA(INDEX(inbound_data[],MATCH(Outbound_data[[#This Row],[STOCK CODE OUT]],Generated_Stockcode,0),10),""))</f>
        <v/>
      </c>
      <c r="O1359" s="73" t="str">
        <f>IF(ISBLANK(C1359),"",_xlfn.IFNA(INDEX(inbound_data[],MATCH(Outbound_data[[#This Row],[STOCK CODE OUT]],Generated_Stockcode,0),12),""))</f>
        <v/>
      </c>
      <c r="P1359" s="73" t="str">
        <f>IF(ISBLANK(C1359),"",_xlfn.IFNA(INDEX(inbound_data[],MATCH(Outbound_data[[#This Row],[STOCK CODE OUT]],Generated_Stockcode,0),23),""))</f>
        <v/>
      </c>
      <c r="Q1359" s="73" t="str">
        <f>IF(ISBLANK(C1359),"",_xlfn.IFNA(INDEX(inbound_data[],MATCH(Outbound_data[[#This Row],[STOCK CODE OUT]],Generated_Stockcode,0),13),""))</f>
        <v/>
      </c>
    </row>
    <row r="1360" spans="2:17" x14ac:dyDescent="0.25">
      <c r="B1360" s="71"/>
      <c r="C1360" s="65"/>
      <c r="D1360" s="55"/>
      <c r="E1360" s="65"/>
      <c r="F1360" s="166"/>
      <c r="G1360" s="167"/>
      <c r="H1360" s="166"/>
      <c r="I1360" s="72"/>
      <c r="J1360" s="55"/>
      <c r="K1360" s="72"/>
      <c r="L1360" s="55"/>
      <c r="M1360" s="174"/>
      <c r="N1360" s="73" t="str">
        <f>IF(ISBLANK(C1360),"",_xlfn.IFNA(INDEX(inbound_data[],MATCH(Outbound_data[[#This Row],[STOCK CODE OUT]],Generated_Stockcode,0),10),""))</f>
        <v/>
      </c>
      <c r="O1360" s="73" t="str">
        <f>IF(ISBLANK(C1360),"",_xlfn.IFNA(INDEX(inbound_data[],MATCH(Outbound_data[[#This Row],[STOCK CODE OUT]],Generated_Stockcode,0),12),""))</f>
        <v/>
      </c>
      <c r="P1360" s="73" t="str">
        <f>IF(ISBLANK(C1360),"",_xlfn.IFNA(INDEX(inbound_data[],MATCH(Outbound_data[[#This Row],[STOCK CODE OUT]],Generated_Stockcode,0),23),""))</f>
        <v/>
      </c>
      <c r="Q1360" s="73" t="str">
        <f>IF(ISBLANK(C1360),"",_xlfn.IFNA(INDEX(inbound_data[],MATCH(Outbound_data[[#This Row],[STOCK CODE OUT]],Generated_Stockcode,0),13),""))</f>
        <v/>
      </c>
    </row>
    <row r="1361" spans="2:17" x14ac:dyDescent="0.25">
      <c r="B1361" s="71"/>
      <c r="C1361" s="65"/>
      <c r="D1361" s="55"/>
      <c r="E1361" s="65"/>
      <c r="F1361" s="166"/>
      <c r="G1361" s="167"/>
      <c r="H1361" s="166"/>
      <c r="I1361" s="72"/>
      <c r="J1361" s="55"/>
      <c r="K1361" s="72"/>
      <c r="L1361" s="55"/>
      <c r="M1361" s="174"/>
      <c r="N1361" s="73" t="str">
        <f>IF(ISBLANK(C1361),"",_xlfn.IFNA(INDEX(inbound_data[],MATCH(Outbound_data[[#This Row],[STOCK CODE OUT]],Generated_Stockcode,0),10),""))</f>
        <v/>
      </c>
      <c r="O1361" s="73" t="str">
        <f>IF(ISBLANK(C1361),"",_xlfn.IFNA(INDEX(inbound_data[],MATCH(Outbound_data[[#This Row],[STOCK CODE OUT]],Generated_Stockcode,0),12),""))</f>
        <v/>
      </c>
      <c r="P1361" s="73" t="str">
        <f>IF(ISBLANK(C1361),"",_xlfn.IFNA(INDEX(inbound_data[],MATCH(Outbound_data[[#This Row],[STOCK CODE OUT]],Generated_Stockcode,0),23),""))</f>
        <v/>
      </c>
      <c r="Q1361" s="73" t="str">
        <f>IF(ISBLANK(C1361),"",_xlfn.IFNA(INDEX(inbound_data[],MATCH(Outbound_data[[#This Row],[STOCK CODE OUT]],Generated_Stockcode,0),13),""))</f>
        <v/>
      </c>
    </row>
    <row r="1362" spans="2:17" x14ac:dyDescent="0.25">
      <c r="B1362" s="71"/>
      <c r="C1362" s="65"/>
      <c r="D1362" s="55"/>
      <c r="E1362" s="65"/>
      <c r="F1362" s="166"/>
      <c r="G1362" s="167"/>
      <c r="H1362" s="166"/>
      <c r="I1362" s="72"/>
      <c r="J1362" s="55"/>
      <c r="K1362" s="72"/>
      <c r="L1362" s="55"/>
      <c r="M1362" s="174"/>
      <c r="N1362" s="73" t="str">
        <f>IF(ISBLANK(C1362),"",_xlfn.IFNA(INDEX(inbound_data[],MATCH(Outbound_data[[#This Row],[STOCK CODE OUT]],Generated_Stockcode,0),10),""))</f>
        <v/>
      </c>
      <c r="O1362" s="73" t="str">
        <f>IF(ISBLANK(C1362),"",_xlfn.IFNA(INDEX(inbound_data[],MATCH(Outbound_data[[#This Row],[STOCK CODE OUT]],Generated_Stockcode,0),12),""))</f>
        <v/>
      </c>
      <c r="P1362" s="73" t="str">
        <f>IF(ISBLANK(C1362),"",_xlfn.IFNA(INDEX(inbound_data[],MATCH(Outbound_data[[#This Row],[STOCK CODE OUT]],Generated_Stockcode,0),23),""))</f>
        <v/>
      </c>
      <c r="Q1362" s="73" t="str">
        <f>IF(ISBLANK(C1362),"",_xlfn.IFNA(INDEX(inbound_data[],MATCH(Outbound_data[[#This Row],[STOCK CODE OUT]],Generated_Stockcode,0),13),""))</f>
        <v/>
      </c>
    </row>
    <row r="1363" spans="2:17" x14ac:dyDescent="0.25">
      <c r="B1363" s="71"/>
      <c r="C1363" s="65"/>
      <c r="D1363" s="55"/>
      <c r="E1363" s="65"/>
      <c r="F1363" s="166"/>
      <c r="G1363" s="167"/>
      <c r="H1363" s="166"/>
      <c r="I1363" s="72"/>
      <c r="J1363" s="55"/>
      <c r="K1363" s="72"/>
      <c r="L1363" s="55"/>
      <c r="M1363" s="174"/>
      <c r="N1363" s="73" t="str">
        <f>IF(ISBLANK(C1363),"",_xlfn.IFNA(INDEX(inbound_data[],MATCH(Outbound_data[[#This Row],[STOCK CODE OUT]],Generated_Stockcode,0),10),""))</f>
        <v/>
      </c>
      <c r="O1363" s="73" t="str">
        <f>IF(ISBLANK(C1363),"",_xlfn.IFNA(INDEX(inbound_data[],MATCH(Outbound_data[[#This Row],[STOCK CODE OUT]],Generated_Stockcode,0),12),""))</f>
        <v/>
      </c>
      <c r="P1363" s="73" t="str">
        <f>IF(ISBLANK(C1363),"",_xlfn.IFNA(INDEX(inbound_data[],MATCH(Outbound_data[[#This Row],[STOCK CODE OUT]],Generated_Stockcode,0),23),""))</f>
        <v/>
      </c>
      <c r="Q1363" s="73" t="str">
        <f>IF(ISBLANK(C1363),"",_xlfn.IFNA(INDEX(inbound_data[],MATCH(Outbound_data[[#This Row],[STOCK CODE OUT]],Generated_Stockcode,0),13),""))</f>
        <v/>
      </c>
    </row>
    <row r="1364" spans="2:17" x14ac:dyDescent="0.25">
      <c r="B1364" s="71"/>
      <c r="C1364" s="65"/>
      <c r="D1364" s="55"/>
      <c r="E1364" s="65"/>
      <c r="F1364" s="166"/>
      <c r="G1364" s="167"/>
      <c r="H1364" s="166"/>
      <c r="I1364" s="72"/>
      <c r="J1364" s="55"/>
      <c r="K1364" s="72"/>
      <c r="L1364" s="55"/>
      <c r="M1364" s="174"/>
      <c r="N1364" s="73" t="str">
        <f>IF(ISBLANK(C1364),"",_xlfn.IFNA(INDEX(inbound_data[],MATCH(Outbound_data[[#This Row],[STOCK CODE OUT]],Generated_Stockcode,0),10),""))</f>
        <v/>
      </c>
      <c r="O1364" s="73" t="str">
        <f>IF(ISBLANK(C1364),"",_xlfn.IFNA(INDEX(inbound_data[],MATCH(Outbound_data[[#This Row],[STOCK CODE OUT]],Generated_Stockcode,0),12),""))</f>
        <v/>
      </c>
      <c r="P1364" s="73" t="str">
        <f>IF(ISBLANK(C1364),"",_xlfn.IFNA(INDEX(inbound_data[],MATCH(Outbound_data[[#This Row],[STOCK CODE OUT]],Generated_Stockcode,0),23),""))</f>
        <v/>
      </c>
      <c r="Q1364" s="73" t="str">
        <f>IF(ISBLANK(C1364),"",_xlfn.IFNA(INDEX(inbound_data[],MATCH(Outbound_data[[#This Row],[STOCK CODE OUT]],Generated_Stockcode,0),13),""))</f>
        <v/>
      </c>
    </row>
    <row r="1365" spans="2:17" x14ac:dyDescent="0.25">
      <c r="B1365" s="71"/>
      <c r="C1365" s="65"/>
      <c r="D1365" s="55"/>
      <c r="E1365" s="65"/>
      <c r="F1365" s="166"/>
      <c r="G1365" s="167"/>
      <c r="H1365" s="166"/>
      <c r="I1365" s="72"/>
      <c r="J1365" s="55"/>
      <c r="K1365" s="72"/>
      <c r="L1365" s="55"/>
      <c r="M1365" s="174"/>
      <c r="N1365" s="73" t="str">
        <f>IF(ISBLANK(C1365),"",_xlfn.IFNA(INDEX(inbound_data[],MATCH(Outbound_data[[#This Row],[STOCK CODE OUT]],Generated_Stockcode,0),10),""))</f>
        <v/>
      </c>
      <c r="O1365" s="73" t="str">
        <f>IF(ISBLANK(C1365),"",_xlfn.IFNA(INDEX(inbound_data[],MATCH(Outbound_data[[#This Row],[STOCK CODE OUT]],Generated_Stockcode,0),12),""))</f>
        <v/>
      </c>
      <c r="P1365" s="73" t="str">
        <f>IF(ISBLANK(C1365),"",_xlfn.IFNA(INDEX(inbound_data[],MATCH(Outbound_data[[#This Row],[STOCK CODE OUT]],Generated_Stockcode,0),23),""))</f>
        <v/>
      </c>
      <c r="Q1365" s="73" t="str">
        <f>IF(ISBLANK(C1365),"",_xlfn.IFNA(INDEX(inbound_data[],MATCH(Outbound_data[[#This Row],[STOCK CODE OUT]],Generated_Stockcode,0),13),""))</f>
        <v/>
      </c>
    </row>
    <row r="1366" spans="2:17" x14ac:dyDescent="0.25">
      <c r="B1366" s="71"/>
      <c r="C1366" s="65"/>
      <c r="D1366" s="55"/>
      <c r="E1366" s="65"/>
      <c r="F1366" s="166"/>
      <c r="G1366" s="167"/>
      <c r="H1366" s="166"/>
      <c r="I1366" s="72"/>
      <c r="J1366" s="55"/>
      <c r="K1366" s="72"/>
      <c r="L1366" s="55"/>
      <c r="M1366" s="174"/>
      <c r="N1366" s="73" t="str">
        <f>IF(ISBLANK(C1366),"",_xlfn.IFNA(INDEX(inbound_data[],MATCH(Outbound_data[[#This Row],[STOCK CODE OUT]],Generated_Stockcode,0),10),""))</f>
        <v/>
      </c>
      <c r="O1366" s="73" t="str">
        <f>IF(ISBLANK(C1366),"",_xlfn.IFNA(INDEX(inbound_data[],MATCH(Outbound_data[[#This Row],[STOCK CODE OUT]],Generated_Stockcode,0),12),""))</f>
        <v/>
      </c>
      <c r="P1366" s="73" t="str">
        <f>IF(ISBLANK(C1366),"",_xlfn.IFNA(INDEX(inbound_data[],MATCH(Outbound_data[[#This Row],[STOCK CODE OUT]],Generated_Stockcode,0),23),""))</f>
        <v/>
      </c>
      <c r="Q1366" s="73" t="str">
        <f>IF(ISBLANK(C1366),"",_xlfn.IFNA(INDEX(inbound_data[],MATCH(Outbound_data[[#This Row],[STOCK CODE OUT]],Generated_Stockcode,0),13),""))</f>
        <v/>
      </c>
    </row>
    <row r="1367" spans="2:17" x14ac:dyDescent="0.25">
      <c r="B1367" s="71"/>
      <c r="C1367" s="65"/>
      <c r="D1367" s="55"/>
      <c r="E1367" s="65"/>
      <c r="F1367" s="166"/>
      <c r="G1367" s="167"/>
      <c r="H1367" s="166"/>
      <c r="I1367" s="72"/>
      <c r="J1367" s="55"/>
      <c r="K1367" s="72"/>
      <c r="L1367" s="55"/>
      <c r="M1367" s="174"/>
      <c r="N1367" s="73" t="str">
        <f>IF(ISBLANK(C1367),"",_xlfn.IFNA(INDEX(inbound_data[],MATCH(Outbound_data[[#This Row],[STOCK CODE OUT]],Generated_Stockcode,0),10),""))</f>
        <v/>
      </c>
      <c r="O1367" s="73" t="str">
        <f>IF(ISBLANK(C1367),"",_xlfn.IFNA(INDEX(inbound_data[],MATCH(Outbound_data[[#This Row],[STOCK CODE OUT]],Generated_Stockcode,0),12),""))</f>
        <v/>
      </c>
      <c r="P1367" s="73" t="str">
        <f>IF(ISBLANK(C1367),"",_xlfn.IFNA(INDEX(inbound_data[],MATCH(Outbound_data[[#This Row],[STOCK CODE OUT]],Generated_Stockcode,0),23),""))</f>
        <v/>
      </c>
      <c r="Q1367" s="73" t="str">
        <f>IF(ISBLANK(C1367),"",_xlfn.IFNA(INDEX(inbound_data[],MATCH(Outbound_data[[#This Row],[STOCK CODE OUT]],Generated_Stockcode,0),13),""))</f>
        <v/>
      </c>
    </row>
    <row r="1368" spans="2:17" x14ac:dyDescent="0.25">
      <c r="B1368" s="71"/>
      <c r="C1368" s="65"/>
      <c r="D1368" s="55"/>
      <c r="E1368" s="65"/>
      <c r="F1368" s="166"/>
      <c r="G1368" s="167"/>
      <c r="H1368" s="166"/>
      <c r="I1368" s="72"/>
      <c r="J1368" s="55"/>
      <c r="K1368" s="72"/>
      <c r="L1368" s="55"/>
      <c r="M1368" s="174"/>
      <c r="N1368" s="73" t="str">
        <f>IF(ISBLANK(C1368),"",_xlfn.IFNA(INDEX(inbound_data[],MATCH(Outbound_data[[#This Row],[STOCK CODE OUT]],Generated_Stockcode,0),10),""))</f>
        <v/>
      </c>
      <c r="O1368" s="73" t="str">
        <f>IF(ISBLANK(C1368),"",_xlfn.IFNA(INDEX(inbound_data[],MATCH(Outbound_data[[#This Row],[STOCK CODE OUT]],Generated_Stockcode,0),12),""))</f>
        <v/>
      </c>
      <c r="P1368" s="73" t="str">
        <f>IF(ISBLANK(C1368),"",_xlfn.IFNA(INDEX(inbound_data[],MATCH(Outbound_data[[#This Row],[STOCK CODE OUT]],Generated_Stockcode,0),23),""))</f>
        <v/>
      </c>
      <c r="Q1368" s="73" t="str">
        <f>IF(ISBLANK(C1368),"",_xlfn.IFNA(INDEX(inbound_data[],MATCH(Outbound_data[[#This Row],[STOCK CODE OUT]],Generated_Stockcode,0),13),""))</f>
        <v/>
      </c>
    </row>
    <row r="1369" spans="2:17" x14ac:dyDescent="0.25">
      <c r="B1369" s="71"/>
      <c r="C1369" s="65"/>
      <c r="D1369" s="55"/>
      <c r="E1369" s="65"/>
      <c r="F1369" s="166"/>
      <c r="G1369" s="167"/>
      <c r="H1369" s="166"/>
      <c r="I1369" s="72"/>
      <c r="J1369" s="55"/>
      <c r="K1369" s="72"/>
      <c r="L1369" s="55"/>
      <c r="M1369" s="174"/>
      <c r="N1369" s="73" t="str">
        <f>IF(ISBLANK(C1369),"",_xlfn.IFNA(INDEX(inbound_data[],MATCH(Outbound_data[[#This Row],[STOCK CODE OUT]],Generated_Stockcode,0),10),""))</f>
        <v/>
      </c>
      <c r="O1369" s="73" t="str">
        <f>IF(ISBLANK(C1369),"",_xlfn.IFNA(INDEX(inbound_data[],MATCH(Outbound_data[[#This Row],[STOCK CODE OUT]],Generated_Stockcode,0),12),""))</f>
        <v/>
      </c>
      <c r="P1369" s="73" t="str">
        <f>IF(ISBLANK(C1369),"",_xlfn.IFNA(INDEX(inbound_data[],MATCH(Outbound_data[[#This Row],[STOCK CODE OUT]],Generated_Stockcode,0),23),""))</f>
        <v/>
      </c>
      <c r="Q1369" s="73" t="str">
        <f>IF(ISBLANK(C1369),"",_xlfn.IFNA(INDEX(inbound_data[],MATCH(Outbound_data[[#This Row],[STOCK CODE OUT]],Generated_Stockcode,0),13),""))</f>
        <v/>
      </c>
    </row>
    <row r="1370" spans="2:17" x14ac:dyDescent="0.25">
      <c r="B1370" s="71"/>
      <c r="C1370" s="65"/>
      <c r="D1370" s="55"/>
      <c r="E1370" s="65"/>
      <c r="F1370" s="166"/>
      <c r="G1370" s="167"/>
      <c r="H1370" s="166"/>
      <c r="I1370" s="72"/>
      <c r="J1370" s="55"/>
      <c r="K1370" s="72"/>
      <c r="L1370" s="55"/>
      <c r="M1370" s="174"/>
      <c r="N1370" s="73" t="str">
        <f>IF(ISBLANK(C1370),"",_xlfn.IFNA(INDEX(inbound_data[],MATCH(Outbound_data[[#This Row],[STOCK CODE OUT]],Generated_Stockcode,0),10),""))</f>
        <v/>
      </c>
      <c r="O1370" s="73" t="str">
        <f>IF(ISBLANK(C1370),"",_xlfn.IFNA(INDEX(inbound_data[],MATCH(Outbound_data[[#This Row],[STOCK CODE OUT]],Generated_Stockcode,0),12),""))</f>
        <v/>
      </c>
      <c r="P1370" s="73" t="str">
        <f>IF(ISBLANK(C1370),"",_xlfn.IFNA(INDEX(inbound_data[],MATCH(Outbound_data[[#This Row],[STOCK CODE OUT]],Generated_Stockcode,0),23),""))</f>
        <v/>
      </c>
      <c r="Q1370" s="73" t="str">
        <f>IF(ISBLANK(C1370),"",_xlfn.IFNA(INDEX(inbound_data[],MATCH(Outbound_data[[#This Row],[STOCK CODE OUT]],Generated_Stockcode,0),13),""))</f>
        <v/>
      </c>
    </row>
    <row r="1371" spans="2:17" x14ac:dyDescent="0.25">
      <c r="B1371" s="71"/>
      <c r="C1371" s="65"/>
      <c r="D1371" s="55"/>
      <c r="E1371" s="65"/>
      <c r="F1371" s="166"/>
      <c r="G1371" s="167"/>
      <c r="H1371" s="166"/>
      <c r="I1371" s="72"/>
      <c r="J1371" s="55"/>
      <c r="K1371" s="72"/>
      <c r="L1371" s="55"/>
      <c r="M1371" s="174"/>
      <c r="N1371" s="73" t="str">
        <f>IF(ISBLANK(C1371),"",_xlfn.IFNA(INDEX(inbound_data[],MATCH(Outbound_data[[#This Row],[STOCK CODE OUT]],Generated_Stockcode,0),10),""))</f>
        <v/>
      </c>
      <c r="O1371" s="73" t="str">
        <f>IF(ISBLANK(C1371),"",_xlfn.IFNA(INDEX(inbound_data[],MATCH(Outbound_data[[#This Row],[STOCK CODE OUT]],Generated_Stockcode,0),12),""))</f>
        <v/>
      </c>
      <c r="P1371" s="73" t="str">
        <f>IF(ISBLANK(C1371),"",_xlfn.IFNA(INDEX(inbound_data[],MATCH(Outbound_data[[#This Row],[STOCK CODE OUT]],Generated_Stockcode,0),23),""))</f>
        <v/>
      </c>
      <c r="Q1371" s="73" t="str">
        <f>IF(ISBLANK(C1371),"",_xlfn.IFNA(INDEX(inbound_data[],MATCH(Outbound_data[[#This Row],[STOCK CODE OUT]],Generated_Stockcode,0),13),""))</f>
        <v/>
      </c>
    </row>
    <row r="1372" spans="2:17" x14ac:dyDescent="0.25">
      <c r="B1372" s="71"/>
      <c r="C1372" s="65"/>
      <c r="D1372" s="55"/>
      <c r="E1372" s="65"/>
      <c r="F1372" s="166"/>
      <c r="G1372" s="167"/>
      <c r="H1372" s="166"/>
      <c r="I1372" s="72"/>
      <c r="J1372" s="55"/>
      <c r="K1372" s="72"/>
      <c r="L1372" s="55"/>
      <c r="M1372" s="174"/>
      <c r="N1372" s="73" t="str">
        <f>IF(ISBLANK(C1372),"",_xlfn.IFNA(INDEX(inbound_data[],MATCH(Outbound_data[[#This Row],[STOCK CODE OUT]],Generated_Stockcode,0),10),""))</f>
        <v/>
      </c>
      <c r="O1372" s="73" t="str">
        <f>IF(ISBLANK(C1372),"",_xlfn.IFNA(INDEX(inbound_data[],MATCH(Outbound_data[[#This Row],[STOCK CODE OUT]],Generated_Stockcode,0),12),""))</f>
        <v/>
      </c>
      <c r="P1372" s="73" t="str">
        <f>IF(ISBLANK(C1372),"",_xlfn.IFNA(INDEX(inbound_data[],MATCH(Outbound_data[[#This Row],[STOCK CODE OUT]],Generated_Stockcode,0),23),""))</f>
        <v/>
      </c>
      <c r="Q1372" s="73" t="str">
        <f>IF(ISBLANK(C1372),"",_xlfn.IFNA(INDEX(inbound_data[],MATCH(Outbound_data[[#This Row],[STOCK CODE OUT]],Generated_Stockcode,0),13),""))</f>
        <v/>
      </c>
    </row>
    <row r="1373" spans="2:17" x14ac:dyDescent="0.25">
      <c r="B1373" s="71"/>
      <c r="C1373" s="65"/>
      <c r="D1373" s="55"/>
      <c r="E1373" s="65"/>
      <c r="F1373" s="166"/>
      <c r="G1373" s="167"/>
      <c r="H1373" s="166"/>
      <c r="I1373" s="72"/>
      <c r="J1373" s="55"/>
      <c r="K1373" s="72"/>
      <c r="L1373" s="55"/>
      <c r="M1373" s="174"/>
      <c r="N1373" s="73" t="str">
        <f>IF(ISBLANK(C1373),"",_xlfn.IFNA(INDEX(inbound_data[],MATCH(Outbound_data[[#This Row],[STOCK CODE OUT]],Generated_Stockcode,0),10),""))</f>
        <v/>
      </c>
      <c r="O1373" s="73" t="str">
        <f>IF(ISBLANK(C1373),"",_xlfn.IFNA(INDEX(inbound_data[],MATCH(Outbound_data[[#This Row],[STOCK CODE OUT]],Generated_Stockcode,0),12),""))</f>
        <v/>
      </c>
      <c r="P1373" s="73" t="str">
        <f>IF(ISBLANK(C1373),"",_xlfn.IFNA(INDEX(inbound_data[],MATCH(Outbound_data[[#This Row],[STOCK CODE OUT]],Generated_Stockcode,0),23),""))</f>
        <v/>
      </c>
      <c r="Q1373" s="73" t="str">
        <f>IF(ISBLANK(C1373),"",_xlfn.IFNA(INDEX(inbound_data[],MATCH(Outbound_data[[#This Row],[STOCK CODE OUT]],Generated_Stockcode,0),13),""))</f>
        <v/>
      </c>
    </row>
    <row r="1374" spans="2:17" x14ac:dyDescent="0.25">
      <c r="B1374" s="71"/>
      <c r="C1374" s="65"/>
      <c r="D1374" s="55"/>
      <c r="E1374" s="65"/>
      <c r="F1374" s="166"/>
      <c r="G1374" s="167"/>
      <c r="H1374" s="166"/>
      <c r="I1374" s="72"/>
      <c r="J1374" s="55"/>
      <c r="K1374" s="72"/>
      <c r="L1374" s="55"/>
      <c r="M1374" s="174"/>
      <c r="N1374" s="73" t="str">
        <f>IF(ISBLANK(C1374),"",_xlfn.IFNA(INDEX(inbound_data[],MATCH(Outbound_data[[#This Row],[STOCK CODE OUT]],Generated_Stockcode,0),10),""))</f>
        <v/>
      </c>
      <c r="O1374" s="73" t="str">
        <f>IF(ISBLANK(C1374),"",_xlfn.IFNA(INDEX(inbound_data[],MATCH(Outbound_data[[#This Row],[STOCK CODE OUT]],Generated_Stockcode,0),12),""))</f>
        <v/>
      </c>
      <c r="P1374" s="73" t="str">
        <f>IF(ISBLANK(C1374),"",_xlfn.IFNA(INDEX(inbound_data[],MATCH(Outbound_data[[#This Row],[STOCK CODE OUT]],Generated_Stockcode,0),23),""))</f>
        <v/>
      </c>
      <c r="Q1374" s="73" t="str">
        <f>IF(ISBLANK(C1374),"",_xlfn.IFNA(INDEX(inbound_data[],MATCH(Outbound_data[[#This Row],[STOCK CODE OUT]],Generated_Stockcode,0),13),""))</f>
        <v/>
      </c>
    </row>
    <row r="1375" spans="2:17" x14ac:dyDescent="0.25">
      <c r="B1375" s="71"/>
      <c r="C1375" s="65"/>
      <c r="D1375" s="55"/>
      <c r="E1375" s="65"/>
      <c r="F1375" s="166"/>
      <c r="G1375" s="167"/>
      <c r="H1375" s="166"/>
      <c r="I1375" s="72"/>
      <c r="J1375" s="55"/>
      <c r="K1375" s="72"/>
      <c r="L1375" s="55"/>
      <c r="M1375" s="174"/>
      <c r="N1375" s="73" t="str">
        <f>IF(ISBLANK(C1375),"",_xlfn.IFNA(INDEX(inbound_data[],MATCH(Outbound_data[[#This Row],[STOCK CODE OUT]],Generated_Stockcode,0),10),""))</f>
        <v/>
      </c>
      <c r="O1375" s="73" t="str">
        <f>IF(ISBLANK(C1375),"",_xlfn.IFNA(INDEX(inbound_data[],MATCH(Outbound_data[[#This Row],[STOCK CODE OUT]],Generated_Stockcode,0),12),""))</f>
        <v/>
      </c>
      <c r="P1375" s="73" t="str">
        <f>IF(ISBLANK(C1375),"",_xlfn.IFNA(INDEX(inbound_data[],MATCH(Outbound_data[[#This Row],[STOCK CODE OUT]],Generated_Stockcode,0),23),""))</f>
        <v/>
      </c>
      <c r="Q1375" s="73" t="str">
        <f>IF(ISBLANK(C1375),"",_xlfn.IFNA(INDEX(inbound_data[],MATCH(Outbound_data[[#This Row],[STOCK CODE OUT]],Generated_Stockcode,0),13),""))</f>
        <v/>
      </c>
    </row>
    <row r="1376" spans="2:17" x14ac:dyDescent="0.25">
      <c r="B1376" s="71"/>
      <c r="C1376" s="65"/>
      <c r="D1376" s="55"/>
      <c r="E1376" s="65"/>
      <c r="F1376" s="166"/>
      <c r="G1376" s="167"/>
      <c r="H1376" s="166"/>
      <c r="I1376" s="72"/>
      <c r="J1376" s="55"/>
      <c r="K1376" s="72"/>
      <c r="L1376" s="55"/>
      <c r="M1376" s="174"/>
      <c r="N1376" s="73" t="str">
        <f>IF(ISBLANK(C1376),"",_xlfn.IFNA(INDEX(inbound_data[],MATCH(Outbound_data[[#This Row],[STOCK CODE OUT]],Generated_Stockcode,0),10),""))</f>
        <v/>
      </c>
      <c r="O1376" s="73" t="str">
        <f>IF(ISBLANK(C1376),"",_xlfn.IFNA(INDEX(inbound_data[],MATCH(Outbound_data[[#This Row],[STOCK CODE OUT]],Generated_Stockcode,0),12),""))</f>
        <v/>
      </c>
      <c r="P1376" s="73" t="str">
        <f>IF(ISBLANK(C1376),"",_xlfn.IFNA(INDEX(inbound_data[],MATCH(Outbound_data[[#This Row],[STOCK CODE OUT]],Generated_Stockcode,0),23),""))</f>
        <v/>
      </c>
      <c r="Q1376" s="73" t="str">
        <f>IF(ISBLANK(C1376),"",_xlfn.IFNA(INDEX(inbound_data[],MATCH(Outbound_data[[#This Row],[STOCK CODE OUT]],Generated_Stockcode,0),13),""))</f>
        <v/>
      </c>
    </row>
    <row r="1377" spans="2:17" x14ac:dyDescent="0.25">
      <c r="B1377" s="71"/>
      <c r="C1377" s="65"/>
      <c r="D1377" s="55"/>
      <c r="E1377" s="65"/>
      <c r="F1377" s="166"/>
      <c r="G1377" s="167"/>
      <c r="H1377" s="166"/>
      <c r="I1377" s="72"/>
      <c r="J1377" s="55"/>
      <c r="K1377" s="72"/>
      <c r="L1377" s="55"/>
      <c r="M1377" s="174"/>
      <c r="N1377" s="73" t="str">
        <f>IF(ISBLANK(C1377),"",_xlfn.IFNA(INDEX(inbound_data[],MATCH(Outbound_data[[#This Row],[STOCK CODE OUT]],Generated_Stockcode,0),10),""))</f>
        <v/>
      </c>
      <c r="O1377" s="73" t="str">
        <f>IF(ISBLANK(C1377),"",_xlfn.IFNA(INDEX(inbound_data[],MATCH(Outbound_data[[#This Row],[STOCK CODE OUT]],Generated_Stockcode,0),12),""))</f>
        <v/>
      </c>
      <c r="P1377" s="73" t="str">
        <f>IF(ISBLANK(C1377),"",_xlfn.IFNA(INDEX(inbound_data[],MATCH(Outbound_data[[#This Row],[STOCK CODE OUT]],Generated_Stockcode,0),23),""))</f>
        <v/>
      </c>
      <c r="Q1377" s="73" t="str">
        <f>IF(ISBLANK(C1377),"",_xlfn.IFNA(INDEX(inbound_data[],MATCH(Outbound_data[[#This Row],[STOCK CODE OUT]],Generated_Stockcode,0),13),""))</f>
        <v/>
      </c>
    </row>
    <row r="1378" spans="2:17" x14ac:dyDescent="0.25">
      <c r="B1378" s="71"/>
      <c r="C1378" s="65"/>
      <c r="D1378" s="55"/>
      <c r="E1378" s="65"/>
      <c r="F1378" s="166"/>
      <c r="G1378" s="167"/>
      <c r="H1378" s="166"/>
      <c r="I1378" s="72"/>
      <c r="J1378" s="55"/>
      <c r="K1378" s="72"/>
      <c r="L1378" s="55"/>
      <c r="M1378" s="174"/>
      <c r="N1378" s="73" t="str">
        <f>IF(ISBLANK(C1378),"",_xlfn.IFNA(INDEX(inbound_data[],MATCH(Outbound_data[[#This Row],[STOCK CODE OUT]],Generated_Stockcode,0),10),""))</f>
        <v/>
      </c>
      <c r="O1378" s="73" t="str">
        <f>IF(ISBLANK(C1378),"",_xlfn.IFNA(INDEX(inbound_data[],MATCH(Outbound_data[[#This Row],[STOCK CODE OUT]],Generated_Stockcode,0),12),""))</f>
        <v/>
      </c>
      <c r="P1378" s="73" t="str">
        <f>IF(ISBLANK(C1378),"",_xlfn.IFNA(INDEX(inbound_data[],MATCH(Outbound_data[[#This Row],[STOCK CODE OUT]],Generated_Stockcode,0),23),""))</f>
        <v/>
      </c>
      <c r="Q1378" s="73" t="str">
        <f>IF(ISBLANK(C1378),"",_xlfn.IFNA(INDEX(inbound_data[],MATCH(Outbound_data[[#This Row],[STOCK CODE OUT]],Generated_Stockcode,0),13),""))</f>
        <v/>
      </c>
    </row>
    <row r="1379" spans="2:17" x14ac:dyDescent="0.25">
      <c r="B1379" s="71"/>
      <c r="C1379" s="65"/>
      <c r="D1379" s="55"/>
      <c r="E1379" s="65"/>
      <c r="F1379" s="166"/>
      <c r="G1379" s="167"/>
      <c r="H1379" s="166"/>
      <c r="I1379" s="72"/>
      <c r="J1379" s="55"/>
      <c r="K1379" s="72"/>
      <c r="L1379" s="55"/>
      <c r="M1379" s="174"/>
      <c r="N1379" s="73" t="str">
        <f>IF(ISBLANK(C1379),"",_xlfn.IFNA(INDEX(inbound_data[],MATCH(Outbound_data[[#This Row],[STOCK CODE OUT]],Generated_Stockcode,0),10),""))</f>
        <v/>
      </c>
      <c r="O1379" s="73" t="str">
        <f>IF(ISBLANK(C1379),"",_xlfn.IFNA(INDEX(inbound_data[],MATCH(Outbound_data[[#This Row],[STOCK CODE OUT]],Generated_Stockcode,0),12),""))</f>
        <v/>
      </c>
      <c r="P1379" s="73" t="str">
        <f>IF(ISBLANK(C1379),"",_xlfn.IFNA(INDEX(inbound_data[],MATCH(Outbound_data[[#This Row],[STOCK CODE OUT]],Generated_Stockcode,0),23),""))</f>
        <v/>
      </c>
      <c r="Q1379" s="73" t="str">
        <f>IF(ISBLANK(C1379),"",_xlfn.IFNA(INDEX(inbound_data[],MATCH(Outbound_data[[#This Row],[STOCK CODE OUT]],Generated_Stockcode,0),13),""))</f>
        <v/>
      </c>
    </row>
    <row r="1380" spans="2:17" x14ac:dyDescent="0.25">
      <c r="B1380" s="71"/>
      <c r="C1380" s="65"/>
      <c r="D1380" s="55"/>
      <c r="E1380" s="65"/>
      <c r="F1380" s="166"/>
      <c r="G1380" s="167"/>
      <c r="H1380" s="166"/>
      <c r="I1380" s="72"/>
      <c r="J1380" s="55"/>
      <c r="K1380" s="72"/>
      <c r="L1380" s="55"/>
      <c r="M1380" s="174"/>
      <c r="N1380" s="73" t="str">
        <f>IF(ISBLANK(C1380),"",_xlfn.IFNA(INDEX(inbound_data[],MATCH(Outbound_data[[#This Row],[STOCK CODE OUT]],Generated_Stockcode,0),10),""))</f>
        <v/>
      </c>
      <c r="O1380" s="73" t="str">
        <f>IF(ISBLANK(C1380),"",_xlfn.IFNA(INDEX(inbound_data[],MATCH(Outbound_data[[#This Row],[STOCK CODE OUT]],Generated_Stockcode,0),12),""))</f>
        <v/>
      </c>
      <c r="P1380" s="73" t="str">
        <f>IF(ISBLANK(C1380),"",_xlfn.IFNA(INDEX(inbound_data[],MATCH(Outbound_data[[#This Row],[STOCK CODE OUT]],Generated_Stockcode,0),23),""))</f>
        <v/>
      </c>
      <c r="Q1380" s="73" t="str">
        <f>IF(ISBLANK(C1380),"",_xlfn.IFNA(INDEX(inbound_data[],MATCH(Outbound_data[[#This Row],[STOCK CODE OUT]],Generated_Stockcode,0),13),""))</f>
        <v/>
      </c>
    </row>
    <row r="1381" spans="2:17" x14ac:dyDescent="0.25">
      <c r="B1381" s="71"/>
      <c r="C1381" s="65"/>
      <c r="D1381" s="55"/>
      <c r="E1381" s="65"/>
      <c r="F1381" s="166"/>
      <c r="G1381" s="167"/>
      <c r="H1381" s="166"/>
      <c r="I1381" s="72"/>
      <c r="J1381" s="55"/>
      <c r="K1381" s="72"/>
      <c r="L1381" s="55"/>
      <c r="M1381" s="174"/>
      <c r="N1381" s="73" t="str">
        <f>IF(ISBLANK(C1381),"",_xlfn.IFNA(INDEX(inbound_data[],MATCH(Outbound_data[[#This Row],[STOCK CODE OUT]],Generated_Stockcode,0),10),""))</f>
        <v/>
      </c>
      <c r="O1381" s="73" t="str">
        <f>IF(ISBLANK(C1381),"",_xlfn.IFNA(INDEX(inbound_data[],MATCH(Outbound_data[[#This Row],[STOCK CODE OUT]],Generated_Stockcode,0),12),""))</f>
        <v/>
      </c>
      <c r="P1381" s="73" t="str">
        <f>IF(ISBLANK(C1381),"",_xlfn.IFNA(INDEX(inbound_data[],MATCH(Outbound_data[[#This Row],[STOCK CODE OUT]],Generated_Stockcode,0),23),""))</f>
        <v/>
      </c>
      <c r="Q1381" s="73" t="str">
        <f>IF(ISBLANK(C1381),"",_xlfn.IFNA(INDEX(inbound_data[],MATCH(Outbound_data[[#This Row],[STOCK CODE OUT]],Generated_Stockcode,0),13),""))</f>
        <v/>
      </c>
    </row>
    <row r="1382" spans="2:17" x14ac:dyDescent="0.25">
      <c r="B1382" s="71"/>
      <c r="C1382" s="65"/>
      <c r="D1382" s="55"/>
      <c r="E1382" s="65"/>
      <c r="F1382" s="166"/>
      <c r="G1382" s="167"/>
      <c r="H1382" s="166"/>
      <c r="I1382" s="72"/>
      <c r="J1382" s="55"/>
      <c r="K1382" s="72"/>
      <c r="L1382" s="55"/>
      <c r="M1382" s="174"/>
      <c r="N1382" s="73" t="str">
        <f>IF(ISBLANK(C1382),"",_xlfn.IFNA(INDEX(inbound_data[],MATCH(Outbound_data[[#This Row],[STOCK CODE OUT]],Generated_Stockcode,0),10),""))</f>
        <v/>
      </c>
      <c r="O1382" s="73" t="str">
        <f>IF(ISBLANK(C1382),"",_xlfn.IFNA(INDEX(inbound_data[],MATCH(Outbound_data[[#This Row],[STOCK CODE OUT]],Generated_Stockcode,0),12),""))</f>
        <v/>
      </c>
      <c r="P1382" s="73" t="str">
        <f>IF(ISBLANK(C1382),"",_xlfn.IFNA(INDEX(inbound_data[],MATCH(Outbound_data[[#This Row],[STOCK CODE OUT]],Generated_Stockcode,0),23),""))</f>
        <v/>
      </c>
      <c r="Q1382" s="73" t="str">
        <f>IF(ISBLANK(C1382),"",_xlfn.IFNA(INDEX(inbound_data[],MATCH(Outbound_data[[#This Row],[STOCK CODE OUT]],Generated_Stockcode,0),13),""))</f>
        <v/>
      </c>
    </row>
    <row r="1383" spans="2:17" x14ac:dyDescent="0.25">
      <c r="B1383" s="71"/>
      <c r="C1383" s="65"/>
      <c r="D1383" s="55"/>
      <c r="E1383" s="65"/>
      <c r="F1383" s="166"/>
      <c r="G1383" s="167"/>
      <c r="H1383" s="166"/>
      <c r="I1383" s="72"/>
      <c r="J1383" s="55"/>
      <c r="K1383" s="72"/>
      <c r="L1383" s="55"/>
      <c r="M1383" s="174"/>
      <c r="N1383" s="73" t="str">
        <f>IF(ISBLANK(C1383),"",_xlfn.IFNA(INDEX(inbound_data[],MATCH(Outbound_data[[#This Row],[STOCK CODE OUT]],Generated_Stockcode,0),10),""))</f>
        <v/>
      </c>
      <c r="O1383" s="73" t="str">
        <f>IF(ISBLANK(C1383),"",_xlfn.IFNA(INDEX(inbound_data[],MATCH(Outbound_data[[#This Row],[STOCK CODE OUT]],Generated_Stockcode,0),12),""))</f>
        <v/>
      </c>
      <c r="P1383" s="73" t="str">
        <f>IF(ISBLANK(C1383),"",_xlfn.IFNA(INDEX(inbound_data[],MATCH(Outbound_data[[#This Row],[STOCK CODE OUT]],Generated_Stockcode,0),23),""))</f>
        <v/>
      </c>
      <c r="Q1383" s="73" t="str">
        <f>IF(ISBLANK(C1383),"",_xlfn.IFNA(INDEX(inbound_data[],MATCH(Outbound_data[[#This Row],[STOCK CODE OUT]],Generated_Stockcode,0),13),""))</f>
        <v/>
      </c>
    </row>
    <row r="1384" spans="2:17" x14ac:dyDescent="0.25">
      <c r="B1384" s="71"/>
      <c r="C1384" s="65"/>
      <c r="D1384" s="55"/>
      <c r="E1384" s="65"/>
      <c r="F1384" s="166"/>
      <c r="G1384" s="167"/>
      <c r="H1384" s="166"/>
      <c r="I1384" s="72"/>
      <c r="J1384" s="55"/>
      <c r="K1384" s="72"/>
      <c r="L1384" s="55"/>
      <c r="M1384" s="174"/>
      <c r="N1384" s="73" t="str">
        <f>IF(ISBLANK(C1384),"",_xlfn.IFNA(INDEX(inbound_data[],MATCH(Outbound_data[[#This Row],[STOCK CODE OUT]],Generated_Stockcode,0),10),""))</f>
        <v/>
      </c>
      <c r="O1384" s="73" t="str">
        <f>IF(ISBLANK(C1384),"",_xlfn.IFNA(INDEX(inbound_data[],MATCH(Outbound_data[[#This Row],[STOCK CODE OUT]],Generated_Stockcode,0),12),""))</f>
        <v/>
      </c>
      <c r="P1384" s="73" t="str">
        <f>IF(ISBLANK(C1384),"",_xlfn.IFNA(INDEX(inbound_data[],MATCH(Outbound_data[[#This Row],[STOCK CODE OUT]],Generated_Stockcode,0),23),""))</f>
        <v/>
      </c>
      <c r="Q1384" s="73" t="str">
        <f>IF(ISBLANK(C1384),"",_xlfn.IFNA(INDEX(inbound_data[],MATCH(Outbound_data[[#This Row],[STOCK CODE OUT]],Generated_Stockcode,0),13),""))</f>
        <v/>
      </c>
    </row>
    <row r="1385" spans="2:17" x14ac:dyDescent="0.25">
      <c r="B1385" s="71"/>
      <c r="C1385" s="65"/>
      <c r="D1385" s="55"/>
      <c r="E1385" s="65"/>
      <c r="F1385" s="166"/>
      <c r="G1385" s="167"/>
      <c r="H1385" s="166"/>
      <c r="I1385" s="72"/>
      <c r="J1385" s="55"/>
      <c r="K1385" s="72"/>
      <c r="L1385" s="55"/>
      <c r="M1385" s="174"/>
      <c r="N1385" s="73" t="str">
        <f>IF(ISBLANK(C1385),"",_xlfn.IFNA(INDEX(inbound_data[],MATCH(Outbound_data[[#This Row],[STOCK CODE OUT]],Generated_Stockcode,0),10),""))</f>
        <v/>
      </c>
      <c r="O1385" s="73" t="str">
        <f>IF(ISBLANK(C1385),"",_xlfn.IFNA(INDEX(inbound_data[],MATCH(Outbound_data[[#This Row],[STOCK CODE OUT]],Generated_Stockcode,0),12),""))</f>
        <v/>
      </c>
      <c r="P1385" s="73" t="str">
        <f>IF(ISBLANK(C1385),"",_xlfn.IFNA(INDEX(inbound_data[],MATCH(Outbound_data[[#This Row],[STOCK CODE OUT]],Generated_Stockcode,0),23),""))</f>
        <v/>
      </c>
      <c r="Q1385" s="73" t="str">
        <f>IF(ISBLANK(C1385),"",_xlfn.IFNA(INDEX(inbound_data[],MATCH(Outbound_data[[#This Row],[STOCK CODE OUT]],Generated_Stockcode,0),13),""))</f>
        <v/>
      </c>
    </row>
    <row r="1386" spans="2:17" x14ac:dyDescent="0.25">
      <c r="B1386" s="71"/>
      <c r="C1386" s="65"/>
      <c r="D1386" s="55"/>
      <c r="E1386" s="65"/>
      <c r="F1386" s="166"/>
      <c r="G1386" s="167"/>
      <c r="H1386" s="166"/>
      <c r="I1386" s="72"/>
      <c r="J1386" s="55"/>
      <c r="K1386" s="72"/>
      <c r="L1386" s="55"/>
      <c r="M1386" s="174"/>
      <c r="N1386" s="73" t="str">
        <f>IF(ISBLANK(C1386),"",_xlfn.IFNA(INDEX(inbound_data[],MATCH(Outbound_data[[#This Row],[STOCK CODE OUT]],Generated_Stockcode,0),10),""))</f>
        <v/>
      </c>
      <c r="O1386" s="73" t="str">
        <f>IF(ISBLANK(C1386),"",_xlfn.IFNA(INDEX(inbound_data[],MATCH(Outbound_data[[#This Row],[STOCK CODE OUT]],Generated_Stockcode,0),12),""))</f>
        <v/>
      </c>
      <c r="P1386" s="73" t="str">
        <f>IF(ISBLANK(C1386),"",_xlfn.IFNA(INDEX(inbound_data[],MATCH(Outbound_data[[#This Row],[STOCK CODE OUT]],Generated_Stockcode,0),23),""))</f>
        <v/>
      </c>
      <c r="Q1386" s="73" t="str">
        <f>IF(ISBLANK(C1386),"",_xlfn.IFNA(INDEX(inbound_data[],MATCH(Outbound_data[[#This Row],[STOCK CODE OUT]],Generated_Stockcode,0),13),""))</f>
        <v/>
      </c>
    </row>
    <row r="1387" spans="2:17" x14ac:dyDescent="0.25">
      <c r="B1387" s="71"/>
      <c r="C1387" s="65"/>
      <c r="D1387" s="55"/>
      <c r="E1387" s="65"/>
      <c r="F1387" s="166"/>
      <c r="G1387" s="167"/>
      <c r="H1387" s="166"/>
      <c r="I1387" s="72"/>
      <c r="J1387" s="55"/>
      <c r="K1387" s="72"/>
      <c r="L1387" s="55"/>
      <c r="M1387" s="174"/>
      <c r="N1387" s="73" t="str">
        <f>IF(ISBLANK(C1387),"",_xlfn.IFNA(INDEX(inbound_data[],MATCH(Outbound_data[[#This Row],[STOCK CODE OUT]],Generated_Stockcode,0),10),""))</f>
        <v/>
      </c>
      <c r="O1387" s="73" t="str">
        <f>IF(ISBLANK(C1387),"",_xlfn.IFNA(INDEX(inbound_data[],MATCH(Outbound_data[[#This Row],[STOCK CODE OUT]],Generated_Stockcode,0),12),""))</f>
        <v/>
      </c>
      <c r="P1387" s="73" t="str">
        <f>IF(ISBLANK(C1387),"",_xlfn.IFNA(INDEX(inbound_data[],MATCH(Outbound_data[[#This Row],[STOCK CODE OUT]],Generated_Stockcode,0),23),""))</f>
        <v/>
      </c>
      <c r="Q1387" s="73" t="str">
        <f>IF(ISBLANK(C1387),"",_xlfn.IFNA(INDEX(inbound_data[],MATCH(Outbound_data[[#This Row],[STOCK CODE OUT]],Generated_Stockcode,0),13),""))</f>
        <v/>
      </c>
    </row>
    <row r="1388" spans="2:17" x14ac:dyDescent="0.25">
      <c r="B1388" s="71"/>
      <c r="C1388" s="65"/>
      <c r="D1388" s="55"/>
      <c r="E1388" s="65"/>
      <c r="F1388" s="166"/>
      <c r="G1388" s="167"/>
      <c r="H1388" s="166"/>
      <c r="I1388" s="72"/>
      <c r="J1388" s="55"/>
      <c r="K1388" s="72"/>
      <c r="L1388" s="55"/>
      <c r="M1388" s="174"/>
      <c r="N1388" s="73" t="str">
        <f>IF(ISBLANK(C1388),"",_xlfn.IFNA(INDEX(inbound_data[],MATCH(Outbound_data[[#This Row],[STOCK CODE OUT]],Generated_Stockcode,0),10),""))</f>
        <v/>
      </c>
      <c r="O1388" s="73" t="str">
        <f>IF(ISBLANK(C1388),"",_xlfn.IFNA(INDEX(inbound_data[],MATCH(Outbound_data[[#This Row],[STOCK CODE OUT]],Generated_Stockcode,0),12),""))</f>
        <v/>
      </c>
      <c r="P1388" s="73" t="str">
        <f>IF(ISBLANK(C1388),"",_xlfn.IFNA(INDEX(inbound_data[],MATCH(Outbound_data[[#This Row],[STOCK CODE OUT]],Generated_Stockcode,0),23),""))</f>
        <v/>
      </c>
      <c r="Q1388" s="73" t="str">
        <f>IF(ISBLANK(C1388),"",_xlfn.IFNA(INDEX(inbound_data[],MATCH(Outbound_data[[#This Row],[STOCK CODE OUT]],Generated_Stockcode,0),13),""))</f>
        <v/>
      </c>
    </row>
    <row r="1389" spans="2:17" x14ac:dyDescent="0.25">
      <c r="B1389" s="71"/>
      <c r="C1389" s="65"/>
      <c r="D1389" s="55"/>
      <c r="E1389" s="65"/>
      <c r="F1389" s="166"/>
      <c r="G1389" s="167"/>
      <c r="H1389" s="166"/>
      <c r="I1389" s="72"/>
      <c r="J1389" s="55"/>
      <c r="K1389" s="72"/>
      <c r="L1389" s="55"/>
      <c r="M1389" s="174"/>
      <c r="N1389" s="73" t="str">
        <f>IF(ISBLANK(C1389),"",_xlfn.IFNA(INDEX(inbound_data[],MATCH(Outbound_data[[#This Row],[STOCK CODE OUT]],Generated_Stockcode,0),10),""))</f>
        <v/>
      </c>
      <c r="O1389" s="73" t="str">
        <f>IF(ISBLANK(C1389),"",_xlfn.IFNA(INDEX(inbound_data[],MATCH(Outbound_data[[#This Row],[STOCK CODE OUT]],Generated_Stockcode,0),12),""))</f>
        <v/>
      </c>
      <c r="P1389" s="73" t="str">
        <f>IF(ISBLANK(C1389),"",_xlfn.IFNA(INDEX(inbound_data[],MATCH(Outbound_data[[#This Row],[STOCK CODE OUT]],Generated_Stockcode,0),23),""))</f>
        <v/>
      </c>
      <c r="Q1389" s="73" t="str">
        <f>IF(ISBLANK(C1389),"",_xlfn.IFNA(INDEX(inbound_data[],MATCH(Outbound_data[[#This Row],[STOCK CODE OUT]],Generated_Stockcode,0),13),""))</f>
        <v/>
      </c>
    </row>
    <row r="1390" spans="2:17" x14ac:dyDescent="0.25">
      <c r="B1390" s="71"/>
      <c r="C1390" s="65"/>
      <c r="D1390" s="55"/>
      <c r="E1390" s="65"/>
      <c r="F1390" s="166"/>
      <c r="G1390" s="167"/>
      <c r="H1390" s="166"/>
      <c r="I1390" s="72"/>
      <c r="J1390" s="55"/>
      <c r="K1390" s="72"/>
      <c r="L1390" s="55"/>
      <c r="M1390" s="174"/>
      <c r="N1390" s="73" t="str">
        <f>IF(ISBLANK(C1390),"",_xlfn.IFNA(INDEX(inbound_data[],MATCH(Outbound_data[[#This Row],[STOCK CODE OUT]],Generated_Stockcode,0),10),""))</f>
        <v/>
      </c>
      <c r="O1390" s="73" t="str">
        <f>IF(ISBLANK(C1390),"",_xlfn.IFNA(INDEX(inbound_data[],MATCH(Outbound_data[[#This Row],[STOCK CODE OUT]],Generated_Stockcode,0),12),""))</f>
        <v/>
      </c>
      <c r="P1390" s="73" t="str">
        <f>IF(ISBLANK(C1390),"",_xlfn.IFNA(INDEX(inbound_data[],MATCH(Outbound_data[[#This Row],[STOCK CODE OUT]],Generated_Stockcode,0),23),""))</f>
        <v/>
      </c>
      <c r="Q1390" s="73" t="str">
        <f>IF(ISBLANK(C1390),"",_xlfn.IFNA(INDEX(inbound_data[],MATCH(Outbound_data[[#This Row],[STOCK CODE OUT]],Generated_Stockcode,0),13),""))</f>
        <v/>
      </c>
    </row>
    <row r="1391" spans="2:17" x14ac:dyDescent="0.25">
      <c r="B1391" s="71"/>
      <c r="C1391" s="65"/>
      <c r="D1391" s="55"/>
      <c r="E1391" s="65"/>
      <c r="F1391" s="166"/>
      <c r="G1391" s="167"/>
      <c r="H1391" s="166"/>
      <c r="I1391" s="72"/>
      <c r="J1391" s="55"/>
      <c r="K1391" s="72"/>
      <c r="L1391" s="55"/>
      <c r="M1391" s="174"/>
      <c r="N1391" s="73" t="str">
        <f>IF(ISBLANK(C1391),"",_xlfn.IFNA(INDEX(inbound_data[],MATCH(Outbound_data[[#This Row],[STOCK CODE OUT]],Generated_Stockcode,0),10),""))</f>
        <v/>
      </c>
      <c r="O1391" s="73" t="str">
        <f>IF(ISBLANK(C1391),"",_xlfn.IFNA(INDEX(inbound_data[],MATCH(Outbound_data[[#This Row],[STOCK CODE OUT]],Generated_Stockcode,0),12),""))</f>
        <v/>
      </c>
      <c r="P1391" s="73" t="str">
        <f>IF(ISBLANK(C1391),"",_xlfn.IFNA(INDEX(inbound_data[],MATCH(Outbound_data[[#This Row],[STOCK CODE OUT]],Generated_Stockcode,0),23),""))</f>
        <v/>
      </c>
      <c r="Q1391" s="73" t="str">
        <f>IF(ISBLANK(C1391),"",_xlfn.IFNA(INDEX(inbound_data[],MATCH(Outbound_data[[#This Row],[STOCK CODE OUT]],Generated_Stockcode,0),13),""))</f>
        <v/>
      </c>
    </row>
    <row r="1392" spans="2:17" x14ac:dyDescent="0.25">
      <c r="B1392" s="71"/>
      <c r="C1392" s="65"/>
      <c r="D1392" s="55"/>
      <c r="E1392" s="65"/>
      <c r="F1392" s="166"/>
      <c r="G1392" s="167"/>
      <c r="H1392" s="166"/>
      <c r="I1392" s="72"/>
      <c r="J1392" s="55"/>
      <c r="K1392" s="72"/>
      <c r="L1392" s="55"/>
      <c r="M1392" s="174"/>
      <c r="N1392" s="73" t="str">
        <f>IF(ISBLANK(C1392),"",_xlfn.IFNA(INDEX(inbound_data[],MATCH(Outbound_data[[#This Row],[STOCK CODE OUT]],Generated_Stockcode,0),10),""))</f>
        <v/>
      </c>
      <c r="O1392" s="73" t="str">
        <f>IF(ISBLANK(C1392),"",_xlfn.IFNA(INDEX(inbound_data[],MATCH(Outbound_data[[#This Row],[STOCK CODE OUT]],Generated_Stockcode,0),12),""))</f>
        <v/>
      </c>
      <c r="P1392" s="73" t="str">
        <f>IF(ISBLANK(C1392),"",_xlfn.IFNA(INDEX(inbound_data[],MATCH(Outbound_data[[#This Row],[STOCK CODE OUT]],Generated_Stockcode,0),23),""))</f>
        <v/>
      </c>
      <c r="Q1392" s="73" t="str">
        <f>IF(ISBLANK(C1392),"",_xlfn.IFNA(INDEX(inbound_data[],MATCH(Outbound_data[[#This Row],[STOCK CODE OUT]],Generated_Stockcode,0),13),""))</f>
        <v/>
      </c>
    </row>
    <row r="1393" spans="2:17" x14ac:dyDescent="0.25">
      <c r="B1393" s="71"/>
      <c r="C1393" s="65"/>
      <c r="D1393" s="55"/>
      <c r="E1393" s="65"/>
      <c r="F1393" s="166"/>
      <c r="G1393" s="167"/>
      <c r="H1393" s="166"/>
      <c r="I1393" s="72"/>
      <c r="J1393" s="55"/>
      <c r="K1393" s="72"/>
      <c r="L1393" s="55"/>
      <c r="M1393" s="174"/>
      <c r="N1393" s="73" t="str">
        <f>IF(ISBLANK(C1393),"",_xlfn.IFNA(INDEX(inbound_data[],MATCH(Outbound_data[[#This Row],[STOCK CODE OUT]],Generated_Stockcode,0),10),""))</f>
        <v/>
      </c>
      <c r="O1393" s="73" t="str">
        <f>IF(ISBLANK(C1393),"",_xlfn.IFNA(INDEX(inbound_data[],MATCH(Outbound_data[[#This Row],[STOCK CODE OUT]],Generated_Stockcode,0),12),""))</f>
        <v/>
      </c>
      <c r="P1393" s="73" t="str">
        <f>IF(ISBLANK(C1393),"",_xlfn.IFNA(INDEX(inbound_data[],MATCH(Outbound_data[[#This Row],[STOCK CODE OUT]],Generated_Stockcode,0),23),""))</f>
        <v/>
      </c>
      <c r="Q1393" s="73" t="str">
        <f>IF(ISBLANK(C1393),"",_xlfn.IFNA(INDEX(inbound_data[],MATCH(Outbound_data[[#This Row],[STOCK CODE OUT]],Generated_Stockcode,0),13),""))</f>
        <v/>
      </c>
    </row>
    <row r="1394" spans="2:17" x14ac:dyDescent="0.25">
      <c r="B1394" s="71"/>
      <c r="C1394" s="65"/>
      <c r="D1394" s="55"/>
      <c r="E1394" s="65"/>
      <c r="F1394" s="166"/>
      <c r="G1394" s="167"/>
      <c r="H1394" s="166"/>
      <c r="I1394" s="72"/>
      <c r="J1394" s="55"/>
      <c r="K1394" s="72"/>
      <c r="L1394" s="55"/>
      <c r="M1394" s="174"/>
      <c r="N1394" s="73" t="str">
        <f>IF(ISBLANK(C1394),"",_xlfn.IFNA(INDEX(inbound_data[],MATCH(Outbound_data[[#This Row],[STOCK CODE OUT]],Generated_Stockcode,0),10),""))</f>
        <v/>
      </c>
      <c r="O1394" s="73" t="str">
        <f>IF(ISBLANK(C1394),"",_xlfn.IFNA(INDEX(inbound_data[],MATCH(Outbound_data[[#This Row],[STOCK CODE OUT]],Generated_Stockcode,0),12),""))</f>
        <v/>
      </c>
      <c r="P1394" s="73" t="str">
        <f>IF(ISBLANK(C1394),"",_xlfn.IFNA(INDEX(inbound_data[],MATCH(Outbound_data[[#This Row],[STOCK CODE OUT]],Generated_Stockcode,0),23),""))</f>
        <v/>
      </c>
      <c r="Q1394" s="73" t="str">
        <f>IF(ISBLANK(C1394),"",_xlfn.IFNA(INDEX(inbound_data[],MATCH(Outbound_data[[#This Row],[STOCK CODE OUT]],Generated_Stockcode,0),13),""))</f>
        <v/>
      </c>
    </row>
    <row r="1395" spans="2:17" x14ac:dyDescent="0.25">
      <c r="B1395" s="71"/>
      <c r="C1395" s="65"/>
      <c r="D1395" s="55"/>
      <c r="E1395" s="65"/>
      <c r="F1395" s="166"/>
      <c r="G1395" s="167"/>
      <c r="H1395" s="166"/>
      <c r="I1395" s="72"/>
      <c r="J1395" s="55"/>
      <c r="K1395" s="72"/>
      <c r="L1395" s="55"/>
      <c r="M1395" s="174"/>
      <c r="N1395" s="73" t="str">
        <f>IF(ISBLANK(C1395),"",_xlfn.IFNA(INDEX(inbound_data[],MATCH(Outbound_data[[#This Row],[STOCK CODE OUT]],Generated_Stockcode,0),10),""))</f>
        <v/>
      </c>
      <c r="O1395" s="73" t="str">
        <f>IF(ISBLANK(C1395),"",_xlfn.IFNA(INDEX(inbound_data[],MATCH(Outbound_data[[#This Row],[STOCK CODE OUT]],Generated_Stockcode,0),12),""))</f>
        <v/>
      </c>
      <c r="P1395" s="73" t="str">
        <f>IF(ISBLANK(C1395),"",_xlfn.IFNA(INDEX(inbound_data[],MATCH(Outbound_data[[#This Row],[STOCK CODE OUT]],Generated_Stockcode,0),23),""))</f>
        <v/>
      </c>
      <c r="Q1395" s="73" t="str">
        <f>IF(ISBLANK(C1395),"",_xlfn.IFNA(INDEX(inbound_data[],MATCH(Outbound_data[[#This Row],[STOCK CODE OUT]],Generated_Stockcode,0),13),""))</f>
        <v/>
      </c>
    </row>
    <row r="1396" spans="2:17" x14ac:dyDescent="0.25">
      <c r="B1396" s="71"/>
      <c r="C1396" s="65"/>
      <c r="D1396" s="55"/>
      <c r="E1396" s="65"/>
      <c r="F1396" s="166"/>
      <c r="G1396" s="167"/>
      <c r="H1396" s="166"/>
      <c r="I1396" s="72"/>
      <c r="J1396" s="55"/>
      <c r="K1396" s="72"/>
      <c r="L1396" s="55"/>
      <c r="M1396" s="174"/>
      <c r="N1396" s="73" t="str">
        <f>IF(ISBLANK(C1396),"",_xlfn.IFNA(INDEX(inbound_data[],MATCH(Outbound_data[[#This Row],[STOCK CODE OUT]],Generated_Stockcode,0),10),""))</f>
        <v/>
      </c>
      <c r="O1396" s="73" t="str">
        <f>IF(ISBLANK(C1396),"",_xlfn.IFNA(INDEX(inbound_data[],MATCH(Outbound_data[[#This Row],[STOCK CODE OUT]],Generated_Stockcode,0),12),""))</f>
        <v/>
      </c>
      <c r="P1396" s="73" t="str">
        <f>IF(ISBLANK(C1396),"",_xlfn.IFNA(INDEX(inbound_data[],MATCH(Outbound_data[[#This Row],[STOCK CODE OUT]],Generated_Stockcode,0),23),""))</f>
        <v/>
      </c>
      <c r="Q1396" s="73" t="str">
        <f>IF(ISBLANK(C1396),"",_xlfn.IFNA(INDEX(inbound_data[],MATCH(Outbound_data[[#This Row],[STOCK CODE OUT]],Generated_Stockcode,0),13),""))</f>
        <v/>
      </c>
    </row>
    <row r="1397" spans="2:17" x14ac:dyDescent="0.25">
      <c r="B1397" s="71"/>
      <c r="C1397" s="65"/>
      <c r="D1397" s="55"/>
      <c r="E1397" s="65"/>
      <c r="F1397" s="166"/>
      <c r="G1397" s="167"/>
      <c r="H1397" s="166"/>
      <c r="I1397" s="72"/>
      <c r="J1397" s="55"/>
      <c r="K1397" s="72"/>
      <c r="L1397" s="55"/>
      <c r="M1397" s="174"/>
      <c r="N1397" s="73" t="str">
        <f>IF(ISBLANK(C1397),"",_xlfn.IFNA(INDEX(inbound_data[],MATCH(Outbound_data[[#This Row],[STOCK CODE OUT]],Generated_Stockcode,0),10),""))</f>
        <v/>
      </c>
      <c r="O1397" s="73" t="str">
        <f>IF(ISBLANK(C1397),"",_xlfn.IFNA(INDEX(inbound_data[],MATCH(Outbound_data[[#This Row],[STOCK CODE OUT]],Generated_Stockcode,0),12),""))</f>
        <v/>
      </c>
      <c r="P1397" s="73" t="str">
        <f>IF(ISBLANK(C1397),"",_xlfn.IFNA(INDEX(inbound_data[],MATCH(Outbound_data[[#This Row],[STOCK CODE OUT]],Generated_Stockcode,0),23),""))</f>
        <v/>
      </c>
      <c r="Q1397" s="73" t="str">
        <f>IF(ISBLANK(C1397),"",_xlfn.IFNA(INDEX(inbound_data[],MATCH(Outbound_data[[#This Row],[STOCK CODE OUT]],Generated_Stockcode,0),13),""))</f>
        <v/>
      </c>
    </row>
    <row r="1398" spans="2:17" x14ac:dyDescent="0.25">
      <c r="B1398" s="71"/>
      <c r="C1398" s="65"/>
      <c r="D1398" s="55"/>
      <c r="E1398" s="65"/>
      <c r="F1398" s="166"/>
      <c r="G1398" s="167"/>
      <c r="H1398" s="166"/>
      <c r="I1398" s="72"/>
      <c r="J1398" s="55"/>
      <c r="K1398" s="72"/>
      <c r="L1398" s="55"/>
      <c r="M1398" s="174"/>
      <c r="N1398" s="73" t="str">
        <f>IF(ISBLANK(C1398),"",_xlfn.IFNA(INDEX(inbound_data[],MATCH(Outbound_data[[#This Row],[STOCK CODE OUT]],Generated_Stockcode,0),10),""))</f>
        <v/>
      </c>
      <c r="O1398" s="73" t="str">
        <f>IF(ISBLANK(C1398),"",_xlfn.IFNA(INDEX(inbound_data[],MATCH(Outbound_data[[#This Row],[STOCK CODE OUT]],Generated_Stockcode,0),12),""))</f>
        <v/>
      </c>
      <c r="P1398" s="73" t="str">
        <f>IF(ISBLANK(C1398),"",_xlfn.IFNA(INDEX(inbound_data[],MATCH(Outbound_data[[#This Row],[STOCK CODE OUT]],Generated_Stockcode,0),23),""))</f>
        <v/>
      </c>
      <c r="Q1398" s="73" t="str">
        <f>IF(ISBLANK(C1398),"",_xlfn.IFNA(INDEX(inbound_data[],MATCH(Outbound_data[[#This Row],[STOCK CODE OUT]],Generated_Stockcode,0),13),""))</f>
        <v/>
      </c>
    </row>
    <row r="1399" spans="2:17" x14ac:dyDescent="0.25">
      <c r="B1399" s="71"/>
      <c r="C1399" s="65"/>
      <c r="D1399" s="55"/>
      <c r="E1399" s="65"/>
      <c r="F1399" s="166"/>
      <c r="G1399" s="167"/>
      <c r="H1399" s="166"/>
      <c r="I1399" s="72"/>
      <c r="J1399" s="55"/>
      <c r="K1399" s="72"/>
      <c r="L1399" s="55"/>
      <c r="M1399" s="174"/>
      <c r="N1399" s="73" t="str">
        <f>IF(ISBLANK(C1399),"",_xlfn.IFNA(INDEX(inbound_data[],MATCH(Outbound_data[[#This Row],[STOCK CODE OUT]],Generated_Stockcode,0),10),""))</f>
        <v/>
      </c>
      <c r="O1399" s="73" t="str">
        <f>IF(ISBLANK(C1399),"",_xlfn.IFNA(INDEX(inbound_data[],MATCH(Outbound_data[[#This Row],[STOCK CODE OUT]],Generated_Stockcode,0),12),""))</f>
        <v/>
      </c>
      <c r="P1399" s="73" t="str">
        <f>IF(ISBLANK(C1399),"",_xlfn.IFNA(INDEX(inbound_data[],MATCH(Outbound_data[[#This Row],[STOCK CODE OUT]],Generated_Stockcode,0),23),""))</f>
        <v/>
      </c>
      <c r="Q1399" s="73" t="str">
        <f>IF(ISBLANK(C1399),"",_xlfn.IFNA(INDEX(inbound_data[],MATCH(Outbound_data[[#This Row],[STOCK CODE OUT]],Generated_Stockcode,0),13),""))</f>
        <v/>
      </c>
    </row>
    <row r="1400" spans="2:17" x14ac:dyDescent="0.25">
      <c r="B1400" s="71"/>
      <c r="C1400" s="65"/>
      <c r="D1400" s="55"/>
      <c r="E1400" s="65"/>
      <c r="F1400" s="166"/>
      <c r="G1400" s="167"/>
      <c r="H1400" s="166"/>
      <c r="I1400" s="72"/>
      <c r="J1400" s="55"/>
      <c r="K1400" s="72"/>
      <c r="L1400" s="55"/>
      <c r="M1400" s="174"/>
      <c r="N1400" s="73" t="str">
        <f>IF(ISBLANK(C1400),"",_xlfn.IFNA(INDEX(inbound_data[],MATCH(Outbound_data[[#This Row],[STOCK CODE OUT]],Generated_Stockcode,0),10),""))</f>
        <v/>
      </c>
      <c r="O1400" s="73" t="str">
        <f>IF(ISBLANK(C1400),"",_xlfn.IFNA(INDEX(inbound_data[],MATCH(Outbound_data[[#This Row],[STOCK CODE OUT]],Generated_Stockcode,0),12),""))</f>
        <v/>
      </c>
      <c r="P1400" s="73" t="str">
        <f>IF(ISBLANK(C1400),"",_xlfn.IFNA(INDEX(inbound_data[],MATCH(Outbound_data[[#This Row],[STOCK CODE OUT]],Generated_Stockcode,0),23),""))</f>
        <v/>
      </c>
      <c r="Q1400" s="73" t="str">
        <f>IF(ISBLANK(C1400),"",_xlfn.IFNA(INDEX(inbound_data[],MATCH(Outbound_data[[#This Row],[STOCK CODE OUT]],Generated_Stockcode,0),13),""))</f>
        <v/>
      </c>
    </row>
    <row r="1401" spans="2:17" x14ac:dyDescent="0.25">
      <c r="B1401" s="71"/>
      <c r="C1401" s="65"/>
      <c r="D1401" s="55"/>
      <c r="E1401" s="65"/>
      <c r="F1401" s="166"/>
      <c r="G1401" s="167"/>
      <c r="H1401" s="166"/>
      <c r="I1401" s="72"/>
      <c r="J1401" s="55"/>
      <c r="K1401" s="72"/>
      <c r="L1401" s="55"/>
      <c r="M1401" s="174"/>
      <c r="N1401" s="73" t="str">
        <f>IF(ISBLANK(C1401),"",_xlfn.IFNA(INDEX(inbound_data[],MATCH(Outbound_data[[#This Row],[STOCK CODE OUT]],Generated_Stockcode,0),10),""))</f>
        <v/>
      </c>
      <c r="O1401" s="73" t="str">
        <f>IF(ISBLANK(C1401),"",_xlfn.IFNA(INDEX(inbound_data[],MATCH(Outbound_data[[#This Row],[STOCK CODE OUT]],Generated_Stockcode,0),12),""))</f>
        <v/>
      </c>
      <c r="P1401" s="73" t="str">
        <f>IF(ISBLANK(C1401),"",_xlfn.IFNA(INDEX(inbound_data[],MATCH(Outbound_data[[#This Row],[STOCK CODE OUT]],Generated_Stockcode,0),23),""))</f>
        <v/>
      </c>
      <c r="Q1401" s="73" t="str">
        <f>IF(ISBLANK(C1401),"",_xlfn.IFNA(INDEX(inbound_data[],MATCH(Outbound_data[[#This Row],[STOCK CODE OUT]],Generated_Stockcode,0),13),""))</f>
        <v/>
      </c>
    </row>
    <row r="1402" spans="2:17" x14ac:dyDescent="0.25">
      <c r="B1402" s="71"/>
      <c r="C1402" s="65"/>
      <c r="D1402" s="55"/>
      <c r="E1402" s="65"/>
      <c r="F1402" s="166"/>
      <c r="G1402" s="167"/>
      <c r="H1402" s="166"/>
      <c r="I1402" s="72"/>
      <c r="J1402" s="55"/>
      <c r="K1402" s="72"/>
      <c r="L1402" s="55"/>
      <c r="M1402" s="174"/>
      <c r="N1402" s="73" t="str">
        <f>IF(ISBLANK(C1402),"",_xlfn.IFNA(INDEX(inbound_data[],MATCH(Outbound_data[[#This Row],[STOCK CODE OUT]],Generated_Stockcode,0),10),""))</f>
        <v/>
      </c>
      <c r="O1402" s="73" t="str">
        <f>IF(ISBLANK(C1402),"",_xlfn.IFNA(INDEX(inbound_data[],MATCH(Outbound_data[[#This Row],[STOCK CODE OUT]],Generated_Stockcode,0),12),""))</f>
        <v/>
      </c>
      <c r="P1402" s="73" t="str">
        <f>IF(ISBLANK(C1402),"",_xlfn.IFNA(INDEX(inbound_data[],MATCH(Outbound_data[[#This Row],[STOCK CODE OUT]],Generated_Stockcode,0),23),""))</f>
        <v/>
      </c>
      <c r="Q1402" s="73" t="str">
        <f>IF(ISBLANK(C1402),"",_xlfn.IFNA(INDEX(inbound_data[],MATCH(Outbound_data[[#This Row],[STOCK CODE OUT]],Generated_Stockcode,0),13),""))</f>
        <v/>
      </c>
    </row>
    <row r="1403" spans="2:17" x14ac:dyDescent="0.25">
      <c r="B1403" s="71"/>
      <c r="C1403" s="65"/>
      <c r="D1403" s="55"/>
      <c r="E1403" s="65"/>
      <c r="F1403" s="166"/>
      <c r="G1403" s="167"/>
      <c r="H1403" s="166"/>
      <c r="I1403" s="72"/>
      <c r="J1403" s="55"/>
      <c r="K1403" s="72"/>
      <c r="L1403" s="55"/>
      <c r="M1403" s="174"/>
      <c r="N1403" s="73" t="str">
        <f>IF(ISBLANK(C1403),"",_xlfn.IFNA(INDEX(inbound_data[],MATCH(Outbound_data[[#This Row],[STOCK CODE OUT]],Generated_Stockcode,0),10),""))</f>
        <v/>
      </c>
      <c r="O1403" s="73" t="str">
        <f>IF(ISBLANK(C1403),"",_xlfn.IFNA(INDEX(inbound_data[],MATCH(Outbound_data[[#This Row],[STOCK CODE OUT]],Generated_Stockcode,0),12),""))</f>
        <v/>
      </c>
      <c r="P1403" s="73" t="str">
        <f>IF(ISBLANK(C1403),"",_xlfn.IFNA(INDEX(inbound_data[],MATCH(Outbound_data[[#This Row],[STOCK CODE OUT]],Generated_Stockcode,0),23),""))</f>
        <v/>
      </c>
      <c r="Q1403" s="73" t="str">
        <f>IF(ISBLANK(C1403),"",_xlfn.IFNA(INDEX(inbound_data[],MATCH(Outbound_data[[#This Row],[STOCK CODE OUT]],Generated_Stockcode,0),13),""))</f>
        <v/>
      </c>
    </row>
    <row r="1404" spans="2:17" x14ac:dyDescent="0.25">
      <c r="B1404" s="71"/>
      <c r="C1404" s="65"/>
      <c r="D1404" s="55"/>
      <c r="E1404" s="65"/>
      <c r="F1404" s="166"/>
      <c r="G1404" s="167"/>
      <c r="H1404" s="166"/>
      <c r="I1404" s="72"/>
      <c r="J1404" s="55"/>
      <c r="K1404" s="72"/>
      <c r="L1404" s="55"/>
      <c r="M1404" s="174"/>
      <c r="N1404" s="73" t="str">
        <f>IF(ISBLANK(C1404),"",_xlfn.IFNA(INDEX(inbound_data[],MATCH(Outbound_data[[#This Row],[STOCK CODE OUT]],Generated_Stockcode,0),10),""))</f>
        <v/>
      </c>
      <c r="O1404" s="73" t="str">
        <f>IF(ISBLANK(C1404),"",_xlfn.IFNA(INDEX(inbound_data[],MATCH(Outbound_data[[#This Row],[STOCK CODE OUT]],Generated_Stockcode,0),12),""))</f>
        <v/>
      </c>
      <c r="P1404" s="73" t="str">
        <f>IF(ISBLANK(C1404),"",_xlfn.IFNA(INDEX(inbound_data[],MATCH(Outbound_data[[#This Row],[STOCK CODE OUT]],Generated_Stockcode,0),23),""))</f>
        <v/>
      </c>
      <c r="Q1404" s="73" t="str">
        <f>IF(ISBLANK(C1404),"",_xlfn.IFNA(INDEX(inbound_data[],MATCH(Outbound_data[[#This Row],[STOCK CODE OUT]],Generated_Stockcode,0),13),""))</f>
        <v/>
      </c>
    </row>
    <row r="1405" spans="2:17" x14ac:dyDescent="0.25">
      <c r="B1405" s="71"/>
      <c r="C1405" s="65"/>
      <c r="D1405" s="55"/>
      <c r="E1405" s="65"/>
      <c r="F1405" s="166"/>
      <c r="G1405" s="167"/>
      <c r="H1405" s="166"/>
      <c r="I1405" s="72"/>
      <c r="J1405" s="55"/>
      <c r="K1405" s="72"/>
      <c r="L1405" s="55"/>
      <c r="M1405" s="174"/>
      <c r="N1405" s="73" t="str">
        <f>IF(ISBLANK(C1405),"",_xlfn.IFNA(INDEX(inbound_data[],MATCH(Outbound_data[[#This Row],[STOCK CODE OUT]],Generated_Stockcode,0),10),""))</f>
        <v/>
      </c>
      <c r="O1405" s="73" t="str">
        <f>IF(ISBLANK(C1405),"",_xlfn.IFNA(INDEX(inbound_data[],MATCH(Outbound_data[[#This Row],[STOCK CODE OUT]],Generated_Stockcode,0),12),""))</f>
        <v/>
      </c>
      <c r="P1405" s="73" t="str">
        <f>IF(ISBLANK(C1405),"",_xlfn.IFNA(INDEX(inbound_data[],MATCH(Outbound_data[[#This Row],[STOCK CODE OUT]],Generated_Stockcode,0),23),""))</f>
        <v/>
      </c>
      <c r="Q1405" s="73" t="str">
        <f>IF(ISBLANK(C1405),"",_xlfn.IFNA(INDEX(inbound_data[],MATCH(Outbound_data[[#This Row],[STOCK CODE OUT]],Generated_Stockcode,0),13),""))</f>
        <v/>
      </c>
    </row>
    <row r="1406" spans="2:17" x14ac:dyDescent="0.25">
      <c r="B1406" s="71"/>
      <c r="C1406" s="65"/>
      <c r="D1406" s="55"/>
      <c r="E1406" s="65"/>
      <c r="F1406" s="166"/>
      <c r="G1406" s="167"/>
      <c r="H1406" s="166"/>
      <c r="I1406" s="72"/>
      <c r="J1406" s="55"/>
      <c r="K1406" s="72"/>
      <c r="L1406" s="55"/>
      <c r="M1406" s="174"/>
      <c r="N1406" s="73" t="str">
        <f>IF(ISBLANK(C1406),"",_xlfn.IFNA(INDEX(inbound_data[],MATCH(Outbound_data[[#This Row],[STOCK CODE OUT]],Generated_Stockcode,0),10),""))</f>
        <v/>
      </c>
      <c r="O1406" s="73" t="str">
        <f>IF(ISBLANK(C1406),"",_xlfn.IFNA(INDEX(inbound_data[],MATCH(Outbound_data[[#This Row],[STOCK CODE OUT]],Generated_Stockcode,0),12),""))</f>
        <v/>
      </c>
      <c r="P1406" s="73" t="str">
        <f>IF(ISBLANK(C1406),"",_xlfn.IFNA(INDEX(inbound_data[],MATCH(Outbound_data[[#This Row],[STOCK CODE OUT]],Generated_Stockcode,0),23),""))</f>
        <v/>
      </c>
      <c r="Q1406" s="73" t="str">
        <f>IF(ISBLANK(C1406),"",_xlfn.IFNA(INDEX(inbound_data[],MATCH(Outbound_data[[#This Row],[STOCK CODE OUT]],Generated_Stockcode,0),13),""))</f>
        <v/>
      </c>
    </row>
    <row r="1407" spans="2:17" x14ac:dyDescent="0.25">
      <c r="B1407" s="71"/>
      <c r="C1407" s="65"/>
      <c r="D1407" s="55"/>
      <c r="E1407" s="65"/>
      <c r="F1407" s="166"/>
      <c r="G1407" s="167"/>
      <c r="H1407" s="166"/>
      <c r="I1407" s="72"/>
      <c r="J1407" s="55"/>
      <c r="K1407" s="72"/>
      <c r="L1407" s="55"/>
      <c r="M1407" s="174"/>
      <c r="N1407" s="73" t="str">
        <f>IF(ISBLANK(C1407),"",_xlfn.IFNA(INDEX(inbound_data[],MATCH(Outbound_data[[#This Row],[STOCK CODE OUT]],Generated_Stockcode,0),10),""))</f>
        <v/>
      </c>
      <c r="O1407" s="73" t="str">
        <f>IF(ISBLANK(C1407),"",_xlfn.IFNA(INDEX(inbound_data[],MATCH(Outbound_data[[#This Row],[STOCK CODE OUT]],Generated_Stockcode,0),12),""))</f>
        <v/>
      </c>
      <c r="P1407" s="73" t="str">
        <f>IF(ISBLANK(C1407),"",_xlfn.IFNA(INDEX(inbound_data[],MATCH(Outbound_data[[#This Row],[STOCK CODE OUT]],Generated_Stockcode,0),23),""))</f>
        <v/>
      </c>
      <c r="Q1407" s="73" t="str">
        <f>IF(ISBLANK(C1407),"",_xlfn.IFNA(INDEX(inbound_data[],MATCH(Outbound_data[[#This Row],[STOCK CODE OUT]],Generated_Stockcode,0),13),""))</f>
        <v/>
      </c>
    </row>
    <row r="1408" spans="2:17" x14ac:dyDescent="0.25">
      <c r="B1408" s="71"/>
      <c r="C1408" s="65"/>
      <c r="D1408" s="55"/>
      <c r="E1408" s="65"/>
      <c r="F1408" s="166"/>
      <c r="G1408" s="167"/>
      <c r="H1408" s="166"/>
      <c r="I1408" s="72"/>
      <c r="J1408" s="55"/>
      <c r="K1408" s="72"/>
      <c r="L1408" s="55"/>
      <c r="M1408" s="174"/>
      <c r="N1408" s="73" t="str">
        <f>IF(ISBLANK(C1408),"",_xlfn.IFNA(INDEX(inbound_data[],MATCH(Outbound_data[[#This Row],[STOCK CODE OUT]],Generated_Stockcode,0),10),""))</f>
        <v/>
      </c>
      <c r="O1408" s="73" t="str">
        <f>IF(ISBLANK(C1408),"",_xlfn.IFNA(INDEX(inbound_data[],MATCH(Outbound_data[[#This Row],[STOCK CODE OUT]],Generated_Stockcode,0),12),""))</f>
        <v/>
      </c>
      <c r="P1408" s="73" t="str">
        <f>IF(ISBLANK(C1408),"",_xlfn.IFNA(INDEX(inbound_data[],MATCH(Outbound_data[[#This Row],[STOCK CODE OUT]],Generated_Stockcode,0),23),""))</f>
        <v/>
      </c>
      <c r="Q1408" s="73" t="str">
        <f>IF(ISBLANK(C1408),"",_xlfn.IFNA(INDEX(inbound_data[],MATCH(Outbound_data[[#This Row],[STOCK CODE OUT]],Generated_Stockcode,0),13),""))</f>
        <v/>
      </c>
    </row>
    <row r="1409" spans="2:17" x14ac:dyDescent="0.25">
      <c r="B1409" s="71"/>
      <c r="C1409" s="65"/>
      <c r="D1409" s="55"/>
      <c r="E1409" s="65"/>
      <c r="F1409" s="166"/>
      <c r="G1409" s="167"/>
      <c r="H1409" s="166"/>
      <c r="I1409" s="72"/>
      <c r="J1409" s="55"/>
      <c r="K1409" s="72"/>
      <c r="L1409" s="55"/>
      <c r="M1409" s="174"/>
      <c r="N1409" s="73" t="str">
        <f>IF(ISBLANK(C1409),"",_xlfn.IFNA(INDEX(inbound_data[],MATCH(Outbound_data[[#This Row],[STOCK CODE OUT]],Generated_Stockcode,0),10),""))</f>
        <v/>
      </c>
      <c r="O1409" s="73" t="str">
        <f>IF(ISBLANK(C1409),"",_xlfn.IFNA(INDEX(inbound_data[],MATCH(Outbound_data[[#This Row],[STOCK CODE OUT]],Generated_Stockcode,0),12),""))</f>
        <v/>
      </c>
      <c r="P1409" s="73" t="str">
        <f>IF(ISBLANK(C1409),"",_xlfn.IFNA(INDEX(inbound_data[],MATCH(Outbound_data[[#This Row],[STOCK CODE OUT]],Generated_Stockcode,0),23),""))</f>
        <v/>
      </c>
      <c r="Q1409" s="73" t="str">
        <f>IF(ISBLANK(C1409),"",_xlfn.IFNA(INDEX(inbound_data[],MATCH(Outbound_data[[#This Row],[STOCK CODE OUT]],Generated_Stockcode,0),13),""))</f>
        <v/>
      </c>
    </row>
    <row r="1410" spans="2:17" x14ac:dyDescent="0.25">
      <c r="B1410" s="71"/>
      <c r="C1410" s="65"/>
      <c r="D1410" s="55"/>
      <c r="E1410" s="65"/>
      <c r="F1410" s="166"/>
      <c r="G1410" s="167"/>
      <c r="H1410" s="166"/>
      <c r="I1410" s="72"/>
      <c r="J1410" s="55"/>
      <c r="K1410" s="72"/>
      <c r="L1410" s="55"/>
      <c r="M1410" s="174"/>
      <c r="N1410" s="73" t="str">
        <f>IF(ISBLANK(C1410),"",_xlfn.IFNA(INDEX(inbound_data[],MATCH(Outbound_data[[#This Row],[STOCK CODE OUT]],Generated_Stockcode,0),10),""))</f>
        <v/>
      </c>
      <c r="O1410" s="73" t="str">
        <f>IF(ISBLANK(C1410),"",_xlfn.IFNA(INDEX(inbound_data[],MATCH(Outbound_data[[#This Row],[STOCK CODE OUT]],Generated_Stockcode,0),12),""))</f>
        <v/>
      </c>
      <c r="P1410" s="73" t="str">
        <f>IF(ISBLANK(C1410),"",_xlfn.IFNA(INDEX(inbound_data[],MATCH(Outbound_data[[#This Row],[STOCK CODE OUT]],Generated_Stockcode,0),23),""))</f>
        <v/>
      </c>
      <c r="Q1410" s="73" t="str">
        <f>IF(ISBLANK(C1410),"",_xlfn.IFNA(INDEX(inbound_data[],MATCH(Outbound_data[[#This Row],[STOCK CODE OUT]],Generated_Stockcode,0),13),""))</f>
        <v/>
      </c>
    </row>
    <row r="1411" spans="2:17" x14ac:dyDescent="0.25">
      <c r="B1411" s="71"/>
      <c r="C1411" s="65"/>
      <c r="D1411" s="55"/>
      <c r="E1411" s="65"/>
      <c r="F1411" s="166"/>
      <c r="G1411" s="167"/>
      <c r="H1411" s="166"/>
      <c r="I1411" s="72"/>
      <c r="J1411" s="55"/>
      <c r="K1411" s="72"/>
      <c r="L1411" s="55"/>
      <c r="M1411" s="174"/>
      <c r="N1411" s="73" t="str">
        <f>IF(ISBLANK(C1411),"",_xlfn.IFNA(INDEX(inbound_data[],MATCH(Outbound_data[[#This Row],[STOCK CODE OUT]],Generated_Stockcode,0),10),""))</f>
        <v/>
      </c>
      <c r="O1411" s="73" t="str">
        <f>IF(ISBLANK(C1411),"",_xlfn.IFNA(INDEX(inbound_data[],MATCH(Outbound_data[[#This Row],[STOCK CODE OUT]],Generated_Stockcode,0),12),""))</f>
        <v/>
      </c>
      <c r="P1411" s="73" t="str">
        <f>IF(ISBLANK(C1411),"",_xlfn.IFNA(INDEX(inbound_data[],MATCH(Outbound_data[[#This Row],[STOCK CODE OUT]],Generated_Stockcode,0),23),""))</f>
        <v/>
      </c>
      <c r="Q1411" s="73" t="str">
        <f>IF(ISBLANK(C1411),"",_xlfn.IFNA(INDEX(inbound_data[],MATCH(Outbound_data[[#This Row],[STOCK CODE OUT]],Generated_Stockcode,0),13),""))</f>
        <v/>
      </c>
    </row>
    <row r="1412" spans="2:17" x14ac:dyDescent="0.25">
      <c r="B1412" s="71"/>
      <c r="C1412" s="65"/>
      <c r="D1412" s="55"/>
      <c r="E1412" s="65"/>
      <c r="F1412" s="166"/>
      <c r="G1412" s="167"/>
      <c r="H1412" s="166"/>
      <c r="I1412" s="72"/>
      <c r="J1412" s="55"/>
      <c r="K1412" s="72"/>
      <c r="L1412" s="55"/>
      <c r="M1412" s="174"/>
      <c r="N1412" s="73" t="str">
        <f>IF(ISBLANK(C1412),"",_xlfn.IFNA(INDEX(inbound_data[],MATCH(Outbound_data[[#This Row],[STOCK CODE OUT]],Generated_Stockcode,0),10),""))</f>
        <v/>
      </c>
      <c r="O1412" s="73" t="str">
        <f>IF(ISBLANK(C1412),"",_xlfn.IFNA(INDEX(inbound_data[],MATCH(Outbound_data[[#This Row],[STOCK CODE OUT]],Generated_Stockcode,0),12),""))</f>
        <v/>
      </c>
      <c r="P1412" s="73" t="str">
        <f>IF(ISBLANK(C1412),"",_xlfn.IFNA(INDEX(inbound_data[],MATCH(Outbound_data[[#This Row],[STOCK CODE OUT]],Generated_Stockcode,0),23),""))</f>
        <v/>
      </c>
      <c r="Q1412" s="73" t="str">
        <f>IF(ISBLANK(C1412),"",_xlfn.IFNA(INDEX(inbound_data[],MATCH(Outbound_data[[#This Row],[STOCK CODE OUT]],Generated_Stockcode,0),13),""))</f>
        <v/>
      </c>
    </row>
    <row r="1413" spans="2:17" x14ac:dyDescent="0.25">
      <c r="B1413" s="71"/>
      <c r="C1413" s="65"/>
      <c r="D1413" s="55"/>
      <c r="E1413" s="65"/>
      <c r="F1413" s="166"/>
      <c r="G1413" s="167"/>
      <c r="H1413" s="166"/>
      <c r="I1413" s="72"/>
      <c r="J1413" s="55"/>
      <c r="K1413" s="72"/>
      <c r="L1413" s="55"/>
      <c r="M1413" s="174"/>
      <c r="N1413" s="73" t="str">
        <f>IF(ISBLANK(C1413),"",_xlfn.IFNA(INDEX(inbound_data[],MATCH(Outbound_data[[#This Row],[STOCK CODE OUT]],Generated_Stockcode,0),10),""))</f>
        <v/>
      </c>
      <c r="O1413" s="73" t="str">
        <f>IF(ISBLANK(C1413),"",_xlfn.IFNA(INDEX(inbound_data[],MATCH(Outbound_data[[#This Row],[STOCK CODE OUT]],Generated_Stockcode,0),12),""))</f>
        <v/>
      </c>
      <c r="P1413" s="73" t="str">
        <f>IF(ISBLANK(C1413),"",_xlfn.IFNA(INDEX(inbound_data[],MATCH(Outbound_data[[#This Row],[STOCK CODE OUT]],Generated_Stockcode,0),23),""))</f>
        <v/>
      </c>
      <c r="Q1413" s="73" t="str">
        <f>IF(ISBLANK(C1413),"",_xlfn.IFNA(INDEX(inbound_data[],MATCH(Outbound_data[[#This Row],[STOCK CODE OUT]],Generated_Stockcode,0),13),""))</f>
        <v/>
      </c>
    </row>
    <row r="1414" spans="2:17" x14ac:dyDescent="0.25">
      <c r="B1414" s="71"/>
      <c r="C1414" s="65"/>
      <c r="D1414" s="55"/>
      <c r="E1414" s="65"/>
      <c r="F1414" s="166"/>
      <c r="G1414" s="167"/>
      <c r="H1414" s="166"/>
      <c r="I1414" s="72"/>
      <c r="J1414" s="55"/>
      <c r="K1414" s="72"/>
      <c r="L1414" s="55"/>
      <c r="M1414" s="174"/>
      <c r="N1414" s="73" t="str">
        <f>IF(ISBLANK(C1414),"",_xlfn.IFNA(INDEX(inbound_data[],MATCH(Outbound_data[[#This Row],[STOCK CODE OUT]],Generated_Stockcode,0),10),""))</f>
        <v/>
      </c>
      <c r="O1414" s="73" t="str">
        <f>IF(ISBLANK(C1414),"",_xlfn.IFNA(INDEX(inbound_data[],MATCH(Outbound_data[[#This Row],[STOCK CODE OUT]],Generated_Stockcode,0),12),""))</f>
        <v/>
      </c>
      <c r="P1414" s="73" t="str">
        <f>IF(ISBLANK(C1414),"",_xlfn.IFNA(INDEX(inbound_data[],MATCH(Outbound_data[[#This Row],[STOCK CODE OUT]],Generated_Stockcode,0),23),""))</f>
        <v/>
      </c>
      <c r="Q1414" s="73" t="str">
        <f>IF(ISBLANK(C1414),"",_xlfn.IFNA(INDEX(inbound_data[],MATCH(Outbound_data[[#This Row],[STOCK CODE OUT]],Generated_Stockcode,0),13),""))</f>
        <v/>
      </c>
    </row>
    <row r="1415" spans="2:17" x14ac:dyDescent="0.25">
      <c r="B1415" s="71"/>
      <c r="C1415" s="65"/>
      <c r="D1415" s="55"/>
      <c r="E1415" s="65"/>
      <c r="F1415" s="166"/>
      <c r="G1415" s="167"/>
      <c r="H1415" s="166"/>
      <c r="I1415" s="72"/>
      <c r="J1415" s="55"/>
      <c r="K1415" s="72"/>
      <c r="L1415" s="55"/>
      <c r="M1415" s="174"/>
      <c r="N1415" s="73" t="str">
        <f>IF(ISBLANK(C1415),"",_xlfn.IFNA(INDEX(inbound_data[],MATCH(Outbound_data[[#This Row],[STOCK CODE OUT]],Generated_Stockcode,0),10),""))</f>
        <v/>
      </c>
      <c r="O1415" s="73" t="str">
        <f>IF(ISBLANK(C1415),"",_xlfn.IFNA(INDEX(inbound_data[],MATCH(Outbound_data[[#This Row],[STOCK CODE OUT]],Generated_Stockcode,0),12),""))</f>
        <v/>
      </c>
      <c r="P1415" s="73" t="str">
        <f>IF(ISBLANK(C1415),"",_xlfn.IFNA(INDEX(inbound_data[],MATCH(Outbound_data[[#This Row],[STOCK CODE OUT]],Generated_Stockcode,0),23),""))</f>
        <v/>
      </c>
      <c r="Q1415" s="73" t="str">
        <f>IF(ISBLANK(C1415),"",_xlfn.IFNA(INDEX(inbound_data[],MATCH(Outbound_data[[#This Row],[STOCK CODE OUT]],Generated_Stockcode,0),13),""))</f>
        <v/>
      </c>
    </row>
    <row r="1416" spans="2:17" x14ac:dyDescent="0.25">
      <c r="B1416" s="71"/>
      <c r="C1416" s="65"/>
      <c r="D1416" s="55"/>
      <c r="E1416" s="65"/>
      <c r="F1416" s="166"/>
      <c r="G1416" s="167"/>
      <c r="H1416" s="166"/>
      <c r="I1416" s="72"/>
      <c r="J1416" s="55"/>
      <c r="K1416" s="72"/>
      <c r="L1416" s="55"/>
      <c r="M1416" s="174"/>
      <c r="N1416" s="73" t="str">
        <f>IF(ISBLANK(C1416),"",_xlfn.IFNA(INDEX(inbound_data[],MATCH(Outbound_data[[#This Row],[STOCK CODE OUT]],Generated_Stockcode,0),10),""))</f>
        <v/>
      </c>
      <c r="O1416" s="73" t="str">
        <f>IF(ISBLANK(C1416),"",_xlfn.IFNA(INDEX(inbound_data[],MATCH(Outbound_data[[#This Row],[STOCK CODE OUT]],Generated_Stockcode,0),12),""))</f>
        <v/>
      </c>
      <c r="P1416" s="73" t="str">
        <f>IF(ISBLANK(C1416),"",_xlfn.IFNA(INDEX(inbound_data[],MATCH(Outbound_data[[#This Row],[STOCK CODE OUT]],Generated_Stockcode,0),23),""))</f>
        <v/>
      </c>
      <c r="Q1416" s="73" t="str">
        <f>IF(ISBLANK(C1416),"",_xlfn.IFNA(INDEX(inbound_data[],MATCH(Outbound_data[[#This Row],[STOCK CODE OUT]],Generated_Stockcode,0),13),""))</f>
        <v/>
      </c>
    </row>
    <row r="1417" spans="2:17" x14ac:dyDescent="0.25">
      <c r="B1417" s="71"/>
      <c r="C1417" s="65"/>
      <c r="D1417" s="55"/>
      <c r="E1417" s="65"/>
      <c r="F1417" s="166"/>
      <c r="G1417" s="167"/>
      <c r="H1417" s="166"/>
      <c r="I1417" s="72"/>
      <c r="J1417" s="55"/>
      <c r="K1417" s="72"/>
      <c r="L1417" s="55"/>
      <c r="M1417" s="174"/>
      <c r="N1417" s="73" t="str">
        <f>IF(ISBLANK(C1417),"",_xlfn.IFNA(INDEX(inbound_data[],MATCH(Outbound_data[[#This Row],[STOCK CODE OUT]],Generated_Stockcode,0),10),""))</f>
        <v/>
      </c>
      <c r="O1417" s="73" t="str">
        <f>IF(ISBLANK(C1417),"",_xlfn.IFNA(INDEX(inbound_data[],MATCH(Outbound_data[[#This Row],[STOCK CODE OUT]],Generated_Stockcode,0),12),""))</f>
        <v/>
      </c>
      <c r="P1417" s="73" t="str">
        <f>IF(ISBLANK(C1417),"",_xlfn.IFNA(INDEX(inbound_data[],MATCH(Outbound_data[[#This Row],[STOCK CODE OUT]],Generated_Stockcode,0),23),""))</f>
        <v/>
      </c>
      <c r="Q1417" s="73" t="str">
        <f>IF(ISBLANK(C1417),"",_xlfn.IFNA(INDEX(inbound_data[],MATCH(Outbound_data[[#This Row],[STOCK CODE OUT]],Generated_Stockcode,0),13),""))</f>
        <v/>
      </c>
    </row>
    <row r="1418" spans="2:17" x14ac:dyDescent="0.25">
      <c r="B1418" s="71"/>
      <c r="C1418" s="65"/>
      <c r="D1418" s="55"/>
      <c r="E1418" s="65"/>
      <c r="F1418" s="166"/>
      <c r="G1418" s="167"/>
      <c r="H1418" s="166"/>
      <c r="I1418" s="72"/>
      <c r="J1418" s="55"/>
      <c r="K1418" s="72"/>
      <c r="L1418" s="55"/>
      <c r="M1418" s="174"/>
      <c r="N1418" s="73" t="str">
        <f>IF(ISBLANK(C1418),"",_xlfn.IFNA(INDEX(inbound_data[],MATCH(Outbound_data[[#This Row],[STOCK CODE OUT]],Generated_Stockcode,0),10),""))</f>
        <v/>
      </c>
      <c r="O1418" s="73" t="str">
        <f>IF(ISBLANK(C1418),"",_xlfn.IFNA(INDEX(inbound_data[],MATCH(Outbound_data[[#This Row],[STOCK CODE OUT]],Generated_Stockcode,0),12),""))</f>
        <v/>
      </c>
      <c r="P1418" s="73" t="str">
        <f>IF(ISBLANK(C1418),"",_xlfn.IFNA(INDEX(inbound_data[],MATCH(Outbound_data[[#This Row],[STOCK CODE OUT]],Generated_Stockcode,0),23),""))</f>
        <v/>
      </c>
      <c r="Q1418" s="73" t="str">
        <f>IF(ISBLANK(C1418),"",_xlfn.IFNA(INDEX(inbound_data[],MATCH(Outbound_data[[#This Row],[STOCK CODE OUT]],Generated_Stockcode,0),13),""))</f>
        <v/>
      </c>
    </row>
    <row r="1419" spans="2:17" x14ac:dyDescent="0.25">
      <c r="B1419" s="71"/>
      <c r="C1419" s="65"/>
      <c r="D1419" s="55"/>
      <c r="E1419" s="65"/>
      <c r="F1419" s="166"/>
      <c r="G1419" s="167"/>
      <c r="H1419" s="166"/>
      <c r="I1419" s="72"/>
      <c r="J1419" s="55"/>
      <c r="K1419" s="72"/>
      <c r="L1419" s="55"/>
      <c r="M1419" s="174"/>
      <c r="N1419" s="73" t="str">
        <f>IF(ISBLANK(C1419),"",_xlfn.IFNA(INDEX(inbound_data[],MATCH(Outbound_data[[#This Row],[STOCK CODE OUT]],Generated_Stockcode,0),10),""))</f>
        <v/>
      </c>
      <c r="O1419" s="73" t="str">
        <f>IF(ISBLANK(C1419),"",_xlfn.IFNA(INDEX(inbound_data[],MATCH(Outbound_data[[#This Row],[STOCK CODE OUT]],Generated_Stockcode,0),12),""))</f>
        <v/>
      </c>
      <c r="P1419" s="73" t="str">
        <f>IF(ISBLANK(C1419),"",_xlfn.IFNA(INDEX(inbound_data[],MATCH(Outbound_data[[#This Row],[STOCK CODE OUT]],Generated_Stockcode,0),23),""))</f>
        <v/>
      </c>
      <c r="Q1419" s="73" t="str">
        <f>IF(ISBLANK(C1419),"",_xlfn.IFNA(INDEX(inbound_data[],MATCH(Outbound_data[[#This Row],[STOCK CODE OUT]],Generated_Stockcode,0),13),""))</f>
        <v/>
      </c>
    </row>
    <row r="1420" spans="2:17" x14ac:dyDescent="0.25">
      <c r="B1420" s="71"/>
      <c r="C1420" s="65"/>
      <c r="D1420" s="55"/>
      <c r="E1420" s="65"/>
      <c r="F1420" s="166"/>
      <c r="G1420" s="167"/>
      <c r="H1420" s="166"/>
      <c r="I1420" s="72"/>
      <c r="J1420" s="55"/>
      <c r="K1420" s="72"/>
      <c r="L1420" s="55"/>
      <c r="M1420" s="174"/>
      <c r="N1420" s="73" t="str">
        <f>IF(ISBLANK(C1420),"",_xlfn.IFNA(INDEX(inbound_data[],MATCH(Outbound_data[[#This Row],[STOCK CODE OUT]],Generated_Stockcode,0),10),""))</f>
        <v/>
      </c>
      <c r="O1420" s="73" t="str">
        <f>IF(ISBLANK(C1420),"",_xlfn.IFNA(INDEX(inbound_data[],MATCH(Outbound_data[[#This Row],[STOCK CODE OUT]],Generated_Stockcode,0),12),""))</f>
        <v/>
      </c>
      <c r="P1420" s="73" t="str">
        <f>IF(ISBLANK(C1420),"",_xlfn.IFNA(INDEX(inbound_data[],MATCH(Outbound_data[[#This Row],[STOCK CODE OUT]],Generated_Stockcode,0),23),""))</f>
        <v/>
      </c>
      <c r="Q1420" s="73" t="str">
        <f>IF(ISBLANK(C1420),"",_xlfn.IFNA(INDEX(inbound_data[],MATCH(Outbound_data[[#This Row],[STOCK CODE OUT]],Generated_Stockcode,0),13),""))</f>
        <v/>
      </c>
    </row>
    <row r="1421" spans="2:17" x14ac:dyDescent="0.25">
      <c r="B1421" s="71"/>
      <c r="C1421" s="65"/>
      <c r="D1421" s="55"/>
      <c r="E1421" s="65"/>
      <c r="F1421" s="166"/>
      <c r="G1421" s="167"/>
      <c r="H1421" s="166"/>
      <c r="I1421" s="72"/>
      <c r="J1421" s="55"/>
      <c r="K1421" s="72"/>
      <c r="L1421" s="55"/>
      <c r="M1421" s="174"/>
      <c r="N1421" s="73" t="str">
        <f>IF(ISBLANK(C1421),"",_xlfn.IFNA(INDEX(inbound_data[],MATCH(Outbound_data[[#This Row],[STOCK CODE OUT]],Generated_Stockcode,0),10),""))</f>
        <v/>
      </c>
      <c r="O1421" s="73" t="str">
        <f>IF(ISBLANK(C1421),"",_xlfn.IFNA(INDEX(inbound_data[],MATCH(Outbound_data[[#This Row],[STOCK CODE OUT]],Generated_Stockcode,0),12),""))</f>
        <v/>
      </c>
      <c r="P1421" s="73" t="str">
        <f>IF(ISBLANK(C1421),"",_xlfn.IFNA(INDEX(inbound_data[],MATCH(Outbound_data[[#This Row],[STOCK CODE OUT]],Generated_Stockcode,0),23),""))</f>
        <v/>
      </c>
      <c r="Q1421" s="73" t="str">
        <f>IF(ISBLANK(C1421),"",_xlfn.IFNA(INDEX(inbound_data[],MATCH(Outbound_data[[#This Row],[STOCK CODE OUT]],Generated_Stockcode,0),13),""))</f>
        <v/>
      </c>
    </row>
    <row r="1422" spans="2:17" x14ac:dyDescent="0.25">
      <c r="B1422" s="71"/>
      <c r="C1422" s="65"/>
      <c r="D1422" s="55"/>
      <c r="E1422" s="65"/>
      <c r="F1422" s="166"/>
      <c r="G1422" s="167"/>
      <c r="H1422" s="166"/>
      <c r="I1422" s="72"/>
      <c r="J1422" s="55"/>
      <c r="K1422" s="72"/>
      <c r="L1422" s="55"/>
      <c r="M1422" s="174"/>
      <c r="N1422" s="73" t="str">
        <f>IF(ISBLANK(C1422),"",_xlfn.IFNA(INDEX(inbound_data[],MATCH(Outbound_data[[#This Row],[STOCK CODE OUT]],Generated_Stockcode,0),10),""))</f>
        <v/>
      </c>
      <c r="O1422" s="73" t="str">
        <f>IF(ISBLANK(C1422),"",_xlfn.IFNA(INDEX(inbound_data[],MATCH(Outbound_data[[#This Row],[STOCK CODE OUT]],Generated_Stockcode,0),12),""))</f>
        <v/>
      </c>
      <c r="P1422" s="73" t="str">
        <f>IF(ISBLANK(C1422),"",_xlfn.IFNA(INDEX(inbound_data[],MATCH(Outbound_data[[#This Row],[STOCK CODE OUT]],Generated_Stockcode,0),23),""))</f>
        <v/>
      </c>
      <c r="Q1422" s="73" t="str">
        <f>IF(ISBLANK(C1422),"",_xlfn.IFNA(INDEX(inbound_data[],MATCH(Outbound_data[[#This Row],[STOCK CODE OUT]],Generated_Stockcode,0),13),""))</f>
        <v/>
      </c>
    </row>
    <row r="1423" spans="2:17" x14ac:dyDescent="0.25">
      <c r="B1423" s="71"/>
      <c r="C1423" s="65"/>
      <c r="D1423" s="55"/>
      <c r="E1423" s="65"/>
      <c r="F1423" s="166"/>
      <c r="G1423" s="167"/>
      <c r="H1423" s="166"/>
      <c r="I1423" s="72"/>
      <c r="J1423" s="55"/>
      <c r="K1423" s="72"/>
      <c r="L1423" s="55"/>
      <c r="M1423" s="174"/>
      <c r="N1423" s="73" t="str">
        <f>IF(ISBLANK(C1423),"",_xlfn.IFNA(INDEX(inbound_data[],MATCH(Outbound_data[[#This Row],[STOCK CODE OUT]],Generated_Stockcode,0),10),""))</f>
        <v/>
      </c>
      <c r="O1423" s="73" t="str">
        <f>IF(ISBLANK(C1423),"",_xlfn.IFNA(INDEX(inbound_data[],MATCH(Outbound_data[[#This Row],[STOCK CODE OUT]],Generated_Stockcode,0),12),""))</f>
        <v/>
      </c>
      <c r="P1423" s="73" t="str">
        <f>IF(ISBLANK(C1423),"",_xlfn.IFNA(INDEX(inbound_data[],MATCH(Outbound_data[[#This Row],[STOCK CODE OUT]],Generated_Stockcode,0),23),""))</f>
        <v/>
      </c>
      <c r="Q1423" s="73" t="str">
        <f>IF(ISBLANK(C1423),"",_xlfn.IFNA(INDEX(inbound_data[],MATCH(Outbound_data[[#This Row],[STOCK CODE OUT]],Generated_Stockcode,0),13),""))</f>
        <v/>
      </c>
    </row>
    <row r="1424" spans="2:17" x14ac:dyDescent="0.25">
      <c r="B1424" s="71"/>
      <c r="C1424" s="65"/>
      <c r="D1424" s="55"/>
      <c r="E1424" s="65"/>
      <c r="F1424" s="166"/>
      <c r="G1424" s="167"/>
      <c r="H1424" s="166"/>
      <c r="I1424" s="72"/>
      <c r="J1424" s="55"/>
      <c r="K1424" s="72"/>
      <c r="L1424" s="55"/>
      <c r="M1424" s="174"/>
      <c r="N1424" s="73" t="str">
        <f>IF(ISBLANK(C1424),"",_xlfn.IFNA(INDEX(inbound_data[],MATCH(Outbound_data[[#This Row],[STOCK CODE OUT]],Generated_Stockcode,0),10),""))</f>
        <v/>
      </c>
      <c r="O1424" s="73" t="str">
        <f>IF(ISBLANK(C1424),"",_xlfn.IFNA(INDEX(inbound_data[],MATCH(Outbound_data[[#This Row],[STOCK CODE OUT]],Generated_Stockcode,0),12),""))</f>
        <v/>
      </c>
      <c r="P1424" s="73" t="str">
        <f>IF(ISBLANK(C1424),"",_xlfn.IFNA(INDEX(inbound_data[],MATCH(Outbound_data[[#This Row],[STOCK CODE OUT]],Generated_Stockcode,0),23),""))</f>
        <v/>
      </c>
      <c r="Q1424" s="73" t="str">
        <f>IF(ISBLANK(C1424),"",_xlfn.IFNA(INDEX(inbound_data[],MATCH(Outbound_data[[#This Row],[STOCK CODE OUT]],Generated_Stockcode,0),13),""))</f>
        <v/>
      </c>
    </row>
    <row r="1425" spans="2:17" x14ac:dyDescent="0.25">
      <c r="B1425" s="71"/>
      <c r="C1425" s="65"/>
      <c r="D1425" s="55"/>
      <c r="E1425" s="65"/>
      <c r="F1425" s="166"/>
      <c r="G1425" s="167"/>
      <c r="H1425" s="166"/>
      <c r="I1425" s="72"/>
      <c r="J1425" s="55"/>
      <c r="K1425" s="72"/>
      <c r="L1425" s="55"/>
      <c r="M1425" s="174"/>
      <c r="N1425" s="73" t="str">
        <f>IF(ISBLANK(C1425),"",_xlfn.IFNA(INDEX(inbound_data[],MATCH(Outbound_data[[#This Row],[STOCK CODE OUT]],Generated_Stockcode,0),10),""))</f>
        <v/>
      </c>
      <c r="O1425" s="73" t="str">
        <f>IF(ISBLANK(C1425),"",_xlfn.IFNA(INDEX(inbound_data[],MATCH(Outbound_data[[#This Row],[STOCK CODE OUT]],Generated_Stockcode,0),12),""))</f>
        <v/>
      </c>
      <c r="P1425" s="73" t="str">
        <f>IF(ISBLANK(C1425),"",_xlfn.IFNA(INDEX(inbound_data[],MATCH(Outbound_data[[#This Row],[STOCK CODE OUT]],Generated_Stockcode,0),23),""))</f>
        <v/>
      </c>
      <c r="Q1425" s="73" t="str">
        <f>IF(ISBLANK(C1425),"",_xlfn.IFNA(INDEX(inbound_data[],MATCH(Outbound_data[[#This Row],[STOCK CODE OUT]],Generated_Stockcode,0),13),""))</f>
        <v/>
      </c>
    </row>
    <row r="1426" spans="2:17" x14ac:dyDescent="0.25">
      <c r="B1426" s="71"/>
      <c r="C1426" s="65"/>
      <c r="D1426" s="55"/>
      <c r="E1426" s="65"/>
      <c r="F1426" s="166"/>
      <c r="G1426" s="167"/>
      <c r="H1426" s="166"/>
      <c r="I1426" s="72"/>
      <c r="J1426" s="55"/>
      <c r="K1426" s="72"/>
      <c r="L1426" s="55"/>
      <c r="M1426" s="174"/>
      <c r="N1426" s="73" t="str">
        <f>IF(ISBLANK(C1426),"",_xlfn.IFNA(INDEX(inbound_data[],MATCH(Outbound_data[[#This Row],[STOCK CODE OUT]],Generated_Stockcode,0),10),""))</f>
        <v/>
      </c>
      <c r="O1426" s="73" t="str">
        <f>IF(ISBLANK(C1426),"",_xlfn.IFNA(INDEX(inbound_data[],MATCH(Outbound_data[[#This Row],[STOCK CODE OUT]],Generated_Stockcode,0),12),""))</f>
        <v/>
      </c>
      <c r="P1426" s="73" t="str">
        <f>IF(ISBLANK(C1426),"",_xlfn.IFNA(INDEX(inbound_data[],MATCH(Outbound_data[[#This Row],[STOCK CODE OUT]],Generated_Stockcode,0),23),""))</f>
        <v/>
      </c>
      <c r="Q1426" s="73" t="str">
        <f>IF(ISBLANK(C1426),"",_xlfn.IFNA(INDEX(inbound_data[],MATCH(Outbound_data[[#This Row],[STOCK CODE OUT]],Generated_Stockcode,0),13),""))</f>
        <v/>
      </c>
    </row>
    <row r="1427" spans="2:17" x14ac:dyDescent="0.25">
      <c r="B1427" s="71"/>
      <c r="C1427" s="65"/>
      <c r="D1427" s="55"/>
      <c r="E1427" s="65"/>
      <c r="F1427" s="166"/>
      <c r="G1427" s="167"/>
      <c r="H1427" s="166"/>
      <c r="I1427" s="72"/>
      <c r="J1427" s="55"/>
      <c r="K1427" s="72"/>
      <c r="L1427" s="55"/>
      <c r="M1427" s="174"/>
      <c r="N1427" s="73" t="str">
        <f>IF(ISBLANK(C1427),"",_xlfn.IFNA(INDEX(inbound_data[],MATCH(Outbound_data[[#This Row],[STOCK CODE OUT]],Generated_Stockcode,0),10),""))</f>
        <v/>
      </c>
      <c r="O1427" s="73" t="str">
        <f>IF(ISBLANK(C1427),"",_xlfn.IFNA(INDEX(inbound_data[],MATCH(Outbound_data[[#This Row],[STOCK CODE OUT]],Generated_Stockcode,0),12),""))</f>
        <v/>
      </c>
      <c r="P1427" s="73" t="str">
        <f>IF(ISBLANK(C1427),"",_xlfn.IFNA(INDEX(inbound_data[],MATCH(Outbound_data[[#This Row],[STOCK CODE OUT]],Generated_Stockcode,0),23),""))</f>
        <v/>
      </c>
      <c r="Q1427" s="73" t="str">
        <f>IF(ISBLANK(C1427),"",_xlfn.IFNA(INDEX(inbound_data[],MATCH(Outbound_data[[#This Row],[STOCK CODE OUT]],Generated_Stockcode,0),13),""))</f>
        <v/>
      </c>
    </row>
    <row r="1428" spans="2:17" x14ac:dyDescent="0.25">
      <c r="B1428" s="71"/>
      <c r="C1428" s="65"/>
      <c r="D1428" s="55"/>
      <c r="E1428" s="65"/>
      <c r="F1428" s="166"/>
      <c r="G1428" s="167"/>
      <c r="H1428" s="166"/>
      <c r="I1428" s="72"/>
      <c r="J1428" s="55"/>
      <c r="K1428" s="72"/>
      <c r="L1428" s="55"/>
      <c r="M1428" s="174"/>
      <c r="N1428" s="73" t="str">
        <f>IF(ISBLANK(C1428),"",_xlfn.IFNA(INDEX(inbound_data[],MATCH(Outbound_data[[#This Row],[STOCK CODE OUT]],Generated_Stockcode,0),10),""))</f>
        <v/>
      </c>
      <c r="O1428" s="73" t="str">
        <f>IF(ISBLANK(C1428),"",_xlfn.IFNA(INDEX(inbound_data[],MATCH(Outbound_data[[#This Row],[STOCK CODE OUT]],Generated_Stockcode,0),12),""))</f>
        <v/>
      </c>
      <c r="P1428" s="73" t="str">
        <f>IF(ISBLANK(C1428),"",_xlfn.IFNA(INDEX(inbound_data[],MATCH(Outbound_data[[#This Row],[STOCK CODE OUT]],Generated_Stockcode,0),23),""))</f>
        <v/>
      </c>
      <c r="Q1428" s="73" t="str">
        <f>IF(ISBLANK(C1428),"",_xlfn.IFNA(INDEX(inbound_data[],MATCH(Outbound_data[[#This Row],[STOCK CODE OUT]],Generated_Stockcode,0),13),""))</f>
        <v/>
      </c>
    </row>
    <row r="1429" spans="2:17" x14ac:dyDescent="0.25">
      <c r="B1429" s="71"/>
      <c r="C1429" s="65"/>
      <c r="D1429" s="55"/>
      <c r="E1429" s="65"/>
      <c r="F1429" s="166"/>
      <c r="G1429" s="167"/>
      <c r="H1429" s="166"/>
      <c r="I1429" s="72"/>
      <c r="J1429" s="55"/>
      <c r="K1429" s="72"/>
      <c r="L1429" s="55"/>
      <c r="M1429" s="174"/>
      <c r="N1429" s="73" t="str">
        <f>IF(ISBLANK(C1429),"",_xlfn.IFNA(INDEX(inbound_data[],MATCH(Outbound_data[[#This Row],[STOCK CODE OUT]],Generated_Stockcode,0),10),""))</f>
        <v/>
      </c>
      <c r="O1429" s="73" t="str">
        <f>IF(ISBLANK(C1429),"",_xlfn.IFNA(INDEX(inbound_data[],MATCH(Outbound_data[[#This Row],[STOCK CODE OUT]],Generated_Stockcode,0),12),""))</f>
        <v/>
      </c>
      <c r="P1429" s="73" t="str">
        <f>IF(ISBLANK(C1429),"",_xlfn.IFNA(INDEX(inbound_data[],MATCH(Outbound_data[[#This Row],[STOCK CODE OUT]],Generated_Stockcode,0),23),""))</f>
        <v/>
      </c>
      <c r="Q1429" s="73" t="str">
        <f>IF(ISBLANK(C1429),"",_xlfn.IFNA(INDEX(inbound_data[],MATCH(Outbound_data[[#This Row],[STOCK CODE OUT]],Generated_Stockcode,0),13),""))</f>
        <v/>
      </c>
    </row>
    <row r="1430" spans="2:17" x14ac:dyDescent="0.25">
      <c r="B1430" s="71"/>
      <c r="C1430" s="65"/>
      <c r="D1430" s="55"/>
      <c r="E1430" s="65"/>
      <c r="F1430" s="166"/>
      <c r="G1430" s="167"/>
      <c r="H1430" s="166"/>
      <c r="I1430" s="72"/>
      <c r="J1430" s="55"/>
      <c r="K1430" s="72"/>
      <c r="L1430" s="55"/>
      <c r="M1430" s="174"/>
      <c r="N1430" s="73" t="str">
        <f>IF(ISBLANK(C1430),"",_xlfn.IFNA(INDEX(inbound_data[],MATCH(Outbound_data[[#This Row],[STOCK CODE OUT]],Generated_Stockcode,0),10),""))</f>
        <v/>
      </c>
      <c r="O1430" s="73" t="str">
        <f>IF(ISBLANK(C1430),"",_xlfn.IFNA(INDEX(inbound_data[],MATCH(Outbound_data[[#This Row],[STOCK CODE OUT]],Generated_Stockcode,0),12),""))</f>
        <v/>
      </c>
      <c r="P1430" s="73" t="str">
        <f>IF(ISBLANK(C1430),"",_xlfn.IFNA(INDEX(inbound_data[],MATCH(Outbound_data[[#This Row],[STOCK CODE OUT]],Generated_Stockcode,0),23),""))</f>
        <v/>
      </c>
      <c r="Q1430" s="73" t="str">
        <f>IF(ISBLANK(C1430),"",_xlfn.IFNA(INDEX(inbound_data[],MATCH(Outbound_data[[#This Row],[STOCK CODE OUT]],Generated_Stockcode,0),13),""))</f>
        <v/>
      </c>
    </row>
    <row r="1431" spans="2:17" x14ac:dyDescent="0.25">
      <c r="B1431" s="71"/>
      <c r="C1431" s="65"/>
      <c r="D1431" s="55"/>
      <c r="E1431" s="65"/>
      <c r="F1431" s="166"/>
      <c r="G1431" s="167"/>
      <c r="H1431" s="166"/>
      <c r="I1431" s="72"/>
      <c r="J1431" s="55"/>
      <c r="K1431" s="72"/>
      <c r="L1431" s="55"/>
      <c r="M1431" s="174"/>
      <c r="N1431" s="73" t="str">
        <f>IF(ISBLANK(C1431),"",_xlfn.IFNA(INDEX(inbound_data[],MATCH(Outbound_data[[#This Row],[STOCK CODE OUT]],Generated_Stockcode,0),10),""))</f>
        <v/>
      </c>
      <c r="O1431" s="73" t="str">
        <f>IF(ISBLANK(C1431),"",_xlfn.IFNA(INDEX(inbound_data[],MATCH(Outbound_data[[#This Row],[STOCK CODE OUT]],Generated_Stockcode,0),12),""))</f>
        <v/>
      </c>
      <c r="P1431" s="73" t="str">
        <f>IF(ISBLANK(C1431),"",_xlfn.IFNA(INDEX(inbound_data[],MATCH(Outbound_data[[#This Row],[STOCK CODE OUT]],Generated_Stockcode,0),23),""))</f>
        <v/>
      </c>
      <c r="Q1431" s="73" t="str">
        <f>IF(ISBLANK(C1431),"",_xlfn.IFNA(INDEX(inbound_data[],MATCH(Outbound_data[[#This Row],[STOCK CODE OUT]],Generated_Stockcode,0),13),""))</f>
        <v/>
      </c>
    </row>
    <row r="1432" spans="2:17" x14ac:dyDescent="0.25">
      <c r="B1432" s="71"/>
      <c r="C1432" s="65"/>
      <c r="D1432" s="55"/>
      <c r="E1432" s="65"/>
      <c r="F1432" s="166"/>
      <c r="G1432" s="167"/>
      <c r="H1432" s="166"/>
      <c r="I1432" s="72"/>
      <c r="J1432" s="55"/>
      <c r="K1432" s="72"/>
      <c r="L1432" s="55"/>
      <c r="M1432" s="174"/>
      <c r="N1432" s="73" t="str">
        <f>IF(ISBLANK(C1432),"",_xlfn.IFNA(INDEX(inbound_data[],MATCH(Outbound_data[[#This Row],[STOCK CODE OUT]],Generated_Stockcode,0),10),""))</f>
        <v/>
      </c>
      <c r="O1432" s="73" t="str">
        <f>IF(ISBLANK(C1432),"",_xlfn.IFNA(INDEX(inbound_data[],MATCH(Outbound_data[[#This Row],[STOCK CODE OUT]],Generated_Stockcode,0),12),""))</f>
        <v/>
      </c>
      <c r="P1432" s="73" t="str">
        <f>IF(ISBLANK(C1432),"",_xlfn.IFNA(INDEX(inbound_data[],MATCH(Outbound_data[[#This Row],[STOCK CODE OUT]],Generated_Stockcode,0),23),""))</f>
        <v/>
      </c>
      <c r="Q1432" s="73" t="str">
        <f>IF(ISBLANK(C1432),"",_xlfn.IFNA(INDEX(inbound_data[],MATCH(Outbound_data[[#This Row],[STOCK CODE OUT]],Generated_Stockcode,0),13),""))</f>
        <v/>
      </c>
    </row>
    <row r="1433" spans="2:17" x14ac:dyDescent="0.25">
      <c r="B1433" s="71"/>
      <c r="C1433" s="65"/>
      <c r="D1433" s="55"/>
      <c r="E1433" s="65"/>
      <c r="F1433" s="166"/>
      <c r="G1433" s="167"/>
      <c r="H1433" s="166"/>
      <c r="I1433" s="72"/>
      <c r="J1433" s="55"/>
      <c r="K1433" s="72"/>
      <c r="L1433" s="55"/>
      <c r="M1433" s="174"/>
      <c r="N1433" s="73" t="str">
        <f>IF(ISBLANK(C1433),"",_xlfn.IFNA(INDEX(inbound_data[],MATCH(Outbound_data[[#This Row],[STOCK CODE OUT]],Generated_Stockcode,0),10),""))</f>
        <v/>
      </c>
      <c r="O1433" s="73" t="str">
        <f>IF(ISBLANK(C1433),"",_xlfn.IFNA(INDEX(inbound_data[],MATCH(Outbound_data[[#This Row],[STOCK CODE OUT]],Generated_Stockcode,0),12),""))</f>
        <v/>
      </c>
      <c r="P1433" s="73" t="str">
        <f>IF(ISBLANK(C1433),"",_xlfn.IFNA(INDEX(inbound_data[],MATCH(Outbound_data[[#This Row],[STOCK CODE OUT]],Generated_Stockcode,0),23),""))</f>
        <v/>
      </c>
      <c r="Q1433" s="73" t="str">
        <f>IF(ISBLANK(C1433),"",_xlfn.IFNA(INDEX(inbound_data[],MATCH(Outbound_data[[#This Row],[STOCK CODE OUT]],Generated_Stockcode,0),13),""))</f>
        <v/>
      </c>
    </row>
    <row r="1434" spans="2:17" x14ac:dyDescent="0.25">
      <c r="B1434" s="71"/>
      <c r="C1434" s="65"/>
      <c r="D1434" s="55"/>
      <c r="E1434" s="65"/>
      <c r="F1434" s="166"/>
      <c r="G1434" s="167"/>
      <c r="H1434" s="166"/>
      <c r="I1434" s="72"/>
      <c r="J1434" s="55"/>
      <c r="K1434" s="72"/>
      <c r="L1434" s="55"/>
      <c r="M1434" s="174"/>
      <c r="N1434" s="73" t="str">
        <f>IF(ISBLANK(C1434),"",_xlfn.IFNA(INDEX(inbound_data[],MATCH(Outbound_data[[#This Row],[STOCK CODE OUT]],Generated_Stockcode,0),10),""))</f>
        <v/>
      </c>
      <c r="O1434" s="73" t="str">
        <f>IF(ISBLANK(C1434),"",_xlfn.IFNA(INDEX(inbound_data[],MATCH(Outbound_data[[#This Row],[STOCK CODE OUT]],Generated_Stockcode,0),12),""))</f>
        <v/>
      </c>
      <c r="P1434" s="73" t="str">
        <f>IF(ISBLANK(C1434),"",_xlfn.IFNA(INDEX(inbound_data[],MATCH(Outbound_data[[#This Row],[STOCK CODE OUT]],Generated_Stockcode,0),23),""))</f>
        <v/>
      </c>
      <c r="Q1434" s="73" t="str">
        <f>IF(ISBLANK(C1434),"",_xlfn.IFNA(INDEX(inbound_data[],MATCH(Outbound_data[[#This Row],[STOCK CODE OUT]],Generated_Stockcode,0),13),""))</f>
        <v/>
      </c>
    </row>
    <row r="1435" spans="2:17" x14ac:dyDescent="0.25">
      <c r="B1435" s="71"/>
      <c r="C1435" s="65"/>
      <c r="D1435" s="55"/>
      <c r="E1435" s="65"/>
      <c r="F1435" s="166"/>
      <c r="G1435" s="167"/>
      <c r="H1435" s="166"/>
      <c r="I1435" s="72"/>
      <c r="J1435" s="55"/>
      <c r="K1435" s="72"/>
      <c r="L1435" s="55"/>
      <c r="M1435" s="174"/>
      <c r="N1435" s="73" t="str">
        <f>IF(ISBLANK(C1435),"",_xlfn.IFNA(INDEX(inbound_data[],MATCH(Outbound_data[[#This Row],[STOCK CODE OUT]],Generated_Stockcode,0),10),""))</f>
        <v/>
      </c>
      <c r="O1435" s="73" t="str">
        <f>IF(ISBLANK(C1435),"",_xlfn.IFNA(INDEX(inbound_data[],MATCH(Outbound_data[[#This Row],[STOCK CODE OUT]],Generated_Stockcode,0),12),""))</f>
        <v/>
      </c>
      <c r="P1435" s="73" t="str">
        <f>IF(ISBLANK(C1435),"",_xlfn.IFNA(INDEX(inbound_data[],MATCH(Outbound_data[[#This Row],[STOCK CODE OUT]],Generated_Stockcode,0),23),""))</f>
        <v/>
      </c>
      <c r="Q1435" s="73" t="str">
        <f>IF(ISBLANK(C1435),"",_xlfn.IFNA(INDEX(inbound_data[],MATCH(Outbound_data[[#This Row],[STOCK CODE OUT]],Generated_Stockcode,0),13),""))</f>
        <v/>
      </c>
    </row>
    <row r="1436" spans="2:17" x14ac:dyDescent="0.25">
      <c r="B1436" s="71"/>
      <c r="C1436" s="65"/>
      <c r="D1436" s="55"/>
      <c r="E1436" s="65"/>
      <c r="F1436" s="166"/>
      <c r="G1436" s="167"/>
      <c r="H1436" s="166"/>
      <c r="I1436" s="72"/>
      <c r="J1436" s="55"/>
      <c r="K1436" s="72"/>
      <c r="L1436" s="55"/>
      <c r="M1436" s="174"/>
      <c r="N1436" s="73" t="str">
        <f>IF(ISBLANK(C1436),"",_xlfn.IFNA(INDEX(inbound_data[],MATCH(Outbound_data[[#This Row],[STOCK CODE OUT]],Generated_Stockcode,0),10),""))</f>
        <v/>
      </c>
      <c r="O1436" s="73" t="str">
        <f>IF(ISBLANK(C1436),"",_xlfn.IFNA(INDEX(inbound_data[],MATCH(Outbound_data[[#This Row],[STOCK CODE OUT]],Generated_Stockcode,0),12),""))</f>
        <v/>
      </c>
      <c r="P1436" s="73" t="str">
        <f>IF(ISBLANK(C1436),"",_xlfn.IFNA(INDEX(inbound_data[],MATCH(Outbound_data[[#This Row],[STOCK CODE OUT]],Generated_Stockcode,0),23),""))</f>
        <v/>
      </c>
      <c r="Q1436" s="73" t="str">
        <f>IF(ISBLANK(C1436),"",_xlfn.IFNA(INDEX(inbound_data[],MATCH(Outbound_data[[#This Row],[STOCK CODE OUT]],Generated_Stockcode,0),13),""))</f>
        <v/>
      </c>
    </row>
    <row r="1437" spans="2:17" x14ac:dyDescent="0.25">
      <c r="B1437" s="71"/>
      <c r="C1437" s="65"/>
      <c r="D1437" s="55"/>
      <c r="E1437" s="65"/>
      <c r="F1437" s="166"/>
      <c r="G1437" s="167"/>
      <c r="H1437" s="166"/>
      <c r="I1437" s="72"/>
      <c r="J1437" s="55"/>
      <c r="K1437" s="72"/>
      <c r="L1437" s="55"/>
      <c r="M1437" s="174"/>
      <c r="N1437" s="73" t="str">
        <f>IF(ISBLANK(C1437),"",_xlfn.IFNA(INDEX(inbound_data[],MATCH(Outbound_data[[#This Row],[STOCK CODE OUT]],Generated_Stockcode,0),10),""))</f>
        <v/>
      </c>
      <c r="O1437" s="73" t="str">
        <f>IF(ISBLANK(C1437),"",_xlfn.IFNA(INDEX(inbound_data[],MATCH(Outbound_data[[#This Row],[STOCK CODE OUT]],Generated_Stockcode,0),12),""))</f>
        <v/>
      </c>
      <c r="P1437" s="73" t="str">
        <f>IF(ISBLANK(C1437),"",_xlfn.IFNA(INDEX(inbound_data[],MATCH(Outbound_data[[#This Row],[STOCK CODE OUT]],Generated_Stockcode,0),23),""))</f>
        <v/>
      </c>
      <c r="Q1437" s="73" t="str">
        <f>IF(ISBLANK(C1437),"",_xlfn.IFNA(INDEX(inbound_data[],MATCH(Outbound_data[[#This Row],[STOCK CODE OUT]],Generated_Stockcode,0),13),""))</f>
        <v/>
      </c>
    </row>
    <row r="1438" spans="2:17" x14ac:dyDescent="0.25">
      <c r="B1438" s="71"/>
      <c r="C1438" s="65"/>
      <c r="D1438" s="55"/>
      <c r="E1438" s="65"/>
      <c r="F1438" s="166"/>
      <c r="G1438" s="167"/>
      <c r="H1438" s="166"/>
      <c r="I1438" s="72"/>
      <c r="J1438" s="55"/>
      <c r="K1438" s="72"/>
      <c r="L1438" s="55"/>
      <c r="M1438" s="174"/>
      <c r="N1438" s="73" t="str">
        <f>IF(ISBLANK(C1438),"",_xlfn.IFNA(INDEX(inbound_data[],MATCH(Outbound_data[[#This Row],[STOCK CODE OUT]],Generated_Stockcode,0),10),""))</f>
        <v/>
      </c>
      <c r="O1438" s="73" t="str">
        <f>IF(ISBLANK(C1438),"",_xlfn.IFNA(INDEX(inbound_data[],MATCH(Outbound_data[[#This Row],[STOCK CODE OUT]],Generated_Stockcode,0),12),""))</f>
        <v/>
      </c>
      <c r="P1438" s="73" t="str">
        <f>IF(ISBLANK(C1438),"",_xlfn.IFNA(INDEX(inbound_data[],MATCH(Outbound_data[[#This Row],[STOCK CODE OUT]],Generated_Stockcode,0),23),""))</f>
        <v/>
      </c>
      <c r="Q1438" s="73" t="str">
        <f>IF(ISBLANK(C1438),"",_xlfn.IFNA(INDEX(inbound_data[],MATCH(Outbound_data[[#This Row],[STOCK CODE OUT]],Generated_Stockcode,0),13),""))</f>
        <v/>
      </c>
    </row>
    <row r="1439" spans="2:17" x14ac:dyDescent="0.25">
      <c r="B1439" s="71"/>
      <c r="C1439" s="65"/>
      <c r="D1439" s="55"/>
      <c r="E1439" s="65"/>
      <c r="F1439" s="166"/>
      <c r="G1439" s="167"/>
      <c r="H1439" s="166"/>
      <c r="I1439" s="72"/>
      <c r="J1439" s="55"/>
      <c r="K1439" s="72"/>
      <c r="L1439" s="55"/>
      <c r="M1439" s="174"/>
      <c r="N1439" s="73" t="str">
        <f>IF(ISBLANK(C1439),"",_xlfn.IFNA(INDEX(inbound_data[],MATCH(Outbound_data[[#This Row],[STOCK CODE OUT]],Generated_Stockcode,0),10),""))</f>
        <v/>
      </c>
      <c r="O1439" s="73" t="str">
        <f>IF(ISBLANK(C1439),"",_xlfn.IFNA(INDEX(inbound_data[],MATCH(Outbound_data[[#This Row],[STOCK CODE OUT]],Generated_Stockcode,0),12),""))</f>
        <v/>
      </c>
      <c r="P1439" s="73" t="str">
        <f>IF(ISBLANK(C1439),"",_xlfn.IFNA(INDEX(inbound_data[],MATCH(Outbound_data[[#This Row],[STOCK CODE OUT]],Generated_Stockcode,0),23),""))</f>
        <v/>
      </c>
      <c r="Q1439" s="73" t="str">
        <f>IF(ISBLANK(C1439),"",_xlfn.IFNA(INDEX(inbound_data[],MATCH(Outbound_data[[#This Row],[STOCK CODE OUT]],Generated_Stockcode,0),13),""))</f>
        <v/>
      </c>
    </row>
    <row r="1440" spans="2:17" x14ac:dyDescent="0.25">
      <c r="B1440" s="71"/>
      <c r="C1440" s="65"/>
      <c r="D1440" s="55"/>
      <c r="E1440" s="65"/>
      <c r="F1440" s="166"/>
      <c r="G1440" s="167"/>
      <c r="H1440" s="166"/>
      <c r="I1440" s="72"/>
      <c r="J1440" s="55"/>
      <c r="K1440" s="72"/>
      <c r="L1440" s="55"/>
      <c r="M1440" s="174"/>
      <c r="N1440" s="73" t="str">
        <f>IF(ISBLANK(C1440),"",_xlfn.IFNA(INDEX(inbound_data[],MATCH(Outbound_data[[#This Row],[STOCK CODE OUT]],Generated_Stockcode,0),10),""))</f>
        <v/>
      </c>
      <c r="O1440" s="73" t="str">
        <f>IF(ISBLANK(C1440),"",_xlfn.IFNA(INDEX(inbound_data[],MATCH(Outbound_data[[#This Row],[STOCK CODE OUT]],Generated_Stockcode,0),12),""))</f>
        <v/>
      </c>
      <c r="P1440" s="73" t="str">
        <f>IF(ISBLANK(C1440),"",_xlfn.IFNA(INDEX(inbound_data[],MATCH(Outbound_data[[#This Row],[STOCK CODE OUT]],Generated_Stockcode,0),23),""))</f>
        <v/>
      </c>
      <c r="Q1440" s="73" t="str">
        <f>IF(ISBLANK(C1440),"",_xlfn.IFNA(INDEX(inbound_data[],MATCH(Outbound_data[[#This Row],[STOCK CODE OUT]],Generated_Stockcode,0),13),""))</f>
        <v/>
      </c>
    </row>
    <row r="1441" spans="2:17" x14ac:dyDescent="0.25">
      <c r="B1441" s="71"/>
      <c r="C1441" s="65"/>
      <c r="D1441" s="55"/>
      <c r="E1441" s="65"/>
      <c r="F1441" s="166"/>
      <c r="G1441" s="167"/>
      <c r="H1441" s="166"/>
      <c r="I1441" s="72"/>
      <c r="J1441" s="55"/>
      <c r="K1441" s="72"/>
      <c r="L1441" s="55"/>
      <c r="M1441" s="174"/>
      <c r="N1441" s="73" t="str">
        <f>IF(ISBLANK(C1441),"",_xlfn.IFNA(INDEX(inbound_data[],MATCH(Outbound_data[[#This Row],[STOCK CODE OUT]],Generated_Stockcode,0),10),""))</f>
        <v/>
      </c>
      <c r="O1441" s="73" t="str">
        <f>IF(ISBLANK(C1441),"",_xlfn.IFNA(INDEX(inbound_data[],MATCH(Outbound_data[[#This Row],[STOCK CODE OUT]],Generated_Stockcode,0),12),""))</f>
        <v/>
      </c>
      <c r="P1441" s="73" t="str">
        <f>IF(ISBLANK(C1441),"",_xlfn.IFNA(INDEX(inbound_data[],MATCH(Outbound_data[[#This Row],[STOCK CODE OUT]],Generated_Stockcode,0),23),""))</f>
        <v/>
      </c>
      <c r="Q1441" s="73" t="str">
        <f>IF(ISBLANK(C1441),"",_xlfn.IFNA(INDEX(inbound_data[],MATCH(Outbound_data[[#This Row],[STOCK CODE OUT]],Generated_Stockcode,0),13),""))</f>
        <v/>
      </c>
    </row>
    <row r="1442" spans="2:17" x14ac:dyDescent="0.25">
      <c r="B1442" s="71"/>
      <c r="C1442" s="65"/>
      <c r="D1442" s="55"/>
      <c r="E1442" s="65"/>
      <c r="F1442" s="166"/>
      <c r="G1442" s="167"/>
      <c r="H1442" s="166"/>
      <c r="I1442" s="72"/>
      <c r="J1442" s="55"/>
      <c r="K1442" s="72"/>
      <c r="L1442" s="55"/>
      <c r="M1442" s="174"/>
      <c r="N1442" s="73" t="str">
        <f>IF(ISBLANK(C1442),"",_xlfn.IFNA(INDEX(inbound_data[],MATCH(Outbound_data[[#This Row],[STOCK CODE OUT]],Generated_Stockcode,0),10),""))</f>
        <v/>
      </c>
      <c r="O1442" s="73" t="str">
        <f>IF(ISBLANK(C1442),"",_xlfn.IFNA(INDEX(inbound_data[],MATCH(Outbound_data[[#This Row],[STOCK CODE OUT]],Generated_Stockcode,0),12),""))</f>
        <v/>
      </c>
      <c r="P1442" s="73" t="str">
        <f>IF(ISBLANK(C1442),"",_xlfn.IFNA(INDEX(inbound_data[],MATCH(Outbound_data[[#This Row],[STOCK CODE OUT]],Generated_Stockcode,0),23),""))</f>
        <v/>
      </c>
      <c r="Q1442" s="73" t="str">
        <f>IF(ISBLANK(C1442),"",_xlfn.IFNA(INDEX(inbound_data[],MATCH(Outbound_data[[#This Row],[STOCK CODE OUT]],Generated_Stockcode,0),13),""))</f>
        <v/>
      </c>
    </row>
    <row r="1443" spans="2:17" x14ac:dyDescent="0.25">
      <c r="B1443" s="71"/>
      <c r="C1443" s="65"/>
      <c r="D1443" s="55"/>
      <c r="E1443" s="65"/>
      <c r="F1443" s="166"/>
      <c r="G1443" s="167"/>
      <c r="H1443" s="166"/>
      <c r="I1443" s="72"/>
      <c r="J1443" s="55"/>
      <c r="K1443" s="72"/>
      <c r="L1443" s="55"/>
      <c r="M1443" s="174"/>
      <c r="N1443" s="73" t="str">
        <f>IF(ISBLANK(C1443),"",_xlfn.IFNA(INDEX(inbound_data[],MATCH(Outbound_data[[#This Row],[STOCK CODE OUT]],Generated_Stockcode,0),10),""))</f>
        <v/>
      </c>
      <c r="O1443" s="73" t="str">
        <f>IF(ISBLANK(C1443),"",_xlfn.IFNA(INDEX(inbound_data[],MATCH(Outbound_data[[#This Row],[STOCK CODE OUT]],Generated_Stockcode,0),12),""))</f>
        <v/>
      </c>
      <c r="P1443" s="73" t="str">
        <f>IF(ISBLANK(C1443),"",_xlfn.IFNA(INDEX(inbound_data[],MATCH(Outbound_data[[#This Row],[STOCK CODE OUT]],Generated_Stockcode,0),23),""))</f>
        <v/>
      </c>
      <c r="Q1443" s="73" t="str">
        <f>IF(ISBLANK(C1443),"",_xlfn.IFNA(INDEX(inbound_data[],MATCH(Outbound_data[[#This Row],[STOCK CODE OUT]],Generated_Stockcode,0),13),""))</f>
        <v/>
      </c>
    </row>
    <row r="1444" spans="2:17" x14ac:dyDescent="0.25">
      <c r="B1444" s="71"/>
      <c r="C1444" s="65"/>
      <c r="D1444" s="55"/>
      <c r="E1444" s="65"/>
      <c r="F1444" s="166"/>
      <c r="G1444" s="167"/>
      <c r="H1444" s="166"/>
      <c r="I1444" s="72"/>
      <c r="J1444" s="55"/>
      <c r="K1444" s="72"/>
      <c r="L1444" s="55"/>
      <c r="M1444" s="174"/>
      <c r="N1444" s="73" t="str">
        <f>IF(ISBLANK(C1444),"",_xlfn.IFNA(INDEX(inbound_data[],MATCH(Outbound_data[[#This Row],[STOCK CODE OUT]],Generated_Stockcode,0),10),""))</f>
        <v/>
      </c>
      <c r="O1444" s="73" t="str">
        <f>IF(ISBLANK(C1444),"",_xlfn.IFNA(INDEX(inbound_data[],MATCH(Outbound_data[[#This Row],[STOCK CODE OUT]],Generated_Stockcode,0),12),""))</f>
        <v/>
      </c>
      <c r="P1444" s="73" t="str">
        <f>IF(ISBLANK(C1444),"",_xlfn.IFNA(INDEX(inbound_data[],MATCH(Outbound_data[[#This Row],[STOCK CODE OUT]],Generated_Stockcode,0),23),""))</f>
        <v/>
      </c>
      <c r="Q1444" s="73" t="str">
        <f>IF(ISBLANK(C1444),"",_xlfn.IFNA(INDEX(inbound_data[],MATCH(Outbound_data[[#This Row],[STOCK CODE OUT]],Generated_Stockcode,0),13),""))</f>
        <v/>
      </c>
    </row>
    <row r="1445" spans="2:17" x14ac:dyDescent="0.25">
      <c r="B1445" s="71"/>
      <c r="C1445" s="65"/>
      <c r="D1445" s="55"/>
      <c r="E1445" s="65"/>
      <c r="F1445" s="166"/>
      <c r="G1445" s="167"/>
      <c r="H1445" s="166"/>
      <c r="I1445" s="72"/>
      <c r="J1445" s="55"/>
      <c r="K1445" s="72"/>
      <c r="L1445" s="55"/>
      <c r="M1445" s="174"/>
      <c r="N1445" s="73" t="str">
        <f>IF(ISBLANK(C1445),"",_xlfn.IFNA(INDEX(inbound_data[],MATCH(Outbound_data[[#This Row],[STOCK CODE OUT]],Generated_Stockcode,0),10),""))</f>
        <v/>
      </c>
      <c r="O1445" s="73" t="str">
        <f>IF(ISBLANK(C1445),"",_xlfn.IFNA(INDEX(inbound_data[],MATCH(Outbound_data[[#This Row],[STOCK CODE OUT]],Generated_Stockcode,0),12),""))</f>
        <v/>
      </c>
      <c r="P1445" s="73" t="str">
        <f>IF(ISBLANK(C1445),"",_xlfn.IFNA(INDEX(inbound_data[],MATCH(Outbound_data[[#This Row],[STOCK CODE OUT]],Generated_Stockcode,0),23),""))</f>
        <v/>
      </c>
      <c r="Q1445" s="73" t="str">
        <f>IF(ISBLANK(C1445),"",_xlfn.IFNA(INDEX(inbound_data[],MATCH(Outbound_data[[#This Row],[STOCK CODE OUT]],Generated_Stockcode,0),13),""))</f>
        <v/>
      </c>
    </row>
    <row r="1446" spans="2:17" x14ac:dyDescent="0.25">
      <c r="B1446" s="71"/>
      <c r="C1446" s="65"/>
      <c r="D1446" s="55"/>
      <c r="E1446" s="65"/>
      <c r="F1446" s="166"/>
      <c r="G1446" s="167"/>
      <c r="H1446" s="166"/>
      <c r="I1446" s="72"/>
      <c r="J1446" s="55"/>
      <c r="K1446" s="72"/>
      <c r="L1446" s="55"/>
      <c r="M1446" s="174"/>
      <c r="N1446" s="73" t="str">
        <f>IF(ISBLANK(C1446),"",_xlfn.IFNA(INDEX(inbound_data[],MATCH(Outbound_data[[#This Row],[STOCK CODE OUT]],Generated_Stockcode,0),10),""))</f>
        <v/>
      </c>
      <c r="O1446" s="73" t="str">
        <f>IF(ISBLANK(C1446),"",_xlfn.IFNA(INDEX(inbound_data[],MATCH(Outbound_data[[#This Row],[STOCK CODE OUT]],Generated_Stockcode,0),12),""))</f>
        <v/>
      </c>
      <c r="P1446" s="73" t="str">
        <f>IF(ISBLANK(C1446),"",_xlfn.IFNA(INDEX(inbound_data[],MATCH(Outbound_data[[#This Row],[STOCK CODE OUT]],Generated_Stockcode,0),23),""))</f>
        <v/>
      </c>
      <c r="Q1446" s="73" t="str">
        <f>IF(ISBLANK(C1446),"",_xlfn.IFNA(INDEX(inbound_data[],MATCH(Outbound_data[[#This Row],[STOCK CODE OUT]],Generated_Stockcode,0),13),""))</f>
        <v/>
      </c>
    </row>
    <row r="1447" spans="2:17" x14ac:dyDescent="0.25">
      <c r="B1447" s="71"/>
      <c r="C1447" s="65"/>
      <c r="D1447" s="55"/>
      <c r="E1447" s="65"/>
      <c r="F1447" s="166"/>
      <c r="G1447" s="167"/>
      <c r="H1447" s="166"/>
      <c r="I1447" s="72"/>
      <c r="J1447" s="55"/>
      <c r="K1447" s="72"/>
      <c r="L1447" s="55"/>
      <c r="M1447" s="174"/>
      <c r="N1447" s="73" t="str">
        <f>IF(ISBLANK(C1447),"",_xlfn.IFNA(INDEX(inbound_data[],MATCH(Outbound_data[[#This Row],[STOCK CODE OUT]],Generated_Stockcode,0),10),""))</f>
        <v/>
      </c>
      <c r="O1447" s="73" t="str">
        <f>IF(ISBLANK(C1447),"",_xlfn.IFNA(INDEX(inbound_data[],MATCH(Outbound_data[[#This Row],[STOCK CODE OUT]],Generated_Stockcode,0),12),""))</f>
        <v/>
      </c>
      <c r="P1447" s="73" t="str">
        <f>IF(ISBLANK(C1447),"",_xlfn.IFNA(INDEX(inbound_data[],MATCH(Outbound_data[[#This Row],[STOCK CODE OUT]],Generated_Stockcode,0),23),""))</f>
        <v/>
      </c>
      <c r="Q1447" s="73" t="str">
        <f>IF(ISBLANK(C1447),"",_xlfn.IFNA(INDEX(inbound_data[],MATCH(Outbound_data[[#This Row],[STOCK CODE OUT]],Generated_Stockcode,0),13),""))</f>
        <v/>
      </c>
    </row>
    <row r="1448" spans="2:17" x14ac:dyDescent="0.25">
      <c r="B1448" s="71"/>
      <c r="C1448" s="65"/>
      <c r="D1448" s="55"/>
      <c r="E1448" s="65"/>
      <c r="F1448" s="166"/>
      <c r="G1448" s="167"/>
      <c r="H1448" s="166"/>
      <c r="I1448" s="72"/>
      <c r="J1448" s="55"/>
      <c r="K1448" s="72"/>
      <c r="L1448" s="55"/>
      <c r="M1448" s="174"/>
      <c r="N1448" s="73" t="str">
        <f>IF(ISBLANK(C1448),"",_xlfn.IFNA(INDEX(inbound_data[],MATCH(Outbound_data[[#This Row],[STOCK CODE OUT]],Generated_Stockcode,0),10),""))</f>
        <v/>
      </c>
      <c r="O1448" s="73" t="str">
        <f>IF(ISBLANK(C1448),"",_xlfn.IFNA(INDEX(inbound_data[],MATCH(Outbound_data[[#This Row],[STOCK CODE OUT]],Generated_Stockcode,0),12),""))</f>
        <v/>
      </c>
      <c r="P1448" s="73" t="str">
        <f>IF(ISBLANK(C1448),"",_xlfn.IFNA(INDEX(inbound_data[],MATCH(Outbound_data[[#This Row],[STOCK CODE OUT]],Generated_Stockcode,0),23),""))</f>
        <v/>
      </c>
      <c r="Q1448" s="73" t="str">
        <f>IF(ISBLANK(C1448),"",_xlfn.IFNA(INDEX(inbound_data[],MATCH(Outbound_data[[#This Row],[STOCK CODE OUT]],Generated_Stockcode,0),13),""))</f>
        <v/>
      </c>
    </row>
    <row r="1449" spans="2:17" x14ac:dyDescent="0.25">
      <c r="B1449" s="71"/>
      <c r="C1449" s="65"/>
      <c r="D1449" s="55"/>
      <c r="E1449" s="65"/>
      <c r="F1449" s="166"/>
      <c r="G1449" s="167"/>
      <c r="H1449" s="166"/>
      <c r="I1449" s="72"/>
      <c r="J1449" s="55"/>
      <c r="K1449" s="72"/>
      <c r="L1449" s="55"/>
      <c r="M1449" s="174"/>
      <c r="N1449" s="73" t="str">
        <f>IF(ISBLANK(C1449),"",_xlfn.IFNA(INDEX(inbound_data[],MATCH(Outbound_data[[#This Row],[STOCK CODE OUT]],Generated_Stockcode,0),10),""))</f>
        <v/>
      </c>
      <c r="O1449" s="73" t="str">
        <f>IF(ISBLANK(C1449),"",_xlfn.IFNA(INDEX(inbound_data[],MATCH(Outbound_data[[#This Row],[STOCK CODE OUT]],Generated_Stockcode,0),12),""))</f>
        <v/>
      </c>
      <c r="P1449" s="73" t="str">
        <f>IF(ISBLANK(C1449),"",_xlfn.IFNA(INDEX(inbound_data[],MATCH(Outbound_data[[#This Row],[STOCK CODE OUT]],Generated_Stockcode,0),23),""))</f>
        <v/>
      </c>
      <c r="Q1449" s="73" t="str">
        <f>IF(ISBLANK(C1449),"",_xlfn.IFNA(INDEX(inbound_data[],MATCH(Outbound_data[[#This Row],[STOCK CODE OUT]],Generated_Stockcode,0),13),""))</f>
        <v/>
      </c>
    </row>
    <row r="1450" spans="2:17" x14ac:dyDescent="0.25">
      <c r="B1450" s="71"/>
      <c r="C1450" s="65"/>
      <c r="D1450" s="55"/>
      <c r="E1450" s="65"/>
      <c r="F1450" s="166"/>
      <c r="G1450" s="167"/>
      <c r="H1450" s="166"/>
      <c r="I1450" s="72"/>
      <c r="J1450" s="55"/>
      <c r="K1450" s="72"/>
      <c r="L1450" s="55"/>
      <c r="M1450" s="174"/>
      <c r="N1450" s="73" t="str">
        <f>IF(ISBLANK(C1450),"",_xlfn.IFNA(INDEX(inbound_data[],MATCH(Outbound_data[[#This Row],[STOCK CODE OUT]],Generated_Stockcode,0),10),""))</f>
        <v/>
      </c>
      <c r="O1450" s="73" t="str">
        <f>IF(ISBLANK(C1450),"",_xlfn.IFNA(INDEX(inbound_data[],MATCH(Outbound_data[[#This Row],[STOCK CODE OUT]],Generated_Stockcode,0),12),""))</f>
        <v/>
      </c>
      <c r="P1450" s="73" t="str">
        <f>IF(ISBLANK(C1450),"",_xlfn.IFNA(INDEX(inbound_data[],MATCH(Outbound_data[[#This Row],[STOCK CODE OUT]],Generated_Stockcode,0),23),""))</f>
        <v/>
      </c>
      <c r="Q1450" s="73" t="str">
        <f>IF(ISBLANK(C1450),"",_xlfn.IFNA(INDEX(inbound_data[],MATCH(Outbound_data[[#This Row],[STOCK CODE OUT]],Generated_Stockcode,0),13),""))</f>
        <v/>
      </c>
    </row>
    <row r="1451" spans="2:17" x14ac:dyDescent="0.25">
      <c r="B1451" s="71"/>
      <c r="C1451" s="65"/>
      <c r="D1451" s="55"/>
      <c r="E1451" s="65"/>
      <c r="F1451" s="166"/>
      <c r="G1451" s="167"/>
      <c r="H1451" s="166"/>
      <c r="I1451" s="72"/>
      <c r="J1451" s="55"/>
      <c r="K1451" s="72"/>
      <c r="L1451" s="55"/>
      <c r="M1451" s="174"/>
      <c r="N1451" s="73" t="str">
        <f>IF(ISBLANK(C1451),"",_xlfn.IFNA(INDEX(inbound_data[],MATCH(Outbound_data[[#This Row],[STOCK CODE OUT]],Generated_Stockcode,0),10),""))</f>
        <v/>
      </c>
      <c r="O1451" s="73" t="str">
        <f>IF(ISBLANK(C1451),"",_xlfn.IFNA(INDEX(inbound_data[],MATCH(Outbound_data[[#This Row],[STOCK CODE OUT]],Generated_Stockcode,0),12),""))</f>
        <v/>
      </c>
      <c r="P1451" s="73" t="str">
        <f>IF(ISBLANK(C1451),"",_xlfn.IFNA(INDEX(inbound_data[],MATCH(Outbound_data[[#This Row],[STOCK CODE OUT]],Generated_Stockcode,0),23),""))</f>
        <v/>
      </c>
      <c r="Q1451" s="73" t="str">
        <f>IF(ISBLANK(C1451),"",_xlfn.IFNA(INDEX(inbound_data[],MATCH(Outbound_data[[#This Row],[STOCK CODE OUT]],Generated_Stockcode,0),13),""))</f>
        <v/>
      </c>
    </row>
    <row r="1452" spans="2:17" x14ac:dyDescent="0.25">
      <c r="B1452" s="71"/>
      <c r="C1452" s="65"/>
      <c r="D1452" s="55"/>
      <c r="E1452" s="65"/>
      <c r="F1452" s="166"/>
      <c r="G1452" s="167"/>
      <c r="H1452" s="166"/>
      <c r="I1452" s="72"/>
      <c r="J1452" s="55"/>
      <c r="K1452" s="72"/>
      <c r="L1452" s="55"/>
      <c r="M1452" s="174"/>
      <c r="N1452" s="73" t="str">
        <f>IF(ISBLANK(C1452),"",_xlfn.IFNA(INDEX(inbound_data[],MATCH(Outbound_data[[#This Row],[STOCK CODE OUT]],Generated_Stockcode,0),10),""))</f>
        <v/>
      </c>
      <c r="O1452" s="73" t="str">
        <f>IF(ISBLANK(C1452),"",_xlfn.IFNA(INDEX(inbound_data[],MATCH(Outbound_data[[#This Row],[STOCK CODE OUT]],Generated_Stockcode,0),12),""))</f>
        <v/>
      </c>
      <c r="P1452" s="73" t="str">
        <f>IF(ISBLANK(C1452),"",_xlfn.IFNA(INDEX(inbound_data[],MATCH(Outbound_data[[#This Row],[STOCK CODE OUT]],Generated_Stockcode,0),23),""))</f>
        <v/>
      </c>
      <c r="Q1452" s="73" t="str">
        <f>IF(ISBLANK(C1452),"",_xlfn.IFNA(INDEX(inbound_data[],MATCH(Outbound_data[[#This Row],[STOCK CODE OUT]],Generated_Stockcode,0),13),""))</f>
        <v/>
      </c>
    </row>
    <row r="1453" spans="2:17" x14ac:dyDescent="0.25">
      <c r="B1453" s="71"/>
      <c r="C1453" s="65"/>
      <c r="D1453" s="55"/>
      <c r="E1453" s="65"/>
      <c r="F1453" s="166"/>
      <c r="G1453" s="167"/>
      <c r="H1453" s="166"/>
      <c r="I1453" s="72"/>
      <c r="J1453" s="55"/>
      <c r="K1453" s="72"/>
      <c r="L1453" s="55"/>
      <c r="M1453" s="174"/>
      <c r="N1453" s="73" t="str">
        <f>IF(ISBLANK(C1453),"",_xlfn.IFNA(INDEX(inbound_data[],MATCH(Outbound_data[[#This Row],[STOCK CODE OUT]],Generated_Stockcode,0),10),""))</f>
        <v/>
      </c>
      <c r="O1453" s="73" t="str">
        <f>IF(ISBLANK(C1453),"",_xlfn.IFNA(INDEX(inbound_data[],MATCH(Outbound_data[[#This Row],[STOCK CODE OUT]],Generated_Stockcode,0),12),""))</f>
        <v/>
      </c>
      <c r="P1453" s="73" t="str">
        <f>IF(ISBLANK(C1453),"",_xlfn.IFNA(INDEX(inbound_data[],MATCH(Outbound_data[[#This Row],[STOCK CODE OUT]],Generated_Stockcode,0),23),""))</f>
        <v/>
      </c>
      <c r="Q1453" s="73" t="str">
        <f>IF(ISBLANK(C1453),"",_xlfn.IFNA(INDEX(inbound_data[],MATCH(Outbound_data[[#This Row],[STOCK CODE OUT]],Generated_Stockcode,0),13),""))</f>
        <v/>
      </c>
    </row>
    <row r="1454" spans="2:17" x14ac:dyDescent="0.25">
      <c r="B1454" s="71"/>
      <c r="C1454" s="65"/>
      <c r="D1454" s="55"/>
      <c r="E1454" s="65"/>
      <c r="F1454" s="166"/>
      <c r="G1454" s="167"/>
      <c r="H1454" s="166"/>
      <c r="I1454" s="72"/>
      <c r="J1454" s="55"/>
      <c r="K1454" s="72"/>
      <c r="L1454" s="55"/>
      <c r="M1454" s="174"/>
      <c r="N1454" s="73" t="str">
        <f>IF(ISBLANK(C1454),"",_xlfn.IFNA(INDEX(inbound_data[],MATCH(Outbound_data[[#This Row],[STOCK CODE OUT]],Generated_Stockcode,0),10),""))</f>
        <v/>
      </c>
      <c r="O1454" s="73" t="str">
        <f>IF(ISBLANK(C1454),"",_xlfn.IFNA(INDEX(inbound_data[],MATCH(Outbound_data[[#This Row],[STOCK CODE OUT]],Generated_Stockcode,0),12),""))</f>
        <v/>
      </c>
      <c r="P1454" s="73" t="str">
        <f>IF(ISBLANK(C1454),"",_xlfn.IFNA(INDEX(inbound_data[],MATCH(Outbound_data[[#This Row],[STOCK CODE OUT]],Generated_Stockcode,0),23),""))</f>
        <v/>
      </c>
      <c r="Q1454" s="73" t="str">
        <f>IF(ISBLANK(C1454),"",_xlfn.IFNA(INDEX(inbound_data[],MATCH(Outbound_data[[#This Row],[STOCK CODE OUT]],Generated_Stockcode,0),13),""))</f>
        <v/>
      </c>
    </row>
    <row r="1455" spans="2:17" x14ac:dyDescent="0.25">
      <c r="B1455" s="71"/>
      <c r="C1455" s="65"/>
      <c r="D1455" s="55"/>
      <c r="E1455" s="65"/>
      <c r="F1455" s="166"/>
      <c r="G1455" s="167"/>
      <c r="H1455" s="166"/>
      <c r="I1455" s="72"/>
      <c r="J1455" s="55"/>
      <c r="K1455" s="72"/>
      <c r="L1455" s="55"/>
      <c r="M1455" s="174"/>
      <c r="N1455" s="73" t="str">
        <f>IF(ISBLANK(C1455),"",_xlfn.IFNA(INDEX(inbound_data[],MATCH(Outbound_data[[#This Row],[STOCK CODE OUT]],Generated_Stockcode,0),10),""))</f>
        <v/>
      </c>
      <c r="O1455" s="73" t="str">
        <f>IF(ISBLANK(C1455),"",_xlfn.IFNA(INDEX(inbound_data[],MATCH(Outbound_data[[#This Row],[STOCK CODE OUT]],Generated_Stockcode,0),12),""))</f>
        <v/>
      </c>
      <c r="P1455" s="73" t="str">
        <f>IF(ISBLANK(C1455),"",_xlfn.IFNA(INDEX(inbound_data[],MATCH(Outbound_data[[#This Row],[STOCK CODE OUT]],Generated_Stockcode,0),23),""))</f>
        <v/>
      </c>
      <c r="Q1455" s="73" t="str">
        <f>IF(ISBLANK(C1455),"",_xlfn.IFNA(INDEX(inbound_data[],MATCH(Outbound_data[[#This Row],[STOCK CODE OUT]],Generated_Stockcode,0),13),""))</f>
        <v/>
      </c>
    </row>
    <row r="1456" spans="2:17" x14ac:dyDescent="0.25">
      <c r="B1456" s="71"/>
      <c r="C1456" s="65"/>
      <c r="D1456" s="55"/>
      <c r="E1456" s="65"/>
      <c r="F1456" s="166"/>
      <c r="G1456" s="167"/>
      <c r="H1456" s="166"/>
      <c r="I1456" s="72"/>
      <c r="J1456" s="55"/>
      <c r="K1456" s="72"/>
      <c r="L1456" s="55"/>
      <c r="M1456" s="174"/>
      <c r="N1456" s="73" t="str">
        <f>IF(ISBLANK(C1456),"",_xlfn.IFNA(INDEX(inbound_data[],MATCH(Outbound_data[[#This Row],[STOCK CODE OUT]],Generated_Stockcode,0),10),""))</f>
        <v/>
      </c>
      <c r="O1456" s="73" t="str">
        <f>IF(ISBLANK(C1456),"",_xlfn.IFNA(INDEX(inbound_data[],MATCH(Outbound_data[[#This Row],[STOCK CODE OUT]],Generated_Stockcode,0),12),""))</f>
        <v/>
      </c>
      <c r="P1456" s="73" t="str">
        <f>IF(ISBLANK(C1456),"",_xlfn.IFNA(INDEX(inbound_data[],MATCH(Outbound_data[[#This Row],[STOCK CODE OUT]],Generated_Stockcode,0),23),""))</f>
        <v/>
      </c>
      <c r="Q1456" s="73" t="str">
        <f>IF(ISBLANK(C1456),"",_xlfn.IFNA(INDEX(inbound_data[],MATCH(Outbound_data[[#This Row],[STOCK CODE OUT]],Generated_Stockcode,0),13),""))</f>
        <v/>
      </c>
    </row>
    <row r="1457" spans="2:17" x14ac:dyDescent="0.25">
      <c r="B1457" s="71"/>
      <c r="C1457" s="65"/>
      <c r="D1457" s="55"/>
      <c r="E1457" s="65"/>
      <c r="F1457" s="166"/>
      <c r="G1457" s="167"/>
      <c r="H1457" s="166"/>
      <c r="I1457" s="72"/>
      <c r="J1457" s="55"/>
      <c r="K1457" s="72"/>
      <c r="L1457" s="55"/>
      <c r="M1457" s="174"/>
      <c r="N1457" s="73" t="str">
        <f>IF(ISBLANK(C1457),"",_xlfn.IFNA(INDEX(inbound_data[],MATCH(Outbound_data[[#This Row],[STOCK CODE OUT]],Generated_Stockcode,0),10),""))</f>
        <v/>
      </c>
      <c r="O1457" s="73" t="str">
        <f>IF(ISBLANK(C1457),"",_xlfn.IFNA(INDEX(inbound_data[],MATCH(Outbound_data[[#This Row],[STOCK CODE OUT]],Generated_Stockcode,0),12),""))</f>
        <v/>
      </c>
      <c r="P1457" s="73" t="str">
        <f>IF(ISBLANK(C1457),"",_xlfn.IFNA(INDEX(inbound_data[],MATCH(Outbound_data[[#This Row],[STOCK CODE OUT]],Generated_Stockcode,0),23),""))</f>
        <v/>
      </c>
      <c r="Q1457" s="73" t="str">
        <f>IF(ISBLANK(C1457),"",_xlfn.IFNA(INDEX(inbound_data[],MATCH(Outbound_data[[#This Row],[STOCK CODE OUT]],Generated_Stockcode,0),13),""))</f>
        <v/>
      </c>
    </row>
    <row r="1458" spans="2:17" x14ac:dyDescent="0.25">
      <c r="B1458" s="71"/>
      <c r="C1458" s="65"/>
      <c r="D1458" s="55"/>
      <c r="E1458" s="65"/>
      <c r="F1458" s="166"/>
      <c r="G1458" s="167"/>
      <c r="H1458" s="166"/>
      <c r="I1458" s="72"/>
      <c r="J1458" s="55"/>
      <c r="K1458" s="72"/>
      <c r="L1458" s="55"/>
      <c r="M1458" s="174"/>
      <c r="N1458" s="73" t="str">
        <f>IF(ISBLANK(C1458),"",_xlfn.IFNA(INDEX(inbound_data[],MATCH(Outbound_data[[#This Row],[STOCK CODE OUT]],Generated_Stockcode,0),10),""))</f>
        <v/>
      </c>
      <c r="O1458" s="73" t="str">
        <f>IF(ISBLANK(C1458),"",_xlfn.IFNA(INDEX(inbound_data[],MATCH(Outbound_data[[#This Row],[STOCK CODE OUT]],Generated_Stockcode,0),12),""))</f>
        <v/>
      </c>
      <c r="P1458" s="73" t="str">
        <f>IF(ISBLANK(C1458),"",_xlfn.IFNA(INDEX(inbound_data[],MATCH(Outbound_data[[#This Row],[STOCK CODE OUT]],Generated_Stockcode,0),23),""))</f>
        <v/>
      </c>
      <c r="Q1458" s="73" t="str">
        <f>IF(ISBLANK(C1458),"",_xlfn.IFNA(INDEX(inbound_data[],MATCH(Outbound_data[[#This Row],[STOCK CODE OUT]],Generated_Stockcode,0),13),""))</f>
        <v/>
      </c>
    </row>
    <row r="1459" spans="2:17" x14ac:dyDescent="0.25">
      <c r="B1459" s="71"/>
      <c r="C1459" s="65"/>
      <c r="D1459" s="55"/>
      <c r="E1459" s="65"/>
      <c r="F1459" s="166"/>
      <c r="G1459" s="167"/>
      <c r="H1459" s="166"/>
      <c r="I1459" s="72"/>
      <c r="J1459" s="55"/>
      <c r="K1459" s="72"/>
      <c r="L1459" s="55"/>
      <c r="M1459" s="174"/>
      <c r="N1459" s="73" t="str">
        <f>IF(ISBLANK(C1459),"",_xlfn.IFNA(INDEX(inbound_data[],MATCH(Outbound_data[[#This Row],[STOCK CODE OUT]],Generated_Stockcode,0),10),""))</f>
        <v/>
      </c>
      <c r="O1459" s="73" t="str">
        <f>IF(ISBLANK(C1459),"",_xlfn.IFNA(INDEX(inbound_data[],MATCH(Outbound_data[[#This Row],[STOCK CODE OUT]],Generated_Stockcode,0),12),""))</f>
        <v/>
      </c>
      <c r="P1459" s="73" t="str">
        <f>IF(ISBLANK(C1459),"",_xlfn.IFNA(INDEX(inbound_data[],MATCH(Outbound_data[[#This Row],[STOCK CODE OUT]],Generated_Stockcode,0),23),""))</f>
        <v/>
      </c>
      <c r="Q1459" s="73" t="str">
        <f>IF(ISBLANK(C1459),"",_xlfn.IFNA(INDEX(inbound_data[],MATCH(Outbound_data[[#This Row],[STOCK CODE OUT]],Generated_Stockcode,0),13),""))</f>
        <v/>
      </c>
    </row>
    <row r="1460" spans="2:17" x14ac:dyDescent="0.25">
      <c r="B1460" s="71"/>
      <c r="C1460" s="65"/>
      <c r="D1460" s="55"/>
      <c r="E1460" s="65"/>
      <c r="F1460" s="166"/>
      <c r="G1460" s="167"/>
      <c r="H1460" s="166"/>
      <c r="I1460" s="72"/>
      <c r="J1460" s="55"/>
      <c r="K1460" s="72"/>
      <c r="L1460" s="55"/>
      <c r="M1460" s="174"/>
      <c r="N1460" s="73" t="str">
        <f>IF(ISBLANK(C1460),"",_xlfn.IFNA(INDEX(inbound_data[],MATCH(Outbound_data[[#This Row],[STOCK CODE OUT]],Generated_Stockcode,0),10),""))</f>
        <v/>
      </c>
      <c r="O1460" s="73" t="str">
        <f>IF(ISBLANK(C1460),"",_xlfn.IFNA(INDEX(inbound_data[],MATCH(Outbound_data[[#This Row],[STOCK CODE OUT]],Generated_Stockcode,0),12),""))</f>
        <v/>
      </c>
      <c r="P1460" s="73" t="str">
        <f>IF(ISBLANK(C1460),"",_xlfn.IFNA(INDEX(inbound_data[],MATCH(Outbound_data[[#This Row],[STOCK CODE OUT]],Generated_Stockcode,0),23),""))</f>
        <v/>
      </c>
      <c r="Q1460" s="73" t="str">
        <f>IF(ISBLANK(C1460),"",_xlfn.IFNA(INDEX(inbound_data[],MATCH(Outbound_data[[#This Row],[STOCK CODE OUT]],Generated_Stockcode,0),13),""))</f>
        <v/>
      </c>
    </row>
    <row r="1461" spans="2:17" x14ac:dyDescent="0.25">
      <c r="B1461" s="71"/>
      <c r="C1461" s="65"/>
      <c r="D1461" s="55"/>
      <c r="E1461" s="65"/>
      <c r="F1461" s="166"/>
      <c r="G1461" s="167"/>
      <c r="H1461" s="166"/>
      <c r="I1461" s="72"/>
      <c r="J1461" s="55"/>
      <c r="K1461" s="72"/>
      <c r="L1461" s="55"/>
      <c r="M1461" s="174"/>
      <c r="N1461" s="73" t="str">
        <f>IF(ISBLANK(C1461),"",_xlfn.IFNA(INDEX(inbound_data[],MATCH(Outbound_data[[#This Row],[STOCK CODE OUT]],Generated_Stockcode,0),10),""))</f>
        <v/>
      </c>
      <c r="O1461" s="73" t="str">
        <f>IF(ISBLANK(C1461),"",_xlfn.IFNA(INDEX(inbound_data[],MATCH(Outbound_data[[#This Row],[STOCK CODE OUT]],Generated_Stockcode,0),12),""))</f>
        <v/>
      </c>
      <c r="P1461" s="73" t="str">
        <f>IF(ISBLANK(C1461),"",_xlfn.IFNA(INDEX(inbound_data[],MATCH(Outbound_data[[#This Row],[STOCK CODE OUT]],Generated_Stockcode,0),23),""))</f>
        <v/>
      </c>
      <c r="Q1461" s="73" t="str">
        <f>IF(ISBLANK(C1461),"",_xlfn.IFNA(INDEX(inbound_data[],MATCH(Outbound_data[[#This Row],[STOCK CODE OUT]],Generated_Stockcode,0),13),""))</f>
        <v/>
      </c>
    </row>
    <row r="1462" spans="2:17" x14ac:dyDescent="0.25">
      <c r="B1462" s="71"/>
      <c r="C1462" s="65"/>
      <c r="D1462" s="55"/>
      <c r="E1462" s="65"/>
      <c r="F1462" s="166"/>
      <c r="G1462" s="167"/>
      <c r="H1462" s="166"/>
      <c r="I1462" s="72"/>
      <c r="J1462" s="55"/>
      <c r="K1462" s="72"/>
      <c r="L1462" s="55"/>
      <c r="M1462" s="174"/>
      <c r="N1462" s="73" t="str">
        <f>IF(ISBLANK(C1462),"",_xlfn.IFNA(INDEX(inbound_data[],MATCH(Outbound_data[[#This Row],[STOCK CODE OUT]],Generated_Stockcode,0),10),""))</f>
        <v/>
      </c>
      <c r="O1462" s="73" t="str">
        <f>IF(ISBLANK(C1462),"",_xlfn.IFNA(INDEX(inbound_data[],MATCH(Outbound_data[[#This Row],[STOCK CODE OUT]],Generated_Stockcode,0),12),""))</f>
        <v/>
      </c>
      <c r="P1462" s="73" t="str">
        <f>IF(ISBLANK(C1462),"",_xlfn.IFNA(INDEX(inbound_data[],MATCH(Outbound_data[[#This Row],[STOCK CODE OUT]],Generated_Stockcode,0),23),""))</f>
        <v/>
      </c>
      <c r="Q1462" s="73" t="str">
        <f>IF(ISBLANK(C1462),"",_xlfn.IFNA(INDEX(inbound_data[],MATCH(Outbound_data[[#This Row],[STOCK CODE OUT]],Generated_Stockcode,0),13),""))</f>
        <v/>
      </c>
    </row>
    <row r="1463" spans="2:17" x14ac:dyDescent="0.25">
      <c r="B1463" s="71"/>
      <c r="C1463" s="65"/>
      <c r="D1463" s="55"/>
      <c r="E1463" s="65"/>
      <c r="F1463" s="166"/>
      <c r="G1463" s="167"/>
      <c r="H1463" s="166"/>
      <c r="I1463" s="72"/>
      <c r="J1463" s="55"/>
      <c r="K1463" s="72"/>
      <c r="L1463" s="55"/>
      <c r="M1463" s="174"/>
      <c r="N1463" s="73" t="str">
        <f>IF(ISBLANK(C1463),"",_xlfn.IFNA(INDEX(inbound_data[],MATCH(Outbound_data[[#This Row],[STOCK CODE OUT]],Generated_Stockcode,0),10),""))</f>
        <v/>
      </c>
      <c r="O1463" s="73" t="str">
        <f>IF(ISBLANK(C1463),"",_xlfn.IFNA(INDEX(inbound_data[],MATCH(Outbound_data[[#This Row],[STOCK CODE OUT]],Generated_Stockcode,0),12),""))</f>
        <v/>
      </c>
      <c r="P1463" s="73" t="str">
        <f>IF(ISBLANK(C1463),"",_xlfn.IFNA(INDEX(inbound_data[],MATCH(Outbound_data[[#This Row],[STOCK CODE OUT]],Generated_Stockcode,0),23),""))</f>
        <v/>
      </c>
      <c r="Q1463" s="73" t="str">
        <f>IF(ISBLANK(C1463),"",_xlfn.IFNA(INDEX(inbound_data[],MATCH(Outbound_data[[#This Row],[STOCK CODE OUT]],Generated_Stockcode,0),13),""))</f>
        <v/>
      </c>
    </row>
    <row r="1464" spans="2:17" x14ac:dyDescent="0.25">
      <c r="B1464" s="71"/>
      <c r="C1464" s="65"/>
      <c r="D1464" s="55"/>
      <c r="E1464" s="65"/>
      <c r="F1464" s="166"/>
      <c r="G1464" s="167"/>
      <c r="H1464" s="166"/>
      <c r="I1464" s="72"/>
      <c r="J1464" s="55"/>
      <c r="K1464" s="72"/>
      <c r="L1464" s="55"/>
      <c r="M1464" s="174"/>
      <c r="N1464" s="73" t="str">
        <f>IF(ISBLANK(C1464),"",_xlfn.IFNA(INDEX(inbound_data[],MATCH(Outbound_data[[#This Row],[STOCK CODE OUT]],Generated_Stockcode,0),10),""))</f>
        <v/>
      </c>
      <c r="O1464" s="73" t="str">
        <f>IF(ISBLANK(C1464),"",_xlfn.IFNA(INDEX(inbound_data[],MATCH(Outbound_data[[#This Row],[STOCK CODE OUT]],Generated_Stockcode,0),12),""))</f>
        <v/>
      </c>
      <c r="P1464" s="73" t="str">
        <f>IF(ISBLANK(C1464),"",_xlfn.IFNA(INDEX(inbound_data[],MATCH(Outbound_data[[#This Row],[STOCK CODE OUT]],Generated_Stockcode,0),23),""))</f>
        <v/>
      </c>
      <c r="Q1464" s="73" t="str">
        <f>IF(ISBLANK(C1464),"",_xlfn.IFNA(INDEX(inbound_data[],MATCH(Outbound_data[[#This Row],[STOCK CODE OUT]],Generated_Stockcode,0),13),""))</f>
        <v/>
      </c>
    </row>
    <row r="1465" spans="2:17" x14ac:dyDescent="0.25">
      <c r="B1465" s="71"/>
      <c r="C1465" s="65"/>
      <c r="D1465" s="55"/>
      <c r="E1465" s="65"/>
      <c r="F1465" s="166"/>
      <c r="G1465" s="167"/>
      <c r="H1465" s="166"/>
      <c r="I1465" s="72"/>
      <c r="J1465" s="55"/>
      <c r="K1465" s="72"/>
      <c r="L1465" s="55"/>
      <c r="M1465" s="174"/>
      <c r="N1465" s="73" t="str">
        <f>IF(ISBLANK(C1465),"",_xlfn.IFNA(INDEX(inbound_data[],MATCH(Outbound_data[[#This Row],[STOCK CODE OUT]],Generated_Stockcode,0),10),""))</f>
        <v/>
      </c>
      <c r="O1465" s="73" t="str">
        <f>IF(ISBLANK(C1465),"",_xlfn.IFNA(INDEX(inbound_data[],MATCH(Outbound_data[[#This Row],[STOCK CODE OUT]],Generated_Stockcode,0),12),""))</f>
        <v/>
      </c>
      <c r="P1465" s="73" t="str">
        <f>IF(ISBLANK(C1465),"",_xlfn.IFNA(INDEX(inbound_data[],MATCH(Outbound_data[[#This Row],[STOCK CODE OUT]],Generated_Stockcode,0),23),""))</f>
        <v/>
      </c>
      <c r="Q1465" s="73" t="str">
        <f>IF(ISBLANK(C1465),"",_xlfn.IFNA(INDEX(inbound_data[],MATCH(Outbound_data[[#This Row],[STOCK CODE OUT]],Generated_Stockcode,0),13),""))</f>
        <v/>
      </c>
    </row>
    <row r="1466" spans="2:17" x14ac:dyDescent="0.25">
      <c r="B1466" s="71"/>
      <c r="C1466" s="65"/>
      <c r="D1466" s="55"/>
      <c r="E1466" s="65"/>
      <c r="F1466" s="166"/>
      <c r="G1466" s="167"/>
      <c r="H1466" s="166"/>
      <c r="I1466" s="72"/>
      <c r="J1466" s="55"/>
      <c r="K1466" s="72"/>
      <c r="L1466" s="55"/>
      <c r="M1466" s="174"/>
      <c r="N1466" s="73" t="str">
        <f>IF(ISBLANK(C1466),"",_xlfn.IFNA(INDEX(inbound_data[],MATCH(Outbound_data[[#This Row],[STOCK CODE OUT]],Generated_Stockcode,0),10),""))</f>
        <v/>
      </c>
      <c r="O1466" s="73" t="str">
        <f>IF(ISBLANK(C1466),"",_xlfn.IFNA(INDEX(inbound_data[],MATCH(Outbound_data[[#This Row],[STOCK CODE OUT]],Generated_Stockcode,0),12),""))</f>
        <v/>
      </c>
      <c r="P1466" s="73" t="str">
        <f>IF(ISBLANK(C1466),"",_xlfn.IFNA(INDEX(inbound_data[],MATCH(Outbound_data[[#This Row],[STOCK CODE OUT]],Generated_Stockcode,0),23),""))</f>
        <v/>
      </c>
      <c r="Q1466" s="73" t="str">
        <f>IF(ISBLANK(C1466),"",_xlfn.IFNA(INDEX(inbound_data[],MATCH(Outbound_data[[#This Row],[STOCK CODE OUT]],Generated_Stockcode,0),13),""))</f>
        <v/>
      </c>
    </row>
    <row r="1467" spans="2:17" x14ac:dyDescent="0.25">
      <c r="B1467" s="71"/>
      <c r="C1467" s="65"/>
      <c r="D1467" s="55"/>
      <c r="E1467" s="65"/>
      <c r="F1467" s="166"/>
      <c r="G1467" s="167"/>
      <c r="H1467" s="166"/>
      <c r="I1467" s="72"/>
      <c r="J1467" s="55"/>
      <c r="K1467" s="72"/>
      <c r="L1467" s="55"/>
      <c r="M1467" s="174"/>
      <c r="N1467" s="73" t="str">
        <f>IF(ISBLANK(C1467),"",_xlfn.IFNA(INDEX(inbound_data[],MATCH(Outbound_data[[#This Row],[STOCK CODE OUT]],Generated_Stockcode,0),10),""))</f>
        <v/>
      </c>
      <c r="O1467" s="73" t="str">
        <f>IF(ISBLANK(C1467),"",_xlfn.IFNA(INDEX(inbound_data[],MATCH(Outbound_data[[#This Row],[STOCK CODE OUT]],Generated_Stockcode,0),12),""))</f>
        <v/>
      </c>
      <c r="P1467" s="73" t="str">
        <f>IF(ISBLANK(C1467),"",_xlfn.IFNA(INDEX(inbound_data[],MATCH(Outbound_data[[#This Row],[STOCK CODE OUT]],Generated_Stockcode,0),23),""))</f>
        <v/>
      </c>
      <c r="Q1467" s="73" t="str">
        <f>IF(ISBLANK(C1467),"",_xlfn.IFNA(INDEX(inbound_data[],MATCH(Outbound_data[[#This Row],[STOCK CODE OUT]],Generated_Stockcode,0),13),""))</f>
        <v/>
      </c>
    </row>
    <row r="1468" spans="2:17" x14ac:dyDescent="0.25">
      <c r="B1468" s="71"/>
      <c r="C1468" s="65"/>
      <c r="D1468" s="55"/>
      <c r="E1468" s="65"/>
      <c r="F1468" s="166"/>
      <c r="G1468" s="167"/>
      <c r="H1468" s="166"/>
      <c r="I1468" s="72"/>
      <c r="J1468" s="55"/>
      <c r="K1468" s="72"/>
      <c r="L1468" s="55"/>
      <c r="M1468" s="174"/>
      <c r="N1468" s="73" t="str">
        <f>IF(ISBLANK(C1468),"",_xlfn.IFNA(INDEX(inbound_data[],MATCH(Outbound_data[[#This Row],[STOCK CODE OUT]],Generated_Stockcode,0),10),""))</f>
        <v/>
      </c>
      <c r="O1468" s="73" t="str">
        <f>IF(ISBLANK(C1468),"",_xlfn.IFNA(INDEX(inbound_data[],MATCH(Outbound_data[[#This Row],[STOCK CODE OUT]],Generated_Stockcode,0),12),""))</f>
        <v/>
      </c>
      <c r="P1468" s="73" t="str">
        <f>IF(ISBLANK(C1468),"",_xlfn.IFNA(INDEX(inbound_data[],MATCH(Outbound_data[[#This Row],[STOCK CODE OUT]],Generated_Stockcode,0),23),""))</f>
        <v/>
      </c>
      <c r="Q1468" s="73" t="str">
        <f>IF(ISBLANK(C1468),"",_xlfn.IFNA(INDEX(inbound_data[],MATCH(Outbound_data[[#This Row],[STOCK CODE OUT]],Generated_Stockcode,0),13),""))</f>
        <v/>
      </c>
    </row>
    <row r="1469" spans="2:17" x14ac:dyDescent="0.25">
      <c r="B1469" s="71"/>
      <c r="C1469" s="65"/>
      <c r="D1469" s="55"/>
      <c r="E1469" s="65"/>
      <c r="F1469" s="166"/>
      <c r="G1469" s="167"/>
      <c r="H1469" s="166"/>
      <c r="I1469" s="72"/>
      <c r="J1469" s="55"/>
      <c r="K1469" s="72"/>
      <c r="L1469" s="55"/>
      <c r="M1469" s="174"/>
      <c r="N1469" s="73" t="str">
        <f>IF(ISBLANK(C1469),"",_xlfn.IFNA(INDEX(inbound_data[],MATCH(Outbound_data[[#This Row],[STOCK CODE OUT]],Generated_Stockcode,0),10),""))</f>
        <v/>
      </c>
      <c r="O1469" s="73" t="str">
        <f>IF(ISBLANK(C1469),"",_xlfn.IFNA(INDEX(inbound_data[],MATCH(Outbound_data[[#This Row],[STOCK CODE OUT]],Generated_Stockcode,0),12),""))</f>
        <v/>
      </c>
      <c r="P1469" s="73" t="str">
        <f>IF(ISBLANK(C1469),"",_xlfn.IFNA(INDEX(inbound_data[],MATCH(Outbound_data[[#This Row],[STOCK CODE OUT]],Generated_Stockcode,0),23),""))</f>
        <v/>
      </c>
      <c r="Q1469" s="73" t="str">
        <f>IF(ISBLANK(C1469),"",_xlfn.IFNA(INDEX(inbound_data[],MATCH(Outbound_data[[#This Row],[STOCK CODE OUT]],Generated_Stockcode,0),13),""))</f>
        <v/>
      </c>
    </row>
    <row r="1470" spans="2:17" x14ac:dyDescent="0.25">
      <c r="B1470" s="71"/>
      <c r="C1470" s="65"/>
      <c r="D1470" s="55"/>
      <c r="E1470" s="65"/>
      <c r="F1470" s="166"/>
      <c r="G1470" s="167"/>
      <c r="H1470" s="166"/>
      <c r="I1470" s="72"/>
      <c r="J1470" s="55"/>
      <c r="K1470" s="72"/>
      <c r="L1470" s="55"/>
      <c r="M1470" s="174"/>
      <c r="N1470" s="73" t="str">
        <f>IF(ISBLANK(C1470),"",_xlfn.IFNA(INDEX(inbound_data[],MATCH(Outbound_data[[#This Row],[STOCK CODE OUT]],Generated_Stockcode,0),10),""))</f>
        <v/>
      </c>
      <c r="O1470" s="73" t="str">
        <f>IF(ISBLANK(C1470),"",_xlfn.IFNA(INDEX(inbound_data[],MATCH(Outbound_data[[#This Row],[STOCK CODE OUT]],Generated_Stockcode,0),12),""))</f>
        <v/>
      </c>
      <c r="P1470" s="73" t="str">
        <f>IF(ISBLANK(C1470),"",_xlfn.IFNA(INDEX(inbound_data[],MATCH(Outbound_data[[#This Row],[STOCK CODE OUT]],Generated_Stockcode,0),23),""))</f>
        <v/>
      </c>
      <c r="Q1470" s="73" t="str">
        <f>IF(ISBLANK(C1470),"",_xlfn.IFNA(INDEX(inbound_data[],MATCH(Outbound_data[[#This Row],[STOCK CODE OUT]],Generated_Stockcode,0),13),""))</f>
        <v/>
      </c>
    </row>
    <row r="1471" spans="2:17" x14ac:dyDescent="0.25">
      <c r="B1471" s="71"/>
      <c r="C1471" s="65"/>
      <c r="D1471" s="55"/>
      <c r="E1471" s="65"/>
      <c r="F1471" s="166"/>
      <c r="G1471" s="167"/>
      <c r="H1471" s="166"/>
      <c r="I1471" s="72"/>
      <c r="J1471" s="55"/>
      <c r="K1471" s="72"/>
      <c r="L1471" s="55"/>
      <c r="M1471" s="174"/>
      <c r="N1471" s="73" t="str">
        <f>IF(ISBLANK(C1471),"",_xlfn.IFNA(INDEX(inbound_data[],MATCH(Outbound_data[[#This Row],[STOCK CODE OUT]],Generated_Stockcode,0),10),""))</f>
        <v/>
      </c>
      <c r="O1471" s="73" t="str">
        <f>IF(ISBLANK(C1471),"",_xlfn.IFNA(INDEX(inbound_data[],MATCH(Outbound_data[[#This Row],[STOCK CODE OUT]],Generated_Stockcode,0),12),""))</f>
        <v/>
      </c>
      <c r="P1471" s="73" t="str">
        <f>IF(ISBLANK(C1471),"",_xlfn.IFNA(INDEX(inbound_data[],MATCH(Outbound_data[[#This Row],[STOCK CODE OUT]],Generated_Stockcode,0),23),""))</f>
        <v/>
      </c>
      <c r="Q1471" s="73" t="str">
        <f>IF(ISBLANK(C1471),"",_xlfn.IFNA(INDEX(inbound_data[],MATCH(Outbound_data[[#This Row],[STOCK CODE OUT]],Generated_Stockcode,0),13),""))</f>
        <v/>
      </c>
    </row>
    <row r="1472" spans="2:17" x14ac:dyDescent="0.25">
      <c r="B1472" s="71"/>
      <c r="C1472" s="65"/>
      <c r="D1472" s="55"/>
      <c r="E1472" s="65"/>
      <c r="F1472" s="166"/>
      <c r="G1472" s="167"/>
      <c r="H1472" s="166"/>
      <c r="I1472" s="72"/>
      <c r="J1472" s="55"/>
      <c r="K1472" s="72"/>
      <c r="L1472" s="55"/>
      <c r="M1472" s="174"/>
      <c r="N1472" s="73" t="str">
        <f>IF(ISBLANK(C1472),"",_xlfn.IFNA(INDEX(inbound_data[],MATCH(Outbound_data[[#This Row],[STOCK CODE OUT]],Generated_Stockcode,0),10),""))</f>
        <v/>
      </c>
      <c r="O1472" s="73" t="str">
        <f>IF(ISBLANK(C1472),"",_xlfn.IFNA(INDEX(inbound_data[],MATCH(Outbound_data[[#This Row],[STOCK CODE OUT]],Generated_Stockcode,0),12),""))</f>
        <v/>
      </c>
      <c r="P1472" s="73" t="str">
        <f>IF(ISBLANK(C1472),"",_xlfn.IFNA(INDEX(inbound_data[],MATCH(Outbound_data[[#This Row],[STOCK CODE OUT]],Generated_Stockcode,0),23),""))</f>
        <v/>
      </c>
      <c r="Q1472" s="73" t="str">
        <f>IF(ISBLANK(C1472),"",_xlfn.IFNA(INDEX(inbound_data[],MATCH(Outbound_data[[#This Row],[STOCK CODE OUT]],Generated_Stockcode,0),13),""))</f>
        <v/>
      </c>
    </row>
    <row r="1473" spans="2:17" x14ac:dyDescent="0.25">
      <c r="B1473" s="71"/>
      <c r="C1473" s="65"/>
      <c r="D1473" s="55"/>
      <c r="E1473" s="65"/>
      <c r="F1473" s="166"/>
      <c r="G1473" s="167"/>
      <c r="H1473" s="166"/>
      <c r="I1473" s="72"/>
      <c r="J1473" s="55"/>
      <c r="K1473" s="72"/>
      <c r="L1473" s="55"/>
      <c r="M1473" s="174"/>
      <c r="N1473" s="73" t="str">
        <f>IF(ISBLANK(C1473),"",_xlfn.IFNA(INDEX(inbound_data[],MATCH(Outbound_data[[#This Row],[STOCK CODE OUT]],Generated_Stockcode,0),10),""))</f>
        <v/>
      </c>
      <c r="O1473" s="73" t="str">
        <f>IF(ISBLANK(C1473),"",_xlfn.IFNA(INDEX(inbound_data[],MATCH(Outbound_data[[#This Row],[STOCK CODE OUT]],Generated_Stockcode,0),12),""))</f>
        <v/>
      </c>
      <c r="P1473" s="73" t="str">
        <f>IF(ISBLANK(C1473),"",_xlfn.IFNA(INDEX(inbound_data[],MATCH(Outbound_data[[#This Row],[STOCK CODE OUT]],Generated_Stockcode,0),23),""))</f>
        <v/>
      </c>
      <c r="Q1473" s="73" t="str">
        <f>IF(ISBLANK(C1473),"",_xlfn.IFNA(INDEX(inbound_data[],MATCH(Outbound_data[[#This Row],[STOCK CODE OUT]],Generated_Stockcode,0),13),""))</f>
        <v/>
      </c>
    </row>
    <row r="1474" spans="2:17" x14ac:dyDescent="0.25">
      <c r="B1474" s="71"/>
      <c r="C1474" s="65"/>
      <c r="D1474" s="55"/>
      <c r="E1474" s="65"/>
      <c r="F1474" s="166"/>
      <c r="G1474" s="167"/>
      <c r="H1474" s="166"/>
      <c r="I1474" s="72"/>
      <c r="J1474" s="55"/>
      <c r="K1474" s="72"/>
      <c r="L1474" s="55"/>
      <c r="M1474" s="174"/>
      <c r="N1474" s="73" t="str">
        <f>IF(ISBLANK(C1474),"",_xlfn.IFNA(INDEX(inbound_data[],MATCH(Outbound_data[[#This Row],[STOCK CODE OUT]],Generated_Stockcode,0),10),""))</f>
        <v/>
      </c>
      <c r="O1474" s="73" t="str">
        <f>IF(ISBLANK(C1474),"",_xlfn.IFNA(INDEX(inbound_data[],MATCH(Outbound_data[[#This Row],[STOCK CODE OUT]],Generated_Stockcode,0),12),""))</f>
        <v/>
      </c>
      <c r="P1474" s="73" t="str">
        <f>IF(ISBLANK(C1474),"",_xlfn.IFNA(INDEX(inbound_data[],MATCH(Outbound_data[[#This Row],[STOCK CODE OUT]],Generated_Stockcode,0),23),""))</f>
        <v/>
      </c>
      <c r="Q1474" s="73" t="str">
        <f>IF(ISBLANK(C1474),"",_xlfn.IFNA(INDEX(inbound_data[],MATCH(Outbound_data[[#This Row],[STOCK CODE OUT]],Generated_Stockcode,0),13),""))</f>
        <v/>
      </c>
    </row>
    <row r="1475" spans="2:17" x14ac:dyDescent="0.25">
      <c r="B1475" s="71"/>
      <c r="C1475" s="65"/>
      <c r="D1475" s="55"/>
      <c r="E1475" s="65"/>
      <c r="F1475" s="166"/>
      <c r="G1475" s="167"/>
      <c r="H1475" s="166"/>
      <c r="I1475" s="72"/>
      <c r="J1475" s="55"/>
      <c r="K1475" s="72"/>
      <c r="L1475" s="55"/>
      <c r="M1475" s="174"/>
      <c r="N1475" s="73" t="str">
        <f>IF(ISBLANK(C1475),"",_xlfn.IFNA(INDEX(inbound_data[],MATCH(Outbound_data[[#This Row],[STOCK CODE OUT]],Generated_Stockcode,0),10),""))</f>
        <v/>
      </c>
      <c r="O1475" s="73" t="str">
        <f>IF(ISBLANK(C1475),"",_xlfn.IFNA(INDEX(inbound_data[],MATCH(Outbound_data[[#This Row],[STOCK CODE OUT]],Generated_Stockcode,0),12),""))</f>
        <v/>
      </c>
      <c r="P1475" s="73" t="str">
        <f>IF(ISBLANK(C1475),"",_xlfn.IFNA(INDEX(inbound_data[],MATCH(Outbound_data[[#This Row],[STOCK CODE OUT]],Generated_Stockcode,0),23),""))</f>
        <v/>
      </c>
      <c r="Q1475" s="73" t="str">
        <f>IF(ISBLANK(C1475),"",_xlfn.IFNA(INDEX(inbound_data[],MATCH(Outbound_data[[#This Row],[STOCK CODE OUT]],Generated_Stockcode,0),13),""))</f>
        <v/>
      </c>
    </row>
    <row r="1476" spans="2:17" x14ac:dyDescent="0.25">
      <c r="B1476" s="71"/>
      <c r="C1476" s="65"/>
      <c r="D1476" s="55"/>
      <c r="E1476" s="65"/>
      <c r="F1476" s="166"/>
      <c r="G1476" s="167"/>
      <c r="H1476" s="166"/>
      <c r="I1476" s="72"/>
      <c r="J1476" s="55"/>
      <c r="K1476" s="72"/>
      <c r="L1476" s="55"/>
      <c r="M1476" s="174"/>
      <c r="N1476" s="73" t="str">
        <f>IF(ISBLANK(C1476),"",_xlfn.IFNA(INDEX(inbound_data[],MATCH(Outbound_data[[#This Row],[STOCK CODE OUT]],Generated_Stockcode,0),10),""))</f>
        <v/>
      </c>
      <c r="O1476" s="73" t="str">
        <f>IF(ISBLANK(C1476),"",_xlfn.IFNA(INDEX(inbound_data[],MATCH(Outbound_data[[#This Row],[STOCK CODE OUT]],Generated_Stockcode,0),12),""))</f>
        <v/>
      </c>
      <c r="P1476" s="73" t="str">
        <f>IF(ISBLANK(C1476),"",_xlfn.IFNA(INDEX(inbound_data[],MATCH(Outbound_data[[#This Row],[STOCK CODE OUT]],Generated_Stockcode,0),23),""))</f>
        <v/>
      </c>
      <c r="Q1476" s="73" t="str">
        <f>IF(ISBLANK(C1476),"",_xlfn.IFNA(INDEX(inbound_data[],MATCH(Outbound_data[[#This Row],[STOCK CODE OUT]],Generated_Stockcode,0),13),""))</f>
        <v/>
      </c>
    </row>
    <row r="1477" spans="2:17" x14ac:dyDescent="0.25">
      <c r="B1477" s="71"/>
      <c r="C1477" s="65"/>
      <c r="D1477" s="55"/>
      <c r="E1477" s="65"/>
      <c r="F1477" s="166"/>
      <c r="G1477" s="167"/>
      <c r="H1477" s="166"/>
      <c r="I1477" s="72"/>
      <c r="J1477" s="55"/>
      <c r="K1477" s="72"/>
      <c r="L1477" s="55"/>
      <c r="M1477" s="174"/>
      <c r="N1477" s="73" t="str">
        <f>IF(ISBLANK(C1477),"",_xlfn.IFNA(INDEX(inbound_data[],MATCH(Outbound_data[[#This Row],[STOCK CODE OUT]],Generated_Stockcode,0),10),""))</f>
        <v/>
      </c>
      <c r="O1477" s="73" t="str">
        <f>IF(ISBLANK(C1477),"",_xlfn.IFNA(INDEX(inbound_data[],MATCH(Outbound_data[[#This Row],[STOCK CODE OUT]],Generated_Stockcode,0),12),""))</f>
        <v/>
      </c>
      <c r="P1477" s="73" t="str">
        <f>IF(ISBLANK(C1477),"",_xlfn.IFNA(INDEX(inbound_data[],MATCH(Outbound_data[[#This Row],[STOCK CODE OUT]],Generated_Stockcode,0),23),""))</f>
        <v/>
      </c>
      <c r="Q1477" s="73" t="str">
        <f>IF(ISBLANK(C1477),"",_xlfn.IFNA(INDEX(inbound_data[],MATCH(Outbound_data[[#This Row],[STOCK CODE OUT]],Generated_Stockcode,0),13),""))</f>
        <v/>
      </c>
    </row>
    <row r="1478" spans="2:17" x14ac:dyDescent="0.25">
      <c r="B1478" s="71"/>
      <c r="C1478" s="65"/>
      <c r="D1478" s="55"/>
      <c r="E1478" s="65"/>
      <c r="F1478" s="166"/>
      <c r="G1478" s="167"/>
      <c r="H1478" s="166"/>
      <c r="I1478" s="72"/>
      <c r="J1478" s="55"/>
      <c r="K1478" s="72"/>
      <c r="L1478" s="55"/>
      <c r="M1478" s="174"/>
      <c r="N1478" s="73" t="str">
        <f>IF(ISBLANK(C1478),"",_xlfn.IFNA(INDEX(inbound_data[],MATCH(Outbound_data[[#This Row],[STOCK CODE OUT]],Generated_Stockcode,0),10),""))</f>
        <v/>
      </c>
      <c r="O1478" s="73" t="str">
        <f>IF(ISBLANK(C1478),"",_xlfn.IFNA(INDEX(inbound_data[],MATCH(Outbound_data[[#This Row],[STOCK CODE OUT]],Generated_Stockcode,0),12),""))</f>
        <v/>
      </c>
      <c r="P1478" s="73" t="str">
        <f>IF(ISBLANK(C1478),"",_xlfn.IFNA(INDEX(inbound_data[],MATCH(Outbound_data[[#This Row],[STOCK CODE OUT]],Generated_Stockcode,0),23),""))</f>
        <v/>
      </c>
      <c r="Q1478" s="73" t="str">
        <f>IF(ISBLANK(C1478),"",_xlfn.IFNA(INDEX(inbound_data[],MATCH(Outbound_data[[#This Row],[STOCK CODE OUT]],Generated_Stockcode,0),13),""))</f>
        <v/>
      </c>
    </row>
    <row r="1479" spans="2:17" x14ac:dyDescent="0.25">
      <c r="B1479" s="71"/>
      <c r="C1479" s="65"/>
      <c r="D1479" s="55"/>
      <c r="E1479" s="65"/>
      <c r="F1479" s="166"/>
      <c r="G1479" s="167"/>
      <c r="H1479" s="166"/>
      <c r="I1479" s="72"/>
      <c r="J1479" s="55"/>
      <c r="K1479" s="72"/>
      <c r="L1479" s="55"/>
      <c r="M1479" s="174"/>
      <c r="N1479" s="73" t="str">
        <f>IF(ISBLANK(C1479),"",_xlfn.IFNA(INDEX(inbound_data[],MATCH(Outbound_data[[#This Row],[STOCK CODE OUT]],Generated_Stockcode,0),10),""))</f>
        <v/>
      </c>
      <c r="O1479" s="73" t="str">
        <f>IF(ISBLANK(C1479),"",_xlfn.IFNA(INDEX(inbound_data[],MATCH(Outbound_data[[#This Row],[STOCK CODE OUT]],Generated_Stockcode,0),12),""))</f>
        <v/>
      </c>
      <c r="P1479" s="73" t="str">
        <f>IF(ISBLANK(C1479),"",_xlfn.IFNA(INDEX(inbound_data[],MATCH(Outbound_data[[#This Row],[STOCK CODE OUT]],Generated_Stockcode,0),23),""))</f>
        <v/>
      </c>
      <c r="Q1479" s="73" t="str">
        <f>IF(ISBLANK(C1479),"",_xlfn.IFNA(INDEX(inbound_data[],MATCH(Outbound_data[[#This Row],[STOCK CODE OUT]],Generated_Stockcode,0),13),""))</f>
        <v/>
      </c>
    </row>
    <row r="1480" spans="2:17" x14ac:dyDescent="0.25">
      <c r="B1480" s="71"/>
      <c r="C1480" s="65"/>
      <c r="D1480" s="55"/>
      <c r="E1480" s="65"/>
      <c r="F1480" s="166"/>
      <c r="G1480" s="167"/>
      <c r="H1480" s="166"/>
      <c r="I1480" s="72"/>
      <c r="J1480" s="55"/>
      <c r="K1480" s="72"/>
      <c r="L1480" s="55"/>
      <c r="M1480" s="174"/>
      <c r="N1480" s="73" t="str">
        <f>IF(ISBLANK(C1480),"",_xlfn.IFNA(INDEX(inbound_data[],MATCH(Outbound_data[[#This Row],[STOCK CODE OUT]],Generated_Stockcode,0),10),""))</f>
        <v/>
      </c>
      <c r="O1480" s="73" t="str">
        <f>IF(ISBLANK(C1480),"",_xlfn.IFNA(INDEX(inbound_data[],MATCH(Outbound_data[[#This Row],[STOCK CODE OUT]],Generated_Stockcode,0),12),""))</f>
        <v/>
      </c>
      <c r="P1480" s="73" t="str">
        <f>IF(ISBLANK(C1480),"",_xlfn.IFNA(INDEX(inbound_data[],MATCH(Outbound_data[[#This Row],[STOCK CODE OUT]],Generated_Stockcode,0),23),""))</f>
        <v/>
      </c>
      <c r="Q1480" s="73" t="str">
        <f>IF(ISBLANK(C1480),"",_xlfn.IFNA(INDEX(inbound_data[],MATCH(Outbound_data[[#This Row],[STOCK CODE OUT]],Generated_Stockcode,0),13),""))</f>
        <v/>
      </c>
    </row>
  </sheetData>
  <conditionalFormatting sqref="E3:E1048576">
    <cfRule type="duplicateValues" dxfId="56" priority="1"/>
  </conditionalFormatting>
  <pageMargins left="0.7" right="0.7" top="0.75" bottom="0.75" header="0.3" footer="0.3"/>
  <pageSetup orientation="portrait" horizontalDpi="0" verticalDpi="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1DFC6-174D-4345-BF19-2371BA193D1D}">
  <sheetPr codeName="Sheet2">
    <tabColor rgb="FF00B050"/>
  </sheetPr>
  <dimension ref="A1:AL1500"/>
  <sheetViews>
    <sheetView showGridLines="0" topLeftCell="D1" zoomScale="85" zoomScaleNormal="85" workbookViewId="0">
      <pane xSplit="7" ySplit="8" topLeftCell="K120" activePane="bottomRight" state="frozen"/>
      <selection activeCell="D1" sqref="D1"/>
      <selection pane="topRight" activeCell="K1" sqref="K1"/>
      <selection pane="bottomLeft" activeCell="D9" sqref="D9"/>
      <selection pane="bottomRight" activeCell="J142" sqref="J142"/>
    </sheetView>
  </sheetViews>
  <sheetFormatPr defaultRowHeight="15" x14ac:dyDescent="0.25"/>
  <cols>
    <col min="1" max="2" width="11.140625" hidden="1" customWidth="1"/>
    <col min="3" max="3" width="20" hidden="1" customWidth="1"/>
    <col min="4" max="4" width="17.140625" customWidth="1"/>
    <col min="5" max="5" width="25.28515625" bestFit="1" customWidth="1"/>
    <col min="6" max="6" width="21.140625" customWidth="1"/>
    <col min="7" max="7" width="19.5703125" customWidth="1"/>
    <col min="8" max="8" width="9.7109375" customWidth="1"/>
    <col min="9" max="9" width="11.5703125" customWidth="1"/>
    <col min="10" max="10" width="19.42578125" bestFit="1" customWidth="1" collapsed="1"/>
    <col min="11" max="11" width="16.28515625" bestFit="1" customWidth="1"/>
    <col min="12" max="12" width="47.7109375" bestFit="1" customWidth="1"/>
    <col min="13" max="13" width="24.140625" bestFit="1" customWidth="1"/>
    <col min="14" max="14" width="22.140625" bestFit="1" customWidth="1"/>
    <col min="15" max="15" width="21.140625" bestFit="1" customWidth="1"/>
    <col min="16" max="16" width="14.28515625" bestFit="1" customWidth="1"/>
    <col min="17" max="17" width="22" bestFit="1" customWidth="1"/>
    <col min="18" max="18" width="17.42578125" bestFit="1" customWidth="1"/>
    <col min="19" max="19" width="16" bestFit="1" customWidth="1"/>
    <col min="20" max="20" width="16.7109375" bestFit="1" customWidth="1" collapsed="1"/>
    <col min="21" max="21" width="20.85546875" bestFit="1" customWidth="1"/>
    <col min="22" max="22" width="19.28515625" bestFit="1" customWidth="1"/>
    <col min="23" max="23" width="11.28515625" bestFit="1" customWidth="1"/>
    <col min="24" max="24" width="9.85546875" bestFit="1" customWidth="1"/>
    <col min="25" max="25" width="14.5703125" bestFit="1" customWidth="1"/>
    <col min="26" max="26" width="20.85546875" bestFit="1" customWidth="1"/>
    <col min="27" max="27" width="10.5703125" bestFit="1" customWidth="1" collapsed="1"/>
    <col min="28" max="31" width="5.5703125" customWidth="1"/>
    <col min="32" max="32" width="13.140625" customWidth="1"/>
    <col min="33" max="33" width="15.7109375" customWidth="1"/>
    <col min="35" max="35" width="13.7109375" customWidth="1"/>
    <col min="36" max="37" width="13" customWidth="1"/>
    <col min="38" max="38" width="14.28515625" customWidth="1"/>
    <col min="39" max="39" width="14.42578125" customWidth="1"/>
    <col min="40" max="40" width="9.140625" customWidth="1"/>
  </cols>
  <sheetData>
    <row r="1" spans="1:38" ht="22.5" x14ac:dyDescent="0.25">
      <c r="D1" s="41" t="s">
        <v>104</v>
      </c>
      <c r="L1" s="1"/>
      <c r="N1" s="2"/>
    </row>
    <row r="2" spans="1:38" ht="17.25" customHeight="1" x14ac:dyDescent="0.25">
      <c r="D2" s="42" t="s">
        <v>79</v>
      </c>
      <c r="L2" s="3"/>
      <c r="N2" s="2"/>
      <c r="O2" s="4"/>
      <c r="P2" s="5"/>
    </row>
    <row r="3" spans="1:38" s="6" customFormat="1" ht="33" customHeight="1" x14ac:dyDescent="0.35">
      <c r="B3" s="44"/>
      <c r="C3"/>
      <c r="D3" s="44" t="s">
        <v>122</v>
      </c>
      <c r="E3"/>
      <c r="F3"/>
      <c r="G3"/>
      <c r="H3"/>
      <c r="I3"/>
      <c r="J3" s="7"/>
      <c r="L3" s="8"/>
      <c r="O3" s="7"/>
      <c r="P3" s="7"/>
    </row>
    <row r="4" spans="1:38" s="6" customFormat="1" ht="23.25" customHeight="1" x14ac:dyDescent="0.25">
      <c r="B4" s="43"/>
      <c r="C4" s="84"/>
      <c r="D4"/>
      <c r="E4" s="84">
        <f ca="1">NOW()</f>
        <v>46111.157060300924</v>
      </c>
      <c r="F4"/>
      <c r="G4"/>
      <c r="H4"/>
      <c r="I4"/>
      <c r="J4" s="7"/>
      <c r="O4" s="7"/>
      <c r="P4" s="7"/>
    </row>
    <row r="5" spans="1:38" s="6" customFormat="1" ht="18.75" customHeight="1" x14ac:dyDescent="0.25">
      <c r="B5"/>
      <c r="C5"/>
      <c r="D5"/>
      <c r="E5" s="85" t="s">
        <v>8</v>
      </c>
      <c r="F5" s="81">
        <f>$R$7-'Outbound data'!$F$2</f>
        <v>820</v>
      </c>
      <c r="G5" s="81">
        <f>$T$7-$F$5</f>
        <v>0</v>
      </c>
      <c r="H5"/>
      <c r="I5"/>
      <c r="J5" s="7"/>
      <c r="L5" s="9"/>
      <c r="M5" s="9"/>
    </row>
    <row r="6" spans="1:38" s="3" customFormat="1" ht="18.75" customHeight="1" x14ac:dyDescent="0.25">
      <c r="E6" s="85" t="s">
        <v>9</v>
      </c>
      <c r="F6" s="81">
        <f>$S$7-'Outbound data'!$G$2</f>
        <v>1853.1520000000019</v>
      </c>
      <c r="G6" s="81">
        <f>$U$7-$F$6</f>
        <v>-1.8189894035458565E-12</v>
      </c>
      <c r="H6"/>
      <c r="I6"/>
    </row>
    <row r="7" spans="1:38" x14ac:dyDescent="0.25">
      <c r="E7" s="85" t="s">
        <v>10</v>
      </c>
      <c r="F7" s="81">
        <f>$K$7-'Outbound data'!$H$2</f>
        <v>31</v>
      </c>
      <c r="G7" s="81">
        <f>$V$7-F7</f>
        <v>0</v>
      </c>
      <c r="I7" s="86" t="s">
        <v>105</v>
      </c>
      <c r="J7" s="18" cm="1">
        <f t="array" ref="J7">SUM(IF(FREQUENCY(IF(Pallet_Series&lt;&gt;"", MATCH(Pallet_Series,Pallet_Series,0)),ROW(Pallet_Series)-ROW(J9)+1),1))</f>
        <v>137</v>
      </c>
      <c r="K7" s="82">
        <f>SUM(Pallet_qty)</f>
        <v>137</v>
      </c>
      <c r="L7" s="83">
        <f>J7-K7</f>
        <v>0</v>
      </c>
      <c r="R7" s="173">
        <f>SUM(In_Quantity)</f>
        <v>5402</v>
      </c>
      <c r="S7" s="173">
        <f>SUM(In_Weight)</f>
        <v>37134.336000000003</v>
      </c>
      <c r="T7" s="48">
        <f>SUM(Ending_Quantity)</f>
        <v>820</v>
      </c>
      <c r="U7" s="48">
        <f>SUM(Ending_Weight)</f>
        <v>1853.152</v>
      </c>
      <c r="V7" s="48">
        <f>SUM(Ending_Pallet_Quantity)</f>
        <v>31</v>
      </c>
      <c r="AA7" s="88" t="s">
        <v>106</v>
      </c>
      <c r="AB7" s="87"/>
      <c r="AC7" s="87"/>
      <c r="AD7" s="87"/>
      <c r="AE7" s="87"/>
    </row>
    <row r="8" spans="1:38" s="10" customFormat="1" ht="39.75" customHeight="1" x14ac:dyDescent="0.25">
      <c r="A8" s="45" t="s">
        <v>33</v>
      </c>
      <c r="B8" s="49" t="s">
        <v>11</v>
      </c>
      <c r="C8" s="49" t="s">
        <v>12</v>
      </c>
      <c r="D8" s="49" t="s">
        <v>13</v>
      </c>
      <c r="E8" s="49" t="s">
        <v>15</v>
      </c>
      <c r="F8" s="49" t="s">
        <v>16</v>
      </c>
      <c r="G8" s="49" t="s">
        <v>17</v>
      </c>
      <c r="H8" s="49" t="s">
        <v>18</v>
      </c>
      <c r="I8" s="49" t="s">
        <v>19</v>
      </c>
      <c r="J8" s="49" t="s">
        <v>44</v>
      </c>
      <c r="K8" s="49" t="s">
        <v>43</v>
      </c>
      <c r="L8" s="49" t="s">
        <v>21</v>
      </c>
      <c r="M8" s="49" t="s">
        <v>22</v>
      </c>
      <c r="N8" s="50" t="s">
        <v>23</v>
      </c>
      <c r="O8" s="50" t="s">
        <v>24</v>
      </c>
      <c r="P8" s="49" t="s">
        <v>25</v>
      </c>
      <c r="Q8" s="49" t="s">
        <v>14</v>
      </c>
      <c r="R8" s="51" t="s">
        <v>26</v>
      </c>
      <c r="S8" s="51" t="s">
        <v>27</v>
      </c>
      <c r="T8" s="51" t="s">
        <v>31</v>
      </c>
      <c r="U8" s="51" t="s">
        <v>32</v>
      </c>
      <c r="V8" s="49" t="s">
        <v>41</v>
      </c>
      <c r="W8" s="49" t="s">
        <v>1</v>
      </c>
      <c r="X8" s="49" t="s">
        <v>2</v>
      </c>
      <c r="Y8" s="49" t="s">
        <v>20</v>
      </c>
      <c r="Z8" s="49" t="s">
        <v>30</v>
      </c>
      <c r="AA8" s="49" t="s">
        <v>3</v>
      </c>
      <c r="AB8" s="49" t="s">
        <v>4</v>
      </c>
      <c r="AC8" s="49" t="s">
        <v>5</v>
      </c>
      <c r="AD8" s="49" t="s">
        <v>6</v>
      </c>
      <c r="AE8" s="49" t="s">
        <v>7</v>
      </c>
      <c r="AF8" s="52" t="s">
        <v>28</v>
      </c>
      <c r="AG8" s="52" t="s">
        <v>29</v>
      </c>
      <c r="AI8"/>
      <c r="AJ8"/>
      <c r="AK8"/>
      <c r="AL8"/>
    </row>
    <row r="9" spans="1:38" s="12" customFormat="1" x14ac:dyDescent="0.25">
      <c r="A9" s="46" t="str">
        <f>IF(ISBLANK(inbound_data[[#This Row],[Receiving Report ref.'#]]),"",IF(inbound_data[[#This Row],[Ending Quantity]]=0,"ZERO","INV"))</f>
        <v>ZERO</v>
      </c>
      <c r="B9" s="165" t="str">
        <f t="shared" ref="B9:B72" si="0">IF(ISBLANK(D9),"",TEXT(ROW(),"00000"))</f>
        <v>00009</v>
      </c>
      <c r="C9" s="165" t="str">
        <f>IF(ISBLANK(D9),"",inbound_data[[#This Row],[Pallet_Series]]&amp;inbound_data[[#This Row],[No.]])</f>
        <v>DUO-00001A/633200009</v>
      </c>
      <c r="D9" s="54">
        <v>45910</v>
      </c>
      <c r="E9" s="55" t="s">
        <v>138</v>
      </c>
      <c r="F9" s="56" t="s">
        <v>137</v>
      </c>
      <c r="G9" s="57" t="s">
        <v>136</v>
      </c>
      <c r="H9" s="53" t="s">
        <v>135</v>
      </c>
      <c r="I9" s="53">
        <v>73296</v>
      </c>
      <c r="J9" s="55" t="s">
        <v>123</v>
      </c>
      <c r="K9" s="58">
        <v>1</v>
      </c>
      <c r="L9" s="59" t="s">
        <v>133</v>
      </c>
      <c r="M9" s="55" t="s">
        <v>134</v>
      </c>
      <c r="N9" s="60">
        <v>45908</v>
      </c>
      <c r="O9" s="60">
        <v>46454</v>
      </c>
      <c r="P9" s="165" t="str">
        <f t="shared" ref="P9:P72" ca="1" si="1">IF(A9="ZERO","",IF(O9="","",O9-TODAY()))</f>
        <v/>
      </c>
      <c r="Q9" s="165" t="str">
        <f t="shared" ref="Q9:Q72" si="2">IF(A9="ZERO","",IF(P9&lt;0,"ALREADY EXPIRED",IF(P9&lt;60,"NEARLY EXPIRED","")))</f>
        <v/>
      </c>
      <c r="R9" s="79">
        <v>70</v>
      </c>
      <c r="S9" s="79">
        <f>+inbound_data[[#This Row],[In Quantity]]*3.744</f>
        <v>262.08000000000004</v>
      </c>
      <c r="T9" s="61">
        <f t="shared" ref="T9:T72" si="3">IF(ISBLANK(R9),0,R9-SUMIF(STOCK_CODE_OUT,$C9,QTY_OUT))</f>
        <v>0</v>
      </c>
      <c r="U9" s="61">
        <f t="shared" ref="U9:U72" si="4">IF(ISBLANK(S9),0,S9-SUMIF(STOCK_CODE_OUT,$C9,KILOS_OUT))</f>
        <v>0</v>
      </c>
      <c r="V9" s="61">
        <f t="shared" ref="V9:V72" si="5">IF(ISBLANK(K9),0,K9-SUMIF(STOCK_CODE_OUT,$C9,PALLET_OUT))</f>
        <v>0</v>
      </c>
      <c r="W9" s="58" t="s">
        <v>139</v>
      </c>
      <c r="X9" s="58" t="s">
        <v>141</v>
      </c>
      <c r="Y9" s="53" t="s">
        <v>140</v>
      </c>
      <c r="Z9" s="57" t="s">
        <v>142</v>
      </c>
      <c r="AA9" s="62">
        <v>4</v>
      </c>
      <c r="AB9" s="62" t="s">
        <v>146</v>
      </c>
      <c r="AC9" s="62">
        <v>2</v>
      </c>
      <c r="AD9" s="62">
        <v>4</v>
      </c>
      <c r="AE9" s="62">
        <v>1</v>
      </c>
      <c r="AF9" s="63"/>
      <c r="AG9" s="64" t="str">
        <f t="shared" ref="AG9:AG72" si="6">IF(T9&gt;0,CONCATENATE(AA9,AB9,TEXT(AC9,"R00"),TEXT(AD9,"L0."),TEXT(AE9,"0")),"")</f>
        <v/>
      </c>
      <c r="AI9"/>
      <c r="AJ9"/>
      <c r="AK9"/>
      <c r="AL9"/>
    </row>
    <row r="10" spans="1:38" s="12" customFormat="1" x14ac:dyDescent="0.25">
      <c r="A10" s="46" t="str">
        <f>IF(ISBLANK(inbound_data[[#This Row],[Receiving Report ref.'#]]),"",IF(inbound_data[[#This Row],[Ending Quantity]]=0,"ZERO","INV"))</f>
        <v>ZERO</v>
      </c>
      <c r="B10" s="165" t="str">
        <f t="shared" si="0"/>
        <v>00010</v>
      </c>
      <c r="C10" s="165" t="str">
        <f>IF(ISBLANK(D10),"",inbound_data[[#This Row],[Pallet_Series]]&amp;inbound_data[[#This Row],[No.]])</f>
        <v>DUO-00002A/154300010</v>
      </c>
      <c r="D10" s="54">
        <v>45910</v>
      </c>
      <c r="E10" s="55" t="s">
        <v>138</v>
      </c>
      <c r="F10" s="56" t="s">
        <v>137</v>
      </c>
      <c r="G10" s="57" t="s">
        <v>136</v>
      </c>
      <c r="H10" s="53" t="s">
        <v>135</v>
      </c>
      <c r="I10" s="53">
        <v>73296</v>
      </c>
      <c r="J10" s="55" t="s">
        <v>124</v>
      </c>
      <c r="K10" s="58">
        <v>1</v>
      </c>
      <c r="L10" s="59" t="s">
        <v>133</v>
      </c>
      <c r="M10" s="55" t="s">
        <v>134</v>
      </c>
      <c r="N10" s="60">
        <v>45908</v>
      </c>
      <c r="O10" s="60">
        <v>46454</v>
      </c>
      <c r="P10" s="165" t="str">
        <f t="shared" ca="1" si="1"/>
        <v/>
      </c>
      <c r="Q10" s="165" t="str">
        <f t="shared" si="2"/>
        <v/>
      </c>
      <c r="R10" s="79">
        <v>70</v>
      </c>
      <c r="S10" s="79">
        <f>+inbound_data[[#This Row],[In Quantity]]*3.744</f>
        <v>262.08000000000004</v>
      </c>
      <c r="T10" s="61">
        <f t="shared" si="3"/>
        <v>0</v>
      </c>
      <c r="U10" s="61">
        <f t="shared" si="4"/>
        <v>0</v>
      </c>
      <c r="V10" s="61">
        <f t="shared" si="5"/>
        <v>0</v>
      </c>
      <c r="W10" s="58" t="s">
        <v>139</v>
      </c>
      <c r="X10" s="58" t="s">
        <v>141</v>
      </c>
      <c r="Y10" s="53" t="s">
        <v>140</v>
      </c>
      <c r="Z10" s="57" t="s">
        <v>143</v>
      </c>
      <c r="AA10" s="62">
        <v>4</v>
      </c>
      <c r="AB10" s="62" t="s">
        <v>146</v>
      </c>
      <c r="AC10" s="62">
        <v>2</v>
      </c>
      <c r="AD10" s="62">
        <v>5</v>
      </c>
      <c r="AE10" s="62">
        <v>1</v>
      </c>
      <c r="AF10" s="63"/>
      <c r="AG10" s="64" t="str">
        <f t="shared" si="6"/>
        <v/>
      </c>
      <c r="AI10"/>
      <c r="AJ10"/>
      <c r="AK10"/>
      <c r="AL10"/>
    </row>
    <row r="11" spans="1:38" s="12" customFormat="1" x14ac:dyDescent="0.25">
      <c r="A11" s="46" t="str">
        <f>IF(ISBLANK(inbound_data[[#This Row],[Receiving Report ref.'#]]),"",IF(inbound_data[[#This Row],[Ending Quantity]]=0,"ZERO","INV"))</f>
        <v>ZERO</v>
      </c>
      <c r="B11" s="165" t="str">
        <f t="shared" si="0"/>
        <v>00011</v>
      </c>
      <c r="C11" s="165" t="str">
        <f>IF(ISBLANK(D11),"",inbound_data[[#This Row],[Pallet_Series]]&amp;inbound_data[[#This Row],[No.]])</f>
        <v>DUO-00003A/500700011</v>
      </c>
      <c r="D11" s="54">
        <v>45910</v>
      </c>
      <c r="E11" s="55" t="s">
        <v>138</v>
      </c>
      <c r="F11" s="56" t="s">
        <v>137</v>
      </c>
      <c r="G11" s="57" t="s">
        <v>136</v>
      </c>
      <c r="H11" s="53" t="s">
        <v>135</v>
      </c>
      <c r="I11" s="53">
        <v>73296</v>
      </c>
      <c r="J11" s="55" t="s">
        <v>125</v>
      </c>
      <c r="K11" s="58">
        <v>1</v>
      </c>
      <c r="L11" s="59" t="s">
        <v>133</v>
      </c>
      <c r="M11" s="55" t="s">
        <v>134</v>
      </c>
      <c r="N11" s="60">
        <v>45908</v>
      </c>
      <c r="O11" s="60">
        <v>46454</v>
      </c>
      <c r="P11" s="165" t="str">
        <f t="shared" ca="1" si="1"/>
        <v/>
      </c>
      <c r="Q11" s="165" t="str">
        <f t="shared" si="2"/>
        <v/>
      </c>
      <c r="R11" s="79">
        <v>70</v>
      </c>
      <c r="S11" s="79">
        <f>+inbound_data[[#This Row],[In Quantity]]*3.744</f>
        <v>262.08000000000004</v>
      </c>
      <c r="T11" s="61">
        <f t="shared" si="3"/>
        <v>0</v>
      </c>
      <c r="U11" s="61">
        <f t="shared" si="4"/>
        <v>0</v>
      </c>
      <c r="V11" s="61">
        <f t="shared" si="5"/>
        <v>0</v>
      </c>
      <c r="W11" s="58" t="s">
        <v>139</v>
      </c>
      <c r="X11" s="58" t="s">
        <v>141</v>
      </c>
      <c r="Y11" s="53" t="s">
        <v>140</v>
      </c>
      <c r="Z11" s="57" t="s">
        <v>142</v>
      </c>
      <c r="AA11" s="62">
        <v>4</v>
      </c>
      <c r="AB11" s="62" t="s">
        <v>145</v>
      </c>
      <c r="AC11" s="62">
        <v>9</v>
      </c>
      <c r="AD11" s="62">
        <v>3</v>
      </c>
      <c r="AE11" s="62">
        <v>2</v>
      </c>
      <c r="AF11" s="63"/>
      <c r="AG11" s="64" t="str">
        <f t="shared" si="6"/>
        <v/>
      </c>
      <c r="AI11"/>
      <c r="AJ11"/>
      <c r="AK11"/>
      <c r="AL11"/>
    </row>
    <row r="12" spans="1:38" s="12" customFormat="1" x14ac:dyDescent="0.25">
      <c r="A12" s="46" t="str">
        <f>IF(ISBLANK(inbound_data[[#This Row],[Receiving Report ref.'#]]),"",IF(inbound_data[[#This Row],[Ending Quantity]]=0,"ZERO","INV"))</f>
        <v>ZERO</v>
      </c>
      <c r="B12" s="165" t="str">
        <f t="shared" si="0"/>
        <v>00012</v>
      </c>
      <c r="C12" s="165" t="str">
        <f>IF(ISBLANK(D12),"",inbound_data[[#This Row],[Pallet_Series]]&amp;inbound_data[[#This Row],[No.]])</f>
        <v>DUO-00004A/NP00012</v>
      </c>
      <c r="D12" s="54">
        <v>45910</v>
      </c>
      <c r="E12" s="55" t="s">
        <v>138</v>
      </c>
      <c r="F12" s="56" t="s">
        <v>137</v>
      </c>
      <c r="G12" s="57" t="s">
        <v>136</v>
      </c>
      <c r="H12" s="53" t="s">
        <v>135</v>
      </c>
      <c r="I12" s="53">
        <v>73296</v>
      </c>
      <c r="J12" s="55" t="s">
        <v>126</v>
      </c>
      <c r="K12" s="58">
        <v>1</v>
      </c>
      <c r="L12" s="59" t="s">
        <v>133</v>
      </c>
      <c r="M12" s="55" t="s">
        <v>134</v>
      </c>
      <c r="N12" s="60">
        <v>45908</v>
      </c>
      <c r="O12" s="60">
        <v>46454</v>
      </c>
      <c r="P12" s="165" t="str">
        <f t="shared" ca="1" si="1"/>
        <v/>
      </c>
      <c r="Q12" s="165" t="str">
        <f t="shared" si="2"/>
        <v/>
      </c>
      <c r="R12" s="79">
        <v>70</v>
      </c>
      <c r="S12" s="79">
        <f>+inbound_data[[#This Row],[In Quantity]]*3.744</f>
        <v>262.08000000000004</v>
      </c>
      <c r="T12" s="61">
        <f t="shared" si="3"/>
        <v>0</v>
      </c>
      <c r="U12" s="61">
        <f t="shared" si="4"/>
        <v>0</v>
      </c>
      <c r="V12" s="61">
        <f t="shared" si="5"/>
        <v>0</v>
      </c>
      <c r="W12" s="58" t="s">
        <v>139</v>
      </c>
      <c r="X12" s="58" t="s">
        <v>141</v>
      </c>
      <c r="Y12" s="53" t="s">
        <v>140</v>
      </c>
      <c r="Z12" s="57" t="s">
        <v>142</v>
      </c>
      <c r="AA12" s="62">
        <v>4</v>
      </c>
      <c r="AB12" s="62" t="s">
        <v>145</v>
      </c>
      <c r="AC12" s="62">
        <v>12</v>
      </c>
      <c r="AD12" s="62">
        <v>5</v>
      </c>
      <c r="AE12" s="62">
        <v>1</v>
      </c>
      <c r="AF12" s="63" t="s">
        <v>158</v>
      </c>
      <c r="AG12" s="64" t="str">
        <f t="shared" si="6"/>
        <v/>
      </c>
      <c r="AI12"/>
      <c r="AJ12"/>
      <c r="AK12"/>
      <c r="AL12"/>
    </row>
    <row r="13" spans="1:38" s="12" customFormat="1" x14ac:dyDescent="0.25">
      <c r="A13" s="46" t="str">
        <f>IF(ISBLANK(inbound_data[[#This Row],[Receiving Report ref.'#]]),"",IF(inbound_data[[#This Row],[Ending Quantity]]=0,"ZERO","INV"))</f>
        <v>ZERO</v>
      </c>
      <c r="B13" s="165" t="str">
        <f t="shared" si="0"/>
        <v>00013</v>
      </c>
      <c r="C13" s="165" t="str">
        <f>IF(ISBLANK(D13),"",inbound_data[[#This Row],[Pallet_Series]]&amp;inbound_data[[#This Row],[No.]])</f>
        <v>DUO-00005A/4182800013</v>
      </c>
      <c r="D13" s="54">
        <v>45910</v>
      </c>
      <c r="E13" s="55" t="s">
        <v>138</v>
      </c>
      <c r="F13" s="56" t="s">
        <v>137</v>
      </c>
      <c r="G13" s="57" t="s">
        <v>136</v>
      </c>
      <c r="H13" s="53" t="s">
        <v>135</v>
      </c>
      <c r="I13" s="53">
        <v>73296</v>
      </c>
      <c r="J13" s="55" t="s">
        <v>127</v>
      </c>
      <c r="K13" s="58">
        <v>1</v>
      </c>
      <c r="L13" s="59" t="s">
        <v>133</v>
      </c>
      <c r="M13" s="55" t="s">
        <v>134</v>
      </c>
      <c r="N13" s="60">
        <v>45908</v>
      </c>
      <c r="O13" s="60">
        <v>46454</v>
      </c>
      <c r="P13" s="165" t="str">
        <f t="shared" ca="1" si="1"/>
        <v/>
      </c>
      <c r="Q13" s="165" t="str">
        <f t="shared" si="2"/>
        <v/>
      </c>
      <c r="R13" s="79">
        <v>70</v>
      </c>
      <c r="S13" s="79">
        <f>+inbound_data[[#This Row],[In Quantity]]*3.744</f>
        <v>262.08000000000004</v>
      </c>
      <c r="T13" s="61">
        <f t="shared" si="3"/>
        <v>0</v>
      </c>
      <c r="U13" s="61">
        <f t="shared" si="4"/>
        <v>0</v>
      </c>
      <c r="V13" s="61">
        <f t="shared" si="5"/>
        <v>0</v>
      </c>
      <c r="W13" s="58" t="s">
        <v>139</v>
      </c>
      <c r="X13" s="58" t="s">
        <v>141</v>
      </c>
      <c r="Y13" s="53" t="s">
        <v>140</v>
      </c>
      <c r="Z13" s="57" t="s">
        <v>142</v>
      </c>
      <c r="AA13" s="62">
        <v>4</v>
      </c>
      <c r="AB13" s="62" t="s">
        <v>145</v>
      </c>
      <c r="AC13" s="62">
        <v>11</v>
      </c>
      <c r="AD13" s="62">
        <v>6</v>
      </c>
      <c r="AE13" s="62">
        <v>2</v>
      </c>
      <c r="AF13" s="63" t="s">
        <v>157</v>
      </c>
      <c r="AG13" s="64" t="str">
        <f t="shared" si="6"/>
        <v/>
      </c>
      <c r="AI13"/>
      <c r="AJ13"/>
      <c r="AK13"/>
      <c r="AL13"/>
    </row>
    <row r="14" spans="1:38" s="12" customFormat="1" x14ac:dyDescent="0.25">
      <c r="A14" s="46" t="str">
        <f>IF(ISBLANK(inbound_data[[#This Row],[Receiving Report ref.'#]]),"",IF(inbound_data[[#This Row],[Ending Quantity]]=0,"ZERO","INV"))</f>
        <v>ZERO</v>
      </c>
      <c r="B14" s="165" t="str">
        <f t="shared" si="0"/>
        <v>00014</v>
      </c>
      <c r="C14" s="165" t="str">
        <f>IF(ISBLANK(D14),"",inbound_data[[#This Row],[Pallet_Series]]&amp;inbound_data[[#This Row],[No.]])</f>
        <v>DUO-00006A/142700014</v>
      </c>
      <c r="D14" s="54">
        <v>45910</v>
      </c>
      <c r="E14" s="55" t="s">
        <v>138</v>
      </c>
      <c r="F14" s="56" t="s">
        <v>137</v>
      </c>
      <c r="G14" s="57" t="s">
        <v>136</v>
      </c>
      <c r="H14" s="53" t="s">
        <v>135</v>
      </c>
      <c r="I14" s="53">
        <v>73296</v>
      </c>
      <c r="J14" s="55" t="s">
        <v>128</v>
      </c>
      <c r="K14" s="58">
        <v>1</v>
      </c>
      <c r="L14" s="59" t="s">
        <v>133</v>
      </c>
      <c r="M14" s="55" t="s">
        <v>134</v>
      </c>
      <c r="N14" s="60">
        <v>45908</v>
      </c>
      <c r="O14" s="60">
        <v>46454</v>
      </c>
      <c r="P14" s="165" t="str">
        <f t="shared" ca="1" si="1"/>
        <v/>
      </c>
      <c r="Q14" s="165" t="str">
        <f t="shared" si="2"/>
        <v/>
      </c>
      <c r="R14" s="79">
        <v>70</v>
      </c>
      <c r="S14" s="79">
        <f>+inbound_data[[#This Row],[In Quantity]]*3.744</f>
        <v>262.08000000000004</v>
      </c>
      <c r="T14" s="61">
        <f t="shared" si="3"/>
        <v>0</v>
      </c>
      <c r="U14" s="61">
        <f t="shared" si="4"/>
        <v>0</v>
      </c>
      <c r="V14" s="61">
        <f t="shared" si="5"/>
        <v>0</v>
      </c>
      <c r="W14" s="58" t="s">
        <v>139</v>
      </c>
      <c r="X14" s="58" t="s">
        <v>141</v>
      </c>
      <c r="Y14" s="53" t="s">
        <v>140</v>
      </c>
      <c r="Z14" s="57" t="s">
        <v>143</v>
      </c>
      <c r="AA14" s="62"/>
      <c r="AB14" s="62"/>
      <c r="AC14" s="62"/>
      <c r="AD14" s="62"/>
      <c r="AE14" s="62"/>
      <c r="AF14" s="63"/>
      <c r="AG14" s="64" t="str">
        <f t="shared" si="6"/>
        <v/>
      </c>
      <c r="AI14"/>
      <c r="AJ14"/>
      <c r="AK14"/>
      <c r="AL14"/>
    </row>
    <row r="15" spans="1:38" s="12" customFormat="1" x14ac:dyDescent="0.25">
      <c r="A15" s="46" t="str">
        <f>IF(ISBLANK(inbound_data[[#This Row],[Receiving Report ref.'#]]),"",IF(inbound_data[[#This Row],[Ending Quantity]]=0,"ZERO","INV"))</f>
        <v>ZERO</v>
      </c>
      <c r="B15" s="165" t="str">
        <f t="shared" si="0"/>
        <v>00015</v>
      </c>
      <c r="C15" s="165" t="str">
        <f>IF(ISBLANK(D15),"",inbound_data[[#This Row],[Pallet_Series]]&amp;inbound_data[[#This Row],[No.]])</f>
        <v>DUO-00007A/1064500015</v>
      </c>
      <c r="D15" s="54">
        <v>45910</v>
      </c>
      <c r="E15" s="55" t="s">
        <v>138</v>
      </c>
      <c r="F15" s="56" t="s">
        <v>137</v>
      </c>
      <c r="G15" s="57" t="s">
        <v>136</v>
      </c>
      <c r="H15" s="53" t="s">
        <v>135</v>
      </c>
      <c r="I15" s="53">
        <v>73296</v>
      </c>
      <c r="J15" s="55" t="s">
        <v>129</v>
      </c>
      <c r="K15" s="58">
        <v>1</v>
      </c>
      <c r="L15" s="59" t="s">
        <v>133</v>
      </c>
      <c r="M15" s="55" t="s">
        <v>134</v>
      </c>
      <c r="N15" s="60">
        <v>45908</v>
      </c>
      <c r="O15" s="60">
        <v>46454</v>
      </c>
      <c r="P15" s="165" t="str">
        <f t="shared" ca="1" si="1"/>
        <v/>
      </c>
      <c r="Q15" s="165" t="str">
        <f t="shared" si="2"/>
        <v/>
      </c>
      <c r="R15" s="79">
        <v>70</v>
      </c>
      <c r="S15" s="79">
        <f>+inbound_data[[#This Row],[In Quantity]]*3.744</f>
        <v>262.08000000000004</v>
      </c>
      <c r="T15" s="61">
        <f t="shared" si="3"/>
        <v>0</v>
      </c>
      <c r="U15" s="61">
        <f t="shared" si="4"/>
        <v>0</v>
      </c>
      <c r="V15" s="61">
        <f t="shared" si="5"/>
        <v>0</v>
      </c>
      <c r="W15" s="58" t="s">
        <v>139</v>
      </c>
      <c r="X15" s="58" t="s">
        <v>141</v>
      </c>
      <c r="Y15" s="53" t="s">
        <v>140</v>
      </c>
      <c r="Z15" s="57" t="s">
        <v>142</v>
      </c>
      <c r="AA15" s="62">
        <v>4</v>
      </c>
      <c r="AB15" s="62" t="s">
        <v>146</v>
      </c>
      <c r="AC15" s="62">
        <v>1</v>
      </c>
      <c r="AD15" s="62">
        <v>4</v>
      </c>
      <c r="AE15" s="62">
        <v>2</v>
      </c>
      <c r="AF15" s="63"/>
      <c r="AG15" s="64" t="str">
        <f t="shared" si="6"/>
        <v/>
      </c>
      <c r="AI15"/>
      <c r="AJ15"/>
      <c r="AK15"/>
      <c r="AL15"/>
    </row>
    <row r="16" spans="1:38" s="12" customFormat="1" x14ac:dyDescent="0.25">
      <c r="A16" s="46" t="str">
        <f>IF(ISBLANK(inbound_data[[#This Row],[Receiving Report ref.'#]]),"",IF(inbound_data[[#This Row],[Ending Quantity]]=0,"ZERO","INV"))</f>
        <v>ZERO</v>
      </c>
      <c r="B16" s="165" t="str">
        <f t="shared" si="0"/>
        <v>00016</v>
      </c>
      <c r="C16" s="165" t="str">
        <f>IF(ISBLANK(D16),"",inbound_data[[#This Row],[Pallet_Series]]&amp;inbound_data[[#This Row],[No.]])</f>
        <v>DUO-00008A/449600016</v>
      </c>
      <c r="D16" s="54">
        <v>45910</v>
      </c>
      <c r="E16" s="55" t="s">
        <v>138</v>
      </c>
      <c r="F16" s="56" t="s">
        <v>137</v>
      </c>
      <c r="G16" s="57" t="s">
        <v>136</v>
      </c>
      <c r="H16" s="53" t="s">
        <v>135</v>
      </c>
      <c r="I16" s="53">
        <v>73296</v>
      </c>
      <c r="J16" s="55" t="s">
        <v>130</v>
      </c>
      <c r="K16" s="58">
        <v>1</v>
      </c>
      <c r="L16" s="59" t="s">
        <v>133</v>
      </c>
      <c r="M16" s="55" t="s">
        <v>134</v>
      </c>
      <c r="N16" s="60">
        <v>45908</v>
      </c>
      <c r="O16" s="60">
        <v>46454</v>
      </c>
      <c r="P16" s="165" t="str">
        <f t="shared" ca="1" si="1"/>
        <v/>
      </c>
      <c r="Q16" s="165" t="str">
        <f t="shared" si="2"/>
        <v/>
      </c>
      <c r="R16" s="79">
        <v>70</v>
      </c>
      <c r="S16" s="79">
        <f>+inbound_data[[#This Row],[In Quantity]]*3.744</f>
        <v>262.08000000000004</v>
      </c>
      <c r="T16" s="61">
        <f t="shared" si="3"/>
        <v>0</v>
      </c>
      <c r="U16" s="61">
        <f t="shared" si="4"/>
        <v>0</v>
      </c>
      <c r="V16" s="61">
        <f t="shared" si="5"/>
        <v>0</v>
      </c>
      <c r="W16" s="58" t="s">
        <v>139</v>
      </c>
      <c r="X16" s="58" t="s">
        <v>141</v>
      </c>
      <c r="Y16" s="53" t="s">
        <v>140</v>
      </c>
      <c r="Z16" s="57" t="s">
        <v>143</v>
      </c>
      <c r="AA16" s="62">
        <v>4</v>
      </c>
      <c r="AB16" s="62" t="s">
        <v>146</v>
      </c>
      <c r="AC16" s="62">
        <v>2</v>
      </c>
      <c r="AD16" s="62">
        <v>4</v>
      </c>
      <c r="AE16" s="62">
        <v>2</v>
      </c>
      <c r="AF16" s="63"/>
      <c r="AG16" s="64" t="str">
        <f t="shared" si="6"/>
        <v/>
      </c>
      <c r="AI16"/>
      <c r="AJ16"/>
      <c r="AK16"/>
      <c r="AL16"/>
    </row>
    <row r="17" spans="1:38" s="12" customFormat="1" x14ac:dyDescent="0.25">
      <c r="A17" s="46" t="str">
        <f>IF(ISBLANK(inbound_data[[#This Row],[Receiving Report ref.'#]]),"",IF(inbound_data[[#This Row],[Ending Quantity]]=0,"ZERO","INV"))</f>
        <v>ZERO</v>
      </c>
      <c r="B17" s="165" t="str">
        <f t="shared" si="0"/>
        <v>00017</v>
      </c>
      <c r="C17" s="165" t="str">
        <f>IF(ISBLANK(D17),"",inbound_data[[#This Row],[Pallet_Series]]&amp;inbound_data[[#This Row],[No.]])</f>
        <v>DUO-00009A/4034100017</v>
      </c>
      <c r="D17" s="54">
        <v>45910</v>
      </c>
      <c r="E17" s="55" t="s">
        <v>138</v>
      </c>
      <c r="F17" s="56" t="s">
        <v>137</v>
      </c>
      <c r="G17" s="57" t="s">
        <v>136</v>
      </c>
      <c r="H17" s="53" t="s">
        <v>135</v>
      </c>
      <c r="I17" s="53">
        <v>73296</v>
      </c>
      <c r="J17" s="55" t="s">
        <v>131</v>
      </c>
      <c r="K17" s="58">
        <v>1</v>
      </c>
      <c r="L17" s="59" t="s">
        <v>133</v>
      </c>
      <c r="M17" s="55" t="s">
        <v>134</v>
      </c>
      <c r="N17" s="60">
        <v>45908</v>
      </c>
      <c r="O17" s="60">
        <v>46454</v>
      </c>
      <c r="P17" s="165" t="str">
        <f t="shared" ca="1" si="1"/>
        <v/>
      </c>
      <c r="Q17" s="165" t="str">
        <f t="shared" si="2"/>
        <v/>
      </c>
      <c r="R17" s="79">
        <v>70</v>
      </c>
      <c r="S17" s="79">
        <f>+inbound_data[[#This Row],[In Quantity]]*3.744</f>
        <v>262.08000000000004</v>
      </c>
      <c r="T17" s="61">
        <f t="shared" si="3"/>
        <v>0</v>
      </c>
      <c r="U17" s="61">
        <f t="shared" si="4"/>
        <v>0</v>
      </c>
      <c r="V17" s="61">
        <f t="shared" si="5"/>
        <v>0</v>
      </c>
      <c r="W17" s="58" t="s">
        <v>139</v>
      </c>
      <c r="X17" s="58" t="s">
        <v>141</v>
      </c>
      <c r="Y17" s="53" t="s">
        <v>140</v>
      </c>
      <c r="Z17" s="57" t="s">
        <v>143</v>
      </c>
      <c r="AA17" s="62">
        <v>4</v>
      </c>
      <c r="AB17" s="62" t="s">
        <v>146</v>
      </c>
      <c r="AC17" s="62">
        <v>1</v>
      </c>
      <c r="AD17" s="62">
        <v>3</v>
      </c>
      <c r="AE17" s="62">
        <v>2</v>
      </c>
      <c r="AF17" s="63"/>
      <c r="AG17" s="64" t="str">
        <f t="shared" si="6"/>
        <v/>
      </c>
      <c r="AI17"/>
      <c r="AJ17"/>
      <c r="AK17"/>
      <c r="AL17"/>
    </row>
    <row r="18" spans="1:38" s="12" customFormat="1" x14ac:dyDescent="0.25">
      <c r="A18" s="46" t="str">
        <f>IF(ISBLANK(inbound_data[[#This Row],[Receiving Report ref.'#]]),"",IF(inbound_data[[#This Row],[Ending Quantity]]=0,"ZERO","INV"))</f>
        <v>ZERO</v>
      </c>
      <c r="B18" s="165" t="str">
        <f t="shared" si="0"/>
        <v>00018</v>
      </c>
      <c r="C18" s="165" t="str">
        <f>IF(ISBLANK(D18),"",inbound_data[[#This Row],[Pallet_Series]]&amp;inbound_data[[#This Row],[No.]])</f>
        <v>DUO-00010A/4092100018</v>
      </c>
      <c r="D18" s="54">
        <v>45910</v>
      </c>
      <c r="E18" s="55" t="s">
        <v>138</v>
      </c>
      <c r="F18" s="56" t="s">
        <v>137</v>
      </c>
      <c r="G18" s="57" t="s">
        <v>136</v>
      </c>
      <c r="H18" s="53" t="s">
        <v>135</v>
      </c>
      <c r="I18" s="53">
        <v>73296</v>
      </c>
      <c r="J18" s="55" t="s">
        <v>132</v>
      </c>
      <c r="K18" s="58">
        <v>1</v>
      </c>
      <c r="L18" s="59" t="s">
        <v>133</v>
      </c>
      <c r="M18" s="55" t="s">
        <v>134</v>
      </c>
      <c r="N18" s="60">
        <v>45908</v>
      </c>
      <c r="O18" s="60">
        <v>46454</v>
      </c>
      <c r="P18" s="165" t="str">
        <f t="shared" ca="1" si="1"/>
        <v/>
      </c>
      <c r="Q18" s="165" t="str">
        <f t="shared" si="2"/>
        <v/>
      </c>
      <c r="R18" s="79">
        <v>41</v>
      </c>
      <c r="S18" s="80">
        <f>+inbound_data[[#This Row],[In Quantity]]*3.744</f>
        <v>153.50400000000002</v>
      </c>
      <c r="T18" s="61">
        <f t="shared" si="3"/>
        <v>0</v>
      </c>
      <c r="U18" s="61">
        <f t="shared" si="4"/>
        <v>0</v>
      </c>
      <c r="V18" s="61">
        <f t="shared" si="5"/>
        <v>0</v>
      </c>
      <c r="W18" s="58" t="s">
        <v>139</v>
      </c>
      <c r="X18" s="58" t="s">
        <v>141</v>
      </c>
      <c r="Y18" s="53" t="s">
        <v>140</v>
      </c>
      <c r="Z18" s="57" t="s">
        <v>142</v>
      </c>
      <c r="AA18" s="62">
        <v>4</v>
      </c>
      <c r="AB18" s="62" t="s">
        <v>146</v>
      </c>
      <c r="AC18" s="62">
        <v>2</v>
      </c>
      <c r="AD18" s="62">
        <v>5</v>
      </c>
      <c r="AE18" s="62">
        <v>2</v>
      </c>
      <c r="AF18" s="63"/>
      <c r="AG18" s="64" t="str">
        <f t="shared" si="6"/>
        <v/>
      </c>
      <c r="AI18"/>
      <c r="AJ18"/>
      <c r="AK18"/>
      <c r="AL18"/>
    </row>
    <row r="19" spans="1:38" s="12" customFormat="1" x14ac:dyDescent="0.25">
      <c r="A19" s="46" t="str">
        <f>IF(ISBLANK(inbound_data[[#This Row],[Receiving Report ref.'#]]),"",IF(inbound_data[[#This Row],[Ending Quantity]]=0,"ZERO","INV"))</f>
        <v>ZERO</v>
      </c>
      <c r="B19" s="165" t="str">
        <f t="shared" si="0"/>
        <v>00019</v>
      </c>
      <c r="C19" s="165" t="str">
        <f>IF(ISBLANK(D19),"",inbound_data[[#This Row],[Pallet_Series]]&amp;inbound_data[[#This Row],[No.]])</f>
        <v>DUO-00011A/484400019</v>
      </c>
      <c r="D19" s="54">
        <v>45912</v>
      </c>
      <c r="E19" s="55" t="s">
        <v>138</v>
      </c>
      <c r="F19" s="56" t="s">
        <v>151</v>
      </c>
      <c r="G19" s="57" t="s">
        <v>136</v>
      </c>
      <c r="H19" s="53" t="s">
        <v>135</v>
      </c>
      <c r="I19" s="53">
        <v>73339</v>
      </c>
      <c r="J19" s="55" t="s">
        <v>147</v>
      </c>
      <c r="K19" s="58">
        <v>1</v>
      </c>
      <c r="L19" s="59" t="s">
        <v>133</v>
      </c>
      <c r="M19" s="55" t="s">
        <v>134</v>
      </c>
      <c r="N19" s="60">
        <v>45901</v>
      </c>
      <c r="O19" s="60">
        <v>46447</v>
      </c>
      <c r="P19" s="165" t="str">
        <f t="shared" ca="1" si="1"/>
        <v/>
      </c>
      <c r="Q19" s="165" t="str">
        <f t="shared" si="2"/>
        <v/>
      </c>
      <c r="R19" s="79">
        <v>70</v>
      </c>
      <c r="S19" s="80">
        <v>262.08000000000004</v>
      </c>
      <c r="T19" s="61">
        <f t="shared" si="3"/>
        <v>0</v>
      </c>
      <c r="U19" s="61">
        <f t="shared" si="4"/>
        <v>0</v>
      </c>
      <c r="V19" s="61">
        <f t="shared" si="5"/>
        <v>0</v>
      </c>
      <c r="W19" s="58" t="s">
        <v>139</v>
      </c>
      <c r="X19" s="58" t="s">
        <v>141</v>
      </c>
      <c r="Y19" s="53" t="s">
        <v>140</v>
      </c>
      <c r="Z19" s="57" t="s">
        <v>143</v>
      </c>
      <c r="AA19" s="62">
        <v>4</v>
      </c>
      <c r="AB19" s="62" t="s">
        <v>145</v>
      </c>
      <c r="AC19" s="62">
        <v>12</v>
      </c>
      <c r="AD19" s="62">
        <v>5</v>
      </c>
      <c r="AE19" s="62">
        <v>2</v>
      </c>
      <c r="AF19" s="63"/>
      <c r="AG19" s="64" t="str">
        <f t="shared" si="6"/>
        <v/>
      </c>
      <c r="AI19"/>
      <c r="AJ19"/>
      <c r="AK19"/>
      <c r="AL19"/>
    </row>
    <row r="20" spans="1:38" s="12" customFormat="1" ht="14.25" customHeight="1" x14ac:dyDescent="0.25">
      <c r="A20" s="46" t="str">
        <f>IF(ISBLANK(inbound_data[[#This Row],[Receiving Report ref.'#]]),"",IF(inbound_data[[#This Row],[Ending Quantity]]=0,"ZERO","INV"))</f>
        <v>ZERO</v>
      </c>
      <c r="B20" s="165" t="str">
        <f t="shared" si="0"/>
        <v>00020</v>
      </c>
      <c r="C20" s="165" t="str">
        <f>IF(ISBLANK(D20),"",inbound_data[[#This Row],[Pallet_Series]]&amp;inbound_data[[#This Row],[No.]])</f>
        <v>DUO-00012A/169400020</v>
      </c>
      <c r="D20" s="54">
        <v>45912</v>
      </c>
      <c r="E20" s="55" t="s">
        <v>138</v>
      </c>
      <c r="F20" s="56" t="s">
        <v>151</v>
      </c>
      <c r="G20" s="57" t="s">
        <v>136</v>
      </c>
      <c r="H20" s="53" t="s">
        <v>135</v>
      </c>
      <c r="I20" s="53">
        <v>73339</v>
      </c>
      <c r="J20" s="55" t="s">
        <v>148</v>
      </c>
      <c r="K20" s="58">
        <v>1</v>
      </c>
      <c r="L20" s="59" t="s">
        <v>133</v>
      </c>
      <c r="M20" s="55" t="s">
        <v>134</v>
      </c>
      <c r="N20" s="60">
        <v>45901</v>
      </c>
      <c r="O20" s="60">
        <v>46447</v>
      </c>
      <c r="P20" s="165" t="str">
        <f t="shared" ca="1" si="1"/>
        <v/>
      </c>
      <c r="Q20" s="165" t="str">
        <f t="shared" si="2"/>
        <v/>
      </c>
      <c r="R20" s="79">
        <v>70</v>
      </c>
      <c r="S20" s="80">
        <v>262.08000000000004</v>
      </c>
      <c r="T20" s="61">
        <f t="shared" si="3"/>
        <v>0</v>
      </c>
      <c r="U20" s="61">
        <f t="shared" si="4"/>
        <v>0</v>
      </c>
      <c r="V20" s="61">
        <f t="shared" si="5"/>
        <v>0</v>
      </c>
      <c r="W20" s="58" t="s">
        <v>139</v>
      </c>
      <c r="X20" s="58" t="s">
        <v>141</v>
      </c>
      <c r="Y20" s="53" t="s">
        <v>140</v>
      </c>
      <c r="Z20" s="57" t="s">
        <v>143</v>
      </c>
      <c r="AA20" s="62">
        <v>4</v>
      </c>
      <c r="AB20" s="62" t="s">
        <v>145</v>
      </c>
      <c r="AC20" s="62">
        <v>12</v>
      </c>
      <c r="AD20" s="62">
        <v>6</v>
      </c>
      <c r="AE20" s="62">
        <v>1</v>
      </c>
      <c r="AF20" s="63"/>
      <c r="AG20" s="64" t="str">
        <f t="shared" si="6"/>
        <v/>
      </c>
      <c r="AI20"/>
      <c r="AJ20"/>
      <c r="AK20"/>
      <c r="AL20"/>
    </row>
    <row r="21" spans="1:38" s="12" customFormat="1" x14ac:dyDescent="0.25">
      <c r="A21" s="46" t="str">
        <f>IF(ISBLANK(inbound_data[[#This Row],[Receiving Report ref.'#]]),"",IF(inbound_data[[#This Row],[Ending Quantity]]=0,"ZERO","INV"))</f>
        <v>ZERO</v>
      </c>
      <c r="B21" s="165" t="str">
        <f t="shared" si="0"/>
        <v>00021</v>
      </c>
      <c r="C21" s="165" t="str">
        <f>IF(ISBLANK(D21),"",inbound_data[[#This Row],[Pallet_Series]]&amp;inbound_data[[#This Row],[No.]])</f>
        <v>DUO-00013A/380000021</v>
      </c>
      <c r="D21" s="54">
        <v>45912</v>
      </c>
      <c r="E21" s="55" t="s">
        <v>138</v>
      </c>
      <c r="F21" s="56" t="s">
        <v>151</v>
      </c>
      <c r="G21" s="57" t="s">
        <v>136</v>
      </c>
      <c r="H21" s="53" t="s">
        <v>135</v>
      </c>
      <c r="I21" s="53">
        <v>73339</v>
      </c>
      <c r="J21" s="55" t="s">
        <v>149</v>
      </c>
      <c r="K21" s="58">
        <v>1</v>
      </c>
      <c r="L21" s="59" t="s">
        <v>133</v>
      </c>
      <c r="M21" s="55" t="s">
        <v>134</v>
      </c>
      <c r="N21" s="60">
        <v>45901</v>
      </c>
      <c r="O21" s="60">
        <v>46447</v>
      </c>
      <c r="P21" s="165" t="str">
        <f t="shared" ca="1" si="1"/>
        <v/>
      </c>
      <c r="Q21" s="165" t="str">
        <f t="shared" si="2"/>
        <v/>
      </c>
      <c r="R21" s="79">
        <v>70</v>
      </c>
      <c r="S21" s="80">
        <v>262.08000000000004</v>
      </c>
      <c r="T21" s="61">
        <f t="shared" si="3"/>
        <v>0</v>
      </c>
      <c r="U21" s="61">
        <f t="shared" si="4"/>
        <v>0</v>
      </c>
      <c r="V21" s="61">
        <f t="shared" si="5"/>
        <v>0</v>
      </c>
      <c r="W21" s="58" t="s">
        <v>139</v>
      </c>
      <c r="X21" s="58" t="s">
        <v>141</v>
      </c>
      <c r="Y21" s="53" t="s">
        <v>140</v>
      </c>
      <c r="Z21" s="57" t="s">
        <v>142</v>
      </c>
      <c r="AA21" s="62">
        <v>4</v>
      </c>
      <c r="AB21" s="62" t="s">
        <v>145</v>
      </c>
      <c r="AC21" s="62">
        <v>11</v>
      </c>
      <c r="AD21" s="62">
        <v>6</v>
      </c>
      <c r="AE21" s="62">
        <v>1</v>
      </c>
      <c r="AF21" s="63"/>
      <c r="AG21" s="64" t="str">
        <f t="shared" si="6"/>
        <v/>
      </c>
      <c r="AI21"/>
      <c r="AJ21"/>
      <c r="AK21"/>
      <c r="AL21"/>
    </row>
    <row r="22" spans="1:38" s="12" customFormat="1" x14ac:dyDescent="0.25">
      <c r="A22" s="46" t="str">
        <f>IF(ISBLANK(inbound_data[[#This Row],[Receiving Report ref.'#]]),"",IF(inbound_data[[#This Row],[Ending Quantity]]=0,"ZERO","INV"))</f>
        <v>ZERO</v>
      </c>
      <c r="B22" s="165" t="str">
        <f t="shared" si="0"/>
        <v>00022</v>
      </c>
      <c r="C22" s="165" t="str">
        <f>IF(ISBLANK(D22),"",inbound_data[[#This Row],[Pallet_Series]]&amp;inbound_data[[#This Row],[No.]])</f>
        <v>DUO-00014A/854300022</v>
      </c>
      <c r="D22" s="54">
        <v>45912</v>
      </c>
      <c r="E22" s="55" t="s">
        <v>138</v>
      </c>
      <c r="F22" s="56" t="s">
        <v>151</v>
      </c>
      <c r="G22" s="57" t="s">
        <v>136</v>
      </c>
      <c r="H22" s="53" t="s">
        <v>135</v>
      </c>
      <c r="I22" s="53">
        <v>73339</v>
      </c>
      <c r="J22" s="55" t="s">
        <v>150</v>
      </c>
      <c r="K22" s="58">
        <v>1</v>
      </c>
      <c r="L22" s="59" t="s">
        <v>133</v>
      </c>
      <c r="M22" s="55" t="s">
        <v>134</v>
      </c>
      <c r="N22" s="60">
        <v>45901</v>
      </c>
      <c r="O22" s="60">
        <v>46447</v>
      </c>
      <c r="P22" s="165" t="str">
        <f t="shared" ca="1" si="1"/>
        <v/>
      </c>
      <c r="Q22" s="165" t="str">
        <f t="shared" si="2"/>
        <v/>
      </c>
      <c r="R22" s="79">
        <v>70</v>
      </c>
      <c r="S22" s="80">
        <v>262.08000000000004</v>
      </c>
      <c r="T22" s="61">
        <f t="shared" si="3"/>
        <v>0</v>
      </c>
      <c r="U22" s="61">
        <f t="shared" si="4"/>
        <v>0</v>
      </c>
      <c r="V22" s="61">
        <f t="shared" si="5"/>
        <v>0</v>
      </c>
      <c r="W22" s="58" t="s">
        <v>139</v>
      </c>
      <c r="X22" s="58" t="s">
        <v>141</v>
      </c>
      <c r="Y22" s="53" t="s">
        <v>140</v>
      </c>
      <c r="Z22" s="57" t="s">
        <v>142</v>
      </c>
      <c r="AA22" s="62">
        <v>4</v>
      </c>
      <c r="AB22" s="62" t="s">
        <v>145</v>
      </c>
      <c r="AC22" s="62">
        <v>12</v>
      </c>
      <c r="AD22" s="62">
        <v>6</v>
      </c>
      <c r="AE22" s="62">
        <v>2</v>
      </c>
      <c r="AF22" s="63"/>
      <c r="AG22" s="64" t="str">
        <f t="shared" si="6"/>
        <v/>
      </c>
      <c r="AI22"/>
      <c r="AJ22"/>
      <c r="AK22"/>
      <c r="AL22"/>
    </row>
    <row r="23" spans="1:38" s="12" customFormat="1" x14ac:dyDescent="0.25">
      <c r="A23" s="46" t="str">
        <f>IF(ISBLANK(inbound_data[[#This Row],[Receiving Report ref.'#]]),"",IF(inbound_data[[#This Row],[Ending Quantity]]=0,"ZERO","INV"))</f>
        <v>ZERO</v>
      </c>
      <c r="B23" s="165" t="str">
        <f t="shared" si="0"/>
        <v>00023</v>
      </c>
      <c r="C23" s="165" t="str">
        <f>IF(ISBLANK(D23),"",inbound_data[[#This Row],[Pallet_Series]]&amp;inbound_data[[#This Row],[No.]])</f>
        <v>DUO-00015A/1061000023</v>
      </c>
      <c r="D23" s="54">
        <v>45918</v>
      </c>
      <c r="E23" s="55" t="s">
        <v>138</v>
      </c>
      <c r="F23" s="56">
        <v>102348</v>
      </c>
      <c r="G23" s="57" t="s">
        <v>136</v>
      </c>
      <c r="H23" s="53" t="s">
        <v>135</v>
      </c>
      <c r="I23" s="53">
        <v>75186</v>
      </c>
      <c r="J23" s="55" t="s">
        <v>165</v>
      </c>
      <c r="K23" s="58">
        <v>1</v>
      </c>
      <c r="L23" s="59" t="s">
        <v>172</v>
      </c>
      <c r="M23" s="55" t="s">
        <v>134</v>
      </c>
      <c r="N23" s="60">
        <v>45916</v>
      </c>
      <c r="O23" s="60">
        <v>46462</v>
      </c>
      <c r="P23" s="165" t="str">
        <f t="shared" ca="1" si="1"/>
        <v/>
      </c>
      <c r="Q23" s="165" t="str">
        <f t="shared" si="2"/>
        <v/>
      </c>
      <c r="R23" s="79">
        <v>30</v>
      </c>
      <c r="S23" s="80">
        <v>312</v>
      </c>
      <c r="T23" s="61">
        <f t="shared" si="3"/>
        <v>0</v>
      </c>
      <c r="U23" s="61">
        <f t="shared" si="4"/>
        <v>0</v>
      </c>
      <c r="V23" s="61">
        <f t="shared" si="5"/>
        <v>0</v>
      </c>
      <c r="W23" s="58" t="s">
        <v>139</v>
      </c>
      <c r="X23" s="58" t="s">
        <v>141</v>
      </c>
      <c r="Y23" s="53" t="s">
        <v>173</v>
      </c>
      <c r="Z23" s="57" t="s">
        <v>142</v>
      </c>
      <c r="AA23" s="62"/>
      <c r="AB23" s="62"/>
      <c r="AC23" s="62"/>
      <c r="AD23" s="62"/>
      <c r="AE23" s="62"/>
      <c r="AF23" s="63"/>
      <c r="AG23" s="64" t="str">
        <f t="shared" si="6"/>
        <v/>
      </c>
      <c r="AI23"/>
      <c r="AJ23"/>
      <c r="AK23"/>
      <c r="AL23"/>
    </row>
    <row r="24" spans="1:38" s="12" customFormat="1" x14ac:dyDescent="0.25">
      <c r="A24" s="46" t="str">
        <f>IF(ISBLANK(inbound_data[[#This Row],[Receiving Report ref.'#]]),"",IF(inbound_data[[#This Row],[Ending Quantity]]=0,"ZERO","INV"))</f>
        <v>ZERO</v>
      </c>
      <c r="B24" s="165" t="str">
        <f t="shared" si="0"/>
        <v>00024</v>
      </c>
      <c r="C24" s="165" t="str">
        <f>IF(ISBLANK(D24),"",inbound_data[[#This Row],[Pallet_Series]]&amp;inbound_data[[#This Row],[No.]])</f>
        <v>DUO-00016A/399900024</v>
      </c>
      <c r="D24" s="54">
        <v>45918</v>
      </c>
      <c r="E24" s="55" t="s">
        <v>138</v>
      </c>
      <c r="F24" s="56">
        <v>102348</v>
      </c>
      <c r="G24" s="57" t="s">
        <v>136</v>
      </c>
      <c r="H24" s="53" t="s">
        <v>135</v>
      </c>
      <c r="I24" s="53">
        <v>75186</v>
      </c>
      <c r="J24" s="55" t="s">
        <v>166</v>
      </c>
      <c r="K24" s="58">
        <v>1</v>
      </c>
      <c r="L24" s="59" t="s">
        <v>172</v>
      </c>
      <c r="M24" s="55" t="s">
        <v>134</v>
      </c>
      <c r="N24" s="60">
        <v>45916</v>
      </c>
      <c r="O24" s="60">
        <v>46462</v>
      </c>
      <c r="P24" s="165" t="str">
        <f t="shared" ca="1" si="1"/>
        <v/>
      </c>
      <c r="Q24" s="165" t="str">
        <f t="shared" si="2"/>
        <v/>
      </c>
      <c r="R24" s="79">
        <v>30</v>
      </c>
      <c r="S24" s="80">
        <v>312</v>
      </c>
      <c r="T24" s="61">
        <f t="shared" si="3"/>
        <v>0</v>
      </c>
      <c r="U24" s="61">
        <f t="shared" si="4"/>
        <v>0</v>
      </c>
      <c r="V24" s="61">
        <f t="shared" si="5"/>
        <v>0</v>
      </c>
      <c r="W24" s="58" t="s">
        <v>139</v>
      </c>
      <c r="X24" s="58" t="s">
        <v>141</v>
      </c>
      <c r="Y24" s="53" t="s">
        <v>173</v>
      </c>
      <c r="Z24" s="57" t="s">
        <v>142</v>
      </c>
      <c r="AA24" s="62"/>
      <c r="AB24" s="62"/>
      <c r="AC24" s="62"/>
      <c r="AD24" s="62"/>
      <c r="AE24" s="62"/>
      <c r="AF24" s="63"/>
      <c r="AG24" s="64" t="str">
        <f t="shared" si="6"/>
        <v/>
      </c>
      <c r="AI24"/>
      <c r="AJ24"/>
      <c r="AK24"/>
      <c r="AL24"/>
    </row>
    <row r="25" spans="1:38" s="12" customFormat="1" x14ac:dyDescent="0.25">
      <c r="A25" s="46" t="str">
        <f>IF(ISBLANK(inbound_data[[#This Row],[Receiving Report ref.'#]]),"",IF(inbound_data[[#This Row],[Ending Quantity]]=0,"ZERO","INV"))</f>
        <v>ZERO</v>
      </c>
      <c r="B25" s="165" t="str">
        <f t="shared" si="0"/>
        <v>00025</v>
      </c>
      <c r="C25" s="165" t="str">
        <f>IF(ISBLANK(D25),"",inbound_data[[#This Row],[Pallet_Series]]&amp;inbound_data[[#This Row],[No.]])</f>
        <v>DUO-00017A/884700025</v>
      </c>
      <c r="D25" s="54">
        <v>45918</v>
      </c>
      <c r="E25" s="55" t="s">
        <v>138</v>
      </c>
      <c r="F25" s="56">
        <v>102348</v>
      </c>
      <c r="G25" s="57" t="s">
        <v>136</v>
      </c>
      <c r="H25" s="53" t="s">
        <v>135</v>
      </c>
      <c r="I25" s="53">
        <v>75186</v>
      </c>
      <c r="J25" s="55" t="s">
        <v>167</v>
      </c>
      <c r="K25" s="58">
        <v>1</v>
      </c>
      <c r="L25" s="59" t="s">
        <v>172</v>
      </c>
      <c r="M25" s="55" t="s">
        <v>134</v>
      </c>
      <c r="N25" s="60">
        <v>45916</v>
      </c>
      <c r="O25" s="60">
        <v>46462</v>
      </c>
      <c r="P25" s="165" t="str">
        <f t="shared" ca="1" si="1"/>
        <v/>
      </c>
      <c r="Q25" s="165" t="str">
        <f t="shared" si="2"/>
        <v/>
      </c>
      <c r="R25" s="79">
        <v>30</v>
      </c>
      <c r="S25" s="80">
        <v>312</v>
      </c>
      <c r="T25" s="61">
        <f t="shared" si="3"/>
        <v>0</v>
      </c>
      <c r="U25" s="61">
        <f t="shared" si="4"/>
        <v>0</v>
      </c>
      <c r="V25" s="61">
        <f t="shared" si="5"/>
        <v>0</v>
      </c>
      <c r="W25" s="58" t="s">
        <v>139</v>
      </c>
      <c r="X25" s="58" t="s">
        <v>141</v>
      </c>
      <c r="Y25" s="53" t="s">
        <v>173</v>
      </c>
      <c r="Z25" s="57" t="s">
        <v>142</v>
      </c>
      <c r="AA25" s="62"/>
      <c r="AB25" s="62"/>
      <c r="AC25" s="62"/>
      <c r="AD25" s="62"/>
      <c r="AE25" s="62"/>
      <c r="AF25" s="63"/>
      <c r="AG25" s="64" t="str">
        <f t="shared" si="6"/>
        <v/>
      </c>
    </row>
    <row r="26" spans="1:38" s="12" customFormat="1" x14ac:dyDescent="0.25">
      <c r="A26" s="46" t="str">
        <f>IF(ISBLANK(inbound_data[[#This Row],[Receiving Report ref.'#]]),"",IF(inbound_data[[#This Row],[Ending Quantity]]=0,"ZERO","INV"))</f>
        <v>ZERO</v>
      </c>
      <c r="B26" s="165" t="str">
        <f t="shared" si="0"/>
        <v>00026</v>
      </c>
      <c r="C26" s="165" t="str">
        <f>IF(ISBLANK(D26),"",inbound_data[[#This Row],[Pallet_Series]]&amp;inbound_data[[#This Row],[No.]])</f>
        <v>DUO-00018A/476400026</v>
      </c>
      <c r="D26" s="54">
        <v>45918</v>
      </c>
      <c r="E26" s="55" t="s">
        <v>138</v>
      </c>
      <c r="F26" s="56">
        <v>102348</v>
      </c>
      <c r="G26" s="57" t="s">
        <v>136</v>
      </c>
      <c r="H26" s="53" t="s">
        <v>135</v>
      </c>
      <c r="I26" s="53">
        <v>75186</v>
      </c>
      <c r="J26" s="55" t="s">
        <v>168</v>
      </c>
      <c r="K26" s="58">
        <v>1</v>
      </c>
      <c r="L26" s="59" t="s">
        <v>172</v>
      </c>
      <c r="M26" s="55" t="s">
        <v>134</v>
      </c>
      <c r="N26" s="60">
        <v>45916</v>
      </c>
      <c r="O26" s="60">
        <v>46462</v>
      </c>
      <c r="P26" s="165" t="str">
        <f t="shared" ca="1" si="1"/>
        <v/>
      </c>
      <c r="Q26" s="165" t="str">
        <f t="shared" si="2"/>
        <v/>
      </c>
      <c r="R26" s="79">
        <v>30</v>
      </c>
      <c r="S26" s="80">
        <v>312</v>
      </c>
      <c r="T26" s="61">
        <f t="shared" si="3"/>
        <v>0</v>
      </c>
      <c r="U26" s="61">
        <f t="shared" si="4"/>
        <v>0</v>
      </c>
      <c r="V26" s="61">
        <f t="shared" si="5"/>
        <v>0</v>
      </c>
      <c r="W26" s="58" t="s">
        <v>139</v>
      </c>
      <c r="X26" s="58" t="s">
        <v>141</v>
      </c>
      <c r="Y26" s="53" t="s">
        <v>173</v>
      </c>
      <c r="Z26" s="57" t="s">
        <v>143</v>
      </c>
      <c r="AA26" s="62"/>
      <c r="AB26" s="62"/>
      <c r="AC26" s="62"/>
      <c r="AD26" s="62"/>
      <c r="AE26" s="62"/>
      <c r="AF26" s="63"/>
      <c r="AG26" s="64" t="str">
        <f t="shared" si="6"/>
        <v/>
      </c>
    </row>
    <row r="27" spans="1:38" s="12" customFormat="1" x14ac:dyDescent="0.25">
      <c r="A27" s="46" t="str">
        <f>IF(ISBLANK(inbound_data[[#This Row],[Receiving Report ref.'#]]),"",IF(inbound_data[[#This Row],[Ending Quantity]]=0,"ZERO","INV"))</f>
        <v>ZERO</v>
      </c>
      <c r="B27" s="165" t="str">
        <f t="shared" si="0"/>
        <v>00027</v>
      </c>
      <c r="C27" s="165" t="str">
        <f>IF(ISBLANK(D27),"",inbound_data[[#This Row],[Pallet_Series]]&amp;inbound_data[[#This Row],[No.]])</f>
        <v>DUO-00019A/610500027</v>
      </c>
      <c r="D27" s="54">
        <v>45918</v>
      </c>
      <c r="E27" s="55" t="s">
        <v>138</v>
      </c>
      <c r="F27" s="56">
        <v>102348</v>
      </c>
      <c r="G27" s="57" t="s">
        <v>136</v>
      </c>
      <c r="H27" s="53" t="s">
        <v>135</v>
      </c>
      <c r="I27" s="53">
        <v>75186</v>
      </c>
      <c r="J27" s="55" t="s">
        <v>169</v>
      </c>
      <c r="K27" s="58">
        <v>1</v>
      </c>
      <c r="L27" s="59" t="s">
        <v>172</v>
      </c>
      <c r="M27" s="55" t="s">
        <v>134</v>
      </c>
      <c r="N27" s="60">
        <v>45916</v>
      </c>
      <c r="O27" s="60">
        <v>46462</v>
      </c>
      <c r="P27" s="165" t="str">
        <f t="shared" ca="1" si="1"/>
        <v/>
      </c>
      <c r="Q27" s="165" t="str">
        <f t="shared" si="2"/>
        <v/>
      </c>
      <c r="R27" s="79">
        <v>30</v>
      </c>
      <c r="S27" s="80">
        <v>312</v>
      </c>
      <c r="T27" s="61">
        <f t="shared" si="3"/>
        <v>0</v>
      </c>
      <c r="U27" s="61">
        <f t="shared" si="4"/>
        <v>0</v>
      </c>
      <c r="V27" s="61">
        <f t="shared" si="5"/>
        <v>0</v>
      </c>
      <c r="W27" s="58" t="s">
        <v>139</v>
      </c>
      <c r="X27" s="58" t="s">
        <v>141</v>
      </c>
      <c r="Y27" s="53" t="s">
        <v>173</v>
      </c>
      <c r="Z27" s="57" t="s">
        <v>142</v>
      </c>
      <c r="AA27" s="62"/>
      <c r="AB27" s="62"/>
      <c r="AC27" s="62"/>
      <c r="AD27" s="62"/>
      <c r="AE27" s="62"/>
      <c r="AF27" s="63"/>
      <c r="AG27" s="64" t="str">
        <f t="shared" si="6"/>
        <v/>
      </c>
    </row>
    <row r="28" spans="1:38" s="12" customFormat="1" x14ac:dyDescent="0.25">
      <c r="A28" s="46" t="str">
        <f>IF(ISBLANK(inbound_data[[#This Row],[Receiving Report ref.'#]]),"",IF(inbound_data[[#This Row],[Ending Quantity]]=0,"ZERO","INV"))</f>
        <v>ZERO</v>
      </c>
      <c r="B28" s="165" t="str">
        <f t="shared" si="0"/>
        <v>00028</v>
      </c>
      <c r="C28" s="165" t="str">
        <f>IF(ISBLANK(D28),"",inbound_data[[#This Row],[Pallet_Series]]&amp;inbound_data[[#This Row],[No.]])</f>
        <v>DUO-00020A/4155400028</v>
      </c>
      <c r="D28" s="54">
        <v>45918</v>
      </c>
      <c r="E28" s="55" t="s">
        <v>138</v>
      </c>
      <c r="F28" s="56">
        <v>102348</v>
      </c>
      <c r="G28" s="57" t="s">
        <v>136</v>
      </c>
      <c r="H28" s="53" t="s">
        <v>135</v>
      </c>
      <c r="I28" s="53">
        <v>75186</v>
      </c>
      <c r="J28" s="55" t="s">
        <v>170</v>
      </c>
      <c r="K28" s="58">
        <v>1</v>
      </c>
      <c r="L28" s="59" t="s">
        <v>172</v>
      </c>
      <c r="M28" s="55" t="s">
        <v>134</v>
      </c>
      <c r="N28" s="60">
        <v>45916</v>
      </c>
      <c r="O28" s="60">
        <v>46462</v>
      </c>
      <c r="P28" s="165" t="str">
        <f t="shared" ca="1" si="1"/>
        <v/>
      </c>
      <c r="Q28" s="165" t="str">
        <f t="shared" si="2"/>
        <v/>
      </c>
      <c r="R28" s="79">
        <v>30</v>
      </c>
      <c r="S28" s="80">
        <v>312</v>
      </c>
      <c r="T28" s="61">
        <f t="shared" si="3"/>
        <v>0</v>
      </c>
      <c r="U28" s="61">
        <f t="shared" si="4"/>
        <v>0</v>
      </c>
      <c r="V28" s="61">
        <f t="shared" si="5"/>
        <v>0</v>
      </c>
      <c r="W28" s="58" t="s">
        <v>139</v>
      </c>
      <c r="X28" s="58" t="s">
        <v>141</v>
      </c>
      <c r="Y28" s="53" t="s">
        <v>173</v>
      </c>
      <c r="Z28" s="57" t="s">
        <v>143</v>
      </c>
      <c r="AA28" s="62">
        <v>2</v>
      </c>
      <c r="AB28" s="62" t="s">
        <v>145</v>
      </c>
      <c r="AC28" s="62">
        <v>6</v>
      </c>
      <c r="AD28" s="62">
        <v>3</v>
      </c>
      <c r="AE28" s="62">
        <v>1</v>
      </c>
      <c r="AF28" s="63"/>
      <c r="AG28" s="64" t="str">
        <f t="shared" si="6"/>
        <v/>
      </c>
    </row>
    <row r="29" spans="1:38" s="12" customFormat="1" x14ac:dyDescent="0.25">
      <c r="A29" s="46" t="str">
        <f>IF(ISBLANK(inbound_data[[#This Row],[Receiving Report ref.'#]]),"",IF(inbound_data[[#This Row],[Ending Quantity]]=0,"ZERO","INV"))</f>
        <v>ZERO</v>
      </c>
      <c r="B29" s="165" t="str">
        <f t="shared" si="0"/>
        <v>00029</v>
      </c>
      <c r="C29" s="165" t="str">
        <f>IF(ISBLANK(D29),"",inbound_data[[#This Row],[Pallet_Series]]&amp;inbound_data[[#This Row],[No.]])</f>
        <v>DUO-00021A/308000029</v>
      </c>
      <c r="D29" s="54">
        <v>45918</v>
      </c>
      <c r="E29" s="55" t="s">
        <v>138</v>
      </c>
      <c r="F29" s="56">
        <v>102348</v>
      </c>
      <c r="G29" s="57" t="s">
        <v>136</v>
      </c>
      <c r="H29" s="53" t="s">
        <v>135</v>
      </c>
      <c r="I29" s="53">
        <v>75186</v>
      </c>
      <c r="J29" s="55" t="s">
        <v>171</v>
      </c>
      <c r="K29" s="58">
        <v>1</v>
      </c>
      <c r="L29" s="59" t="s">
        <v>172</v>
      </c>
      <c r="M29" s="55" t="s">
        <v>134</v>
      </c>
      <c r="N29" s="60">
        <v>45916</v>
      </c>
      <c r="O29" s="60">
        <v>46462</v>
      </c>
      <c r="P29" s="165" t="str">
        <f t="shared" ca="1" si="1"/>
        <v/>
      </c>
      <c r="Q29" s="165" t="str">
        <f t="shared" si="2"/>
        <v/>
      </c>
      <c r="R29" s="79">
        <v>30</v>
      </c>
      <c r="S29" s="80">
        <v>312</v>
      </c>
      <c r="T29" s="61">
        <f t="shared" si="3"/>
        <v>0</v>
      </c>
      <c r="U29" s="61">
        <f t="shared" si="4"/>
        <v>0</v>
      </c>
      <c r="V29" s="61">
        <f t="shared" si="5"/>
        <v>0</v>
      </c>
      <c r="W29" s="58" t="s">
        <v>139</v>
      </c>
      <c r="X29" s="58" t="s">
        <v>141</v>
      </c>
      <c r="Y29" s="53" t="s">
        <v>173</v>
      </c>
      <c r="Z29" s="57" t="s">
        <v>142</v>
      </c>
      <c r="AA29" s="62">
        <v>2</v>
      </c>
      <c r="AB29" s="62" t="s">
        <v>145</v>
      </c>
      <c r="AC29" s="62">
        <v>6</v>
      </c>
      <c r="AD29" s="62">
        <v>4</v>
      </c>
      <c r="AE29" s="62">
        <v>2</v>
      </c>
      <c r="AF29" s="63"/>
      <c r="AG29" s="64" t="str">
        <f t="shared" si="6"/>
        <v/>
      </c>
    </row>
    <row r="30" spans="1:38" s="12" customFormat="1" x14ac:dyDescent="0.25">
      <c r="A30" s="46" t="str">
        <f>IF(ISBLANK(inbound_data[[#This Row],[Receiving Report ref.'#]]),"",IF(inbound_data[[#This Row],[Ending Quantity]]=0,"ZERO","INV"))</f>
        <v>ZERO</v>
      </c>
      <c r="B30" s="165" t="str">
        <f t="shared" si="0"/>
        <v>00030</v>
      </c>
      <c r="C30" s="165" t="str">
        <f>IF(ISBLANK(D30),"",inbound_data[[#This Row],[Pallet_Series]]&amp;inbound_data[[#This Row],[No.]])</f>
        <v>DUO-00022A/NP00030</v>
      </c>
      <c r="D30" s="54">
        <v>45944</v>
      </c>
      <c r="E30" s="55" t="s">
        <v>138</v>
      </c>
      <c r="F30" s="56">
        <v>105131</v>
      </c>
      <c r="G30" s="57" t="s">
        <v>163</v>
      </c>
      <c r="H30" s="53" t="s">
        <v>135</v>
      </c>
      <c r="I30" s="53">
        <v>78680</v>
      </c>
      <c r="J30" s="55" t="s">
        <v>190</v>
      </c>
      <c r="K30" s="58">
        <v>1</v>
      </c>
      <c r="L30" s="59" t="s">
        <v>200</v>
      </c>
      <c r="M30" s="55" t="s">
        <v>134</v>
      </c>
      <c r="N30" s="60">
        <v>45931</v>
      </c>
      <c r="O30" s="60">
        <v>46478</v>
      </c>
      <c r="P30" s="165" t="str">
        <f t="shared" ca="1" si="1"/>
        <v/>
      </c>
      <c r="Q30" s="165" t="str">
        <f t="shared" si="2"/>
        <v/>
      </c>
      <c r="R30" s="79">
        <v>50</v>
      </c>
      <c r="S30" s="80">
        <f>50*12</f>
        <v>600</v>
      </c>
      <c r="T30" s="61">
        <f t="shared" si="3"/>
        <v>0</v>
      </c>
      <c r="U30" s="61">
        <f t="shared" si="4"/>
        <v>0</v>
      </c>
      <c r="V30" s="61">
        <f t="shared" si="5"/>
        <v>0</v>
      </c>
      <c r="W30" s="58" t="s">
        <v>139</v>
      </c>
      <c r="X30" s="58" t="s">
        <v>141</v>
      </c>
      <c r="Y30" s="53" t="s">
        <v>202</v>
      </c>
      <c r="Z30" s="57" t="s">
        <v>142</v>
      </c>
      <c r="AA30" s="62"/>
      <c r="AB30" s="62"/>
      <c r="AC30" s="62"/>
      <c r="AD30" s="62"/>
      <c r="AE30" s="62"/>
      <c r="AF30" s="63"/>
      <c r="AG30" s="64" t="str">
        <f t="shared" si="6"/>
        <v/>
      </c>
    </row>
    <row r="31" spans="1:38" s="12" customFormat="1" x14ac:dyDescent="0.25">
      <c r="A31" s="46" t="str">
        <f>IF(ISBLANK(inbound_data[[#This Row],[Receiving Report ref.'#]]),"",IF(inbound_data[[#This Row],[Ending Quantity]]=0,"ZERO","INV"))</f>
        <v>ZERO</v>
      </c>
      <c r="B31" s="165" t="str">
        <f t="shared" si="0"/>
        <v>00031</v>
      </c>
      <c r="C31" s="165" t="str">
        <f>IF(ISBLANK(D31),"",inbound_data[[#This Row],[Pallet_Series]]&amp;inbound_data[[#This Row],[No.]])</f>
        <v>DUO-00023A/163900031</v>
      </c>
      <c r="D31" s="54">
        <v>45944</v>
      </c>
      <c r="E31" s="55" t="s">
        <v>138</v>
      </c>
      <c r="F31" s="56">
        <v>105131</v>
      </c>
      <c r="G31" s="57" t="s">
        <v>163</v>
      </c>
      <c r="H31" s="53" t="s">
        <v>135</v>
      </c>
      <c r="I31" s="53">
        <v>78680</v>
      </c>
      <c r="J31" s="55" t="s">
        <v>191</v>
      </c>
      <c r="K31" s="58">
        <v>1</v>
      </c>
      <c r="L31" s="59" t="s">
        <v>200</v>
      </c>
      <c r="M31" s="55" t="s">
        <v>134</v>
      </c>
      <c r="N31" s="60">
        <v>45931</v>
      </c>
      <c r="O31" s="60">
        <v>46478</v>
      </c>
      <c r="P31" s="165" t="str">
        <f t="shared" ca="1" si="1"/>
        <v/>
      </c>
      <c r="Q31" s="165" t="str">
        <f t="shared" si="2"/>
        <v/>
      </c>
      <c r="R31" s="79">
        <v>37</v>
      </c>
      <c r="S31" s="80">
        <f>37*12</f>
        <v>444</v>
      </c>
      <c r="T31" s="61">
        <f t="shared" si="3"/>
        <v>0</v>
      </c>
      <c r="U31" s="61">
        <f t="shared" si="4"/>
        <v>0</v>
      </c>
      <c r="V31" s="61">
        <f t="shared" si="5"/>
        <v>0</v>
      </c>
      <c r="W31" s="58" t="s">
        <v>139</v>
      </c>
      <c r="X31" s="58" t="s">
        <v>141</v>
      </c>
      <c r="Y31" s="53" t="s">
        <v>202</v>
      </c>
      <c r="Z31" s="57" t="s">
        <v>143</v>
      </c>
      <c r="AA31" s="62"/>
      <c r="AB31" s="62"/>
      <c r="AC31" s="62"/>
      <c r="AD31" s="62"/>
      <c r="AE31" s="62"/>
      <c r="AF31" s="63"/>
      <c r="AG31" s="64" t="str">
        <f t="shared" si="6"/>
        <v/>
      </c>
    </row>
    <row r="32" spans="1:38" s="12" customFormat="1" x14ac:dyDescent="0.25">
      <c r="A32" s="46" t="str">
        <f>IF(ISBLANK(inbound_data[[#This Row],[Receiving Report ref.'#]]),"",IF(inbound_data[[#This Row],[Ending Quantity]]=0,"ZERO","INV"))</f>
        <v>ZERO</v>
      </c>
      <c r="B32" s="165" t="str">
        <f t="shared" si="0"/>
        <v>00032</v>
      </c>
      <c r="C32" s="165" t="str">
        <f>IF(ISBLANK(D32),"",inbound_data[[#This Row],[Pallet_Series]]&amp;inbound_data[[#This Row],[No.]])</f>
        <v>DUO-00024A/1003300032</v>
      </c>
      <c r="D32" s="54">
        <v>45944</v>
      </c>
      <c r="E32" s="55" t="s">
        <v>138</v>
      </c>
      <c r="F32" s="56">
        <v>105131</v>
      </c>
      <c r="G32" s="57" t="s">
        <v>163</v>
      </c>
      <c r="H32" s="53" t="s">
        <v>135</v>
      </c>
      <c r="I32" s="53">
        <v>78680</v>
      </c>
      <c r="J32" s="55" t="s">
        <v>192</v>
      </c>
      <c r="K32" s="58">
        <v>1</v>
      </c>
      <c r="L32" s="59" t="s">
        <v>201</v>
      </c>
      <c r="M32" s="55" t="s">
        <v>134</v>
      </c>
      <c r="N32" s="60">
        <v>45931</v>
      </c>
      <c r="O32" s="60">
        <v>46478</v>
      </c>
      <c r="P32" s="165" t="str">
        <f t="shared" ca="1" si="1"/>
        <v/>
      </c>
      <c r="Q32" s="165" t="str">
        <f t="shared" si="2"/>
        <v/>
      </c>
      <c r="R32" s="79">
        <v>30</v>
      </c>
      <c r="S32" s="80">
        <f>30*10.4</f>
        <v>312</v>
      </c>
      <c r="T32" s="61">
        <f t="shared" si="3"/>
        <v>0</v>
      </c>
      <c r="U32" s="61">
        <f t="shared" si="4"/>
        <v>0</v>
      </c>
      <c r="V32" s="61">
        <f t="shared" si="5"/>
        <v>0</v>
      </c>
      <c r="W32" s="58" t="s">
        <v>139</v>
      </c>
      <c r="X32" s="58" t="s">
        <v>141</v>
      </c>
      <c r="Y32" s="53" t="s">
        <v>202</v>
      </c>
      <c r="Z32" s="57" t="s">
        <v>142</v>
      </c>
      <c r="AA32" s="62"/>
      <c r="AB32" s="62"/>
      <c r="AC32" s="62"/>
      <c r="AD32" s="62"/>
      <c r="AE32" s="62"/>
      <c r="AF32" s="63"/>
      <c r="AG32" s="64" t="str">
        <f t="shared" si="6"/>
        <v/>
      </c>
    </row>
    <row r="33" spans="1:33" s="12" customFormat="1" x14ac:dyDescent="0.25">
      <c r="A33" s="46" t="str">
        <f>IF(ISBLANK(inbound_data[[#This Row],[Receiving Report ref.'#]]),"",IF(inbound_data[[#This Row],[Ending Quantity]]=0,"ZERO","INV"))</f>
        <v>ZERO</v>
      </c>
      <c r="B33" s="165" t="str">
        <f t="shared" si="0"/>
        <v>00033</v>
      </c>
      <c r="C33" s="165" t="str">
        <f>IF(ISBLANK(D33),"",inbound_data[[#This Row],[Pallet_Series]]&amp;inbound_data[[#This Row],[No.]])</f>
        <v>DUO-00025A/94600033</v>
      </c>
      <c r="D33" s="54">
        <v>45944</v>
      </c>
      <c r="E33" s="55" t="s">
        <v>138</v>
      </c>
      <c r="F33" s="56">
        <v>105131</v>
      </c>
      <c r="G33" s="57" t="s">
        <v>163</v>
      </c>
      <c r="H33" s="53" t="s">
        <v>135</v>
      </c>
      <c r="I33" s="53">
        <v>78680</v>
      </c>
      <c r="J33" s="55" t="s">
        <v>193</v>
      </c>
      <c r="K33" s="58">
        <v>1</v>
      </c>
      <c r="L33" s="59" t="s">
        <v>201</v>
      </c>
      <c r="M33" s="55" t="s">
        <v>134</v>
      </c>
      <c r="N33" s="60">
        <v>45931</v>
      </c>
      <c r="O33" s="60">
        <v>46478</v>
      </c>
      <c r="P33" s="165" t="str">
        <f t="shared" ca="1" si="1"/>
        <v/>
      </c>
      <c r="Q33" s="165" t="str">
        <f t="shared" si="2"/>
        <v/>
      </c>
      <c r="R33" s="79">
        <v>30</v>
      </c>
      <c r="S33" s="80">
        <f t="shared" ref="S33:S39" si="7">30*10.4</f>
        <v>312</v>
      </c>
      <c r="T33" s="61">
        <f t="shared" si="3"/>
        <v>0</v>
      </c>
      <c r="U33" s="61">
        <f t="shared" si="4"/>
        <v>0</v>
      </c>
      <c r="V33" s="61">
        <f t="shared" si="5"/>
        <v>0</v>
      </c>
      <c r="W33" s="58" t="s">
        <v>139</v>
      </c>
      <c r="X33" s="58" t="s">
        <v>141</v>
      </c>
      <c r="Y33" s="53" t="s">
        <v>202</v>
      </c>
      <c r="Z33" s="57" t="s">
        <v>142</v>
      </c>
      <c r="AA33" s="62"/>
      <c r="AB33" s="62"/>
      <c r="AC33" s="62"/>
      <c r="AD33" s="62"/>
      <c r="AE33" s="62"/>
      <c r="AF33" s="63"/>
      <c r="AG33" s="64" t="str">
        <f t="shared" si="6"/>
        <v/>
      </c>
    </row>
    <row r="34" spans="1:33" s="12" customFormat="1" x14ac:dyDescent="0.25">
      <c r="A34" s="47" t="str">
        <f>IF(ISBLANK(inbound_data[[#This Row],[Receiving Report ref.'#]]),"",IF(inbound_data[[#This Row],[Ending Quantity]]=0,"ZERO","INV"))</f>
        <v>ZERO</v>
      </c>
      <c r="B34" s="165" t="str">
        <f t="shared" si="0"/>
        <v>00034</v>
      </c>
      <c r="C34" s="165" t="str">
        <f>IF(ISBLANK(D34),"",inbound_data[[#This Row],[Pallet_Series]]&amp;inbound_data[[#This Row],[No.]])</f>
        <v>DUO-00026A/701700034</v>
      </c>
      <c r="D34" s="54">
        <v>45944</v>
      </c>
      <c r="E34" s="55" t="s">
        <v>138</v>
      </c>
      <c r="F34" s="56">
        <v>105131</v>
      </c>
      <c r="G34" s="57" t="s">
        <v>163</v>
      </c>
      <c r="H34" s="53" t="s">
        <v>135</v>
      </c>
      <c r="I34" s="53">
        <v>78680</v>
      </c>
      <c r="J34" s="55" t="s">
        <v>194</v>
      </c>
      <c r="K34" s="58">
        <v>1</v>
      </c>
      <c r="L34" s="59" t="s">
        <v>201</v>
      </c>
      <c r="M34" s="55" t="s">
        <v>134</v>
      </c>
      <c r="N34" s="60">
        <v>45931</v>
      </c>
      <c r="O34" s="60">
        <v>46478</v>
      </c>
      <c r="P34" s="165" t="str">
        <f t="shared" ca="1" si="1"/>
        <v/>
      </c>
      <c r="Q34" s="165" t="str">
        <f t="shared" si="2"/>
        <v/>
      </c>
      <c r="R34" s="79">
        <v>30</v>
      </c>
      <c r="S34" s="80">
        <f t="shared" si="7"/>
        <v>312</v>
      </c>
      <c r="T34" s="61">
        <f t="shared" si="3"/>
        <v>0</v>
      </c>
      <c r="U34" s="61">
        <f t="shared" si="4"/>
        <v>0</v>
      </c>
      <c r="V34" s="61">
        <f t="shared" si="5"/>
        <v>0</v>
      </c>
      <c r="W34" s="58" t="s">
        <v>139</v>
      </c>
      <c r="X34" s="58" t="s">
        <v>141</v>
      </c>
      <c r="Y34" s="53" t="s">
        <v>202</v>
      </c>
      <c r="Z34" s="57" t="s">
        <v>142</v>
      </c>
      <c r="AA34" s="62"/>
      <c r="AB34" s="62"/>
      <c r="AC34" s="62"/>
      <c r="AD34" s="62"/>
      <c r="AE34" s="62"/>
      <c r="AF34" s="63"/>
      <c r="AG34" s="64" t="str">
        <f t="shared" si="6"/>
        <v/>
      </c>
    </row>
    <row r="35" spans="1:33" x14ac:dyDescent="0.25">
      <c r="A35" s="46" t="str">
        <f>IF(ISBLANK(inbound_data[[#This Row],[Receiving Report ref.'#]]),"",IF(inbound_data[[#This Row],[Ending Quantity]]=0,"ZERO","INV"))</f>
        <v>ZERO</v>
      </c>
      <c r="B35" s="165" t="str">
        <f t="shared" si="0"/>
        <v>00035</v>
      </c>
      <c r="C35" s="165" t="str">
        <f>IF(ISBLANK(D35),"",inbound_data[[#This Row],[Pallet_Series]]&amp;inbound_data[[#This Row],[No.]])</f>
        <v>DUO-00027A/626900035</v>
      </c>
      <c r="D35" s="54">
        <v>45944</v>
      </c>
      <c r="E35" s="55" t="s">
        <v>138</v>
      </c>
      <c r="F35" s="56">
        <v>105131</v>
      </c>
      <c r="G35" s="57" t="s">
        <v>163</v>
      </c>
      <c r="H35" s="53" t="s">
        <v>135</v>
      </c>
      <c r="I35" s="53">
        <v>78680</v>
      </c>
      <c r="J35" s="55" t="s">
        <v>195</v>
      </c>
      <c r="K35" s="58">
        <v>1</v>
      </c>
      <c r="L35" s="59" t="s">
        <v>201</v>
      </c>
      <c r="M35" s="55" t="s">
        <v>134</v>
      </c>
      <c r="N35" s="60">
        <v>45931</v>
      </c>
      <c r="O35" s="60">
        <v>46478</v>
      </c>
      <c r="P35" s="165" t="str">
        <f t="shared" ca="1" si="1"/>
        <v/>
      </c>
      <c r="Q35" s="165" t="str">
        <f t="shared" si="2"/>
        <v/>
      </c>
      <c r="R35" s="79">
        <v>30</v>
      </c>
      <c r="S35" s="80">
        <f t="shared" si="7"/>
        <v>312</v>
      </c>
      <c r="T35" s="61">
        <f t="shared" si="3"/>
        <v>0</v>
      </c>
      <c r="U35" s="61">
        <f t="shared" si="4"/>
        <v>0</v>
      </c>
      <c r="V35" s="61">
        <f t="shared" si="5"/>
        <v>0</v>
      </c>
      <c r="W35" s="58" t="s">
        <v>139</v>
      </c>
      <c r="X35" s="58" t="s">
        <v>141</v>
      </c>
      <c r="Y35" s="53" t="s">
        <v>202</v>
      </c>
      <c r="Z35" s="57" t="s">
        <v>142</v>
      </c>
      <c r="AA35" s="62"/>
      <c r="AB35" s="62"/>
      <c r="AC35" s="62"/>
      <c r="AD35" s="62"/>
      <c r="AE35" s="62"/>
      <c r="AF35" s="63"/>
      <c r="AG35" s="64" t="str">
        <f t="shared" si="6"/>
        <v/>
      </c>
    </row>
    <row r="36" spans="1:33" x14ac:dyDescent="0.25">
      <c r="A36" s="46" t="str">
        <f>IF(ISBLANK(inbound_data[[#This Row],[Receiving Report ref.'#]]),"",IF(inbound_data[[#This Row],[Ending Quantity]]=0,"ZERO","INV"))</f>
        <v>ZERO</v>
      </c>
      <c r="B36" s="165" t="str">
        <f t="shared" si="0"/>
        <v>00036</v>
      </c>
      <c r="C36" s="165" t="str">
        <f>IF(ISBLANK(D36),"",inbound_data[[#This Row],[Pallet_Series]]&amp;inbound_data[[#This Row],[No.]])</f>
        <v>DUO-00028A/47800036</v>
      </c>
      <c r="D36" s="54">
        <v>45944</v>
      </c>
      <c r="E36" s="55" t="s">
        <v>138</v>
      </c>
      <c r="F36" s="56">
        <v>105131</v>
      </c>
      <c r="G36" s="57" t="s">
        <v>163</v>
      </c>
      <c r="H36" s="53" t="s">
        <v>135</v>
      </c>
      <c r="I36" s="53">
        <v>78680</v>
      </c>
      <c r="J36" s="55" t="s">
        <v>196</v>
      </c>
      <c r="K36" s="58">
        <v>1</v>
      </c>
      <c r="L36" s="59" t="s">
        <v>201</v>
      </c>
      <c r="M36" s="55" t="s">
        <v>134</v>
      </c>
      <c r="N36" s="60">
        <v>45931</v>
      </c>
      <c r="O36" s="60">
        <v>46478</v>
      </c>
      <c r="P36" s="165" t="str">
        <f t="shared" ca="1" si="1"/>
        <v/>
      </c>
      <c r="Q36" s="165" t="str">
        <f t="shared" si="2"/>
        <v/>
      </c>
      <c r="R36" s="79">
        <v>30</v>
      </c>
      <c r="S36" s="80">
        <f t="shared" si="7"/>
        <v>312</v>
      </c>
      <c r="T36" s="61">
        <f t="shared" si="3"/>
        <v>0</v>
      </c>
      <c r="U36" s="61">
        <f t="shared" si="4"/>
        <v>0</v>
      </c>
      <c r="V36" s="61">
        <f t="shared" si="5"/>
        <v>0</v>
      </c>
      <c r="W36" s="58" t="s">
        <v>139</v>
      </c>
      <c r="X36" s="58" t="s">
        <v>141</v>
      </c>
      <c r="Y36" s="53" t="s">
        <v>202</v>
      </c>
      <c r="Z36" s="57" t="s">
        <v>142</v>
      </c>
      <c r="AA36" s="62"/>
      <c r="AB36" s="62"/>
      <c r="AC36" s="62"/>
      <c r="AD36" s="62"/>
      <c r="AE36" s="62"/>
      <c r="AF36" s="63"/>
      <c r="AG36" s="64" t="str">
        <f t="shared" si="6"/>
        <v/>
      </c>
    </row>
    <row r="37" spans="1:33" x14ac:dyDescent="0.25">
      <c r="A37" s="46" t="str">
        <f>IF(ISBLANK(inbound_data[[#This Row],[Receiving Report ref.'#]]),"",IF(inbound_data[[#This Row],[Ending Quantity]]=0,"ZERO","INV"))</f>
        <v>ZERO</v>
      </c>
      <c r="B37" s="165" t="str">
        <f t="shared" si="0"/>
        <v>00037</v>
      </c>
      <c r="C37" s="165" t="str">
        <f>IF(ISBLANK(D37),"",inbound_data[[#This Row],[Pallet_Series]]&amp;inbound_data[[#This Row],[No.]])</f>
        <v>DUO-00029A/162000037</v>
      </c>
      <c r="D37" s="54">
        <v>45944</v>
      </c>
      <c r="E37" s="55" t="s">
        <v>138</v>
      </c>
      <c r="F37" s="56">
        <v>105131</v>
      </c>
      <c r="G37" s="57" t="s">
        <v>163</v>
      </c>
      <c r="H37" s="53" t="s">
        <v>135</v>
      </c>
      <c r="I37" s="53">
        <v>78680</v>
      </c>
      <c r="J37" s="55" t="s">
        <v>197</v>
      </c>
      <c r="K37" s="58">
        <v>1</v>
      </c>
      <c r="L37" s="59" t="s">
        <v>201</v>
      </c>
      <c r="M37" s="55" t="s">
        <v>134</v>
      </c>
      <c r="N37" s="60">
        <v>45931</v>
      </c>
      <c r="O37" s="60">
        <v>46478</v>
      </c>
      <c r="P37" s="165" t="str">
        <f t="shared" ca="1" si="1"/>
        <v/>
      </c>
      <c r="Q37" s="165" t="str">
        <f t="shared" si="2"/>
        <v/>
      </c>
      <c r="R37" s="79">
        <v>30</v>
      </c>
      <c r="S37" s="80">
        <f t="shared" si="7"/>
        <v>312</v>
      </c>
      <c r="T37" s="61">
        <f t="shared" si="3"/>
        <v>0</v>
      </c>
      <c r="U37" s="61">
        <f t="shared" si="4"/>
        <v>0</v>
      </c>
      <c r="V37" s="61">
        <f t="shared" si="5"/>
        <v>0</v>
      </c>
      <c r="W37" s="58" t="s">
        <v>139</v>
      </c>
      <c r="X37" s="58" t="s">
        <v>141</v>
      </c>
      <c r="Y37" s="53" t="s">
        <v>202</v>
      </c>
      <c r="Z37" s="57" t="s">
        <v>143</v>
      </c>
      <c r="AA37" s="62"/>
      <c r="AB37" s="62"/>
      <c r="AC37" s="62"/>
      <c r="AD37" s="62"/>
      <c r="AE37" s="62"/>
      <c r="AF37" s="63"/>
      <c r="AG37" s="64" t="str">
        <f t="shared" si="6"/>
        <v/>
      </c>
    </row>
    <row r="38" spans="1:33" x14ac:dyDescent="0.25">
      <c r="A38" s="46" t="str">
        <f>IF(ISBLANK(inbound_data[[#This Row],[Receiving Report ref.'#]]),"",IF(inbound_data[[#This Row],[Ending Quantity]]=0,"ZERO","INV"))</f>
        <v>ZERO</v>
      </c>
      <c r="B38" s="165" t="str">
        <f t="shared" si="0"/>
        <v>00038</v>
      </c>
      <c r="C38" s="165" t="str">
        <f>IF(ISBLANK(D38),"",inbound_data[[#This Row],[Pallet_Series]]&amp;inbound_data[[#This Row],[No.]])</f>
        <v>DUO-00030A/762000038</v>
      </c>
      <c r="D38" s="54">
        <v>45944</v>
      </c>
      <c r="E38" s="55" t="s">
        <v>138</v>
      </c>
      <c r="F38" s="56">
        <v>105131</v>
      </c>
      <c r="G38" s="57" t="s">
        <v>163</v>
      </c>
      <c r="H38" s="53" t="s">
        <v>135</v>
      </c>
      <c r="I38" s="53">
        <v>78680</v>
      </c>
      <c r="J38" s="55" t="s">
        <v>198</v>
      </c>
      <c r="K38" s="58">
        <v>1</v>
      </c>
      <c r="L38" s="59" t="s">
        <v>201</v>
      </c>
      <c r="M38" s="55" t="s">
        <v>134</v>
      </c>
      <c r="N38" s="60">
        <v>45931</v>
      </c>
      <c r="O38" s="60">
        <v>46478</v>
      </c>
      <c r="P38" s="165" t="str">
        <f t="shared" ca="1" si="1"/>
        <v/>
      </c>
      <c r="Q38" s="165" t="str">
        <f t="shared" si="2"/>
        <v/>
      </c>
      <c r="R38" s="79">
        <v>30</v>
      </c>
      <c r="S38" s="80">
        <f t="shared" si="7"/>
        <v>312</v>
      </c>
      <c r="T38" s="61">
        <f t="shared" si="3"/>
        <v>0</v>
      </c>
      <c r="U38" s="61">
        <f t="shared" si="4"/>
        <v>0</v>
      </c>
      <c r="V38" s="61">
        <f t="shared" si="5"/>
        <v>0</v>
      </c>
      <c r="W38" s="58" t="s">
        <v>139</v>
      </c>
      <c r="X38" s="58" t="s">
        <v>141</v>
      </c>
      <c r="Y38" s="53" t="s">
        <v>202</v>
      </c>
      <c r="Z38" s="57" t="s">
        <v>142</v>
      </c>
      <c r="AA38" s="62"/>
      <c r="AB38" s="62"/>
      <c r="AC38" s="62"/>
      <c r="AD38" s="62"/>
      <c r="AE38" s="62"/>
      <c r="AF38" s="63"/>
      <c r="AG38" s="64" t="str">
        <f t="shared" si="6"/>
        <v/>
      </c>
    </row>
    <row r="39" spans="1:33" x14ac:dyDescent="0.25">
      <c r="A39" s="46" t="str">
        <f>IF(ISBLANK(inbound_data[[#This Row],[Receiving Report ref.'#]]),"",IF(inbound_data[[#This Row],[Ending Quantity]]=0,"ZERO","INV"))</f>
        <v>ZERO</v>
      </c>
      <c r="B39" s="165" t="str">
        <f t="shared" si="0"/>
        <v>00039</v>
      </c>
      <c r="C39" s="165" t="str">
        <f>IF(ISBLANK(D39),"",inbound_data[[#This Row],[Pallet_Series]]&amp;inbound_data[[#This Row],[No.]])</f>
        <v>DUO-00031A/1056800039</v>
      </c>
      <c r="D39" s="54">
        <v>45944</v>
      </c>
      <c r="E39" s="55" t="s">
        <v>138</v>
      </c>
      <c r="F39" s="56">
        <v>105131</v>
      </c>
      <c r="G39" s="57" t="s">
        <v>163</v>
      </c>
      <c r="H39" s="53" t="s">
        <v>135</v>
      </c>
      <c r="I39" s="53">
        <v>78680</v>
      </c>
      <c r="J39" s="55" t="s">
        <v>199</v>
      </c>
      <c r="K39" s="58">
        <v>1</v>
      </c>
      <c r="L39" s="59" t="s">
        <v>201</v>
      </c>
      <c r="M39" s="55" t="s">
        <v>134</v>
      </c>
      <c r="N39" s="60">
        <v>45931</v>
      </c>
      <c r="O39" s="60">
        <v>46478</v>
      </c>
      <c r="P39" s="165" t="str">
        <f t="shared" ca="1" si="1"/>
        <v/>
      </c>
      <c r="Q39" s="165" t="str">
        <f t="shared" si="2"/>
        <v/>
      </c>
      <c r="R39" s="79">
        <v>30</v>
      </c>
      <c r="S39" s="80">
        <f t="shared" si="7"/>
        <v>312</v>
      </c>
      <c r="T39" s="61">
        <f t="shared" si="3"/>
        <v>0</v>
      </c>
      <c r="U39" s="61">
        <f t="shared" si="4"/>
        <v>0</v>
      </c>
      <c r="V39" s="61">
        <f t="shared" si="5"/>
        <v>0</v>
      </c>
      <c r="W39" s="58" t="s">
        <v>139</v>
      </c>
      <c r="X39" s="58" t="s">
        <v>141</v>
      </c>
      <c r="Y39" s="53" t="s">
        <v>202</v>
      </c>
      <c r="Z39" s="57" t="s">
        <v>142</v>
      </c>
      <c r="AA39" s="62"/>
      <c r="AB39" s="62"/>
      <c r="AC39" s="62"/>
      <c r="AD39" s="62"/>
      <c r="AE39" s="62"/>
      <c r="AF39" s="63"/>
      <c r="AG39" s="64" t="str">
        <f t="shared" si="6"/>
        <v/>
      </c>
    </row>
    <row r="40" spans="1:33" x14ac:dyDescent="0.25">
      <c r="A40" s="46" t="str">
        <f>IF(ISBLANK(inbound_data[[#This Row],[Receiving Report ref.'#]]),"",IF(inbound_data[[#This Row],[Ending Quantity]]=0,"ZERO","INV"))</f>
        <v>ZERO</v>
      </c>
      <c r="B40" s="165" t="str">
        <f t="shared" si="0"/>
        <v>00040</v>
      </c>
      <c r="C40" s="165" t="str">
        <f>IF(ISBLANK(D40),"",inbound_data[[#This Row],[Pallet_Series]]&amp;inbound_data[[#This Row],[No.]])</f>
        <v>DUO-00032A/792600040</v>
      </c>
      <c r="D40" s="54">
        <v>45945</v>
      </c>
      <c r="E40" s="55" t="s">
        <v>138</v>
      </c>
      <c r="F40" s="56">
        <v>105317</v>
      </c>
      <c r="G40" s="57" t="s">
        <v>163</v>
      </c>
      <c r="H40" s="53" t="s">
        <v>164</v>
      </c>
      <c r="I40" s="53">
        <v>78706</v>
      </c>
      <c r="J40" s="55" t="s">
        <v>203</v>
      </c>
      <c r="K40" s="58">
        <v>1</v>
      </c>
      <c r="L40" s="59" t="s">
        <v>209</v>
      </c>
      <c r="M40" s="55" t="s">
        <v>134</v>
      </c>
      <c r="N40" s="60">
        <v>45931</v>
      </c>
      <c r="O40" s="60">
        <v>46478</v>
      </c>
      <c r="P40" s="165" t="str">
        <f t="shared" ca="1" si="1"/>
        <v/>
      </c>
      <c r="Q40" s="165" t="str">
        <f t="shared" si="2"/>
        <v/>
      </c>
      <c r="R40" s="79">
        <v>30</v>
      </c>
      <c r="S40" s="80">
        <f>10.4*30</f>
        <v>312</v>
      </c>
      <c r="T40" s="61">
        <f t="shared" si="3"/>
        <v>0</v>
      </c>
      <c r="U40" s="61">
        <f t="shared" si="4"/>
        <v>0</v>
      </c>
      <c r="V40" s="61">
        <f t="shared" si="5"/>
        <v>0</v>
      </c>
      <c r="W40" s="58" t="s">
        <v>139</v>
      </c>
      <c r="X40" s="58" t="s">
        <v>141</v>
      </c>
      <c r="Y40" s="53" t="s">
        <v>202</v>
      </c>
      <c r="Z40" s="57" t="s">
        <v>142</v>
      </c>
      <c r="AA40" s="62">
        <v>2</v>
      </c>
      <c r="AB40" s="62" t="s">
        <v>145</v>
      </c>
      <c r="AC40" s="62">
        <v>6</v>
      </c>
      <c r="AD40" s="62">
        <v>4</v>
      </c>
      <c r="AE40" s="62">
        <v>1</v>
      </c>
      <c r="AF40" s="63"/>
      <c r="AG40" s="64" t="str">
        <f t="shared" si="6"/>
        <v/>
      </c>
    </row>
    <row r="41" spans="1:33" x14ac:dyDescent="0.25">
      <c r="A41" s="46" t="str">
        <f>IF(ISBLANK(inbound_data[[#This Row],[Receiving Report ref.'#]]),"",IF(inbound_data[[#This Row],[Ending Quantity]]=0,"ZERO","INV"))</f>
        <v>ZERO</v>
      </c>
      <c r="B41" s="165" t="str">
        <f t="shared" si="0"/>
        <v>00041</v>
      </c>
      <c r="C41" s="165" t="str">
        <f>IF(ISBLANK(D41),"",inbound_data[[#This Row],[Pallet_Series]]&amp;inbound_data[[#This Row],[No.]])</f>
        <v>DUO-00033A/593500041</v>
      </c>
      <c r="D41" s="54">
        <v>45945</v>
      </c>
      <c r="E41" s="55" t="s">
        <v>138</v>
      </c>
      <c r="F41" s="56">
        <v>105317</v>
      </c>
      <c r="G41" s="57" t="s">
        <v>163</v>
      </c>
      <c r="H41" s="53" t="s">
        <v>164</v>
      </c>
      <c r="I41" s="53">
        <v>78706</v>
      </c>
      <c r="J41" s="55" t="s">
        <v>204</v>
      </c>
      <c r="K41" s="58">
        <v>1</v>
      </c>
      <c r="L41" s="59" t="s">
        <v>209</v>
      </c>
      <c r="M41" s="55" t="s">
        <v>134</v>
      </c>
      <c r="N41" s="60">
        <v>45931</v>
      </c>
      <c r="O41" s="60">
        <v>46478</v>
      </c>
      <c r="P41" s="165" t="str">
        <f t="shared" ca="1" si="1"/>
        <v/>
      </c>
      <c r="Q41" s="165" t="str">
        <f t="shared" si="2"/>
        <v/>
      </c>
      <c r="R41" s="79">
        <v>30</v>
      </c>
      <c r="S41" s="80">
        <f t="shared" ref="S41:S43" si="8">10.4*30</f>
        <v>312</v>
      </c>
      <c r="T41" s="61">
        <f t="shared" si="3"/>
        <v>0</v>
      </c>
      <c r="U41" s="61">
        <f t="shared" si="4"/>
        <v>0</v>
      </c>
      <c r="V41" s="61">
        <f t="shared" si="5"/>
        <v>0</v>
      </c>
      <c r="W41" s="58" t="s">
        <v>139</v>
      </c>
      <c r="X41" s="58" t="s">
        <v>141</v>
      </c>
      <c r="Y41" s="53" t="s">
        <v>202</v>
      </c>
      <c r="Z41" s="57" t="s">
        <v>143</v>
      </c>
      <c r="AA41" s="62">
        <v>2</v>
      </c>
      <c r="AB41" s="62" t="s">
        <v>143</v>
      </c>
      <c r="AC41" s="62">
        <v>8</v>
      </c>
      <c r="AD41" s="62">
        <v>7</v>
      </c>
      <c r="AE41" s="62">
        <v>2</v>
      </c>
      <c r="AF41" s="63"/>
      <c r="AG41" s="64" t="str">
        <f t="shared" si="6"/>
        <v/>
      </c>
    </row>
    <row r="42" spans="1:33" x14ac:dyDescent="0.25">
      <c r="A42" s="46" t="str">
        <f>IF(ISBLANK(inbound_data[[#This Row],[Receiving Report ref.'#]]),"",IF(inbound_data[[#This Row],[Ending Quantity]]=0,"ZERO","INV"))</f>
        <v>ZERO</v>
      </c>
      <c r="B42" s="165" t="str">
        <f t="shared" si="0"/>
        <v>00042</v>
      </c>
      <c r="C42" s="165" t="str">
        <f>IF(ISBLANK(D42),"",inbound_data[[#This Row],[Pallet_Series]]&amp;inbound_data[[#This Row],[No.]])</f>
        <v>DUO-00034A/589800042</v>
      </c>
      <c r="D42" s="54">
        <v>45945</v>
      </c>
      <c r="E42" s="55" t="s">
        <v>138</v>
      </c>
      <c r="F42" s="56">
        <v>105317</v>
      </c>
      <c r="G42" s="57" t="s">
        <v>163</v>
      </c>
      <c r="H42" s="53" t="s">
        <v>164</v>
      </c>
      <c r="I42" s="53">
        <v>78706</v>
      </c>
      <c r="J42" s="55" t="s">
        <v>205</v>
      </c>
      <c r="K42" s="58">
        <v>1</v>
      </c>
      <c r="L42" s="59" t="s">
        <v>209</v>
      </c>
      <c r="M42" s="55" t="s">
        <v>134</v>
      </c>
      <c r="N42" s="60">
        <v>45931</v>
      </c>
      <c r="O42" s="60">
        <v>46478</v>
      </c>
      <c r="P42" s="165" t="str">
        <f t="shared" ca="1" si="1"/>
        <v/>
      </c>
      <c r="Q42" s="165" t="str">
        <f t="shared" si="2"/>
        <v/>
      </c>
      <c r="R42" s="79">
        <v>30</v>
      </c>
      <c r="S42" s="80">
        <f t="shared" si="8"/>
        <v>312</v>
      </c>
      <c r="T42" s="61">
        <f t="shared" si="3"/>
        <v>0</v>
      </c>
      <c r="U42" s="61">
        <f t="shared" si="4"/>
        <v>0</v>
      </c>
      <c r="V42" s="61">
        <f t="shared" si="5"/>
        <v>0</v>
      </c>
      <c r="W42" s="58" t="s">
        <v>139</v>
      </c>
      <c r="X42" s="58" t="s">
        <v>141</v>
      </c>
      <c r="Y42" s="53" t="s">
        <v>202</v>
      </c>
      <c r="Z42" s="57" t="s">
        <v>142</v>
      </c>
      <c r="AA42" s="62">
        <v>2</v>
      </c>
      <c r="AB42" s="62" t="s">
        <v>143</v>
      </c>
      <c r="AC42" s="62">
        <v>6</v>
      </c>
      <c r="AD42" s="62">
        <v>5</v>
      </c>
      <c r="AE42" s="62">
        <v>2</v>
      </c>
      <c r="AF42" s="63"/>
      <c r="AG42" s="64" t="str">
        <f t="shared" si="6"/>
        <v/>
      </c>
    </row>
    <row r="43" spans="1:33" x14ac:dyDescent="0.25">
      <c r="A43" s="46" t="str">
        <f>IF(ISBLANK(inbound_data[[#This Row],[Receiving Report ref.'#]]),"",IF(inbound_data[[#This Row],[Ending Quantity]]=0,"ZERO","INV"))</f>
        <v>ZERO</v>
      </c>
      <c r="B43" s="165" t="str">
        <f t="shared" si="0"/>
        <v>00043</v>
      </c>
      <c r="C43" s="165" t="str">
        <f>IF(ISBLANK(D43),"",inbound_data[[#This Row],[Pallet_Series]]&amp;inbound_data[[#This Row],[No.]])</f>
        <v>DUO-00035A/4042200043</v>
      </c>
      <c r="D43" s="54">
        <v>45945</v>
      </c>
      <c r="E43" s="55" t="s">
        <v>138</v>
      </c>
      <c r="F43" s="56">
        <v>105317</v>
      </c>
      <c r="G43" s="57" t="s">
        <v>163</v>
      </c>
      <c r="H43" s="53" t="s">
        <v>164</v>
      </c>
      <c r="I43" s="53">
        <v>78706</v>
      </c>
      <c r="J43" s="55" t="s">
        <v>206</v>
      </c>
      <c r="K43" s="58">
        <v>1</v>
      </c>
      <c r="L43" s="59" t="s">
        <v>209</v>
      </c>
      <c r="M43" s="55" t="s">
        <v>134</v>
      </c>
      <c r="N43" s="60">
        <v>45931</v>
      </c>
      <c r="O43" s="60">
        <v>46478</v>
      </c>
      <c r="P43" s="165" t="str">
        <f t="shared" ca="1" si="1"/>
        <v/>
      </c>
      <c r="Q43" s="165" t="str">
        <f t="shared" si="2"/>
        <v/>
      </c>
      <c r="R43" s="79">
        <v>30</v>
      </c>
      <c r="S43" s="80">
        <f t="shared" si="8"/>
        <v>312</v>
      </c>
      <c r="T43" s="61">
        <f t="shared" si="3"/>
        <v>0</v>
      </c>
      <c r="U43" s="61">
        <f t="shared" si="4"/>
        <v>0</v>
      </c>
      <c r="V43" s="61">
        <f t="shared" si="5"/>
        <v>0</v>
      </c>
      <c r="W43" s="58" t="s">
        <v>139</v>
      </c>
      <c r="X43" s="58" t="s">
        <v>141</v>
      </c>
      <c r="Y43" s="53" t="s">
        <v>202</v>
      </c>
      <c r="Z43" s="57" t="s">
        <v>142</v>
      </c>
      <c r="AA43" s="62">
        <v>2</v>
      </c>
      <c r="AB43" s="62" t="s">
        <v>143</v>
      </c>
      <c r="AC43" s="62">
        <v>6</v>
      </c>
      <c r="AD43" s="62">
        <v>5</v>
      </c>
      <c r="AE43" s="62">
        <v>1</v>
      </c>
      <c r="AF43" s="63"/>
      <c r="AG43" s="64" t="str">
        <f t="shared" si="6"/>
        <v/>
      </c>
    </row>
    <row r="44" spans="1:33" x14ac:dyDescent="0.25">
      <c r="A44" s="46" t="str">
        <f>IF(ISBLANK(inbound_data[[#This Row],[Receiving Report ref.'#]]),"",IF(inbound_data[[#This Row],[Ending Quantity]]=0,"ZERO","INV"))</f>
        <v>ZERO</v>
      </c>
      <c r="B44" s="165" t="str">
        <f t="shared" si="0"/>
        <v>00044</v>
      </c>
      <c r="C44" s="165" t="str">
        <f>IF(ISBLANK(D44),"",inbound_data[[#This Row],[Pallet_Series]]&amp;inbound_data[[#This Row],[No.]])</f>
        <v>DUO-00036A/330900044</v>
      </c>
      <c r="D44" s="54">
        <v>45945</v>
      </c>
      <c r="E44" s="55" t="s">
        <v>138</v>
      </c>
      <c r="F44" s="56">
        <v>105317</v>
      </c>
      <c r="G44" s="57" t="s">
        <v>163</v>
      </c>
      <c r="H44" s="53" t="s">
        <v>164</v>
      </c>
      <c r="I44" s="53">
        <v>78706</v>
      </c>
      <c r="J44" s="55" t="s">
        <v>207</v>
      </c>
      <c r="K44" s="58">
        <v>1</v>
      </c>
      <c r="L44" s="59" t="s">
        <v>210</v>
      </c>
      <c r="M44" s="55" t="s">
        <v>134</v>
      </c>
      <c r="N44" s="60">
        <v>45931</v>
      </c>
      <c r="O44" s="60">
        <v>46478</v>
      </c>
      <c r="P44" s="165" t="str">
        <f t="shared" ca="1" si="1"/>
        <v/>
      </c>
      <c r="Q44" s="165" t="str">
        <f t="shared" si="2"/>
        <v/>
      </c>
      <c r="R44" s="79">
        <v>50</v>
      </c>
      <c r="S44" s="80">
        <f>50*12</f>
        <v>600</v>
      </c>
      <c r="T44" s="61">
        <f t="shared" si="3"/>
        <v>0</v>
      </c>
      <c r="U44" s="61">
        <f t="shared" si="4"/>
        <v>0</v>
      </c>
      <c r="V44" s="61">
        <f t="shared" si="5"/>
        <v>0</v>
      </c>
      <c r="W44" s="58" t="s">
        <v>139</v>
      </c>
      <c r="X44" s="58" t="s">
        <v>141</v>
      </c>
      <c r="Y44" s="53" t="s">
        <v>202</v>
      </c>
      <c r="Z44" s="57" t="s">
        <v>142</v>
      </c>
      <c r="AA44" s="62">
        <v>2</v>
      </c>
      <c r="AB44" s="62" t="s">
        <v>145</v>
      </c>
      <c r="AC44" s="62">
        <v>6</v>
      </c>
      <c r="AD44" s="62">
        <v>4</v>
      </c>
      <c r="AE44" s="62">
        <v>2</v>
      </c>
      <c r="AF44" s="63"/>
      <c r="AG44" s="64" t="str">
        <f t="shared" si="6"/>
        <v/>
      </c>
    </row>
    <row r="45" spans="1:33" x14ac:dyDescent="0.25">
      <c r="A45" s="46" t="str">
        <f>IF(ISBLANK(inbound_data[[#This Row],[Receiving Report ref.'#]]),"",IF(inbound_data[[#This Row],[Ending Quantity]]=0,"ZERO","INV"))</f>
        <v>ZERO</v>
      </c>
      <c r="B45" s="165" t="str">
        <f t="shared" si="0"/>
        <v>00045</v>
      </c>
      <c r="C45" s="165" t="str">
        <f>IF(ISBLANK(D45),"",inbound_data[[#This Row],[Pallet_Series]]&amp;inbound_data[[#This Row],[No.]])</f>
        <v>DUO-00037A/138100045</v>
      </c>
      <c r="D45" s="54">
        <v>45945</v>
      </c>
      <c r="E45" s="55" t="s">
        <v>138</v>
      </c>
      <c r="F45" s="56">
        <v>105317</v>
      </c>
      <c r="G45" s="57" t="s">
        <v>163</v>
      </c>
      <c r="H45" s="53" t="s">
        <v>164</v>
      </c>
      <c r="I45" s="53">
        <v>78706</v>
      </c>
      <c r="J45" s="55" t="s">
        <v>208</v>
      </c>
      <c r="K45" s="58">
        <v>1</v>
      </c>
      <c r="L45" s="59" t="s">
        <v>210</v>
      </c>
      <c r="M45" s="55" t="s">
        <v>134</v>
      </c>
      <c r="N45" s="60">
        <v>45931</v>
      </c>
      <c r="O45" s="60">
        <v>46478</v>
      </c>
      <c r="P45" s="165" t="str">
        <f t="shared" ca="1" si="1"/>
        <v/>
      </c>
      <c r="Q45" s="165" t="str">
        <f t="shared" si="2"/>
        <v/>
      </c>
      <c r="R45" s="79">
        <v>41</v>
      </c>
      <c r="S45" s="80">
        <f>41*12</f>
        <v>492</v>
      </c>
      <c r="T45" s="61">
        <f t="shared" si="3"/>
        <v>0</v>
      </c>
      <c r="U45" s="61">
        <f t="shared" si="4"/>
        <v>0</v>
      </c>
      <c r="V45" s="61">
        <f t="shared" si="5"/>
        <v>0</v>
      </c>
      <c r="W45" s="58" t="s">
        <v>139</v>
      </c>
      <c r="X45" s="58" t="s">
        <v>141</v>
      </c>
      <c r="Y45" s="53" t="s">
        <v>202</v>
      </c>
      <c r="Z45" s="57" t="s">
        <v>142</v>
      </c>
      <c r="AA45" s="62">
        <v>2</v>
      </c>
      <c r="AB45" s="62" t="s">
        <v>143</v>
      </c>
      <c r="AC45" s="62">
        <v>8</v>
      </c>
      <c r="AD45" s="62">
        <v>7</v>
      </c>
      <c r="AE45" s="62">
        <v>1</v>
      </c>
      <c r="AF45" s="63"/>
      <c r="AG45" s="64" t="str">
        <f t="shared" si="6"/>
        <v/>
      </c>
    </row>
    <row r="46" spans="1:33" x14ac:dyDescent="0.25">
      <c r="A46" s="46" t="str">
        <f>IF(ISBLANK(inbound_data[[#This Row],[Receiving Report ref.'#]]),"",IF(inbound_data[[#This Row],[Ending Quantity]]=0,"ZERO","INV"))</f>
        <v>ZERO</v>
      </c>
      <c r="B46" s="165" t="str">
        <f t="shared" si="0"/>
        <v>00046</v>
      </c>
      <c r="C46" s="165" t="str">
        <f>IF(ISBLANK(D46),"",inbound_data[[#This Row],[Pallet_Series]]&amp;inbound_data[[#This Row],[No.]])</f>
        <v>DUO-00038A/183400046</v>
      </c>
      <c r="D46" s="54">
        <v>45946</v>
      </c>
      <c r="E46" s="55" t="s">
        <v>138</v>
      </c>
      <c r="F46" s="56">
        <v>105330</v>
      </c>
      <c r="G46" s="57" t="s">
        <v>163</v>
      </c>
      <c r="H46" s="53" t="s">
        <v>135</v>
      </c>
      <c r="I46" s="53">
        <v>78716</v>
      </c>
      <c r="J46" s="55" t="s">
        <v>216</v>
      </c>
      <c r="K46" s="58">
        <v>1</v>
      </c>
      <c r="L46" s="59" t="s">
        <v>217</v>
      </c>
      <c r="M46" s="55" t="s">
        <v>134</v>
      </c>
      <c r="N46" s="60">
        <v>45945</v>
      </c>
      <c r="O46" s="60">
        <v>46492</v>
      </c>
      <c r="P46" s="165" t="str">
        <f t="shared" ca="1" si="1"/>
        <v/>
      </c>
      <c r="Q46" s="165" t="str">
        <f t="shared" si="2"/>
        <v/>
      </c>
      <c r="R46" s="79">
        <v>30</v>
      </c>
      <c r="S46" s="80">
        <v>360</v>
      </c>
      <c r="T46" s="61">
        <f t="shared" si="3"/>
        <v>0</v>
      </c>
      <c r="U46" s="61">
        <f t="shared" si="4"/>
        <v>0</v>
      </c>
      <c r="V46" s="61">
        <f t="shared" si="5"/>
        <v>0</v>
      </c>
      <c r="W46" s="58" t="s">
        <v>139</v>
      </c>
      <c r="X46" s="58" t="s">
        <v>141</v>
      </c>
      <c r="Y46" s="53" t="s">
        <v>140</v>
      </c>
      <c r="Z46" s="57"/>
      <c r="AA46" s="62"/>
      <c r="AB46" s="62"/>
      <c r="AC46" s="62"/>
      <c r="AD46" s="62"/>
      <c r="AE46" s="62"/>
      <c r="AF46" s="63"/>
      <c r="AG46" s="64" t="str">
        <f t="shared" si="6"/>
        <v/>
      </c>
    </row>
    <row r="47" spans="1:33" x14ac:dyDescent="0.25">
      <c r="A47" s="46" t="str">
        <f>IF(ISBLANK(inbound_data[[#This Row],[Receiving Report ref.'#]]),"",IF(inbound_data[[#This Row],[Ending Quantity]]=0,"ZERO","INV"))</f>
        <v>ZERO</v>
      </c>
      <c r="B47" s="165" t="str">
        <f t="shared" si="0"/>
        <v>00047</v>
      </c>
      <c r="C47" s="165" t="str">
        <f>IF(ISBLANK(D47),"",inbound_data[[#This Row],[Pallet_Series]]&amp;inbound_data[[#This Row],[No.]])</f>
        <v>DUO-00039A/748700047</v>
      </c>
      <c r="D47" s="54">
        <v>45946</v>
      </c>
      <c r="E47" s="55" t="s">
        <v>138</v>
      </c>
      <c r="F47" s="56">
        <v>105330</v>
      </c>
      <c r="G47" s="57" t="s">
        <v>163</v>
      </c>
      <c r="H47" s="53" t="s">
        <v>135</v>
      </c>
      <c r="I47" s="53">
        <v>78716</v>
      </c>
      <c r="J47" s="55" t="s">
        <v>219</v>
      </c>
      <c r="K47" s="58">
        <v>1</v>
      </c>
      <c r="L47" s="59" t="s">
        <v>218</v>
      </c>
      <c r="M47" s="55" t="s">
        <v>134</v>
      </c>
      <c r="N47" s="60">
        <v>45945</v>
      </c>
      <c r="O47" s="60">
        <v>46492</v>
      </c>
      <c r="P47" s="165" t="str">
        <f t="shared" ca="1" si="1"/>
        <v/>
      </c>
      <c r="Q47" s="165" t="str">
        <f t="shared" si="2"/>
        <v/>
      </c>
      <c r="R47" s="79">
        <v>30</v>
      </c>
      <c r="S47" s="80">
        <v>312</v>
      </c>
      <c r="T47" s="61">
        <f t="shared" si="3"/>
        <v>0</v>
      </c>
      <c r="U47" s="61">
        <f t="shared" si="4"/>
        <v>0</v>
      </c>
      <c r="V47" s="61">
        <f t="shared" si="5"/>
        <v>0</v>
      </c>
      <c r="W47" s="58" t="s">
        <v>139</v>
      </c>
      <c r="X47" s="58" t="s">
        <v>141</v>
      </c>
      <c r="Y47" s="53" t="s">
        <v>140</v>
      </c>
      <c r="Z47" s="57"/>
      <c r="AA47" s="62"/>
      <c r="AB47" s="62"/>
      <c r="AC47" s="62"/>
      <c r="AD47" s="62"/>
      <c r="AE47" s="62"/>
      <c r="AF47" s="63"/>
      <c r="AG47" s="64" t="str">
        <f t="shared" si="6"/>
        <v/>
      </c>
    </row>
    <row r="48" spans="1:33" x14ac:dyDescent="0.25">
      <c r="A48" s="46" t="str">
        <f>IF(ISBLANK(inbound_data[[#This Row],[Receiving Report ref.'#]]),"",IF(inbound_data[[#This Row],[Ending Quantity]]=0,"ZERO","INV"))</f>
        <v>ZERO</v>
      </c>
      <c r="B48" s="165" t="str">
        <f t="shared" si="0"/>
        <v>00048</v>
      </c>
      <c r="C48" s="165" t="str">
        <f>IF(ISBLANK(D48),"",inbound_data[[#This Row],[Pallet_Series]]&amp;inbound_data[[#This Row],[No.]])</f>
        <v>DUO-00040A/4111800048</v>
      </c>
      <c r="D48" s="54">
        <v>45946</v>
      </c>
      <c r="E48" s="55" t="s">
        <v>138</v>
      </c>
      <c r="F48" s="56">
        <v>105330</v>
      </c>
      <c r="G48" s="57" t="s">
        <v>163</v>
      </c>
      <c r="H48" s="53" t="s">
        <v>135</v>
      </c>
      <c r="I48" s="53">
        <v>78716</v>
      </c>
      <c r="J48" s="55" t="s">
        <v>220</v>
      </c>
      <c r="K48" s="58">
        <v>1</v>
      </c>
      <c r="L48" s="59" t="s">
        <v>218</v>
      </c>
      <c r="M48" s="55" t="s">
        <v>134</v>
      </c>
      <c r="N48" s="60">
        <v>45945</v>
      </c>
      <c r="O48" s="60">
        <v>46492</v>
      </c>
      <c r="P48" s="165" t="str">
        <f t="shared" ca="1" si="1"/>
        <v/>
      </c>
      <c r="Q48" s="165" t="str">
        <f t="shared" si="2"/>
        <v/>
      </c>
      <c r="R48" s="79">
        <v>25</v>
      </c>
      <c r="S48" s="80">
        <v>260</v>
      </c>
      <c r="T48" s="61">
        <f t="shared" si="3"/>
        <v>0</v>
      </c>
      <c r="U48" s="61">
        <f t="shared" si="4"/>
        <v>0</v>
      </c>
      <c r="V48" s="61">
        <f t="shared" si="5"/>
        <v>0</v>
      </c>
      <c r="W48" s="58" t="s">
        <v>139</v>
      </c>
      <c r="X48" s="58" t="s">
        <v>141</v>
      </c>
      <c r="Y48" s="53" t="s">
        <v>140</v>
      </c>
      <c r="Z48" s="57"/>
      <c r="AA48" s="62"/>
      <c r="AB48" s="62"/>
      <c r="AC48" s="62"/>
      <c r="AD48" s="62"/>
      <c r="AE48" s="62"/>
      <c r="AF48" s="63"/>
      <c r="AG48" s="64" t="str">
        <f t="shared" si="6"/>
        <v/>
      </c>
    </row>
    <row r="49" spans="1:33" x14ac:dyDescent="0.25">
      <c r="A49" s="46" t="str">
        <f>IF(ISBLANK(inbound_data[[#This Row],[Receiving Report ref.'#]]),"",IF(inbound_data[[#This Row],[Ending Quantity]]=0,"ZERO","INV"))</f>
        <v>ZERO</v>
      </c>
      <c r="B49" s="165" t="str">
        <f t="shared" si="0"/>
        <v>00049</v>
      </c>
      <c r="C49" s="165" t="str">
        <f>IF(ISBLANK(D49),"",inbound_data[[#This Row],[Pallet_Series]]&amp;inbound_data[[#This Row],[No.]])</f>
        <v>DUO-00040A/259500049</v>
      </c>
      <c r="D49" s="54">
        <v>45988</v>
      </c>
      <c r="E49" s="55" t="s">
        <v>138</v>
      </c>
      <c r="F49" s="56">
        <v>109569</v>
      </c>
      <c r="G49" s="57" t="s">
        <v>237</v>
      </c>
      <c r="H49" s="53" t="s">
        <v>238</v>
      </c>
      <c r="I49" s="53">
        <v>83318</v>
      </c>
      <c r="J49" s="55" t="s">
        <v>239</v>
      </c>
      <c r="K49" s="58">
        <v>1</v>
      </c>
      <c r="L49" s="59" t="s">
        <v>249</v>
      </c>
      <c r="M49" s="55" t="s">
        <v>134</v>
      </c>
      <c r="N49" s="60">
        <v>45986</v>
      </c>
      <c r="O49" s="60">
        <v>46533</v>
      </c>
      <c r="P49" s="165" t="str">
        <f t="shared" ca="1" si="1"/>
        <v/>
      </c>
      <c r="Q49" s="165" t="str">
        <f t="shared" si="2"/>
        <v/>
      </c>
      <c r="R49" s="79">
        <v>50</v>
      </c>
      <c r="S49" s="80">
        <f>+inbound_data[[#This Row],[In Quantity]]*12</f>
        <v>600</v>
      </c>
      <c r="T49" s="61">
        <f t="shared" si="3"/>
        <v>0</v>
      </c>
      <c r="U49" s="61">
        <f t="shared" si="4"/>
        <v>0</v>
      </c>
      <c r="V49" s="61">
        <f t="shared" si="5"/>
        <v>0</v>
      </c>
      <c r="W49" s="58" t="s">
        <v>139</v>
      </c>
      <c r="X49" s="58" t="s">
        <v>141</v>
      </c>
      <c r="Y49" s="53" t="s">
        <v>251</v>
      </c>
      <c r="Z49" s="57"/>
      <c r="AA49" s="62"/>
      <c r="AB49" s="62"/>
      <c r="AC49" s="62"/>
      <c r="AD49" s="62"/>
      <c r="AE49" s="62"/>
      <c r="AF49" s="63"/>
      <c r="AG49" s="64" t="str">
        <f t="shared" si="6"/>
        <v/>
      </c>
    </row>
    <row r="50" spans="1:33" x14ac:dyDescent="0.25">
      <c r="A50" s="46" t="str">
        <f>IF(ISBLANK(inbound_data[[#This Row],[Receiving Report ref.'#]]),"",IF(inbound_data[[#This Row],[Ending Quantity]]=0,"ZERO","INV"))</f>
        <v>ZERO</v>
      </c>
      <c r="B50" s="165" t="str">
        <f t="shared" si="0"/>
        <v>00050</v>
      </c>
      <c r="C50" s="165" t="str">
        <f>IF(ISBLANK(D50),"",inbound_data[[#This Row],[Pallet_Series]]&amp;inbound_data[[#This Row],[No.]])</f>
        <v>DUO-00041A/453800050</v>
      </c>
      <c r="D50" s="54">
        <v>45988</v>
      </c>
      <c r="E50" s="55" t="s">
        <v>138</v>
      </c>
      <c r="F50" s="56">
        <v>109569</v>
      </c>
      <c r="G50" s="57" t="s">
        <v>237</v>
      </c>
      <c r="H50" s="53" t="s">
        <v>238</v>
      </c>
      <c r="I50" s="53">
        <v>83318</v>
      </c>
      <c r="J50" s="55" t="s">
        <v>240</v>
      </c>
      <c r="K50" s="58">
        <v>1</v>
      </c>
      <c r="L50" s="59" t="s">
        <v>249</v>
      </c>
      <c r="M50" s="55" t="s">
        <v>134</v>
      </c>
      <c r="N50" s="60">
        <v>45986</v>
      </c>
      <c r="O50" s="60">
        <v>46533</v>
      </c>
      <c r="P50" s="165" t="str">
        <f t="shared" ca="1" si="1"/>
        <v/>
      </c>
      <c r="Q50" s="165" t="str">
        <f t="shared" si="2"/>
        <v/>
      </c>
      <c r="R50" s="79">
        <v>50</v>
      </c>
      <c r="S50" s="80">
        <f>+inbound_data[[#This Row],[In Quantity]]*12</f>
        <v>600</v>
      </c>
      <c r="T50" s="61">
        <f t="shared" si="3"/>
        <v>0</v>
      </c>
      <c r="U50" s="61">
        <f t="shared" si="4"/>
        <v>0</v>
      </c>
      <c r="V50" s="61">
        <f t="shared" si="5"/>
        <v>0</v>
      </c>
      <c r="W50" s="58" t="s">
        <v>139</v>
      </c>
      <c r="X50" s="58" t="s">
        <v>141</v>
      </c>
      <c r="Y50" s="53" t="s">
        <v>251</v>
      </c>
      <c r="Z50" s="57"/>
      <c r="AA50" s="62"/>
      <c r="AB50" s="62"/>
      <c r="AC50" s="62"/>
      <c r="AD50" s="62"/>
      <c r="AE50" s="62"/>
      <c r="AF50" s="63"/>
      <c r="AG50" s="64" t="str">
        <f t="shared" si="6"/>
        <v/>
      </c>
    </row>
    <row r="51" spans="1:33" x14ac:dyDescent="0.25">
      <c r="A51" s="46" t="str">
        <f>IF(ISBLANK(inbound_data[[#This Row],[Receiving Report ref.'#]]),"",IF(inbound_data[[#This Row],[Ending Quantity]]=0,"ZERO","INV"))</f>
        <v>ZERO</v>
      </c>
      <c r="B51" s="165" t="str">
        <f t="shared" si="0"/>
        <v>00051</v>
      </c>
      <c r="C51" s="165" t="str">
        <f>IF(ISBLANK(D51),"",inbound_data[[#This Row],[Pallet_Series]]&amp;inbound_data[[#This Row],[No.]])</f>
        <v>DUO-00042A/767100051</v>
      </c>
      <c r="D51" s="54">
        <v>45988</v>
      </c>
      <c r="E51" s="55" t="s">
        <v>138</v>
      </c>
      <c r="F51" s="56">
        <v>109569</v>
      </c>
      <c r="G51" s="57" t="s">
        <v>237</v>
      </c>
      <c r="H51" s="53" t="s">
        <v>238</v>
      </c>
      <c r="I51" s="53">
        <v>83318</v>
      </c>
      <c r="J51" s="55" t="s">
        <v>241</v>
      </c>
      <c r="K51" s="58">
        <v>1</v>
      </c>
      <c r="L51" s="59" t="s">
        <v>250</v>
      </c>
      <c r="M51" s="55" t="s">
        <v>134</v>
      </c>
      <c r="N51" s="60">
        <v>45986</v>
      </c>
      <c r="O51" s="60">
        <v>46533</v>
      </c>
      <c r="P51" s="165" t="str">
        <f t="shared" ca="1" si="1"/>
        <v/>
      </c>
      <c r="Q51" s="165" t="str">
        <f t="shared" si="2"/>
        <v/>
      </c>
      <c r="R51" s="79">
        <v>30</v>
      </c>
      <c r="S51" s="80">
        <f>+inbound_data[[#This Row],[In Quantity]]*10.4</f>
        <v>312</v>
      </c>
      <c r="T51" s="61">
        <f t="shared" si="3"/>
        <v>0</v>
      </c>
      <c r="U51" s="61">
        <f t="shared" si="4"/>
        <v>0</v>
      </c>
      <c r="V51" s="61">
        <f t="shared" si="5"/>
        <v>0</v>
      </c>
      <c r="W51" s="58" t="s">
        <v>139</v>
      </c>
      <c r="X51" s="58" t="s">
        <v>141</v>
      </c>
      <c r="Y51" s="53" t="s">
        <v>251</v>
      </c>
      <c r="Z51" s="57"/>
      <c r="AA51" s="62"/>
      <c r="AB51" s="62"/>
      <c r="AC51" s="62"/>
      <c r="AD51" s="62"/>
      <c r="AE51" s="62"/>
      <c r="AF51" s="63"/>
      <c r="AG51" s="64" t="str">
        <f t="shared" si="6"/>
        <v/>
      </c>
    </row>
    <row r="52" spans="1:33" x14ac:dyDescent="0.25">
      <c r="A52" s="46" t="str">
        <f>IF(ISBLANK(inbound_data[[#This Row],[Receiving Report ref.'#]]),"",IF(inbound_data[[#This Row],[Ending Quantity]]=0,"ZERO","INV"))</f>
        <v>ZERO</v>
      </c>
      <c r="B52" s="165" t="str">
        <f t="shared" si="0"/>
        <v>00052</v>
      </c>
      <c r="C52" s="165" t="str">
        <f>IF(ISBLANK(D52),"",inbound_data[[#This Row],[Pallet_Series]]&amp;inbound_data[[#This Row],[No.]])</f>
        <v>DUO-00043A/197000052</v>
      </c>
      <c r="D52" s="54">
        <v>45988</v>
      </c>
      <c r="E52" s="55" t="s">
        <v>138</v>
      </c>
      <c r="F52" s="56">
        <v>109569</v>
      </c>
      <c r="G52" s="57" t="s">
        <v>237</v>
      </c>
      <c r="H52" s="53" t="s">
        <v>238</v>
      </c>
      <c r="I52" s="53">
        <v>83318</v>
      </c>
      <c r="J52" s="55" t="s">
        <v>242</v>
      </c>
      <c r="K52" s="58">
        <v>1</v>
      </c>
      <c r="L52" s="59" t="s">
        <v>250</v>
      </c>
      <c r="M52" s="55" t="s">
        <v>134</v>
      </c>
      <c r="N52" s="60">
        <v>45986</v>
      </c>
      <c r="O52" s="60">
        <v>46533</v>
      </c>
      <c r="P52" s="165" t="str">
        <f t="shared" ca="1" si="1"/>
        <v/>
      </c>
      <c r="Q52" s="165" t="str">
        <f t="shared" si="2"/>
        <v/>
      </c>
      <c r="R52" s="79">
        <v>30</v>
      </c>
      <c r="S52" s="80">
        <f>+inbound_data[[#This Row],[In Quantity]]*10.4</f>
        <v>312</v>
      </c>
      <c r="T52" s="61">
        <f t="shared" si="3"/>
        <v>0</v>
      </c>
      <c r="U52" s="61">
        <f t="shared" si="4"/>
        <v>0</v>
      </c>
      <c r="V52" s="61">
        <f t="shared" si="5"/>
        <v>0</v>
      </c>
      <c r="W52" s="58" t="s">
        <v>139</v>
      </c>
      <c r="X52" s="58" t="s">
        <v>141</v>
      </c>
      <c r="Y52" s="53" t="s">
        <v>251</v>
      </c>
      <c r="Z52" s="57"/>
      <c r="AA52" s="62"/>
      <c r="AB52" s="62"/>
      <c r="AC52" s="62"/>
      <c r="AD52" s="62"/>
      <c r="AE52" s="62"/>
      <c r="AF52" s="63"/>
      <c r="AG52" s="64" t="str">
        <f t="shared" si="6"/>
        <v/>
      </c>
    </row>
    <row r="53" spans="1:33" x14ac:dyDescent="0.25">
      <c r="A53" s="46" t="str">
        <f>IF(ISBLANK(inbound_data[[#This Row],[Receiving Report ref.'#]]),"",IF(inbound_data[[#This Row],[Ending Quantity]]=0,"ZERO","INV"))</f>
        <v>ZERO</v>
      </c>
      <c r="B53" s="165" t="str">
        <f t="shared" si="0"/>
        <v>00053</v>
      </c>
      <c r="C53" s="165" t="str">
        <f>IF(ISBLANK(D53),"",inbound_data[[#This Row],[Pallet_Series]]&amp;inbound_data[[#This Row],[No.]])</f>
        <v>DUO-00044A/155600053</v>
      </c>
      <c r="D53" s="54">
        <v>45988</v>
      </c>
      <c r="E53" s="55" t="s">
        <v>138</v>
      </c>
      <c r="F53" s="56">
        <v>109569</v>
      </c>
      <c r="G53" s="57" t="s">
        <v>237</v>
      </c>
      <c r="H53" s="53" t="s">
        <v>238</v>
      </c>
      <c r="I53" s="53">
        <v>83318</v>
      </c>
      <c r="J53" s="55" t="s">
        <v>243</v>
      </c>
      <c r="K53" s="58">
        <v>1</v>
      </c>
      <c r="L53" s="59" t="s">
        <v>250</v>
      </c>
      <c r="M53" s="55" t="s">
        <v>134</v>
      </c>
      <c r="N53" s="60">
        <v>45986</v>
      </c>
      <c r="O53" s="60">
        <v>46533</v>
      </c>
      <c r="P53" s="165" t="str">
        <f t="shared" ca="1" si="1"/>
        <v/>
      </c>
      <c r="Q53" s="165" t="str">
        <f t="shared" si="2"/>
        <v/>
      </c>
      <c r="R53" s="79">
        <v>30</v>
      </c>
      <c r="S53" s="80">
        <f>+inbound_data[[#This Row],[In Quantity]]*10.4</f>
        <v>312</v>
      </c>
      <c r="T53" s="61">
        <f t="shared" si="3"/>
        <v>0</v>
      </c>
      <c r="U53" s="61">
        <f t="shared" si="4"/>
        <v>0</v>
      </c>
      <c r="V53" s="61">
        <f t="shared" si="5"/>
        <v>0</v>
      </c>
      <c r="W53" s="58" t="s">
        <v>139</v>
      </c>
      <c r="X53" s="58" t="s">
        <v>141</v>
      </c>
      <c r="Y53" s="53" t="s">
        <v>251</v>
      </c>
      <c r="Z53" s="57"/>
      <c r="AA53" s="62">
        <v>4</v>
      </c>
      <c r="AB53" s="62" t="s">
        <v>146</v>
      </c>
      <c r="AC53" s="62">
        <v>8</v>
      </c>
      <c r="AD53" s="62">
        <v>6</v>
      </c>
      <c r="AE53" s="62">
        <v>1</v>
      </c>
      <c r="AF53" s="63"/>
      <c r="AG53" s="64" t="str">
        <f t="shared" si="6"/>
        <v/>
      </c>
    </row>
    <row r="54" spans="1:33" x14ac:dyDescent="0.25">
      <c r="A54" s="46" t="str">
        <f>IF(ISBLANK(inbound_data[[#This Row],[Receiving Report ref.'#]]),"",IF(inbound_data[[#This Row],[Ending Quantity]]=0,"ZERO","INV"))</f>
        <v>ZERO</v>
      </c>
      <c r="B54" s="165" t="str">
        <f t="shared" si="0"/>
        <v>00054</v>
      </c>
      <c r="C54" s="165" t="str">
        <f>IF(ISBLANK(D54),"",inbound_data[[#This Row],[Pallet_Series]]&amp;inbound_data[[#This Row],[No.]])</f>
        <v>DUO-00045A/414700054</v>
      </c>
      <c r="D54" s="54">
        <v>45988</v>
      </c>
      <c r="E54" s="55" t="s">
        <v>138</v>
      </c>
      <c r="F54" s="56">
        <v>109569</v>
      </c>
      <c r="G54" s="57" t="s">
        <v>237</v>
      </c>
      <c r="H54" s="53" t="s">
        <v>238</v>
      </c>
      <c r="I54" s="53">
        <v>83318</v>
      </c>
      <c r="J54" s="55" t="s">
        <v>244</v>
      </c>
      <c r="K54" s="58">
        <v>1</v>
      </c>
      <c r="L54" s="59" t="s">
        <v>250</v>
      </c>
      <c r="M54" s="55" t="s">
        <v>134</v>
      </c>
      <c r="N54" s="60">
        <v>45986</v>
      </c>
      <c r="O54" s="60">
        <v>46533</v>
      </c>
      <c r="P54" s="165" t="str">
        <f t="shared" ca="1" si="1"/>
        <v/>
      </c>
      <c r="Q54" s="165" t="str">
        <f t="shared" si="2"/>
        <v/>
      </c>
      <c r="R54" s="79">
        <v>30</v>
      </c>
      <c r="S54" s="80">
        <f>+inbound_data[[#This Row],[In Quantity]]*10.4</f>
        <v>312</v>
      </c>
      <c r="T54" s="61">
        <f t="shared" si="3"/>
        <v>0</v>
      </c>
      <c r="U54" s="61">
        <f t="shared" si="4"/>
        <v>0</v>
      </c>
      <c r="V54" s="61">
        <f t="shared" si="5"/>
        <v>0</v>
      </c>
      <c r="W54" s="58" t="s">
        <v>139</v>
      </c>
      <c r="X54" s="58" t="s">
        <v>141</v>
      </c>
      <c r="Y54" s="53" t="s">
        <v>251</v>
      </c>
      <c r="Z54" s="57"/>
      <c r="AA54" s="62">
        <v>4</v>
      </c>
      <c r="AB54" s="62" t="s">
        <v>146</v>
      </c>
      <c r="AC54" s="62">
        <v>5</v>
      </c>
      <c r="AD54" s="62">
        <v>3</v>
      </c>
      <c r="AE54" s="62">
        <v>1</v>
      </c>
      <c r="AF54" s="63"/>
      <c r="AG54" s="64" t="str">
        <f t="shared" si="6"/>
        <v/>
      </c>
    </row>
    <row r="55" spans="1:33" x14ac:dyDescent="0.25">
      <c r="A55" s="46" t="str">
        <f>IF(ISBLANK(inbound_data[[#This Row],[Receiving Report ref.'#]]),"",IF(inbound_data[[#This Row],[Ending Quantity]]=0,"ZERO","INV"))</f>
        <v>ZERO</v>
      </c>
      <c r="B55" s="165" t="str">
        <f t="shared" si="0"/>
        <v>00055</v>
      </c>
      <c r="C55" s="165" t="str">
        <f>IF(ISBLANK(D55),"",inbound_data[[#This Row],[Pallet_Series]]&amp;inbound_data[[#This Row],[No.]])</f>
        <v>DUO-00046A/141000055</v>
      </c>
      <c r="D55" s="54">
        <v>45988</v>
      </c>
      <c r="E55" s="55" t="s">
        <v>138</v>
      </c>
      <c r="F55" s="56">
        <v>109569</v>
      </c>
      <c r="G55" s="57" t="s">
        <v>237</v>
      </c>
      <c r="H55" s="53" t="s">
        <v>238</v>
      </c>
      <c r="I55" s="53">
        <v>83318</v>
      </c>
      <c r="J55" s="55" t="s">
        <v>245</v>
      </c>
      <c r="K55" s="58">
        <v>1</v>
      </c>
      <c r="L55" s="59" t="s">
        <v>250</v>
      </c>
      <c r="M55" s="55" t="s">
        <v>134</v>
      </c>
      <c r="N55" s="60">
        <v>45986</v>
      </c>
      <c r="O55" s="60">
        <v>46533</v>
      </c>
      <c r="P55" s="165" t="str">
        <f t="shared" ca="1" si="1"/>
        <v/>
      </c>
      <c r="Q55" s="165" t="str">
        <f t="shared" si="2"/>
        <v/>
      </c>
      <c r="R55" s="79">
        <v>30</v>
      </c>
      <c r="S55" s="80">
        <f>+inbound_data[[#This Row],[In Quantity]]*10.4</f>
        <v>312</v>
      </c>
      <c r="T55" s="61">
        <f t="shared" si="3"/>
        <v>0</v>
      </c>
      <c r="U55" s="61">
        <f t="shared" si="4"/>
        <v>0</v>
      </c>
      <c r="V55" s="61">
        <f t="shared" si="5"/>
        <v>0</v>
      </c>
      <c r="W55" s="58" t="s">
        <v>139</v>
      </c>
      <c r="X55" s="58" t="s">
        <v>141</v>
      </c>
      <c r="Y55" s="53" t="s">
        <v>251</v>
      </c>
      <c r="Z55" s="57"/>
      <c r="AA55" s="62">
        <v>4</v>
      </c>
      <c r="AB55" s="62" t="s">
        <v>256</v>
      </c>
      <c r="AC55" s="62">
        <v>2</v>
      </c>
      <c r="AD55" s="62">
        <v>6</v>
      </c>
      <c r="AE55" s="62">
        <v>2</v>
      </c>
      <c r="AF55" s="63"/>
      <c r="AG55" s="64" t="str">
        <f t="shared" si="6"/>
        <v/>
      </c>
    </row>
    <row r="56" spans="1:33" x14ac:dyDescent="0.25">
      <c r="A56" s="46" t="str">
        <f>IF(ISBLANK(inbound_data[[#This Row],[Receiving Report ref.'#]]),"",IF(inbound_data[[#This Row],[Ending Quantity]]=0,"ZERO","INV"))</f>
        <v>ZERO</v>
      </c>
      <c r="B56" s="165" t="str">
        <f t="shared" si="0"/>
        <v>00056</v>
      </c>
      <c r="C56" s="165" t="str">
        <f>IF(ISBLANK(D56),"",inbound_data[[#This Row],[Pallet_Series]]&amp;inbound_data[[#This Row],[No.]])</f>
        <v>DUO-00047A/578400056</v>
      </c>
      <c r="D56" s="54">
        <v>45988</v>
      </c>
      <c r="E56" s="55" t="s">
        <v>138</v>
      </c>
      <c r="F56" s="56">
        <v>109569</v>
      </c>
      <c r="G56" s="57" t="s">
        <v>237</v>
      </c>
      <c r="H56" s="53" t="s">
        <v>238</v>
      </c>
      <c r="I56" s="53">
        <v>83318</v>
      </c>
      <c r="J56" s="55" t="s">
        <v>246</v>
      </c>
      <c r="K56" s="58">
        <v>1</v>
      </c>
      <c r="L56" s="59" t="s">
        <v>250</v>
      </c>
      <c r="M56" s="55" t="s">
        <v>134</v>
      </c>
      <c r="N56" s="60">
        <v>45986</v>
      </c>
      <c r="O56" s="60">
        <v>46533</v>
      </c>
      <c r="P56" s="165" t="str">
        <f t="shared" ca="1" si="1"/>
        <v/>
      </c>
      <c r="Q56" s="165" t="str">
        <f t="shared" si="2"/>
        <v/>
      </c>
      <c r="R56" s="79">
        <v>30</v>
      </c>
      <c r="S56" s="80">
        <f>+inbound_data[[#This Row],[In Quantity]]*10.4</f>
        <v>312</v>
      </c>
      <c r="T56" s="61">
        <f t="shared" si="3"/>
        <v>0</v>
      </c>
      <c r="U56" s="61">
        <f t="shared" si="4"/>
        <v>0</v>
      </c>
      <c r="V56" s="61">
        <f t="shared" si="5"/>
        <v>0</v>
      </c>
      <c r="W56" s="58" t="s">
        <v>139</v>
      </c>
      <c r="X56" s="58" t="s">
        <v>141</v>
      </c>
      <c r="Y56" s="53" t="s">
        <v>251</v>
      </c>
      <c r="Z56" s="57"/>
      <c r="AA56" s="62">
        <v>4</v>
      </c>
      <c r="AB56" s="62" t="s">
        <v>146</v>
      </c>
      <c r="AC56" s="62">
        <v>4</v>
      </c>
      <c r="AD56" s="62">
        <v>5</v>
      </c>
      <c r="AE56" s="62">
        <v>1</v>
      </c>
      <c r="AF56" s="63"/>
      <c r="AG56" s="64" t="str">
        <f t="shared" si="6"/>
        <v/>
      </c>
    </row>
    <row r="57" spans="1:33" x14ac:dyDescent="0.25">
      <c r="A57" s="46" t="str">
        <f>IF(ISBLANK(inbound_data[[#This Row],[Receiving Report ref.'#]]),"",IF(inbound_data[[#This Row],[Ending Quantity]]=0,"ZERO","INV"))</f>
        <v>ZERO</v>
      </c>
      <c r="B57" s="165" t="str">
        <f t="shared" si="0"/>
        <v>00057</v>
      </c>
      <c r="C57" s="165" t="str">
        <f>IF(ISBLANK(D57),"",inbound_data[[#This Row],[Pallet_Series]]&amp;inbound_data[[#This Row],[No.]])</f>
        <v>DUO-00048A/881800057</v>
      </c>
      <c r="D57" s="54">
        <v>45988</v>
      </c>
      <c r="E57" s="55" t="s">
        <v>138</v>
      </c>
      <c r="F57" s="56">
        <v>109569</v>
      </c>
      <c r="G57" s="57" t="s">
        <v>237</v>
      </c>
      <c r="H57" s="53" t="s">
        <v>238</v>
      </c>
      <c r="I57" s="53">
        <v>83318</v>
      </c>
      <c r="J57" s="55" t="s">
        <v>247</v>
      </c>
      <c r="K57" s="58">
        <v>1</v>
      </c>
      <c r="L57" s="59" t="s">
        <v>250</v>
      </c>
      <c r="M57" s="55" t="s">
        <v>134</v>
      </c>
      <c r="N57" s="60">
        <v>45986</v>
      </c>
      <c r="O57" s="60">
        <v>46533</v>
      </c>
      <c r="P57" s="165" t="str">
        <f t="shared" ca="1" si="1"/>
        <v/>
      </c>
      <c r="Q57" s="165" t="str">
        <f t="shared" si="2"/>
        <v/>
      </c>
      <c r="R57" s="79">
        <v>30</v>
      </c>
      <c r="S57" s="80">
        <f>+inbound_data[[#This Row],[In Quantity]]*10.4</f>
        <v>312</v>
      </c>
      <c r="T57" s="61">
        <f t="shared" si="3"/>
        <v>0</v>
      </c>
      <c r="U57" s="61">
        <f t="shared" si="4"/>
        <v>0</v>
      </c>
      <c r="V57" s="61">
        <f t="shared" si="5"/>
        <v>0</v>
      </c>
      <c r="W57" s="58" t="s">
        <v>139</v>
      </c>
      <c r="X57" s="58" t="s">
        <v>141</v>
      </c>
      <c r="Y57" s="53" t="s">
        <v>251</v>
      </c>
      <c r="Z57" s="57"/>
      <c r="AA57" s="62">
        <v>4</v>
      </c>
      <c r="AB57" s="62" t="s">
        <v>146</v>
      </c>
      <c r="AC57" s="62">
        <v>6</v>
      </c>
      <c r="AD57" s="62">
        <v>3</v>
      </c>
      <c r="AE57" s="62">
        <v>1</v>
      </c>
      <c r="AF57" s="63"/>
      <c r="AG57" s="64" t="str">
        <f t="shared" si="6"/>
        <v/>
      </c>
    </row>
    <row r="58" spans="1:33" x14ac:dyDescent="0.25">
      <c r="A58" s="46" t="str">
        <f>IF(ISBLANK(inbound_data[[#This Row],[Receiving Report ref.'#]]),"",IF(inbound_data[[#This Row],[Ending Quantity]]=0,"ZERO","INV"))</f>
        <v>ZERO</v>
      </c>
      <c r="B58" s="165" t="str">
        <f t="shared" si="0"/>
        <v>00058</v>
      </c>
      <c r="C58" s="165" t="str">
        <f>IF(ISBLANK(D58),"",inbound_data[[#This Row],[Pallet_Series]]&amp;inbound_data[[#This Row],[No.]])</f>
        <v>DUO-00049A/93300058</v>
      </c>
      <c r="D58" s="54">
        <v>45988</v>
      </c>
      <c r="E58" s="55" t="s">
        <v>138</v>
      </c>
      <c r="F58" s="56">
        <v>109569</v>
      </c>
      <c r="G58" s="57" t="s">
        <v>237</v>
      </c>
      <c r="H58" s="53" t="s">
        <v>238</v>
      </c>
      <c r="I58" s="53">
        <v>83318</v>
      </c>
      <c r="J58" s="55" t="s">
        <v>248</v>
      </c>
      <c r="K58" s="58">
        <v>1</v>
      </c>
      <c r="L58" s="59" t="s">
        <v>250</v>
      </c>
      <c r="M58" s="55" t="s">
        <v>134</v>
      </c>
      <c r="N58" s="60">
        <v>45986</v>
      </c>
      <c r="O58" s="60">
        <v>46533</v>
      </c>
      <c r="P58" s="165" t="str">
        <f t="shared" ca="1" si="1"/>
        <v/>
      </c>
      <c r="Q58" s="165" t="str">
        <f t="shared" si="2"/>
        <v/>
      </c>
      <c r="R58" s="79">
        <v>30</v>
      </c>
      <c r="S58" s="80">
        <f>+inbound_data[[#This Row],[In Quantity]]*10.4</f>
        <v>312</v>
      </c>
      <c r="T58" s="61">
        <f t="shared" si="3"/>
        <v>0</v>
      </c>
      <c r="U58" s="61">
        <f t="shared" si="4"/>
        <v>0</v>
      </c>
      <c r="V58" s="61">
        <f t="shared" si="5"/>
        <v>0</v>
      </c>
      <c r="W58" s="58" t="s">
        <v>139</v>
      </c>
      <c r="X58" s="58" t="s">
        <v>141</v>
      </c>
      <c r="Y58" s="53" t="s">
        <v>251</v>
      </c>
      <c r="Z58" s="57"/>
      <c r="AA58" s="62">
        <v>4</v>
      </c>
      <c r="AB58" s="62" t="s">
        <v>146</v>
      </c>
      <c r="AC58" s="62">
        <v>4</v>
      </c>
      <c r="AD58" s="62">
        <v>5</v>
      </c>
      <c r="AE58" s="62">
        <v>2</v>
      </c>
      <c r="AF58" s="63"/>
      <c r="AG58" s="64" t="str">
        <f t="shared" si="6"/>
        <v/>
      </c>
    </row>
    <row r="59" spans="1:33" x14ac:dyDescent="0.25">
      <c r="A59" s="46" t="str">
        <f>IF(ISBLANK(inbound_data[[#This Row],[Receiving Report ref.'#]]),"",IF(inbound_data[[#This Row],[Ending Quantity]]=0,"ZERO","INV"))</f>
        <v>ZERO</v>
      </c>
      <c r="B59" s="165" t="str">
        <f t="shared" si="0"/>
        <v>00059</v>
      </c>
      <c r="C59" s="165" t="str">
        <f>IF(ISBLANK(D59),"",inbound_data[[#This Row],[Pallet_Series]]&amp;inbound_data[[#This Row],[No.]])</f>
        <v>DUO-00050A/NP00059</v>
      </c>
      <c r="D59" s="54">
        <v>46000</v>
      </c>
      <c r="E59" s="55" t="s">
        <v>138</v>
      </c>
      <c r="F59" s="56">
        <v>110866</v>
      </c>
      <c r="G59" s="57" t="s">
        <v>270</v>
      </c>
      <c r="H59" s="53" t="s">
        <v>164</v>
      </c>
      <c r="I59" s="53">
        <v>86353</v>
      </c>
      <c r="J59" s="55" t="s">
        <v>264</v>
      </c>
      <c r="K59" s="58">
        <v>1</v>
      </c>
      <c r="L59" s="59" t="s">
        <v>250</v>
      </c>
      <c r="M59" s="55" t="s">
        <v>134</v>
      </c>
      <c r="N59" s="60">
        <v>45992</v>
      </c>
      <c r="O59" s="60">
        <v>46539</v>
      </c>
      <c r="P59" s="165" t="str">
        <f t="shared" ca="1" si="1"/>
        <v/>
      </c>
      <c r="Q59" s="165" t="str">
        <f t="shared" si="2"/>
        <v/>
      </c>
      <c r="R59" s="79">
        <v>30</v>
      </c>
      <c r="S59" s="80">
        <v>312</v>
      </c>
      <c r="T59" s="61">
        <f t="shared" si="3"/>
        <v>0</v>
      </c>
      <c r="U59" s="61">
        <f t="shared" si="4"/>
        <v>0</v>
      </c>
      <c r="V59" s="61">
        <f t="shared" si="5"/>
        <v>0</v>
      </c>
      <c r="W59" s="58" t="s">
        <v>139</v>
      </c>
      <c r="X59" s="58" t="s">
        <v>141</v>
      </c>
      <c r="Y59" s="53" t="s">
        <v>140</v>
      </c>
      <c r="Z59" s="57"/>
      <c r="AA59" s="62"/>
      <c r="AB59" s="62"/>
      <c r="AC59" s="62"/>
      <c r="AD59" s="62"/>
      <c r="AE59" s="62"/>
      <c r="AF59" s="63"/>
      <c r="AG59" s="64" t="str">
        <f t="shared" si="6"/>
        <v/>
      </c>
    </row>
    <row r="60" spans="1:33" x14ac:dyDescent="0.25">
      <c r="A60" s="46" t="str">
        <f>IF(ISBLANK(inbound_data[[#This Row],[Receiving Report ref.'#]]),"",IF(inbound_data[[#This Row],[Ending Quantity]]=0,"ZERO","INV"))</f>
        <v>ZERO</v>
      </c>
      <c r="B60" s="165" t="str">
        <f t="shared" si="0"/>
        <v>00060</v>
      </c>
      <c r="C60" s="165" t="str">
        <f>IF(ISBLANK(D60),"",inbound_data[[#This Row],[Pallet_Series]]&amp;inbound_data[[#This Row],[No.]])</f>
        <v>DUO-00051A/857400060</v>
      </c>
      <c r="D60" s="54">
        <v>46000</v>
      </c>
      <c r="E60" s="55" t="s">
        <v>138</v>
      </c>
      <c r="F60" s="56">
        <v>110866</v>
      </c>
      <c r="G60" s="57" t="s">
        <v>270</v>
      </c>
      <c r="H60" s="53" t="s">
        <v>164</v>
      </c>
      <c r="I60" s="53">
        <v>86353</v>
      </c>
      <c r="J60" s="55" t="s">
        <v>265</v>
      </c>
      <c r="K60" s="58">
        <v>1</v>
      </c>
      <c r="L60" s="59" t="s">
        <v>250</v>
      </c>
      <c r="M60" s="55" t="s">
        <v>134</v>
      </c>
      <c r="N60" s="60">
        <v>45992</v>
      </c>
      <c r="O60" s="60">
        <v>46539</v>
      </c>
      <c r="P60" s="165" t="str">
        <f t="shared" ca="1" si="1"/>
        <v/>
      </c>
      <c r="Q60" s="165" t="str">
        <f t="shared" si="2"/>
        <v/>
      </c>
      <c r="R60" s="79">
        <v>30</v>
      </c>
      <c r="S60" s="80">
        <v>312</v>
      </c>
      <c r="T60" s="61">
        <f t="shared" si="3"/>
        <v>0</v>
      </c>
      <c r="U60" s="61">
        <f t="shared" si="4"/>
        <v>0</v>
      </c>
      <c r="V60" s="61">
        <f t="shared" si="5"/>
        <v>0</v>
      </c>
      <c r="W60" s="58" t="s">
        <v>139</v>
      </c>
      <c r="X60" s="58" t="s">
        <v>141</v>
      </c>
      <c r="Y60" s="53" t="s">
        <v>140</v>
      </c>
      <c r="Z60" s="57"/>
      <c r="AA60" s="62"/>
      <c r="AB60" s="62"/>
      <c r="AC60" s="62"/>
      <c r="AD60" s="62"/>
      <c r="AE60" s="62"/>
      <c r="AF60" s="63"/>
      <c r="AG60" s="64" t="str">
        <f t="shared" si="6"/>
        <v/>
      </c>
    </row>
    <row r="61" spans="1:33" x14ac:dyDescent="0.25">
      <c r="A61" s="46" t="str">
        <f>IF(ISBLANK(inbound_data[[#This Row],[Receiving Report ref.'#]]),"",IF(inbound_data[[#This Row],[Ending Quantity]]=0,"ZERO","INV"))</f>
        <v>ZERO</v>
      </c>
      <c r="B61" s="165" t="str">
        <f t="shared" si="0"/>
        <v>00061</v>
      </c>
      <c r="C61" s="165" t="str">
        <f>IF(ISBLANK(D61),"",inbound_data[[#This Row],[Pallet_Series]]&amp;inbound_data[[#This Row],[No.]])</f>
        <v>DUO-00052A/171100061</v>
      </c>
      <c r="D61" s="54">
        <v>46000</v>
      </c>
      <c r="E61" s="55" t="s">
        <v>138</v>
      </c>
      <c r="F61" s="56">
        <v>110866</v>
      </c>
      <c r="G61" s="57" t="s">
        <v>270</v>
      </c>
      <c r="H61" s="53" t="s">
        <v>164</v>
      </c>
      <c r="I61" s="53">
        <v>86353</v>
      </c>
      <c r="J61" s="55" t="s">
        <v>266</v>
      </c>
      <c r="K61" s="58">
        <v>1</v>
      </c>
      <c r="L61" s="59" t="s">
        <v>250</v>
      </c>
      <c r="M61" s="55" t="s">
        <v>134</v>
      </c>
      <c r="N61" s="60">
        <v>45992</v>
      </c>
      <c r="O61" s="60">
        <v>46539</v>
      </c>
      <c r="P61" s="165" t="str">
        <f t="shared" ca="1" si="1"/>
        <v/>
      </c>
      <c r="Q61" s="165" t="str">
        <f t="shared" si="2"/>
        <v/>
      </c>
      <c r="R61" s="79">
        <v>30</v>
      </c>
      <c r="S61" s="80">
        <v>312</v>
      </c>
      <c r="T61" s="61">
        <f t="shared" si="3"/>
        <v>0</v>
      </c>
      <c r="U61" s="61">
        <f t="shared" si="4"/>
        <v>0</v>
      </c>
      <c r="V61" s="61">
        <f t="shared" si="5"/>
        <v>0</v>
      </c>
      <c r="W61" s="58" t="s">
        <v>139</v>
      </c>
      <c r="X61" s="58" t="s">
        <v>141</v>
      </c>
      <c r="Y61" s="53" t="s">
        <v>140</v>
      </c>
      <c r="Z61" s="57"/>
      <c r="AA61" s="62"/>
      <c r="AB61" s="62"/>
      <c r="AC61" s="62"/>
      <c r="AD61" s="62"/>
      <c r="AE61" s="62"/>
      <c r="AF61" s="63"/>
      <c r="AG61" s="64" t="str">
        <f t="shared" si="6"/>
        <v/>
      </c>
    </row>
    <row r="62" spans="1:33" x14ac:dyDescent="0.25">
      <c r="A62" s="46" t="str">
        <f>IF(ISBLANK(inbound_data[[#This Row],[Receiving Report ref.'#]]),"",IF(inbound_data[[#This Row],[Ending Quantity]]=0,"ZERO","INV"))</f>
        <v>ZERO</v>
      </c>
      <c r="B62" s="165" t="str">
        <f t="shared" si="0"/>
        <v>00062</v>
      </c>
      <c r="C62" s="165" t="str">
        <f>IF(ISBLANK(D62),"",inbound_data[[#This Row],[Pallet_Series]]&amp;inbound_data[[#This Row],[No.]])</f>
        <v>DUO-00053A/490100062</v>
      </c>
      <c r="D62" s="54">
        <v>46000</v>
      </c>
      <c r="E62" s="55" t="s">
        <v>138</v>
      </c>
      <c r="F62" s="56">
        <v>110866</v>
      </c>
      <c r="G62" s="57" t="s">
        <v>270</v>
      </c>
      <c r="H62" s="53" t="s">
        <v>164</v>
      </c>
      <c r="I62" s="53">
        <v>86353</v>
      </c>
      <c r="J62" s="55" t="s">
        <v>267</v>
      </c>
      <c r="K62" s="58">
        <v>1</v>
      </c>
      <c r="L62" s="59" t="s">
        <v>250</v>
      </c>
      <c r="M62" s="55" t="s">
        <v>134</v>
      </c>
      <c r="N62" s="60">
        <v>45992</v>
      </c>
      <c r="O62" s="60">
        <v>46539</v>
      </c>
      <c r="P62" s="165" t="str">
        <f t="shared" ca="1" si="1"/>
        <v/>
      </c>
      <c r="Q62" s="165" t="str">
        <f t="shared" si="2"/>
        <v/>
      </c>
      <c r="R62" s="79">
        <v>30</v>
      </c>
      <c r="S62" s="80">
        <v>312</v>
      </c>
      <c r="T62" s="61">
        <f t="shared" si="3"/>
        <v>0</v>
      </c>
      <c r="U62" s="61">
        <f t="shared" si="4"/>
        <v>0</v>
      </c>
      <c r="V62" s="61">
        <f t="shared" si="5"/>
        <v>0</v>
      </c>
      <c r="W62" s="58" t="s">
        <v>139</v>
      </c>
      <c r="X62" s="58" t="s">
        <v>141</v>
      </c>
      <c r="Y62" s="53" t="s">
        <v>140</v>
      </c>
      <c r="Z62" s="57"/>
      <c r="AA62" s="62"/>
      <c r="AB62" s="62"/>
      <c r="AC62" s="62"/>
      <c r="AD62" s="62"/>
      <c r="AE62" s="62"/>
      <c r="AF62" s="63"/>
      <c r="AG62" s="64" t="str">
        <f t="shared" si="6"/>
        <v/>
      </c>
    </row>
    <row r="63" spans="1:33" x14ac:dyDescent="0.25">
      <c r="A63" s="46" t="str">
        <f>IF(ISBLANK(inbound_data[[#This Row],[Receiving Report ref.'#]]),"",IF(inbound_data[[#This Row],[Ending Quantity]]=0,"ZERO","INV"))</f>
        <v>ZERO</v>
      </c>
      <c r="B63" s="165" t="str">
        <f t="shared" si="0"/>
        <v>00063</v>
      </c>
      <c r="C63" s="165" t="str">
        <f>IF(ISBLANK(D63),"",inbound_data[[#This Row],[Pallet_Series]]&amp;inbound_data[[#This Row],[No.]])</f>
        <v>DUO-00054A/528400063</v>
      </c>
      <c r="D63" s="54">
        <v>46000</v>
      </c>
      <c r="E63" s="55" t="s">
        <v>138</v>
      </c>
      <c r="F63" s="56">
        <v>110866</v>
      </c>
      <c r="G63" s="57" t="s">
        <v>270</v>
      </c>
      <c r="H63" s="53" t="s">
        <v>164</v>
      </c>
      <c r="I63" s="53">
        <v>86353</v>
      </c>
      <c r="J63" s="55" t="s">
        <v>268</v>
      </c>
      <c r="K63" s="58">
        <v>1</v>
      </c>
      <c r="L63" s="59" t="s">
        <v>250</v>
      </c>
      <c r="M63" s="55" t="s">
        <v>134</v>
      </c>
      <c r="N63" s="60">
        <v>45992</v>
      </c>
      <c r="O63" s="60">
        <v>46539</v>
      </c>
      <c r="P63" s="165" t="str">
        <f t="shared" ca="1" si="1"/>
        <v/>
      </c>
      <c r="Q63" s="165" t="str">
        <f t="shared" si="2"/>
        <v/>
      </c>
      <c r="R63" s="79">
        <v>30</v>
      </c>
      <c r="S63" s="80">
        <v>312</v>
      </c>
      <c r="T63" s="61">
        <f t="shared" si="3"/>
        <v>0</v>
      </c>
      <c r="U63" s="61">
        <f t="shared" si="4"/>
        <v>0</v>
      </c>
      <c r="V63" s="61">
        <f t="shared" si="5"/>
        <v>0</v>
      </c>
      <c r="W63" s="58" t="s">
        <v>139</v>
      </c>
      <c r="X63" s="58" t="s">
        <v>141</v>
      </c>
      <c r="Y63" s="53" t="s">
        <v>140</v>
      </c>
      <c r="Z63" s="57"/>
      <c r="AA63" s="62"/>
      <c r="AB63" s="62"/>
      <c r="AC63" s="62"/>
      <c r="AD63" s="62"/>
      <c r="AE63" s="62"/>
      <c r="AF63" s="63"/>
      <c r="AG63" s="64" t="str">
        <f t="shared" si="6"/>
        <v/>
      </c>
    </row>
    <row r="64" spans="1:33" x14ac:dyDescent="0.25">
      <c r="A64" s="46" t="str">
        <f>IF(ISBLANK(inbound_data[[#This Row],[Receiving Report ref.'#]]),"",IF(inbound_data[[#This Row],[Ending Quantity]]=0,"ZERO","INV"))</f>
        <v>ZERO</v>
      </c>
      <c r="B64" s="165" t="str">
        <f t="shared" si="0"/>
        <v>00064</v>
      </c>
      <c r="C64" s="165" t="str">
        <f>IF(ISBLANK(D64),"",inbound_data[[#This Row],[Pallet_Series]]&amp;inbound_data[[#This Row],[No.]])</f>
        <v>DUO-00055A/49600064</v>
      </c>
      <c r="D64" s="54">
        <v>46000</v>
      </c>
      <c r="E64" s="55" t="s">
        <v>138</v>
      </c>
      <c r="F64" s="56">
        <v>110866</v>
      </c>
      <c r="G64" s="57" t="s">
        <v>270</v>
      </c>
      <c r="H64" s="53" t="s">
        <v>164</v>
      </c>
      <c r="I64" s="53">
        <v>86353</v>
      </c>
      <c r="J64" s="55" t="s">
        <v>269</v>
      </c>
      <c r="K64" s="58">
        <v>1</v>
      </c>
      <c r="L64" s="59" t="s">
        <v>250</v>
      </c>
      <c r="M64" s="55" t="s">
        <v>134</v>
      </c>
      <c r="N64" s="60">
        <v>45992</v>
      </c>
      <c r="O64" s="60">
        <v>46539</v>
      </c>
      <c r="P64" s="165" t="str">
        <f t="shared" ca="1" si="1"/>
        <v/>
      </c>
      <c r="Q64" s="165" t="str">
        <f t="shared" si="2"/>
        <v/>
      </c>
      <c r="R64" s="79">
        <v>30</v>
      </c>
      <c r="S64" s="80">
        <v>312</v>
      </c>
      <c r="T64" s="61">
        <f t="shared" si="3"/>
        <v>0</v>
      </c>
      <c r="U64" s="61">
        <f t="shared" si="4"/>
        <v>0</v>
      </c>
      <c r="V64" s="61">
        <f t="shared" si="5"/>
        <v>0</v>
      </c>
      <c r="W64" s="58" t="s">
        <v>139</v>
      </c>
      <c r="X64" s="58" t="s">
        <v>141</v>
      </c>
      <c r="Y64" s="53" t="s">
        <v>140</v>
      </c>
      <c r="Z64" s="57"/>
      <c r="AA64" s="62"/>
      <c r="AB64" s="62"/>
      <c r="AC64" s="62"/>
      <c r="AD64" s="62"/>
      <c r="AE64" s="62"/>
      <c r="AF64" s="63"/>
      <c r="AG64" s="64" t="str">
        <f t="shared" si="6"/>
        <v/>
      </c>
    </row>
    <row r="65" spans="1:33" x14ac:dyDescent="0.25">
      <c r="A65" s="46" t="str">
        <f>IF(ISBLANK(inbound_data[[#This Row],[Receiving Report ref.'#]]),"",IF(inbound_data[[#This Row],[Ending Quantity]]=0,"ZERO","INV"))</f>
        <v>ZERO</v>
      </c>
      <c r="B65" s="165" t="str">
        <f t="shared" si="0"/>
        <v>00065</v>
      </c>
      <c r="C65" s="165" t="str">
        <f>IF(ISBLANK(D65),"",inbound_data[[#This Row],[Pallet_Series]]&amp;inbound_data[[#This Row],[No.]])</f>
        <v>DUO-00056A/459200065</v>
      </c>
      <c r="D65" s="54">
        <v>46002</v>
      </c>
      <c r="E65" s="55" t="s">
        <v>138</v>
      </c>
      <c r="F65" s="56">
        <v>111906</v>
      </c>
      <c r="G65" s="57" t="s">
        <v>270</v>
      </c>
      <c r="H65" s="53" t="s">
        <v>135</v>
      </c>
      <c r="I65" s="53">
        <v>86465</v>
      </c>
      <c r="J65" s="55" t="s">
        <v>277</v>
      </c>
      <c r="K65" s="58">
        <v>1</v>
      </c>
      <c r="L65" s="59" t="s">
        <v>250</v>
      </c>
      <c r="M65" s="55" t="s">
        <v>134</v>
      </c>
      <c r="N65" s="60">
        <v>45992</v>
      </c>
      <c r="O65" s="60">
        <v>46539</v>
      </c>
      <c r="P65" s="165" t="str">
        <f t="shared" ca="1" si="1"/>
        <v/>
      </c>
      <c r="Q65" s="165" t="str">
        <f t="shared" si="2"/>
        <v/>
      </c>
      <c r="R65" s="79">
        <v>30</v>
      </c>
      <c r="S65" s="80">
        <v>312</v>
      </c>
      <c r="T65" s="61">
        <f t="shared" si="3"/>
        <v>0</v>
      </c>
      <c r="U65" s="61">
        <f t="shared" si="4"/>
        <v>0</v>
      </c>
      <c r="V65" s="61">
        <f t="shared" si="5"/>
        <v>0</v>
      </c>
      <c r="W65" s="58" t="s">
        <v>139</v>
      </c>
      <c r="X65" s="58" t="s">
        <v>141</v>
      </c>
      <c r="Y65" s="53" t="s">
        <v>140</v>
      </c>
      <c r="Z65" s="57"/>
      <c r="AA65" s="62"/>
      <c r="AB65" s="62"/>
      <c r="AC65" s="62"/>
      <c r="AD65" s="62"/>
      <c r="AE65" s="62"/>
      <c r="AF65" s="63"/>
      <c r="AG65" s="64" t="str">
        <f t="shared" si="6"/>
        <v/>
      </c>
    </row>
    <row r="66" spans="1:33" x14ac:dyDescent="0.25">
      <c r="A66" s="46" t="str">
        <f>IF(ISBLANK(inbound_data[[#This Row],[Receiving Report ref.'#]]),"",IF(inbound_data[[#This Row],[Ending Quantity]]=0,"ZERO","INV"))</f>
        <v>ZERO</v>
      </c>
      <c r="B66" s="165" t="str">
        <f t="shared" si="0"/>
        <v>00066</v>
      </c>
      <c r="C66" s="165" t="str">
        <f>IF(ISBLANK(D66),"",inbound_data[[#This Row],[Pallet_Series]]&amp;inbound_data[[#This Row],[No.]])</f>
        <v>DUO-00057A/NP00066</v>
      </c>
      <c r="D66" s="54">
        <v>46002</v>
      </c>
      <c r="E66" s="55" t="s">
        <v>138</v>
      </c>
      <c r="F66" s="56">
        <v>111906</v>
      </c>
      <c r="G66" s="57" t="s">
        <v>270</v>
      </c>
      <c r="H66" s="53" t="s">
        <v>135</v>
      </c>
      <c r="I66" s="53">
        <v>86465</v>
      </c>
      <c r="J66" s="55" t="s">
        <v>278</v>
      </c>
      <c r="K66" s="58">
        <v>1</v>
      </c>
      <c r="L66" s="59" t="s">
        <v>250</v>
      </c>
      <c r="M66" s="55" t="s">
        <v>134</v>
      </c>
      <c r="N66" s="60">
        <v>45992</v>
      </c>
      <c r="O66" s="60">
        <v>46539</v>
      </c>
      <c r="P66" s="165" t="str">
        <f t="shared" ca="1" si="1"/>
        <v/>
      </c>
      <c r="Q66" s="165" t="str">
        <f t="shared" si="2"/>
        <v/>
      </c>
      <c r="R66" s="79">
        <v>30</v>
      </c>
      <c r="S66" s="80">
        <v>312</v>
      </c>
      <c r="T66" s="61">
        <f t="shared" si="3"/>
        <v>0</v>
      </c>
      <c r="U66" s="61">
        <f t="shared" si="4"/>
        <v>0</v>
      </c>
      <c r="V66" s="61">
        <f t="shared" si="5"/>
        <v>0</v>
      </c>
      <c r="W66" s="58" t="s">
        <v>139</v>
      </c>
      <c r="X66" s="58" t="s">
        <v>141</v>
      </c>
      <c r="Y66" s="53" t="s">
        <v>140</v>
      </c>
      <c r="Z66" s="57"/>
      <c r="AA66" s="62"/>
      <c r="AB66" s="62"/>
      <c r="AC66" s="62"/>
      <c r="AD66" s="62"/>
      <c r="AE66" s="62"/>
      <c r="AF66" s="63"/>
      <c r="AG66" s="64" t="str">
        <f t="shared" si="6"/>
        <v/>
      </c>
    </row>
    <row r="67" spans="1:33" x14ac:dyDescent="0.25">
      <c r="A67" s="46" t="str">
        <f>IF(ISBLANK(inbound_data[[#This Row],[Receiving Report ref.'#]]),"",IF(inbound_data[[#This Row],[Ending Quantity]]=0,"ZERO","INV"))</f>
        <v>ZERO</v>
      </c>
      <c r="B67" s="165" t="str">
        <f t="shared" si="0"/>
        <v>00067</v>
      </c>
      <c r="C67" s="165" t="str">
        <f>IF(ISBLANK(D67),"",inbound_data[[#This Row],[Pallet_Series]]&amp;inbound_data[[#This Row],[No.]])</f>
        <v>DUO-00058A/00600067</v>
      </c>
      <c r="D67" s="54">
        <v>46002</v>
      </c>
      <c r="E67" s="55" t="s">
        <v>138</v>
      </c>
      <c r="F67" s="56">
        <v>111906</v>
      </c>
      <c r="G67" s="57" t="s">
        <v>270</v>
      </c>
      <c r="H67" s="53" t="s">
        <v>135</v>
      </c>
      <c r="I67" s="53">
        <v>86465</v>
      </c>
      <c r="J67" s="55" t="s">
        <v>279</v>
      </c>
      <c r="K67" s="58">
        <v>1</v>
      </c>
      <c r="L67" s="59" t="s">
        <v>250</v>
      </c>
      <c r="M67" s="55" t="s">
        <v>134</v>
      </c>
      <c r="N67" s="60">
        <v>45992</v>
      </c>
      <c r="O67" s="60">
        <v>46539</v>
      </c>
      <c r="P67" s="165" t="str">
        <f t="shared" ca="1" si="1"/>
        <v/>
      </c>
      <c r="Q67" s="165" t="str">
        <f t="shared" si="2"/>
        <v/>
      </c>
      <c r="R67" s="79">
        <v>30</v>
      </c>
      <c r="S67" s="80">
        <v>312</v>
      </c>
      <c r="T67" s="61">
        <f t="shared" si="3"/>
        <v>0</v>
      </c>
      <c r="U67" s="61">
        <f t="shared" si="4"/>
        <v>0</v>
      </c>
      <c r="V67" s="61">
        <f t="shared" si="5"/>
        <v>0</v>
      </c>
      <c r="W67" s="58" t="s">
        <v>139</v>
      </c>
      <c r="X67" s="58" t="s">
        <v>141</v>
      </c>
      <c r="Y67" s="53" t="s">
        <v>140</v>
      </c>
      <c r="Z67" s="57"/>
      <c r="AA67" s="62"/>
      <c r="AB67" s="62"/>
      <c r="AC67" s="62"/>
      <c r="AD67" s="62"/>
      <c r="AE67" s="62"/>
      <c r="AF67" s="63"/>
      <c r="AG67" s="64" t="str">
        <f t="shared" si="6"/>
        <v/>
      </c>
    </row>
    <row r="68" spans="1:33" x14ac:dyDescent="0.25">
      <c r="A68" s="46" t="str">
        <f>IF(ISBLANK(inbound_data[[#This Row],[Receiving Report ref.'#]]),"",IF(inbound_data[[#This Row],[Ending Quantity]]=0,"ZERO","INV"))</f>
        <v>ZERO</v>
      </c>
      <c r="B68" s="165" t="str">
        <f t="shared" si="0"/>
        <v>00068</v>
      </c>
      <c r="C68" s="165" t="str">
        <f>IF(ISBLANK(D68),"",inbound_data[[#This Row],[Pallet_Series]]&amp;inbound_data[[#This Row],[No.]])</f>
        <v>DUO-00059A/297300068</v>
      </c>
      <c r="D68" s="54">
        <v>46002</v>
      </c>
      <c r="E68" s="55" t="s">
        <v>138</v>
      </c>
      <c r="F68" s="56">
        <v>111906</v>
      </c>
      <c r="G68" s="57" t="s">
        <v>270</v>
      </c>
      <c r="H68" s="53" t="s">
        <v>135</v>
      </c>
      <c r="I68" s="53">
        <v>86465</v>
      </c>
      <c r="J68" s="55" t="s">
        <v>280</v>
      </c>
      <c r="K68" s="58">
        <v>1</v>
      </c>
      <c r="L68" s="59" t="s">
        <v>250</v>
      </c>
      <c r="M68" s="55" t="s">
        <v>134</v>
      </c>
      <c r="N68" s="60">
        <v>45992</v>
      </c>
      <c r="O68" s="60">
        <v>46539</v>
      </c>
      <c r="P68" s="165" t="str">
        <f t="shared" ca="1" si="1"/>
        <v/>
      </c>
      <c r="Q68" s="165" t="str">
        <f t="shared" si="2"/>
        <v/>
      </c>
      <c r="R68" s="79">
        <v>30</v>
      </c>
      <c r="S68" s="80">
        <v>312</v>
      </c>
      <c r="T68" s="61">
        <f t="shared" si="3"/>
        <v>0</v>
      </c>
      <c r="U68" s="61">
        <f t="shared" si="4"/>
        <v>0</v>
      </c>
      <c r="V68" s="61">
        <f t="shared" si="5"/>
        <v>0</v>
      </c>
      <c r="W68" s="58" t="s">
        <v>139</v>
      </c>
      <c r="X68" s="58" t="s">
        <v>141</v>
      </c>
      <c r="Y68" s="53" t="s">
        <v>140</v>
      </c>
      <c r="Z68" s="57"/>
      <c r="AA68" s="62"/>
      <c r="AB68" s="62"/>
      <c r="AC68" s="62"/>
      <c r="AD68" s="62"/>
      <c r="AE68" s="62"/>
      <c r="AF68" s="63"/>
      <c r="AG68" s="64" t="str">
        <f t="shared" si="6"/>
        <v/>
      </c>
    </row>
    <row r="69" spans="1:33" x14ac:dyDescent="0.25">
      <c r="A69" s="46" t="str">
        <f>IF(ISBLANK(inbound_data[[#This Row],[Receiving Report ref.'#]]),"",IF(inbound_data[[#This Row],[Ending Quantity]]=0,"ZERO","INV"))</f>
        <v>ZERO</v>
      </c>
      <c r="B69" s="165" t="str">
        <f t="shared" si="0"/>
        <v>00069</v>
      </c>
      <c r="C69" s="165" t="str">
        <f>IF(ISBLANK(D69),"",inbound_data[[#This Row],[Pallet_Series]]&amp;inbound_data[[#This Row],[No.]])</f>
        <v>DUO-00060A/4111500069</v>
      </c>
      <c r="D69" s="54">
        <v>46002</v>
      </c>
      <c r="E69" s="55" t="s">
        <v>138</v>
      </c>
      <c r="F69" s="56">
        <v>111906</v>
      </c>
      <c r="G69" s="57" t="s">
        <v>270</v>
      </c>
      <c r="H69" s="53" t="s">
        <v>135</v>
      </c>
      <c r="I69" s="53">
        <v>86465</v>
      </c>
      <c r="J69" s="55" t="s">
        <v>281</v>
      </c>
      <c r="K69" s="58">
        <v>1</v>
      </c>
      <c r="L69" s="59" t="s">
        <v>250</v>
      </c>
      <c r="M69" s="55" t="s">
        <v>134</v>
      </c>
      <c r="N69" s="60">
        <v>45992</v>
      </c>
      <c r="O69" s="60">
        <v>46539</v>
      </c>
      <c r="P69" s="165" t="str">
        <f t="shared" ca="1" si="1"/>
        <v/>
      </c>
      <c r="Q69" s="165" t="str">
        <f t="shared" si="2"/>
        <v/>
      </c>
      <c r="R69" s="79">
        <v>30</v>
      </c>
      <c r="S69" s="80">
        <v>312</v>
      </c>
      <c r="T69" s="61">
        <f t="shared" si="3"/>
        <v>0</v>
      </c>
      <c r="U69" s="61">
        <f t="shared" si="4"/>
        <v>0</v>
      </c>
      <c r="V69" s="61">
        <f t="shared" si="5"/>
        <v>0</v>
      </c>
      <c r="W69" s="58" t="s">
        <v>139</v>
      </c>
      <c r="X69" s="58" t="s">
        <v>141</v>
      </c>
      <c r="Y69" s="53" t="s">
        <v>140</v>
      </c>
      <c r="Z69" s="57"/>
      <c r="AA69" s="62"/>
      <c r="AB69" s="62"/>
      <c r="AC69" s="62"/>
      <c r="AD69" s="62"/>
      <c r="AE69" s="62"/>
      <c r="AF69" s="63"/>
      <c r="AG69" s="64" t="str">
        <f t="shared" si="6"/>
        <v/>
      </c>
    </row>
    <row r="70" spans="1:33" x14ac:dyDescent="0.25">
      <c r="A70" s="46" t="str">
        <f>IF(ISBLANK(inbound_data[[#This Row],[Receiving Report ref.'#]]),"",IF(inbound_data[[#This Row],[Ending Quantity]]=0,"ZERO","INV"))</f>
        <v>ZERO</v>
      </c>
      <c r="B70" s="165" t="str">
        <f t="shared" si="0"/>
        <v>00070</v>
      </c>
      <c r="C70" s="165" t="str">
        <f>IF(ISBLANK(D70),"",inbound_data[[#This Row],[Pallet_Series]]&amp;inbound_data[[#This Row],[No.]])</f>
        <v>DUO-00061A/425200070</v>
      </c>
      <c r="D70" s="54">
        <v>46002</v>
      </c>
      <c r="E70" s="55" t="s">
        <v>138</v>
      </c>
      <c r="F70" s="56">
        <v>111906</v>
      </c>
      <c r="G70" s="57" t="s">
        <v>270</v>
      </c>
      <c r="H70" s="53" t="s">
        <v>135</v>
      </c>
      <c r="I70" s="53">
        <v>86465</v>
      </c>
      <c r="J70" s="55" t="s">
        <v>282</v>
      </c>
      <c r="K70" s="58">
        <v>1</v>
      </c>
      <c r="L70" s="59" t="s">
        <v>250</v>
      </c>
      <c r="M70" s="55" t="s">
        <v>134</v>
      </c>
      <c r="N70" s="60">
        <v>45992</v>
      </c>
      <c r="O70" s="60">
        <v>46539</v>
      </c>
      <c r="P70" s="165" t="str">
        <f t="shared" ca="1" si="1"/>
        <v/>
      </c>
      <c r="Q70" s="165" t="str">
        <f t="shared" si="2"/>
        <v/>
      </c>
      <c r="R70" s="79">
        <v>30</v>
      </c>
      <c r="S70" s="80">
        <v>312</v>
      </c>
      <c r="T70" s="61">
        <f t="shared" si="3"/>
        <v>0</v>
      </c>
      <c r="U70" s="61">
        <f t="shared" si="4"/>
        <v>0</v>
      </c>
      <c r="V70" s="61">
        <f t="shared" si="5"/>
        <v>0</v>
      </c>
      <c r="W70" s="58" t="s">
        <v>139</v>
      </c>
      <c r="X70" s="58" t="s">
        <v>141</v>
      </c>
      <c r="Y70" s="53" t="s">
        <v>140</v>
      </c>
      <c r="Z70" s="57"/>
      <c r="AA70" s="62"/>
      <c r="AB70" s="62"/>
      <c r="AC70" s="62"/>
      <c r="AD70" s="62"/>
      <c r="AE70" s="62"/>
      <c r="AF70" s="63"/>
      <c r="AG70" s="64" t="str">
        <f t="shared" si="6"/>
        <v/>
      </c>
    </row>
    <row r="71" spans="1:33" x14ac:dyDescent="0.25">
      <c r="A71" s="46" t="str">
        <f>IF(ISBLANK(inbound_data[[#This Row],[Receiving Report ref.'#]]),"",IF(inbound_data[[#This Row],[Ending Quantity]]=0,"ZERO","INV"))</f>
        <v>ZERO</v>
      </c>
      <c r="B71" s="165" t="str">
        <f t="shared" si="0"/>
        <v>00071</v>
      </c>
      <c r="C71" s="165" t="str">
        <f>IF(ISBLANK(D71),"",inbound_data[[#This Row],[Pallet_Series]]&amp;inbound_data[[#This Row],[No.]])</f>
        <v>DUO-00062A/618500071</v>
      </c>
      <c r="D71" s="54">
        <v>46002</v>
      </c>
      <c r="E71" s="55" t="s">
        <v>138</v>
      </c>
      <c r="F71" s="56">
        <v>111906</v>
      </c>
      <c r="G71" s="57" t="s">
        <v>270</v>
      </c>
      <c r="H71" s="53" t="s">
        <v>135</v>
      </c>
      <c r="I71" s="53">
        <v>86465</v>
      </c>
      <c r="J71" s="55" t="s">
        <v>283</v>
      </c>
      <c r="K71" s="58">
        <v>1</v>
      </c>
      <c r="L71" s="59" t="s">
        <v>250</v>
      </c>
      <c r="M71" s="55" t="s">
        <v>134</v>
      </c>
      <c r="N71" s="60">
        <v>45992</v>
      </c>
      <c r="O71" s="60">
        <v>46539</v>
      </c>
      <c r="P71" s="165" t="str">
        <f t="shared" ca="1" si="1"/>
        <v/>
      </c>
      <c r="Q71" s="165" t="str">
        <f t="shared" si="2"/>
        <v/>
      </c>
      <c r="R71" s="79">
        <v>30</v>
      </c>
      <c r="S71" s="80">
        <v>312</v>
      </c>
      <c r="T71" s="61">
        <f t="shared" si="3"/>
        <v>0</v>
      </c>
      <c r="U71" s="61">
        <f t="shared" si="4"/>
        <v>0</v>
      </c>
      <c r="V71" s="61">
        <f t="shared" si="5"/>
        <v>0</v>
      </c>
      <c r="W71" s="58" t="s">
        <v>139</v>
      </c>
      <c r="X71" s="58" t="s">
        <v>141</v>
      </c>
      <c r="Y71" s="53" t="s">
        <v>140</v>
      </c>
      <c r="Z71" s="57"/>
      <c r="AA71" s="62"/>
      <c r="AB71" s="62"/>
      <c r="AC71" s="62"/>
      <c r="AD71" s="62"/>
      <c r="AE71" s="62"/>
      <c r="AF71" s="63"/>
      <c r="AG71" s="64" t="str">
        <f t="shared" si="6"/>
        <v/>
      </c>
    </row>
    <row r="72" spans="1:33" x14ac:dyDescent="0.25">
      <c r="A72" s="46" t="str">
        <f>IF(ISBLANK(inbound_data[[#This Row],[Receiving Report ref.'#]]),"",IF(inbound_data[[#This Row],[Ending Quantity]]=0,"ZERO","INV"))</f>
        <v>ZERO</v>
      </c>
      <c r="B72" s="165" t="str">
        <f t="shared" si="0"/>
        <v>00072</v>
      </c>
      <c r="C72" s="165" t="str">
        <f>IF(ISBLANK(D72),"",inbound_data[[#This Row],[Pallet_Series]]&amp;inbound_data[[#This Row],[No.]])</f>
        <v>DUO-00063A/350100072</v>
      </c>
      <c r="D72" s="54">
        <v>46002</v>
      </c>
      <c r="E72" s="55" t="s">
        <v>138</v>
      </c>
      <c r="F72" s="56">
        <v>111906</v>
      </c>
      <c r="G72" s="57" t="s">
        <v>270</v>
      </c>
      <c r="H72" s="53" t="s">
        <v>135</v>
      </c>
      <c r="I72" s="53">
        <v>86465</v>
      </c>
      <c r="J72" s="55" t="s">
        <v>284</v>
      </c>
      <c r="K72" s="58">
        <v>1</v>
      </c>
      <c r="L72" s="59" t="s">
        <v>250</v>
      </c>
      <c r="M72" s="55" t="s">
        <v>134</v>
      </c>
      <c r="N72" s="60">
        <v>45992</v>
      </c>
      <c r="O72" s="60">
        <v>46539</v>
      </c>
      <c r="P72" s="165" t="str">
        <f t="shared" ca="1" si="1"/>
        <v/>
      </c>
      <c r="Q72" s="165" t="str">
        <f t="shared" si="2"/>
        <v/>
      </c>
      <c r="R72" s="79">
        <v>30</v>
      </c>
      <c r="S72" s="80">
        <v>312</v>
      </c>
      <c r="T72" s="61">
        <f t="shared" si="3"/>
        <v>0</v>
      </c>
      <c r="U72" s="61">
        <f t="shared" si="4"/>
        <v>0</v>
      </c>
      <c r="V72" s="61">
        <f t="shared" si="5"/>
        <v>0</v>
      </c>
      <c r="W72" s="58" t="s">
        <v>139</v>
      </c>
      <c r="X72" s="58" t="s">
        <v>141</v>
      </c>
      <c r="Y72" s="53" t="s">
        <v>140</v>
      </c>
      <c r="Z72" s="57"/>
      <c r="AA72" s="62"/>
      <c r="AB72" s="62"/>
      <c r="AC72" s="62"/>
      <c r="AD72" s="62"/>
      <c r="AE72" s="62"/>
      <c r="AF72" s="63"/>
      <c r="AG72" s="64" t="str">
        <f t="shared" si="6"/>
        <v/>
      </c>
    </row>
    <row r="73" spans="1:33" x14ac:dyDescent="0.25">
      <c r="A73" s="46" t="str">
        <f>IF(ISBLANK(inbound_data[[#This Row],[Receiving Report ref.'#]]),"",IF(inbound_data[[#This Row],[Ending Quantity]]=0,"ZERO","INV"))</f>
        <v>ZERO</v>
      </c>
      <c r="B73" s="165" t="str">
        <f t="shared" ref="B73:B136" si="9">IF(ISBLANK(D73),"",TEXT(ROW(),"00000"))</f>
        <v>00073</v>
      </c>
      <c r="C73" s="165" t="str">
        <f>IF(ISBLANK(D73),"",inbound_data[[#This Row],[Pallet_Series]]&amp;inbound_data[[#This Row],[No.]])</f>
        <v>DUO-00064A/58300073</v>
      </c>
      <c r="D73" s="54">
        <v>46002</v>
      </c>
      <c r="E73" s="55" t="s">
        <v>138</v>
      </c>
      <c r="F73" s="56">
        <v>111906</v>
      </c>
      <c r="G73" s="57" t="s">
        <v>270</v>
      </c>
      <c r="H73" s="53" t="s">
        <v>135</v>
      </c>
      <c r="I73" s="53">
        <v>86465</v>
      </c>
      <c r="J73" s="55" t="s">
        <v>285</v>
      </c>
      <c r="K73" s="58">
        <v>1</v>
      </c>
      <c r="L73" s="59" t="s">
        <v>250</v>
      </c>
      <c r="M73" s="55" t="s">
        <v>134</v>
      </c>
      <c r="N73" s="60">
        <v>45992</v>
      </c>
      <c r="O73" s="60">
        <v>46539</v>
      </c>
      <c r="P73" s="165" t="str">
        <f t="shared" ref="P73:P136" ca="1" si="10">IF(A73="ZERO","",IF(O73="","",O73-TODAY()))</f>
        <v/>
      </c>
      <c r="Q73" s="165" t="str">
        <f t="shared" ref="Q73:Q136" si="11">IF(A73="ZERO","",IF(P73&lt;0,"ALREADY EXPIRED",IF(P73&lt;60,"NEARLY EXPIRED","")))</f>
        <v/>
      </c>
      <c r="R73" s="79">
        <v>30</v>
      </c>
      <c r="S73" s="80">
        <v>312</v>
      </c>
      <c r="T73" s="61">
        <f t="shared" ref="T73:T136" si="12">IF(ISBLANK(R73),0,R73-SUMIF(STOCK_CODE_OUT,$C73,QTY_OUT))</f>
        <v>0</v>
      </c>
      <c r="U73" s="61">
        <f t="shared" ref="U73:U136" si="13">IF(ISBLANK(S73),0,S73-SUMIF(STOCK_CODE_OUT,$C73,KILOS_OUT))</f>
        <v>0</v>
      </c>
      <c r="V73" s="61">
        <f t="shared" ref="V73:V136" si="14">IF(ISBLANK(K73),0,K73-SUMIF(STOCK_CODE_OUT,$C73,PALLET_OUT))</f>
        <v>0</v>
      </c>
      <c r="W73" s="58" t="s">
        <v>139</v>
      </c>
      <c r="X73" s="58" t="s">
        <v>141</v>
      </c>
      <c r="Y73" s="53" t="s">
        <v>140</v>
      </c>
      <c r="Z73" s="57"/>
      <c r="AA73" s="62"/>
      <c r="AB73" s="62"/>
      <c r="AC73" s="62"/>
      <c r="AD73" s="62"/>
      <c r="AE73" s="62"/>
      <c r="AF73" s="63"/>
      <c r="AG73" s="64" t="str">
        <f t="shared" ref="AG73:AG136" si="15">IF(T73&gt;0,CONCATENATE(AA73,AB73,TEXT(AC73,"R00"),TEXT(AD73,"L0."),TEXT(AE73,"0")),"")</f>
        <v/>
      </c>
    </row>
    <row r="74" spans="1:33" x14ac:dyDescent="0.25">
      <c r="A74" s="46" t="str">
        <f>IF(ISBLANK(inbound_data[[#This Row],[Receiving Report ref.'#]]),"",IF(inbound_data[[#This Row],[Ending Quantity]]=0,"ZERO","INV"))</f>
        <v>ZERO</v>
      </c>
      <c r="B74" s="165" t="str">
        <f t="shared" si="9"/>
        <v>00074</v>
      </c>
      <c r="C74" s="165" t="str">
        <f>IF(ISBLANK(D74),"",inbound_data[[#This Row],[Pallet_Series]]&amp;inbound_data[[#This Row],[No.]])</f>
        <v>DUO-00065A/41100074</v>
      </c>
      <c r="D74" s="54">
        <v>46002</v>
      </c>
      <c r="E74" s="55" t="s">
        <v>138</v>
      </c>
      <c r="F74" s="56">
        <v>111906</v>
      </c>
      <c r="G74" s="57" t="s">
        <v>270</v>
      </c>
      <c r="H74" s="53" t="s">
        <v>135</v>
      </c>
      <c r="I74" s="53">
        <v>86465</v>
      </c>
      <c r="J74" s="55" t="s">
        <v>286</v>
      </c>
      <c r="K74" s="58">
        <v>1</v>
      </c>
      <c r="L74" s="59" t="s">
        <v>250</v>
      </c>
      <c r="M74" s="55" t="s">
        <v>134</v>
      </c>
      <c r="N74" s="60">
        <v>45992</v>
      </c>
      <c r="O74" s="60">
        <v>46539</v>
      </c>
      <c r="P74" s="165" t="str">
        <f t="shared" ca="1" si="10"/>
        <v/>
      </c>
      <c r="Q74" s="165" t="str">
        <f t="shared" si="11"/>
        <v/>
      </c>
      <c r="R74" s="79">
        <v>30</v>
      </c>
      <c r="S74" s="80">
        <v>312</v>
      </c>
      <c r="T74" s="61">
        <f t="shared" si="12"/>
        <v>0</v>
      </c>
      <c r="U74" s="61">
        <f t="shared" si="13"/>
        <v>0</v>
      </c>
      <c r="V74" s="61">
        <f t="shared" si="14"/>
        <v>0</v>
      </c>
      <c r="W74" s="58" t="s">
        <v>139</v>
      </c>
      <c r="X74" s="58" t="s">
        <v>141</v>
      </c>
      <c r="Y74" s="53" t="s">
        <v>140</v>
      </c>
      <c r="Z74" s="57"/>
      <c r="AA74" s="62"/>
      <c r="AB74" s="62"/>
      <c r="AC74" s="62"/>
      <c r="AD74" s="62"/>
      <c r="AE74" s="62"/>
      <c r="AF74" s="63"/>
      <c r="AG74" s="64" t="str">
        <f t="shared" si="15"/>
        <v/>
      </c>
    </row>
    <row r="75" spans="1:33" x14ac:dyDescent="0.25">
      <c r="A75" s="46" t="str">
        <f>IF(ISBLANK(inbound_data[[#This Row],[Receiving Report ref.'#]]),"",IF(inbound_data[[#This Row],[Ending Quantity]]=0,"ZERO","INV"))</f>
        <v>ZERO</v>
      </c>
      <c r="B75" s="165" t="str">
        <f t="shared" si="9"/>
        <v>00075</v>
      </c>
      <c r="C75" s="165" t="str">
        <f>IF(ISBLANK(D75),"",inbound_data[[#This Row],[Pallet_Series]]&amp;inbound_data[[#This Row],[No.]])</f>
        <v>DUO-00066A/143400075</v>
      </c>
      <c r="D75" s="54">
        <v>46002</v>
      </c>
      <c r="E75" s="55" t="s">
        <v>138</v>
      </c>
      <c r="F75" s="56">
        <v>111906</v>
      </c>
      <c r="G75" s="57" t="s">
        <v>270</v>
      </c>
      <c r="H75" s="53" t="s">
        <v>135</v>
      </c>
      <c r="I75" s="53">
        <v>86465</v>
      </c>
      <c r="J75" s="55" t="s">
        <v>287</v>
      </c>
      <c r="K75" s="58">
        <v>1</v>
      </c>
      <c r="L75" s="59" t="s">
        <v>250</v>
      </c>
      <c r="M75" s="55" t="s">
        <v>134</v>
      </c>
      <c r="N75" s="60">
        <v>45992</v>
      </c>
      <c r="O75" s="60">
        <v>46539</v>
      </c>
      <c r="P75" s="165" t="str">
        <f t="shared" ca="1" si="10"/>
        <v/>
      </c>
      <c r="Q75" s="165" t="str">
        <f t="shared" si="11"/>
        <v/>
      </c>
      <c r="R75" s="79">
        <v>30</v>
      </c>
      <c r="S75" s="80">
        <v>312</v>
      </c>
      <c r="T75" s="61">
        <f t="shared" si="12"/>
        <v>0</v>
      </c>
      <c r="U75" s="61">
        <f t="shared" si="13"/>
        <v>0</v>
      </c>
      <c r="V75" s="61">
        <f t="shared" si="14"/>
        <v>0</v>
      </c>
      <c r="W75" s="58" t="s">
        <v>139</v>
      </c>
      <c r="X75" s="58" t="s">
        <v>141</v>
      </c>
      <c r="Y75" s="53" t="s">
        <v>140</v>
      </c>
      <c r="Z75" s="57"/>
      <c r="AA75" s="62"/>
      <c r="AB75" s="62"/>
      <c r="AC75" s="62"/>
      <c r="AD75" s="62"/>
      <c r="AE75" s="62"/>
      <c r="AF75" s="63"/>
      <c r="AG75" s="64" t="str">
        <f t="shared" si="15"/>
        <v/>
      </c>
    </row>
    <row r="76" spans="1:33" x14ac:dyDescent="0.25">
      <c r="A76" s="46" t="str">
        <f>IF(ISBLANK(inbound_data[[#This Row],[Receiving Report ref.'#]]),"",IF(inbound_data[[#This Row],[Ending Quantity]]=0,"ZERO","INV"))</f>
        <v>ZERO</v>
      </c>
      <c r="B76" s="165" t="str">
        <f t="shared" si="9"/>
        <v>00076</v>
      </c>
      <c r="C76" s="165" t="str">
        <f>IF(ISBLANK(D76),"",inbound_data[[#This Row],[Pallet_Series]]&amp;inbound_data[[#This Row],[No.]])</f>
        <v>DUO-00067A/641600076</v>
      </c>
      <c r="D76" s="54">
        <v>46002</v>
      </c>
      <c r="E76" s="55" t="s">
        <v>138</v>
      </c>
      <c r="F76" s="56">
        <v>111906</v>
      </c>
      <c r="G76" s="57" t="s">
        <v>270</v>
      </c>
      <c r="H76" s="53" t="s">
        <v>135</v>
      </c>
      <c r="I76" s="53">
        <v>86465</v>
      </c>
      <c r="J76" s="55" t="s">
        <v>288</v>
      </c>
      <c r="K76" s="58">
        <v>1</v>
      </c>
      <c r="L76" s="59" t="s">
        <v>250</v>
      </c>
      <c r="M76" s="55" t="s">
        <v>134</v>
      </c>
      <c r="N76" s="60">
        <v>45992</v>
      </c>
      <c r="O76" s="60">
        <v>46539</v>
      </c>
      <c r="P76" s="165" t="str">
        <f t="shared" ca="1" si="10"/>
        <v/>
      </c>
      <c r="Q76" s="165" t="str">
        <f t="shared" si="11"/>
        <v/>
      </c>
      <c r="R76" s="79">
        <v>25</v>
      </c>
      <c r="S76" s="80">
        <f>+inbound_data[[#This Row],[In Quantity]]*10.4</f>
        <v>260</v>
      </c>
      <c r="T76" s="61">
        <f t="shared" si="12"/>
        <v>0</v>
      </c>
      <c r="U76" s="61">
        <f t="shared" si="13"/>
        <v>0</v>
      </c>
      <c r="V76" s="61">
        <f t="shared" si="14"/>
        <v>0</v>
      </c>
      <c r="W76" s="58" t="s">
        <v>139</v>
      </c>
      <c r="X76" s="58" t="s">
        <v>141</v>
      </c>
      <c r="Y76" s="53" t="s">
        <v>140</v>
      </c>
      <c r="Z76" s="57"/>
      <c r="AA76" s="62"/>
      <c r="AB76" s="62"/>
      <c r="AC76" s="62"/>
      <c r="AD76" s="62"/>
      <c r="AE76" s="62"/>
      <c r="AF76" s="63"/>
      <c r="AG76" s="64" t="str">
        <f t="shared" si="15"/>
        <v/>
      </c>
    </row>
    <row r="77" spans="1:33" x14ac:dyDescent="0.25">
      <c r="A77" s="46" t="str">
        <f>IF(ISBLANK(inbound_data[[#This Row],[Receiving Report ref.'#]]),"",IF(inbound_data[[#This Row],[Ending Quantity]]=0,"ZERO","INV"))</f>
        <v>ZERO</v>
      </c>
      <c r="B77" s="165" t="str">
        <f t="shared" si="9"/>
        <v>00077</v>
      </c>
      <c r="C77" s="165" t="str">
        <f>IF(ISBLANK(D77),"",inbound_data[[#This Row],[Pallet_Series]]&amp;inbound_data[[#This Row],[No.]])</f>
        <v>DUO-00068A/766200077</v>
      </c>
      <c r="D77" s="54">
        <v>46014</v>
      </c>
      <c r="E77" s="55" t="s">
        <v>138</v>
      </c>
      <c r="F77" s="56">
        <v>112725</v>
      </c>
      <c r="G77" s="57" t="s">
        <v>270</v>
      </c>
      <c r="H77" s="53" t="s">
        <v>311</v>
      </c>
      <c r="I77" s="53">
        <v>87426</v>
      </c>
      <c r="J77" s="55" t="s">
        <v>301</v>
      </c>
      <c r="K77" s="58">
        <v>1</v>
      </c>
      <c r="L77" s="59" t="s">
        <v>312</v>
      </c>
      <c r="M77" s="55" t="s">
        <v>134</v>
      </c>
      <c r="N77" s="60">
        <v>45992</v>
      </c>
      <c r="O77" s="60">
        <v>46539</v>
      </c>
      <c r="P77" s="165" t="str">
        <f t="shared" ca="1" si="10"/>
        <v/>
      </c>
      <c r="Q77" s="165" t="str">
        <f t="shared" si="11"/>
        <v/>
      </c>
      <c r="R77" s="79">
        <v>77</v>
      </c>
      <c r="S77" s="80">
        <f>77*6</f>
        <v>462</v>
      </c>
      <c r="T77" s="61">
        <f t="shared" si="12"/>
        <v>0</v>
      </c>
      <c r="U77" s="61">
        <f t="shared" si="13"/>
        <v>0</v>
      </c>
      <c r="V77" s="61">
        <f t="shared" si="14"/>
        <v>0</v>
      </c>
      <c r="W77" s="58" t="s">
        <v>139</v>
      </c>
      <c r="X77" s="58" t="s">
        <v>141</v>
      </c>
      <c r="Y77" s="53" t="s">
        <v>202</v>
      </c>
      <c r="Z77" s="57"/>
      <c r="AA77" s="62"/>
      <c r="AB77" s="62"/>
      <c r="AC77" s="62"/>
      <c r="AD77" s="62"/>
      <c r="AE77" s="62"/>
      <c r="AF77" s="63"/>
      <c r="AG77" s="64" t="str">
        <f t="shared" si="15"/>
        <v/>
      </c>
    </row>
    <row r="78" spans="1:33" x14ac:dyDescent="0.25">
      <c r="A78" s="46" t="str">
        <f>IF(ISBLANK(inbound_data[[#This Row],[Receiving Report ref.'#]]),"",IF(inbound_data[[#This Row],[Ending Quantity]]=0,"ZERO","INV"))</f>
        <v>ZERO</v>
      </c>
      <c r="B78" s="165" t="str">
        <f t="shared" si="9"/>
        <v>00078</v>
      </c>
      <c r="C78" s="165" t="str">
        <f>IF(ISBLANK(D78),"",inbound_data[[#This Row],[Pallet_Series]]&amp;inbound_data[[#This Row],[No.]])</f>
        <v>DUO-00069A/726900078</v>
      </c>
      <c r="D78" s="54">
        <v>46014</v>
      </c>
      <c r="E78" s="55" t="s">
        <v>138</v>
      </c>
      <c r="F78" s="56">
        <v>112725</v>
      </c>
      <c r="G78" s="57" t="s">
        <v>270</v>
      </c>
      <c r="H78" s="53" t="s">
        <v>311</v>
      </c>
      <c r="I78" s="53">
        <v>87426</v>
      </c>
      <c r="J78" s="55" t="s">
        <v>302</v>
      </c>
      <c r="K78" s="58">
        <v>1</v>
      </c>
      <c r="L78" s="59" t="s">
        <v>312</v>
      </c>
      <c r="M78" s="55" t="s">
        <v>134</v>
      </c>
      <c r="N78" s="60">
        <v>45992</v>
      </c>
      <c r="O78" s="60">
        <v>46539</v>
      </c>
      <c r="P78" s="165" t="str">
        <f t="shared" ca="1" si="10"/>
        <v/>
      </c>
      <c r="Q78" s="165" t="str">
        <f t="shared" si="11"/>
        <v/>
      </c>
      <c r="R78" s="79">
        <v>77</v>
      </c>
      <c r="S78" s="80">
        <f>77*6</f>
        <v>462</v>
      </c>
      <c r="T78" s="61">
        <f t="shared" si="12"/>
        <v>0</v>
      </c>
      <c r="U78" s="61">
        <f t="shared" si="13"/>
        <v>0</v>
      </c>
      <c r="V78" s="61">
        <f t="shared" si="14"/>
        <v>0</v>
      </c>
      <c r="W78" s="58" t="s">
        <v>139</v>
      </c>
      <c r="X78" s="58" t="s">
        <v>141</v>
      </c>
      <c r="Y78" s="53" t="s">
        <v>202</v>
      </c>
      <c r="Z78" s="57"/>
      <c r="AA78" s="62"/>
      <c r="AB78" s="62"/>
      <c r="AC78" s="62"/>
      <c r="AD78" s="62"/>
      <c r="AE78" s="62"/>
      <c r="AF78" s="63"/>
      <c r="AG78" s="64" t="str">
        <f t="shared" si="15"/>
        <v/>
      </c>
    </row>
    <row r="79" spans="1:33" x14ac:dyDescent="0.25">
      <c r="A79" s="46" t="str">
        <f>IF(ISBLANK(inbound_data[[#This Row],[Receiving Report ref.'#]]),"",IF(inbound_data[[#This Row],[Ending Quantity]]=0,"ZERO","INV"))</f>
        <v>ZERO</v>
      </c>
      <c r="B79" s="165" t="str">
        <f t="shared" si="9"/>
        <v>00079</v>
      </c>
      <c r="C79" s="165" t="str">
        <f>IF(ISBLANK(D79),"",inbound_data[[#This Row],[Pallet_Series]]&amp;inbound_data[[#This Row],[No.]])</f>
        <v>DUO-00070A/478200079</v>
      </c>
      <c r="D79" s="54">
        <v>46014</v>
      </c>
      <c r="E79" s="55" t="s">
        <v>138</v>
      </c>
      <c r="F79" s="56">
        <v>112725</v>
      </c>
      <c r="G79" s="57" t="s">
        <v>270</v>
      </c>
      <c r="H79" s="53" t="s">
        <v>311</v>
      </c>
      <c r="I79" s="53">
        <v>87426</v>
      </c>
      <c r="J79" s="55" t="s">
        <v>303</v>
      </c>
      <c r="K79" s="58">
        <v>1</v>
      </c>
      <c r="L79" s="59" t="s">
        <v>312</v>
      </c>
      <c r="M79" s="55" t="s">
        <v>134</v>
      </c>
      <c r="N79" s="60">
        <v>45992</v>
      </c>
      <c r="O79" s="60">
        <v>46539</v>
      </c>
      <c r="P79" s="165" t="str">
        <f t="shared" ca="1" si="10"/>
        <v/>
      </c>
      <c r="Q79" s="165" t="str">
        <f t="shared" si="11"/>
        <v/>
      </c>
      <c r="R79" s="79">
        <v>77</v>
      </c>
      <c r="S79" s="80">
        <f>77*6</f>
        <v>462</v>
      </c>
      <c r="T79" s="61">
        <f t="shared" si="12"/>
        <v>0</v>
      </c>
      <c r="U79" s="61">
        <f t="shared" si="13"/>
        <v>0</v>
      </c>
      <c r="V79" s="61">
        <f t="shared" si="14"/>
        <v>0</v>
      </c>
      <c r="W79" s="58" t="s">
        <v>139</v>
      </c>
      <c r="X79" s="58" t="s">
        <v>141</v>
      </c>
      <c r="Y79" s="53" t="s">
        <v>202</v>
      </c>
      <c r="Z79" s="57"/>
      <c r="AA79" s="62"/>
      <c r="AB79" s="62"/>
      <c r="AC79" s="62"/>
      <c r="AD79" s="62"/>
      <c r="AE79" s="62"/>
      <c r="AF79" s="63"/>
      <c r="AG79" s="64" t="str">
        <f t="shared" si="15"/>
        <v/>
      </c>
    </row>
    <row r="80" spans="1:33" x14ac:dyDescent="0.25">
      <c r="A80" s="46" t="str">
        <f>IF(ISBLANK(inbound_data[[#This Row],[Receiving Report ref.'#]]),"",IF(inbound_data[[#This Row],[Ending Quantity]]=0,"ZERO","INV"))</f>
        <v>ZERO</v>
      </c>
      <c r="B80" s="165" t="str">
        <f t="shared" si="9"/>
        <v>00080</v>
      </c>
      <c r="C80" s="165" t="str">
        <f>IF(ISBLANK(D80),"",inbound_data[[#This Row],[Pallet_Series]]&amp;inbound_data[[#This Row],[No.]])</f>
        <v>DUO-00071A/223000080</v>
      </c>
      <c r="D80" s="54">
        <v>46014</v>
      </c>
      <c r="E80" s="55" t="s">
        <v>138</v>
      </c>
      <c r="F80" s="56">
        <v>112725</v>
      </c>
      <c r="G80" s="57" t="s">
        <v>270</v>
      </c>
      <c r="H80" s="53" t="s">
        <v>311</v>
      </c>
      <c r="I80" s="53">
        <v>87426</v>
      </c>
      <c r="J80" s="55" t="s">
        <v>304</v>
      </c>
      <c r="K80" s="58">
        <v>1</v>
      </c>
      <c r="L80" s="59" t="s">
        <v>312</v>
      </c>
      <c r="M80" s="55" t="s">
        <v>134</v>
      </c>
      <c r="N80" s="60">
        <v>45992</v>
      </c>
      <c r="O80" s="60">
        <v>46539</v>
      </c>
      <c r="P80" s="165" t="str">
        <f t="shared" ca="1" si="10"/>
        <v/>
      </c>
      <c r="Q80" s="165" t="str">
        <f t="shared" si="11"/>
        <v/>
      </c>
      <c r="R80" s="79">
        <v>77</v>
      </c>
      <c r="S80" s="80">
        <f>77*6</f>
        <v>462</v>
      </c>
      <c r="T80" s="61">
        <f t="shared" si="12"/>
        <v>0</v>
      </c>
      <c r="U80" s="61">
        <f t="shared" si="13"/>
        <v>0</v>
      </c>
      <c r="V80" s="61">
        <f t="shared" si="14"/>
        <v>0</v>
      </c>
      <c r="W80" s="58" t="s">
        <v>139</v>
      </c>
      <c r="X80" s="58" t="s">
        <v>141</v>
      </c>
      <c r="Y80" s="53" t="s">
        <v>202</v>
      </c>
      <c r="Z80" s="57"/>
      <c r="AA80" s="62"/>
      <c r="AB80" s="62"/>
      <c r="AC80" s="62"/>
      <c r="AD80" s="62"/>
      <c r="AE80" s="62"/>
      <c r="AF80" s="63"/>
      <c r="AG80" s="64" t="str">
        <f t="shared" si="15"/>
        <v/>
      </c>
    </row>
    <row r="81" spans="1:33" x14ac:dyDescent="0.25">
      <c r="A81" s="46" t="str">
        <f>IF(ISBLANK(inbound_data[[#This Row],[Receiving Report ref.'#]]),"",IF(inbound_data[[#This Row],[Ending Quantity]]=0,"ZERO","INV"))</f>
        <v>ZERO</v>
      </c>
      <c r="B81" s="165" t="str">
        <f t="shared" si="9"/>
        <v>00081</v>
      </c>
      <c r="C81" s="165" t="str">
        <f>IF(ISBLANK(D81),"",inbound_data[[#This Row],[Pallet_Series]]&amp;inbound_data[[#This Row],[No.]])</f>
        <v>DUO-00072A/687400081</v>
      </c>
      <c r="D81" s="54">
        <v>46014</v>
      </c>
      <c r="E81" s="55" t="s">
        <v>138</v>
      </c>
      <c r="F81" s="56">
        <v>112725</v>
      </c>
      <c r="G81" s="57" t="s">
        <v>270</v>
      </c>
      <c r="H81" s="53" t="s">
        <v>311</v>
      </c>
      <c r="I81" s="53">
        <v>87426</v>
      </c>
      <c r="J81" s="55" t="s">
        <v>305</v>
      </c>
      <c r="K81" s="58">
        <v>1</v>
      </c>
      <c r="L81" s="59" t="s">
        <v>312</v>
      </c>
      <c r="M81" s="55" t="s">
        <v>134</v>
      </c>
      <c r="N81" s="60">
        <v>45992</v>
      </c>
      <c r="O81" s="60">
        <v>46539</v>
      </c>
      <c r="P81" s="165" t="str">
        <f t="shared" ca="1" si="10"/>
        <v/>
      </c>
      <c r="Q81" s="165" t="str">
        <f t="shared" si="11"/>
        <v/>
      </c>
      <c r="R81" s="79">
        <v>60</v>
      </c>
      <c r="S81" s="80">
        <f>60*6</f>
        <v>360</v>
      </c>
      <c r="T81" s="61">
        <f t="shared" si="12"/>
        <v>0</v>
      </c>
      <c r="U81" s="61">
        <f t="shared" si="13"/>
        <v>0</v>
      </c>
      <c r="V81" s="61">
        <f t="shared" si="14"/>
        <v>0</v>
      </c>
      <c r="W81" s="58" t="s">
        <v>139</v>
      </c>
      <c r="X81" s="58" t="s">
        <v>141</v>
      </c>
      <c r="Y81" s="53" t="s">
        <v>202</v>
      </c>
      <c r="Z81" s="57"/>
      <c r="AA81" s="62"/>
      <c r="AB81" s="62"/>
      <c r="AC81" s="62"/>
      <c r="AD81" s="62"/>
      <c r="AE81" s="62"/>
      <c r="AF81" s="63"/>
      <c r="AG81" s="64" t="str">
        <f t="shared" si="15"/>
        <v/>
      </c>
    </row>
    <row r="82" spans="1:33" x14ac:dyDescent="0.25">
      <c r="A82" s="46" t="str">
        <f>IF(ISBLANK(inbound_data[[#This Row],[Receiving Report ref.'#]]),"",IF(inbound_data[[#This Row],[Ending Quantity]]=0,"ZERO","INV"))</f>
        <v>ZERO</v>
      </c>
      <c r="B82" s="165" t="str">
        <f t="shared" si="9"/>
        <v>00082</v>
      </c>
      <c r="C82" s="165" t="str">
        <f>IF(ISBLANK(D82),"",inbound_data[[#This Row],[Pallet_Series]]&amp;inbound_data[[#This Row],[No.]])</f>
        <v>DUO-00073A/336900082</v>
      </c>
      <c r="D82" s="54">
        <v>46014</v>
      </c>
      <c r="E82" s="55" t="s">
        <v>138</v>
      </c>
      <c r="F82" s="56">
        <v>112725</v>
      </c>
      <c r="G82" s="57" t="s">
        <v>270</v>
      </c>
      <c r="H82" s="53" t="s">
        <v>311</v>
      </c>
      <c r="I82" s="53">
        <v>87426</v>
      </c>
      <c r="J82" s="55" t="s">
        <v>306</v>
      </c>
      <c r="K82" s="58">
        <v>1</v>
      </c>
      <c r="L82" s="59" t="s">
        <v>312</v>
      </c>
      <c r="M82" s="55" t="s">
        <v>134</v>
      </c>
      <c r="N82" s="60">
        <v>45992</v>
      </c>
      <c r="O82" s="60">
        <v>46539</v>
      </c>
      <c r="P82" s="165" t="str">
        <f t="shared" ca="1" si="10"/>
        <v/>
      </c>
      <c r="Q82" s="165" t="str">
        <f t="shared" si="11"/>
        <v/>
      </c>
      <c r="R82" s="79">
        <v>60</v>
      </c>
      <c r="S82" s="80">
        <f>60*6</f>
        <v>360</v>
      </c>
      <c r="T82" s="61">
        <f t="shared" si="12"/>
        <v>0</v>
      </c>
      <c r="U82" s="61">
        <f t="shared" si="13"/>
        <v>0</v>
      </c>
      <c r="V82" s="61">
        <f t="shared" si="14"/>
        <v>0</v>
      </c>
      <c r="W82" s="58" t="s">
        <v>139</v>
      </c>
      <c r="X82" s="58" t="s">
        <v>141</v>
      </c>
      <c r="Y82" s="53" t="s">
        <v>202</v>
      </c>
      <c r="Z82" s="57"/>
      <c r="AA82" s="62"/>
      <c r="AB82" s="62"/>
      <c r="AC82" s="62"/>
      <c r="AD82" s="62"/>
      <c r="AE82" s="62"/>
      <c r="AF82" s="63"/>
      <c r="AG82" s="64" t="str">
        <f t="shared" si="15"/>
        <v/>
      </c>
    </row>
    <row r="83" spans="1:33" x14ac:dyDescent="0.25">
      <c r="A83" s="46" t="str">
        <f>IF(ISBLANK(inbound_data[[#This Row],[Receiving Report ref.'#]]),"",IF(inbound_data[[#This Row],[Ending Quantity]]=0,"ZERO","INV"))</f>
        <v>ZERO</v>
      </c>
      <c r="B83" s="165" t="str">
        <f t="shared" si="9"/>
        <v>00083</v>
      </c>
      <c r="C83" s="165" t="str">
        <f>IF(ISBLANK(D83),"",inbound_data[[#This Row],[Pallet_Series]]&amp;inbound_data[[#This Row],[No.]])</f>
        <v>DUO-00074A/426800083</v>
      </c>
      <c r="D83" s="54">
        <v>46014</v>
      </c>
      <c r="E83" s="55" t="s">
        <v>138</v>
      </c>
      <c r="F83" s="56">
        <v>112725</v>
      </c>
      <c r="G83" s="57" t="s">
        <v>270</v>
      </c>
      <c r="H83" s="53" t="s">
        <v>311</v>
      </c>
      <c r="I83" s="53">
        <v>87426</v>
      </c>
      <c r="J83" s="55" t="s">
        <v>307</v>
      </c>
      <c r="K83" s="58">
        <v>1</v>
      </c>
      <c r="L83" s="59" t="s">
        <v>312</v>
      </c>
      <c r="M83" s="55" t="s">
        <v>134</v>
      </c>
      <c r="N83" s="60">
        <v>45992</v>
      </c>
      <c r="O83" s="60">
        <v>46539</v>
      </c>
      <c r="P83" s="165" t="str">
        <f t="shared" ca="1" si="10"/>
        <v/>
      </c>
      <c r="Q83" s="165" t="str">
        <f t="shared" si="11"/>
        <v/>
      </c>
      <c r="R83" s="79">
        <v>60</v>
      </c>
      <c r="S83" s="80">
        <f>60*6</f>
        <v>360</v>
      </c>
      <c r="T83" s="61">
        <f t="shared" si="12"/>
        <v>0</v>
      </c>
      <c r="U83" s="61">
        <f t="shared" si="13"/>
        <v>0</v>
      </c>
      <c r="V83" s="61">
        <f t="shared" si="14"/>
        <v>0</v>
      </c>
      <c r="W83" s="58" t="s">
        <v>139</v>
      </c>
      <c r="X83" s="58" t="s">
        <v>141</v>
      </c>
      <c r="Y83" s="53" t="s">
        <v>202</v>
      </c>
      <c r="Z83" s="57"/>
      <c r="AA83" s="62"/>
      <c r="AB83" s="62"/>
      <c r="AC83" s="62"/>
      <c r="AD83" s="62"/>
      <c r="AE83" s="62"/>
      <c r="AF83" s="63"/>
      <c r="AG83" s="64" t="str">
        <f t="shared" si="15"/>
        <v/>
      </c>
    </row>
    <row r="84" spans="1:33" x14ac:dyDescent="0.25">
      <c r="A84" s="46" t="str">
        <f>IF(ISBLANK(inbound_data[[#This Row],[Receiving Report ref.'#]]),"",IF(inbound_data[[#This Row],[Ending Quantity]]=0,"ZERO","INV"))</f>
        <v>ZERO</v>
      </c>
      <c r="B84" s="165" t="str">
        <f t="shared" si="9"/>
        <v>00084</v>
      </c>
      <c r="C84" s="165" t="str">
        <f>IF(ISBLANK(D84),"",inbound_data[[#This Row],[Pallet_Series]]&amp;inbound_data[[#This Row],[No.]])</f>
        <v>DUO-00075A/663600084</v>
      </c>
      <c r="D84" s="54">
        <v>46014</v>
      </c>
      <c r="E84" s="55" t="s">
        <v>138</v>
      </c>
      <c r="F84" s="56">
        <v>112725</v>
      </c>
      <c r="G84" s="57" t="s">
        <v>270</v>
      </c>
      <c r="H84" s="53" t="s">
        <v>311</v>
      </c>
      <c r="I84" s="53">
        <v>87426</v>
      </c>
      <c r="J84" s="55" t="s">
        <v>308</v>
      </c>
      <c r="K84" s="58">
        <v>1</v>
      </c>
      <c r="L84" s="59" t="s">
        <v>312</v>
      </c>
      <c r="M84" s="55" t="s">
        <v>134</v>
      </c>
      <c r="N84" s="60">
        <v>45992</v>
      </c>
      <c r="O84" s="60">
        <v>46539</v>
      </c>
      <c r="P84" s="165" t="str">
        <f t="shared" ca="1" si="10"/>
        <v/>
      </c>
      <c r="Q84" s="165" t="str">
        <f t="shared" si="11"/>
        <v/>
      </c>
      <c r="R84" s="79">
        <v>60</v>
      </c>
      <c r="S84" s="80">
        <f>60*6</f>
        <v>360</v>
      </c>
      <c r="T84" s="61">
        <f t="shared" si="12"/>
        <v>0</v>
      </c>
      <c r="U84" s="61">
        <f t="shared" si="13"/>
        <v>0</v>
      </c>
      <c r="V84" s="61">
        <f t="shared" si="14"/>
        <v>0</v>
      </c>
      <c r="W84" s="58" t="s">
        <v>139</v>
      </c>
      <c r="X84" s="58" t="s">
        <v>141</v>
      </c>
      <c r="Y84" s="53" t="s">
        <v>202</v>
      </c>
      <c r="Z84" s="57"/>
      <c r="AA84" s="62"/>
      <c r="AB84" s="62"/>
      <c r="AC84" s="62"/>
      <c r="AD84" s="62"/>
      <c r="AE84" s="62"/>
      <c r="AF84" s="63"/>
      <c r="AG84" s="64" t="str">
        <f t="shared" si="15"/>
        <v/>
      </c>
    </row>
    <row r="85" spans="1:33" x14ac:dyDescent="0.25">
      <c r="A85" s="46" t="str">
        <f>IF(ISBLANK(inbound_data[[#This Row],[Receiving Report ref.'#]]),"",IF(inbound_data[[#This Row],[Ending Quantity]]=0,"ZERO","INV"))</f>
        <v>ZERO</v>
      </c>
      <c r="B85" s="165" t="str">
        <f t="shared" si="9"/>
        <v>00085</v>
      </c>
      <c r="C85" s="165" t="str">
        <f>IF(ISBLANK(D85),"",inbound_data[[#This Row],[Pallet_Series]]&amp;inbound_data[[#This Row],[No.]])</f>
        <v>DUO-00076A/4004200085</v>
      </c>
      <c r="D85" s="54">
        <v>46014</v>
      </c>
      <c r="E85" s="55" t="s">
        <v>138</v>
      </c>
      <c r="F85" s="56">
        <v>112725</v>
      </c>
      <c r="G85" s="57" t="s">
        <v>270</v>
      </c>
      <c r="H85" s="53" t="s">
        <v>311</v>
      </c>
      <c r="I85" s="53">
        <v>87426</v>
      </c>
      <c r="J85" s="55" t="s">
        <v>309</v>
      </c>
      <c r="K85" s="58">
        <v>1</v>
      </c>
      <c r="L85" s="59" t="s">
        <v>312</v>
      </c>
      <c r="M85" s="55" t="s">
        <v>134</v>
      </c>
      <c r="N85" s="60">
        <v>45992</v>
      </c>
      <c r="O85" s="60">
        <v>46539</v>
      </c>
      <c r="P85" s="165" t="str">
        <f t="shared" ca="1" si="10"/>
        <v/>
      </c>
      <c r="Q85" s="165" t="str">
        <f t="shared" si="11"/>
        <v/>
      </c>
      <c r="R85" s="79">
        <v>51</v>
      </c>
      <c r="S85" s="80">
        <f>51*6</f>
        <v>306</v>
      </c>
      <c r="T85" s="61">
        <f t="shared" si="12"/>
        <v>0</v>
      </c>
      <c r="U85" s="61">
        <f t="shared" si="13"/>
        <v>0</v>
      </c>
      <c r="V85" s="61">
        <f t="shared" si="14"/>
        <v>0</v>
      </c>
      <c r="W85" s="58" t="s">
        <v>139</v>
      </c>
      <c r="X85" s="58" t="s">
        <v>141</v>
      </c>
      <c r="Y85" s="53" t="s">
        <v>202</v>
      </c>
      <c r="Z85" s="57"/>
      <c r="AA85" s="62"/>
      <c r="AB85" s="62"/>
      <c r="AC85" s="62"/>
      <c r="AD85" s="62"/>
      <c r="AE85" s="62"/>
      <c r="AF85" s="63"/>
      <c r="AG85" s="64" t="str">
        <f t="shared" si="15"/>
        <v/>
      </c>
    </row>
    <row r="86" spans="1:33" x14ac:dyDescent="0.25">
      <c r="A86" s="46" t="str">
        <f>IF(ISBLANK(inbound_data[[#This Row],[Receiving Report ref.'#]]),"",IF(inbound_data[[#This Row],[Ending Quantity]]=0,"ZERO","INV"))</f>
        <v>ZERO</v>
      </c>
      <c r="B86" s="165" t="str">
        <f t="shared" si="9"/>
        <v>00086</v>
      </c>
      <c r="C86" s="165" t="str">
        <f>IF(ISBLANK(D86),"",inbound_data[[#This Row],[Pallet_Series]]&amp;inbound_data[[#This Row],[No.]])</f>
        <v>DUO-00077A/455300086</v>
      </c>
      <c r="D86" s="54">
        <v>46014</v>
      </c>
      <c r="E86" s="55" t="s">
        <v>138</v>
      </c>
      <c r="F86" s="56">
        <v>112725</v>
      </c>
      <c r="G86" s="57" t="s">
        <v>270</v>
      </c>
      <c r="H86" s="53" t="s">
        <v>311</v>
      </c>
      <c r="I86" s="53">
        <v>87426</v>
      </c>
      <c r="J86" s="55" t="s">
        <v>310</v>
      </c>
      <c r="K86" s="58">
        <v>1</v>
      </c>
      <c r="L86" s="59" t="s">
        <v>312</v>
      </c>
      <c r="M86" s="55" t="s">
        <v>134</v>
      </c>
      <c r="N86" s="60">
        <v>45992</v>
      </c>
      <c r="O86" s="60">
        <v>46539</v>
      </c>
      <c r="P86" s="165" t="str">
        <f t="shared" ca="1" si="10"/>
        <v/>
      </c>
      <c r="Q86" s="165" t="str">
        <f t="shared" si="11"/>
        <v/>
      </c>
      <c r="R86" s="79">
        <v>50</v>
      </c>
      <c r="S86" s="80">
        <f>50*6</f>
        <v>300</v>
      </c>
      <c r="T86" s="61">
        <f t="shared" si="12"/>
        <v>0</v>
      </c>
      <c r="U86" s="61">
        <f t="shared" si="13"/>
        <v>0</v>
      </c>
      <c r="V86" s="61">
        <f t="shared" si="14"/>
        <v>0</v>
      </c>
      <c r="W86" s="58" t="s">
        <v>139</v>
      </c>
      <c r="X86" s="58" t="s">
        <v>141</v>
      </c>
      <c r="Y86" s="53" t="s">
        <v>202</v>
      </c>
      <c r="Z86" s="57"/>
      <c r="AA86" s="62"/>
      <c r="AB86" s="62"/>
      <c r="AC86" s="62"/>
      <c r="AD86" s="62"/>
      <c r="AE86" s="62"/>
      <c r="AF86" s="63"/>
      <c r="AG86" s="64" t="str">
        <f t="shared" si="15"/>
        <v/>
      </c>
    </row>
    <row r="87" spans="1:33" x14ac:dyDescent="0.25">
      <c r="A87" s="46" t="str">
        <f>IF(ISBLANK(inbound_data[[#This Row],[Receiving Report ref.'#]]),"",IF(inbound_data[[#This Row],[Ending Quantity]]=0,"ZERO","INV"))</f>
        <v>ZERO</v>
      </c>
      <c r="B87" s="165" t="str">
        <f t="shared" si="9"/>
        <v>00087</v>
      </c>
      <c r="C87" s="165" t="str">
        <f>IF(ISBLANK(D87),"",inbound_data[[#This Row],[Pallet_Series]]&amp;inbound_data[[#This Row],[No.]])</f>
        <v>DUO-00078A/4140100087</v>
      </c>
      <c r="D87" s="54">
        <v>46019</v>
      </c>
      <c r="E87" s="55" t="s">
        <v>138</v>
      </c>
      <c r="F87" s="56">
        <v>112763</v>
      </c>
      <c r="G87" s="57" t="s">
        <v>270</v>
      </c>
      <c r="H87" s="53" t="s">
        <v>164</v>
      </c>
      <c r="I87" s="53">
        <v>88040</v>
      </c>
      <c r="J87" s="55" t="s">
        <v>313</v>
      </c>
      <c r="K87" s="58">
        <v>1</v>
      </c>
      <c r="L87" s="59" t="s">
        <v>312</v>
      </c>
      <c r="M87" s="55" t="s">
        <v>134</v>
      </c>
      <c r="N87" s="60">
        <v>45992</v>
      </c>
      <c r="O87" s="60">
        <v>46539</v>
      </c>
      <c r="P87" s="165" t="str">
        <f t="shared" ca="1" si="10"/>
        <v/>
      </c>
      <c r="Q87" s="165" t="str">
        <f t="shared" si="11"/>
        <v/>
      </c>
      <c r="R87" s="79">
        <v>66</v>
      </c>
      <c r="S87" s="80">
        <f>66*6</f>
        <v>396</v>
      </c>
      <c r="T87" s="61">
        <f t="shared" si="12"/>
        <v>0</v>
      </c>
      <c r="U87" s="61">
        <f t="shared" si="13"/>
        <v>0</v>
      </c>
      <c r="V87" s="61">
        <f t="shared" si="14"/>
        <v>0</v>
      </c>
      <c r="W87" s="58" t="s">
        <v>139</v>
      </c>
      <c r="X87" s="58" t="s">
        <v>141</v>
      </c>
      <c r="Y87" s="53" t="s">
        <v>202</v>
      </c>
      <c r="Z87" s="57"/>
      <c r="AA87" s="62"/>
      <c r="AB87" s="62"/>
      <c r="AC87" s="62"/>
      <c r="AD87" s="62"/>
      <c r="AE87" s="62"/>
      <c r="AF87" s="63"/>
      <c r="AG87" s="64" t="str">
        <f t="shared" si="15"/>
        <v/>
      </c>
    </row>
    <row r="88" spans="1:33" x14ac:dyDescent="0.25">
      <c r="A88" s="46" t="str">
        <f>IF(ISBLANK(inbound_data[[#This Row],[Receiving Report ref.'#]]),"",IF(inbound_data[[#This Row],[Ending Quantity]]=0,"ZERO","INV"))</f>
        <v>ZERO</v>
      </c>
      <c r="B88" s="165" t="str">
        <f t="shared" si="9"/>
        <v>00088</v>
      </c>
      <c r="C88" s="165" t="str">
        <f>IF(ISBLANK(D88),"",inbound_data[[#This Row],[Pallet_Series]]&amp;inbound_data[[#This Row],[No.]])</f>
        <v>DUO-00079A/96800088</v>
      </c>
      <c r="D88" s="54">
        <v>46019</v>
      </c>
      <c r="E88" s="55" t="s">
        <v>138</v>
      </c>
      <c r="F88" s="56">
        <v>112763</v>
      </c>
      <c r="G88" s="57" t="s">
        <v>270</v>
      </c>
      <c r="H88" s="53" t="s">
        <v>164</v>
      </c>
      <c r="I88" s="53">
        <v>88040</v>
      </c>
      <c r="J88" s="55" t="s">
        <v>314</v>
      </c>
      <c r="K88" s="58">
        <v>1</v>
      </c>
      <c r="L88" s="59" t="s">
        <v>312</v>
      </c>
      <c r="M88" s="55" t="s">
        <v>134</v>
      </c>
      <c r="N88" s="60">
        <v>45992</v>
      </c>
      <c r="O88" s="60">
        <v>46539</v>
      </c>
      <c r="P88" s="165" t="str">
        <f t="shared" ca="1" si="10"/>
        <v/>
      </c>
      <c r="Q88" s="165" t="str">
        <f t="shared" si="11"/>
        <v/>
      </c>
      <c r="R88" s="79">
        <v>66</v>
      </c>
      <c r="S88" s="80">
        <f t="shared" ref="S88:S91" si="16">66*6</f>
        <v>396</v>
      </c>
      <c r="T88" s="61">
        <f t="shared" si="12"/>
        <v>0</v>
      </c>
      <c r="U88" s="61">
        <f t="shared" si="13"/>
        <v>0</v>
      </c>
      <c r="V88" s="61">
        <f t="shared" si="14"/>
        <v>0</v>
      </c>
      <c r="W88" s="58" t="s">
        <v>139</v>
      </c>
      <c r="X88" s="58" t="s">
        <v>141</v>
      </c>
      <c r="Y88" s="53" t="s">
        <v>202</v>
      </c>
      <c r="Z88" s="57"/>
      <c r="AA88" s="62"/>
      <c r="AB88" s="62"/>
      <c r="AC88" s="62"/>
      <c r="AD88" s="62"/>
      <c r="AE88" s="62"/>
      <c r="AF88" s="63"/>
      <c r="AG88" s="64" t="str">
        <f t="shared" si="15"/>
        <v/>
      </c>
    </row>
    <row r="89" spans="1:33" x14ac:dyDescent="0.25">
      <c r="A89" s="46" t="str">
        <f>IF(ISBLANK(inbound_data[[#This Row],[Receiving Report ref.'#]]),"",IF(inbound_data[[#This Row],[Ending Quantity]]=0,"ZERO","INV"))</f>
        <v>ZERO</v>
      </c>
      <c r="B89" s="165" t="str">
        <f t="shared" si="9"/>
        <v>00089</v>
      </c>
      <c r="C89" s="165" t="str">
        <f>IF(ISBLANK(D89),"",inbound_data[[#This Row],[Pallet_Series]]&amp;inbound_data[[#This Row],[No.]])</f>
        <v>DUO-00080A/NP00089</v>
      </c>
      <c r="D89" s="54">
        <v>46019</v>
      </c>
      <c r="E89" s="55" t="s">
        <v>138</v>
      </c>
      <c r="F89" s="56">
        <v>112763</v>
      </c>
      <c r="G89" s="57" t="s">
        <v>270</v>
      </c>
      <c r="H89" s="53" t="s">
        <v>164</v>
      </c>
      <c r="I89" s="53">
        <v>88040</v>
      </c>
      <c r="J89" s="55" t="s">
        <v>315</v>
      </c>
      <c r="K89" s="58">
        <v>1</v>
      </c>
      <c r="L89" s="59" t="s">
        <v>312</v>
      </c>
      <c r="M89" s="55" t="s">
        <v>134</v>
      </c>
      <c r="N89" s="60">
        <v>45992</v>
      </c>
      <c r="O89" s="60">
        <v>46539</v>
      </c>
      <c r="P89" s="165" t="str">
        <f t="shared" ca="1" si="10"/>
        <v/>
      </c>
      <c r="Q89" s="165" t="str">
        <f t="shared" si="11"/>
        <v/>
      </c>
      <c r="R89" s="79">
        <v>66</v>
      </c>
      <c r="S89" s="80">
        <f t="shared" si="16"/>
        <v>396</v>
      </c>
      <c r="T89" s="61">
        <f t="shared" si="12"/>
        <v>0</v>
      </c>
      <c r="U89" s="61">
        <f t="shared" si="13"/>
        <v>0</v>
      </c>
      <c r="V89" s="61">
        <f t="shared" si="14"/>
        <v>0</v>
      </c>
      <c r="W89" s="58" t="s">
        <v>139</v>
      </c>
      <c r="X89" s="58" t="s">
        <v>141</v>
      </c>
      <c r="Y89" s="53" t="s">
        <v>202</v>
      </c>
      <c r="Z89" s="57"/>
      <c r="AA89" s="62"/>
      <c r="AB89" s="62"/>
      <c r="AC89" s="62"/>
      <c r="AD89" s="62"/>
      <c r="AE89" s="62"/>
      <c r="AF89" s="63"/>
      <c r="AG89" s="64" t="str">
        <f t="shared" si="15"/>
        <v/>
      </c>
    </row>
    <row r="90" spans="1:33" x14ac:dyDescent="0.25">
      <c r="A90" s="46" t="str">
        <f>IF(ISBLANK(inbound_data[[#This Row],[Receiving Report ref.'#]]),"",IF(inbound_data[[#This Row],[Ending Quantity]]=0,"ZERO","INV"))</f>
        <v>ZERO</v>
      </c>
      <c r="B90" s="165" t="str">
        <f t="shared" si="9"/>
        <v>00090</v>
      </c>
      <c r="C90" s="165" t="str">
        <f>IF(ISBLANK(D90),"",inbound_data[[#This Row],[Pallet_Series]]&amp;inbound_data[[#This Row],[No.]])</f>
        <v>DUO-00081A/301100090</v>
      </c>
      <c r="D90" s="54">
        <v>46019</v>
      </c>
      <c r="E90" s="55" t="s">
        <v>138</v>
      </c>
      <c r="F90" s="56">
        <v>112763</v>
      </c>
      <c r="G90" s="57" t="s">
        <v>270</v>
      </c>
      <c r="H90" s="53" t="s">
        <v>164</v>
      </c>
      <c r="I90" s="53">
        <v>88040</v>
      </c>
      <c r="J90" s="55" t="s">
        <v>316</v>
      </c>
      <c r="K90" s="58">
        <v>1</v>
      </c>
      <c r="L90" s="59" t="s">
        <v>312</v>
      </c>
      <c r="M90" s="55" t="s">
        <v>134</v>
      </c>
      <c r="N90" s="60">
        <v>45992</v>
      </c>
      <c r="O90" s="60">
        <v>46539</v>
      </c>
      <c r="P90" s="165" t="str">
        <f t="shared" ca="1" si="10"/>
        <v/>
      </c>
      <c r="Q90" s="165" t="str">
        <f t="shared" si="11"/>
        <v/>
      </c>
      <c r="R90" s="79">
        <v>66</v>
      </c>
      <c r="S90" s="80">
        <f t="shared" si="16"/>
        <v>396</v>
      </c>
      <c r="T90" s="61">
        <f t="shared" si="12"/>
        <v>0</v>
      </c>
      <c r="U90" s="61">
        <f t="shared" si="13"/>
        <v>0</v>
      </c>
      <c r="V90" s="61">
        <f t="shared" si="14"/>
        <v>0</v>
      </c>
      <c r="W90" s="58" t="s">
        <v>139</v>
      </c>
      <c r="X90" s="58" t="s">
        <v>141</v>
      </c>
      <c r="Y90" s="53" t="s">
        <v>202</v>
      </c>
      <c r="Z90" s="57"/>
      <c r="AA90" s="62"/>
      <c r="AB90" s="62"/>
      <c r="AC90" s="62"/>
      <c r="AD90" s="62"/>
      <c r="AE90" s="62"/>
      <c r="AF90" s="63"/>
      <c r="AG90" s="64" t="str">
        <f t="shared" si="15"/>
        <v/>
      </c>
    </row>
    <row r="91" spans="1:33" x14ac:dyDescent="0.25">
      <c r="A91" s="46" t="str">
        <f>IF(ISBLANK(inbound_data[[#This Row],[Receiving Report ref.'#]]),"",IF(inbound_data[[#This Row],[Ending Quantity]]=0,"ZERO","INV"))</f>
        <v>ZERO</v>
      </c>
      <c r="B91" s="165" t="str">
        <f t="shared" si="9"/>
        <v>00091</v>
      </c>
      <c r="C91" s="165" t="str">
        <f>IF(ISBLANK(D91),"",inbound_data[[#This Row],[Pallet_Series]]&amp;inbound_data[[#This Row],[No.]])</f>
        <v>DUO-00082A/216700091</v>
      </c>
      <c r="D91" s="54">
        <v>46019</v>
      </c>
      <c r="E91" s="55" t="s">
        <v>138</v>
      </c>
      <c r="F91" s="56">
        <v>112763</v>
      </c>
      <c r="G91" s="57" t="s">
        <v>270</v>
      </c>
      <c r="H91" s="53" t="s">
        <v>164</v>
      </c>
      <c r="I91" s="53">
        <v>88040</v>
      </c>
      <c r="J91" s="55" t="s">
        <v>317</v>
      </c>
      <c r="K91" s="58">
        <v>1</v>
      </c>
      <c r="L91" s="59" t="s">
        <v>312</v>
      </c>
      <c r="M91" s="55" t="s">
        <v>134</v>
      </c>
      <c r="N91" s="60">
        <v>45992</v>
      </c>
      <c r="O91" s="60">
        <v>46539</v>
      </c>
      <c r="P91" s="165" t="str">
        <f t="shared" ca="1" si="10"/>
        <v/>
      </c>
      <c r="Q91" s="165" t="str">
        <f t="shared" si="11"/>
        <v/>
      </c>
      <c r="R91" s="79">
        <v>66</v>
      </c>
      <c r="S91" s="80">
        <f t="shared" si="16"/>
        <v>396</v>
      </c>
      <c r="T91" s="61">
        <f t="shared" si="12"/>
        <v>0</v>
      </c>
      <c r="U91" s="61">
        <f t="shared" si="13"/>
        <v>0</v>
      </c>
      <c r="V91" s="61">
        <f t="shared" si="14"/>
        <v>0</v>
      </c>
      <c r="W91" s="58" t="s">
        <v>139</v>
      </c>
      <c r="X91" s="58" t="s">
        <v>141</v>
      </c>
      <c r="Y91" s="53" t="s">
        <v>202</v>
      </c>
      <c r="Z91" s="57"/>
      <c r="AA91" s="62"/>
      <c r="AB91" s="62"/>
      <c r="AC91" s="62"/>
      <c r="AD91" s="62"/>
      <c r="AE91" s="62"/>
      <c r="AF91" s="63"/>
      <c r="AG91" s="64" t="str">
        <f t="shared" si="15"/>
        <v/>
      </c>
    </row>
    <row r="92" spans="1:33" x14ac:dyDescent="0.25">
      <c r="A92" s="46" t="str">
        <f>IF(ISBLANK(inbound_data[[#This Row],[Receiving Report ref.'#]]),"",IF(inbound_data[[#This Row],[Ending Quantity]]=0,"ZERO","INV"))</f>
        <v>ZERO</v>
      </c>
      <c r="B92" s="165" t="str">
        <f t="shared" si="9"/>
        <v>00092</v>
      </c>
      <c r="C92" s="165" t="str">
        <f>IF(ISBLANK(D92),"",inbound_data[[#This Row],[Pallet_Series]]&amp;inbound_data[[#This Row],[No.]])</f>
        <v>DUO-00083A/462800092</v>
      </c>
      <c r="D92" s="54">
        <v>46019</v>
      </c>
      <c r="E92" s="55" t="s">
        <v>138</v>
      </c>
      <c r="F92" s="56">
        <v>112763</v>
      </c>
      <c r="G92" s="57" t="s">
        <v>270</v>
      </c>
      <c r="H92" s="53" t="s">
        <v>164</v>
      </c>
      <c r="I92" s="53">
        <v>88040</v>
      </c>
      <c r="J92" s="55" t="s">
        <v>318</v>
      </c>
      <c r="K92" s="58">
        <v>1</v>
      </c>
      <c r="L92" s="59" t="s">
        <v>312</v>
      </c>
      <c r="M92" s="55" t="s">
        <v>134</v>
      </c>
      <c r="N92" s="60">
        <v>45992</v>
      </c>
      <c r="O92" s="60">
        <v>46539</v>
      </c>
      <c r="P92" s="165" t="str">
        <f t="shared" ca="1" si="10"/>
        <v/>
      </c>
      <c r="Q92" s="165" t="str">
        <f t="shared" si="11"/>
        <v/>
      </c>
      <c r="R92" s="79">
        <v>71</v>
      </c>
      <c r="S92" s="80">
        <f>71*6</f>
        <v>426</v>
      </c>
      <c r="T92" s="61">
        <f t="shared" si="12"/>
        <v>0</v>
      </c>
      <c r="U92" s="61">
        <f t="shared" si="13"/>
        <v>0</v>
      </c>
      <c r="V92" s="61">
        <f t="shared" si="14"/>
        <v>0</v>
      </c>
      <c r="W92" s="58" t="s">
        <v>139</v>
      </c>
      <c r="X92" s="58" t="s">
        <v>141</v>
      </c>
      <c r="Y92" s="53" t="s">
        <v>202</v>
      </c>
      <c r="Z92" s="57"/>
      <c r="AA92" s="62"/>
      <c r="AB92" s="62"/>
      <c r="AC92" s="62"/>
      <c r="AD92" s="62"/>
      <c r="AE92" s="62"/>
      <c r="AF92" s="63"/>
      <c r="AG92" s="64" t="str">
        <f t="shared" si="15"/>
        <v/>
      </c>
    </row>
    <row r="93" spans="1:33" x14ac:dyDescent="0.25">
      <c r="A93" s="46" t="str">
        <f>IF(ISBLANK(inbound_data[[#This Row],[Receiving Report ref.'#]]),"",IF(inbound_data[[#This Row],[Ending Quantity]]=0,"ZERO","INV"))</f>
        <v>ZERO</v>
      </c>
      <c r="B93" s="165" t="str">
        <f t="shared" si="9"/>
        <v>00093</v>
      </c>
      <c r="C93" s="165" t="str">
        <f>IF(ISBLANK(D93),"",inbound_data[[#This Row],[Pallet_Series]]&amp;inbound_data[[#This Row],[No.]])</f>
        <v>DUO-00084A/59400093</v>
      </c>
      <c r="D93" s="54">
        <v>46047</v>
      </c>
      <c r="E93" s="55" t="s">
        <v>138</v>
      </c>
      <c r="F93" s="56">
        <v>115077</v>
      </c>
      <c r="G93" s="57" t="s">
        <v>270</v>
      </c>
      <c r="H93" s="53" t="s">
        <v>135</v>
      </c>
      <c r="I93" s="53">
        <v>92007</v>
      </c>
      <c r="J93" s="55" t="s">
        <v>336</v>
      </c>
      <c r="K93" s="58">
        <v>1</v>
      </c>
      <c r="L93" s="59" t="s">
        <v>354</v>
      </c>
      <c r="M93" s="55" t="s">
        <v>134</v>
      </c>
      <c r="N93" s="60">
        <v>46023</v>
      </c>
      <c r="O93" s="60">
        <v>46569</v>
      </c>
      <c r="P93" s="165" t="str">
        <f t="shared" ca="1" si="10"/>
        <v/>
      </c>
      <c r="Q93" s="165" t="str">
        <f t="shared" si="11"/>
        <v/>
      </c>
      <c r="R93" s="79">
        <v>30</v>
      </c>
      <c r="S93" s="80">
        <f>30*10.4</f>
        <v>312</v>
      </c>
      <c r="T93" s="61">
        <f t="shared" si="12"/>
        <v>0</v>
      </c>
      <c r="U93" s="61">
        <f t="shared" si="13"/>
        <v>0</v>
      </c>
      <c r="V93" s="61">
        <f t="shared" si="14"/>
        <v>0</v>
      </c>
      <c r="W93" s="58" t="s">
        <v>139</v>
      </c>
      <c r="X93" s="58" t="s">
        <v>141</v>
      </c>
      <c r="Y93" s="53" t="s">
        <v>202</v>
      </c>
      <c r="Z93" s="57"/>
      <c r="AA93" s="62">
        <v>4</v>
      </c>
      <c r="AB93" s="62" t="s">
        <v>146</v>
      </c>
      <c r="AC93" s="62">
        <v>4</v>
      </c>
      <c r="AD93" s="62">
        <v>5</v>
      </c>
      <c r="AE93" s="62">
        <v>1</v>
      </c>
      <c r="AF93" s="63"/>
      <c r="AG93" s="64" t="str">
        <f t="shared" si="15"/>
        <v/>
      </c>
    </row>
    <row r="94" spans="1:33" x14ac:dyDescent="0.25">
      <c r="A94" s="46" t="str">
        <f>IF(ISBLANK(inbound_data[[#This Row],[Receiving Report ref.'#]]),"",IF(inbound_data[[#This Row],[Ending Quantity]]=0,"ZERO","INV"))</f>
        <v>ZERO</v>
      </c>
      <c r="B94" s="165" t="str">
        <f t="shared" si="9"/>
        <v>00094</v>
      </c>
      <c r="C94" s="165" t="str">
        <f>IF(ISBLANK(D94),"",inbound_data[[#This Row],[Pallet_Series]]&amp;inbound_data[[#This Row],[No.]])</f>
        <v>DUO-00085A/702200094</v>
      </c>
      <c r="D94" s="54">
        <v>46047</v>
      </c>
      <c r="E94" s="55" t="s">
        <v>138</v>
      </c>
      <c r="F94" s="56">
        <v>115077</v>
      </c>
      <c r="G94" s="57" t="s">
        <v>270</v>
      </c>
      <c r="H94" s="53" t="s">
        <v>135</v>
      </c>
      <c r="I94" s="53">
        <v>92007</v>
      </c>
      <c r="J94" s="55" t="s">
        <v>337</v>
      </c>
      <c r="K94" s="58">
        <v>1</v>
      </c>
      <c r="L94" s="59" t="s">
        <v>354</v>
      </c>
      <c r="M94" s="55" t="s">
        <v>134</v>
      </c>
      <c r="N94" s="60">
        <v>46023</v>
      </c>
      <c r="O94" s="60">
        <v>46569</v>
      </c>
      <c r="P94" s="165" t="str">
        <f t="shared" ca="1" si="10"/>
        <v/>
      </c>
      <c r="Q94" s="165" t="str">
        <f t="shared" si="11"/>
        <v/>
      </c>
      <c r="R94" s="79">
        <v>30</v>
      </c>
      <c r="S94" s="80">
        <f t="shared" ref="S94:S99" si="17">30*10.4</f>
        <v>312</v>
      </c>
      <c r="T94" s="61">
        <f t="shared" si="12"/>
        <v>0</v>
      </c>
      <c r="U94" s="61">
        <f t="shared" si="13"/>
        <v>0</v>
      </c>
      <c r="V94" s="61">
        <f t="shared" si="14"/>
        <v>0</v>
      </c>
      <c r="W94" s="58" t="s">
        <v>139</v>
      </c>
      <c r="X94" s="58" t="s">
        <v>141</v>
      </c>
      <c r="Y94" s="53" t="s">
        <v>202</v>
      </c>
      <c r="Z94" s="57"/>
      <c r="AA94" s="62">
        <v>4</v>
      </c>
      <c r="AB94" s="62" t="s">
        <v>146</v>
      </c>
      <c r="AC94" s="62">
        <v>4</v>
      </c>
      <c r="AD94" s="62">
        <v>7</v>
      </c>
      <c r="AE94" s="62">
        <v>1</v>
      </c>
      <c r="AF94" s="63"/>
      <c r="AG94" s="64" t="str">
        <f t="shared" si="15"/>
        <v/>
      </c>
    </row>
    <row r="95" spans="1:33" x14ac:dyDescent="0.25">
      <c r="A95" s="46" t="str">
        <f>IF(ISBLANK(inbound_data[[#This Row],[Receiving Report ref.'#]]),"",IF(inbound_data[[#This Row],[Ending Quantity]]=0,"ZERO","INV"))</f>
        <v>ZERO</v>
      </c>
      <c r="B95" s="165" t="str">
        <f t="shared" si="9"/>
        <v>00095</v>
      </c>
      <c r="C95" s="165" t="str">
        <f>IF(ISBLANK(D95),"",inbound_data[[#This Row],[Pallet_Series]]&amp;inbound_data[[#This Row],[No.]])</f>
        <v>DUO-00086A/292700095</v>
      </c>
      <c r="D95" s="54">
        <v>46047</v>
      </c>
      <c r="E95" s="55" t="s">
        <v>138</v>
      </c>
      <c r="F95" s="56">
        <v>115077</v>
      </c>
      <c r="G95" s="57" t="s">
        <v>270</v>
      </c>
      <c r="H95" s="53" t="s">
        <v>135</v>
      </c>
      <c r="I95" s="53">
        <v>92007</v>
      </c>
      <c r="J95" s="55" t="s">
        <v>338</v>
      </c>
      <c r="K95" s="58">
        <v>1</v>
      </c>
      <c r="L95" s="59" t="s">
        <v>354</v>
      </c>
      <c r="M95" s="55" t="s">
        <v>134</v>
      </c>
      <c r="N95" s="60">
        <v>46023</v>
      </c>
      <c r="O95" s="60">
        <v>46569</v>
      </c>
      <c r="P95" s="165" t="str">
        <f t="shared" ca="1" si="10"/>
        <v/>
      </c>
      <c r="Q95" s="165" t="str">
        <f t="shared" si="11"/>
        <v/>
      </c>
      <c r="R95" s="79">
        <v>30</v>
      </c>
      <c r="S95" s="80">
        <f t="shared" si="17"/>
        <v>312</v>
      </c>
      <c r="T95" s="61">
        <f t="shared" si="12"/>
        <v>0</v>
      </c>
      <c r="U95" s="61">
        <f t="shared" si="13"/>
        <v>0</v>
      </c>
      <c r="V95" s="61">
        <f t="shared" si="14"/>
        <v>0</v>
      </c>
      <c r="W95" s="58" t="s">
        <v>139</v>
      </c>
      <c r="X95" s="58" t="s">
        <v>141</v>
      </c>
      <c r="Y95" s="53" t="s">
        <v>202</v>
      </c>
      <c r="Z95" s="57"/>
      <c r="AA95" s="62">
        <v>4</v>
      </c>
      <c r="AB95" s="62" t="s">
        <v>146</v>
      </c>
      <c r="AC95" s="62">
        <v>5</v>
      </c>
      <c r="AD95" s="62">
        <v>3</v>
      </c>
      <c r="AE95" s="62">
        <v>1</v>
      </c>
      <c r="AF95" s="63"/>
      <c r="AG95" s="64" t="str">
        <f t="shared" si="15"/>
        <v/>
      </c>
    </row>
    <row r="96" spans="1:33" x14ac:dyDescent="0.25">
      <c r="A96" s="46" t="str">
        <f>IF(ISBLANK(inbound_data[[#This Row],[Receiving Report ref.'#]]),"",IF(inbound_data[[#This Row],[Ending Quantity]]=0,"ZERO","INV"))</f>
        <v>ZERO</v>
      </c>
      <c r="B96" s="165" t="str">
        <f t="shared" si="9"/>
        <v>00096</v>
      </c>
      <c r="C96" s="165" t="str">
        <f>IF(ISBLANK(D96),"",inbound_data[[#This Row],[Pallet_Series]]&amp;inbound_data[[#This Row],[No.]])</f>
        <v>DUO-00087A/33200096</v>
      </c>
      <c r="D96" s="54">
        <v>46047</v>
      </c>
      <c r="E96" s="55" t="s">
        <v>138</v>
      </c>
      <c r="F96" s="56">
        <v>115077</v>
      </c>
      <c r="G96" s="57" t="s">
        <v>270</v>
      </c>
      <c r="H96" s="53" t="s">
        <v>135</v>
      </c>
      <c r="I96" s="53">
        <v>92007</v>
      </c>
      <c r="J96" s="55" t="s">
        <v>339</v>
      </c>
      <c r="K96" s="58">
        <v>1</v>
      </c>
      <c r="L96" s="59" t="s">
        <v>354</v>
      </c>
      <c r="M96" s="55" t="s">
        <v>134</v>
      </c>
      <c r="N96" s="60">
        <v>46023</v>
      </c>
      <c r="O96" s="60">
        <v>46569</v>
      </c>
      <c r="P96" s="165" t="str">
        <f t="shared" ca="1" si="10"/>
        <v/>
      </c>
      <c r="Q96" s="165" t="str">
        <f t="shared" si="11"/>
        <v/>
      </c>
      <c r="R96" s="79">
        <v>30</v>
      </c>
      <c r="S96" s="80">
        <f t="shared" si="17"/>
        <v>312</v>
      </c>
      <c r="T96" s="61">
        <f t="shared" si="12"/>
        <v>0</v>
      </c>
      <c r="U96" s="61">
        <f t="shared" si="13"/>
        <v>0</v>
      </c>
      <c r="V96" s="61">
        <f t="shared" si="14"/>
        <v>0</v>
      </c>
      <c r="W96" s="58" t="s">
        <v>139</v>
      </c>
      <c r="X96" s="58" t="s">
        <v>141</v>
      </c>
      <c r="Y96" s="53" t="s">
        <v>202</v>
      </c>
      <c r="Z96" s="57"/>
      <c r="AA96" s="62">
        <v>4</v>
      </c>
      <c r="AB96" s="62" t="s">
        <v>146</v>
      </c>
      <c r="AC96" s="62">
        <v>1</v>
      </c>
      <c r="AD96" s="62">
        <v>5</v>
      </c>
      <c r="AE96" s="62">
        <v>2</v>
      </c>
      <c r="AF96" s="63"/>
      <c r="AG96" s="64" t="str">
        <f t="shared" si="15"/>
        <v/>
      </c>
    </row>
    <row r="97" spans="1:33" x14ac:dyDescent="0.25">
      <c r="A97" s="46" t="str">
        <f>IF(ISBLANK(inbound_data[[#This Row],[Receiving Report ref.'#]]),"",IF(inbound_data[[#This Row],[Ending Quantity]]=0,"ZERO","INV"))</f>
        <v>ZERO</v>
      </c>
      <c r="B97" s="165" t="str">
        <f t="shared" si="9"/>
        <v>00097</v>
      </c>
      <c r="C97" s="165" t="str">
        <f>IF(ISBLANK(D97),"",inbound_data[[#This Row],[Pallet_Series]]&amp;inbound_data[[#This Row],[No.]])</f>
        <v>DUO-00088A/NP00097</v>
      </c>
      <c r="D97" s="54">
        <v>46047</v>
      </c>
      <c r="E97" s="55" t="s">
        <v>138</v>
      </c>
      <c r="F97" s="56">
        <v>115077</v>
      </c>
      <c r="G97" s="57" t="s">
        <v>270</v>
      </c>
      <c r="H97" s="53" t="s">
        <v>135</v>
      </c>
      <c r="I97" s="53">
        <v>92007</v>
      </c>
      <c r="J97" s="55" t="s">
        <v>340</v>
      </c>
      <c r="K97" s="58">
        <v>1</v>
      </c>
      <c r="L97" s="59" t="s">
        <v>354</v>
      </c>
      <c r="M97" s="55" t="s">
        <v>134</v>
      </c>
      <c r="N97" s="60">
        <v>46023</v>
      </c>
      <c r="O97" s="60">
        <v>46569</v>
      </c>
      <c r="P97" s="165" t="str">
        <f t="shared" ca="1" si="10"/>
        <v/>
      </c>
      <c r="Q97" s="165" t="str">
        <f t="shared" si="11"/>
        <v/>
      </c>
      <c r="R97" s="79">
        <v>30</v>
      </c>
      <c r="S97" s="80">
        <f t="shared" si="17"/>
        <v>312</v>
      </c>
      <c r="T97" s="61">
        <f t="shared" si="12"/>
        <v>0</v>
      </c>
      <c r="U97" s="61">
        <f t="shared" si="13"/>
        <v>0</v>
      </c>
      <c r="V97" s="61">
        <f t="shared" si="14"/>
        <v>0</v>
      </c>
      <c r="W97" s="58" t="s">
        <v>139</v>
      </c>
      <c r="X97" s="58" t="s">
        <v>141</v>
      </c>
      <c r="Y97" s="53" t="s">
        <v>202</v>
      </c>
      <c r="Z97" s="57"/>
      <c r="AA97" s="62">
        <v>4</v>
      </c>
      <c r="AB97" s="62" t="s">
        <v>146</v>
      </c>
      <c r="AC97" s="62">
        <v>1</v>
      </c>
      <c r="AD97" s="62">
        <v>5</v>
      </c>
      <c r="AE97" s="62">
        <v>1</v>
      </c>
      <c r="AF97" s="63"/>
      <c r="AG97" s="64" t="str">
        <f t="shared" si="15"/>
        <v/>
      </c>
    </row>
    <row r="98" spans="1:33" x14ac:dyDescent="0.25">
      <c r="A98" s="46" t="str">
        <f>IF(ISBLANK(inbound_data[[#This Row],[Receiving Report ref.'#]]),"",IF(inbound_data[[#This Row],[Ending Quantity]]=0,"ZERO","INV"))</f>
        <v>ZERO</v>
      </c>
      <c r="B98" s="165" t="str">
        <f t="shared" si="9"/>
        <v>00098</v>
      </c>
      <c r="C98" s="165" t="str">
        <f>IF(ISBLANK(D98),"",inbound_data[[#This Row],[Pallet_Series]]&amp;inbound_data[[#This Row],[No.]])</f>
        <v>DUO-00089A/4060200098</v>
      </c>
      <c r="D98" s="54">
        <v>46047</v>
      </c>
      <c r="E98" s="55" t="s">
        <v>138</v>
      </c>
      <c r="F98" s="56">
        <v>115077</v>
      </c>
      <c r="G98" s="57" t="s">
        <v>270</v>
      </c>
      <c r="H98" s="53" t="s">
        <v>135</v>
      </c>
      <c r="I98" s="53">
        <v>92007</v>
      </c>
      <c r="J98" s="55" t="s">
        <v>341</v>
      </c>
      <c r="K98" s="58">
        <v>1</v>
      </c>
      <c r="L98" s="59" t="s">
        <v>354</v>
      </c>
      <c r="M98" s="55" t="s">
        <v>134</v>
      </c>
      <c r="N98" s="60">
        <v>46023</v>
      </c>
      <c r="O98" s="60">
        <v>46569</v>
      </c>
      <c r="P98" s="165" t="str">
        <f t="shared" ca="1" si="10"/>
        <v/>
      </c>
      <c r="Q98" s="165" t="str">
        <f t="shared" si="11"/>
        <v/>
      </c>
      <c r="R98" s="79">
        <v>30</v>
      </c>
      <c r="S98" s="80">
        <f t="shared" si="17"/>
        <v>312</v>
      </c>
      <c r="T98" s="61">
        <f t="shared" si="12"/>
        <v>0</v>
      </c>
      <c r="U98" s="61">
        <f t="shared" si="13"/>
        <v>0</v>
      </c>
      <c r="V98" s="61">
        <f t="shared" si="14"/>
        <v>0</v>
      </c>
      <c r="W98" s="58" t="s">
        <v>139</v>
      </c>
      <c r="X98" s="58" t="s">
        <v>141</v>
      </c>
      <c r="Y98" s="53" t="s">
        <v>202</v>
      </c>
      <c r="Z98" s="57"/>
      <c r="AA98" s="62">
        <v>4</v>
      </c>
      <c r="AB98" s="62" t="s">
        <v>146</v>
      </c>
      <c r="AC98" s="62">
        <v>4</v>
      </c>
      <c r="AD98" s="62">
        <v>6</v>
      </c>
      <c r="AE98" s="62">
        <v>1</v>
      </c>
      <c r="AF98" s="63"/>
      <c r="AG98" s="64" t="str">
        <f t="shared" si="15"/>
        <v/>
      </c>
    </row>
    <row r="99" spans="1:33" x14ac:dyDescent="0.25">
      <c r="A99" s="46" t="str">
        <f>IF(ISBLANK(inbound_data[[#This Row],[Receiving Report ref.'#]]),"",IF(inbound_data[[#This Row],[Ending Quantity]]=0,"ZERO","INV"))</f>
        <v>ZERO</v>
      </c>
      <c r="B99" s="165" t="str">
        <f t="shared" si="9"/>
        <v>00099</v>
      </c>
      <c r="C99" s="165" t="str">
        <f>IF(ISBLANK(D99),"",inbound_data[[#This Row],[Pallet_Series]]&amp;inbound_data[[#This Row],[No.]])</f>
        <v>DUO-00090A/942600099</v>
      </c>
      <c r="D99" s="54">
        <v>46047</v>
      </c>
      <c r="E99" s="55" t="s">
        <v>138</v>
      </c>
      <c r="F99" s="56">
        <v>115077</v>
      </c>
      <c r="G99" s="57" t="s">
        <v>270</v>
      </c>
      <c r="H99" s="53" t="s">
        <v>135</v>
      </c>
      <c r="I99" s="53">
        <v>92007</v>
      </c>
      <c r="J99" s="55" t="s">
        <v>342</v>
      </c>
      <c r="K99" s="58">
        <v>1</v>
      </c>
      <c r="L99" s="59" t="s">
        <v>354</v>
      </c>
      <c r="M99" s="55" t="s">
        <v>134</v>
      </c>
      <c r="N99" s="60">
        <v>46023</v>
      </c>
      <c r="O99" s="60">
        <v>46569</v>
      </c>
      <c r="P99" s="165" t="str">
        <f t="shared" ca="1" si="10"/>
        <v/>
      </c>
      <c r="Q99" s="165" t="str">
        <f t="shared" si="11"/>
        <v/>
      </c>
      <c r="R99" s="79">
        <v>30</v>
      </c>
      <c r="S99" s="80">
        <f t="shared" si="17"/>
        <v>312</v>
      </c>
      <c r="T99" s="61">
        <f t="shared" si="12"/>
        <v>0</v>
      </c>
      <c r="U99" s="61">
        <f t="shared" si="13"/>
        <v>0</v>
      </c>
      <c r="V99" s="61">
        <f t="shared" si="14"/>
        <v>0</v>
      </c>
      <c r="W99" s="58" t="s">
        <v>139</v>
      </c>
      <c r="X99" s="58" t="s">
        <v>141</v>
      </c>
      <c r="Y99" s="53" t="s">
        <v>202</v>
      </c>
      <c r="Z99" s="57"/>
      <c r="AA99" s="62">
        <v>4</v>
      </c>
      <c r="AB99" s="62" t="s">
        <v>146</v>
      </c>
      <c r="AC99" s="62">
        <v>8</v>
      </c>
      <c r="AD99" s="62">
        <v>5</v>
      </c>
      <c r="AE99" s="62">
        <v>1</v>
      </c>
      <c r="AF99" s="63"/>
      <c r="AG99" s="64" t="str">
        <f t="shared" si="15"/>
        <v/>
      </c>
    </row>
    <row r="100" spans="1:33" x14ac:dyDescent="0.25">
      <c r="A100" s="46" t="str">
        <f>IF(ISBLANK(inbound_data[[#This Row],[Receiving Report ref.'#]]),"",IF(inbound_data[[#This Row],[Ending Quantity]]=0,"ZERO","INV"))</f>
        <v>ZERO</v>
      </c>
      <c r="B100" s="165" t="str">
        <f t="shared" si="9"/>
        <v>00100</v>
      </c>
      <c r="C100" s="165" t="str">
        <f>IF(ISBLANK(D100),"",inbound_data[[#This Row],[Pallet_Series]]&amp;inbound_data[[#This Row],[No.]])</f>
        <v>DUO-00091A/363900100</v>
      </c>
      <c r="D100" s="54">
        <v>46047</v>
      </c>
      <c r="E100" s="55" t="s">
        <v>138</v>
      </c>
      <c r="F100" s="56">
        <v>115077</v>
      </c>
      <c r="G100" s="57" t="s">
        <v>270</v>
      </c>
      <c r="H100" s="53" t="s">
        <v>135</v>
      </c>
      <c r="I100" s="53">
        <v>92007</v>
      </c>
      <c r="J100" s="55" t="s">
        <v>343</v>
      </c>
      <c r="K100" s="58">
        <v>1</v>
      </c>
      <c r="L100" s="59" t="s">
        <v>355</v>
      </c>
      <c r="M100" s="55" t="s">
        <v>134</v>
      </c>
      <c r="N100" s="60">
        <v>46023</v>
      </c>
      <c r="O100" s="60">
        <v>46569</v>
      </c>
      <c r="P100" s="165" t="str">
        <f t="shared" ca="1" si="10"/>
        <v/>
      </c>
      <c r="Q100" s="165" t="str">
        <f t="shared" si="11"/>
        <v/>
      </c>
      <c r="R100" s="79">
        <v>60</v>
      </c>
      <c r="S100" s="80">
        <f>60*3.744</f>
        <v>224.64000000000001</v>
      </c>
      <c r="T100" s="61">
        <f t="shared" si="12"/>
        <v>0</v>
      </c>
      <c r="U100" s="61">
        <f t="shared" si="13"/>
        <v>0</v>
      </c>
      <c r="V100" s="61">
        <f t="shared" si="14"/>
        <v>0</v>
      </c>
      <c r="W100" s="58" t="s">
        <v>139</v>
      </c>
      <c r="X100" s="58" t="s">
        <v>141</v>
      </c>
      <c r="Y100" s="53" t="s">
        <v>202</v>
      </c>
      <c r="Z100" s="57"/>
      <c r="AA100" s="62">
        <v>4</v>
      </c>
      <c r="AB100" s="62" t="s">
        <v>146</v>
      </c>
      <c r="AC100" s="62">
        <v>3</v>
      </c>
      <c r="AD100" s="62">
        <v>3</v>
      </c>
      <c r="AE100" s="62">
        <v>1</v>
      </c>
      <c r="AF100" s="63"/>
      <c r="AG100" s="64" t="str">
        <f t="shared" si="15"/>
        <v/>
      </c>
    </row>
    <row r="101" spans="1:33" x14ac:dyDescent="0.25">
      <c r="A101" s="46" t="str">
        <f>IF(ISBLANK(inbound_data[[#This Row],[Receiving Report ref.'#]]),"",IF(inbound_data[[#This Row],[Ending Quantity]]=0,"ZERO","INV"))</f>
        <v>ZERO</v>
      </c>
      <c r="B101" s="165" t="str">
        <f t="shared" si="9"/>
        <v>00101</v>
      </c>
      <c r="C101" s="165" t="str">
        <f>IF(ISBLANK(D101),"",inbound_data[[#This Row],[Pallet_Series]]&amp;inbound_data[[#This Row],[No.]])</f>
        <v>DUO-00092A/35400101</v>
      </c>
      <c r="D101" s="54">
        <v>46047</v>
      </c>
      <c r="E101" s="55" t="s">
        <v>138</v>
      </c>
      <c r="F101" s="56">
        <v>115077</v>
      </c>
      <c r="G101" s="57" t="s">
        <v>270</v>
      </c>
      <c r="H101" s="53" t="s">
        <v>135</v>
      </c>
      <c r="I101" s="53">
        <v>92007</v>
      </c>
      <c r="J101" s="55" t="s">
        <v>344</v>
      </c>
      <c r="K101" s="58">
        <v>1</v>
      </c>
      <c r="L101" s="59" t="s">
        <v>355</v>
      </c>
      <c r="M101" s="55" t="s">
        <v>134</v>
      </c>
      <c r="N101" s="60">
        <v>46023</v>
      </c>
      <c r="O101" s="60">
        <v>46569</v>
      </c>
      <c r="P101" s="165" t="str">
        <f t="shared" ca="1" si="10"/>
        <v/>
      </c>
      <c r="Q101" s="165" t="str">
        <f t="shared" si="11"/>
        <v/>
      </c>
      <c r="R101" s="79">
        <v>60</v>
      </c>
      <c r="S101" s="80">
        <f>60*3.744</f>
        <v>224.64000000000001</v>
      </c>
      <c r="T101" s="61">
        <f t="shared" si="12"/>
        <v>0</v>
      </c>
      <c r="U101" s="61">
        <f t="shared" si="13"/>
        <v>0</v>
      </c>
      <c r="V101" s="61">
        <f t="shared" si="14"/>
        <v>0</v>
      </c>
      <c r="W101" s="58" t="s">
        <v>139</v>
      </c>
      <c r="X101" s="58" t="s">
        <v>141</v>
      </c>
      <c r="Y101" s="53" t="s">
        <v>202</v>
      </c>
      <c r="Z101" s="57"/>
      <c r="AA101" s="62">
        <v>4</v>
      </c>
      <c r="AB101" s="62" t="s">
        <v>146</v>
      </c>
      <c r="AC101" s="62">
        <v>3</v>
      </c>
      <c r="AD101" s="62">
        <v>3</v>
      </c>
      <c r="AE101" s="62">
        <v>2</v>
      </c>
      <c r="AF101" s="63"/>
      <c r="AG101" s="64" t="str">
        <f t="shared" si="15"/>
        <v/>
      </c>
    </row>
    <row r="102" spans="1:33" x14ac:dyDescent="0.25">
      <c r="A102" s="46" t="str">
        <f>IF(ISBLANK(inbound_data[[#This Row],[Receiving Report ref.'#]]),"",IF(inbound_data[[#This Row],[Ending Quantity]]=0,"ZERO","INV"))</f>
        <v>ZERO</v>
      </c>
      <c r="B102" s="165" t="str">
        <f t="shared" si="9"/>
        <v>00102</v>
      </c>
      <c r="C102" s="165" t="str">
        <f>IF(ISBLANK(D102),"",inbound_data[[#This Row],[Pallet_Series]]&amp;inbound_data[[#This Row],[No.]])</f>
        <v>DUO-00093A/338400102</v>
      </c>
      <c r="D102" s="54">
        <v>46047</v>
      </c>
      <c r="E102" s="55" t="s">
        <v>138</v>
      </c>
      <c r="F102" s="56">
        <v>115077</v>
      </c>
      <c r="G102" s="57" t="s">
        <v>270</v>
      </c>
      <c r="H102" s="53" t="s">
        <v>135</v>
      </c>
      <c r="I102" s="53">
        <v>92007</v>
      </c>
      <c r="J102" s="55" t="s">
        <v>345</v>
      </c>
      <c r="K102" s="58">
        <v>1</v>
      </c>
      <c r="L102" s="59" t="s">
        <v>354</v>
      </c>
      <c r="M102" s="55" t="s">
        <v>134</v>
      </c>
      <c r="N102" s="60">
        <v>46023</v>
      </c>
      <c r="O102" s="60">
        <v>46569</v>
      </c>
      <c r="P102" s="165" t="str">
        <f t="shared" ca="1" si="10"/>
        <v/>
      </c>
      <c r="Q102" s="165" t="str">
        <f t="shared" si="11"/>
        <v/>
      </c>
      <c r="R102" s="79">
        <v>30</v>
      </c>
      <c r="S102" s="80">
        <f>30*10.4</f>
        <v>312</v>
      </c>
      <c r="T102" s="61">
        <f t="shared" si="12"/>
        <v>0</v>
      </c>
      <c r="U102" s="61">
        <f t="shared" si="13"/>
        <v>0</v>
      </c>
      <c r="V102" s="61">
        <f t="shared" si="14"/>
        <v>0</v>
      </c>
      <c r="W102" s="58" t="s">
        <v>139</v>
      </c>
      <c r="X102" s="58" t="s">
        <v>141</v>
      </c>
      <c r="Y102" s="53" t="s">
        <v>202</v>
      </c>
      <c r="Z102" s="57"/>
      <c r="AA102" s="62">
        <v>4</v>
      </c>
      <c r="AB102" s="62" t="s">
        <v>146</v>
      </c>
      <c r="AC102" s="62">
        <v>8</v>
      </c>
      <c r="AD102" s="62">
        <v>5</v>
      </c>
      <c r="AE102" s="62">
        <v>2</v>
      </c>
      <c r="AF102" s="63"/>
      <c r="AG102" s="64" t="str">
        <f t="shared" si="15"/>
        <v/>
      </c>
    </row>
    <row r="103" spans="1:33" x14ac:dyDescent="0.25">
      <c r="A103" s="46" t="str">
        <f>IF(ISBLANK(inbound_data[[#This Row],[Receiving Report ref.'#]]),"",IF(inbound_data[[#This Row],[Ending Quantity]]=0,"ZERO","INV"))</f>
        <v>ZERO</v>
      </c>
      <c r="B103" s="165" t="str">
        <f t="shared" si="9"/>
        <v>00103</v>
      </c>
      <c r="C103" s="165" t="str">
        <f>IF(ISBLANK(D103),"",inbound_data[[#This Row],[Pallet_Series]]&amp;inbound_data[[#This Row],[No.]])</f>
        <v>DUO-00094A/248900103</v>
      </c>
      <c r="D103" s="54">
        <v>46047</v>
      </c>
      <c r="E103" s="55" t="s">
        <v>138</v>
      </c>
      <c r="F103" s="56">
        <v>115077</v>
      </c>
      <c r="G103" s="57" t="s">
        <v>270</v>
      </c>
      <c r="H103" s="53" t="s">
        <v>135</v>
      </c>
      <c r="I103" s="53">
        <v>92007</v>
      </c>
      <c r="J103" s="55" t="s">
        <v>346</v>
      </c>
      <c r="K103" s="58">
        <v>1</v>
      </c>
      <c r="L103" s="59" t="s">
        <v>354</v>
      </c>
      <c r="M103" s="55" t="s">
        <v>134</v>
      </c>
      <c r="N103" s="60">
        <v>46023</v>
      </c>
      <c r="O103" s="60">
        <v>46569</v>
      </c>
      <c r="P103" s="165" t="str">
        <f t="shared" ca="1" si="10"/>
        <v/>
      </c>
      <c r="Q103" s="165" t="str">
        <f t="shared" si="11"/>
        <v/>
      </c>
      <c r="R103" s="79">
        <v>30</v>
      </c>
      <c r="S103" s="80">
        <f t="shared" ref="S103:S105" si="18">30*10.4</f>
        <v>312</v>
      </c>
      <c r="T103" s="61">
        <f t="shared" si="12"/>
        <v>0</v>
      </c>
      <c r="U103" s="61">
        <f t="shared" si="13"/>
        <v>0</v>
      </c>
      <c r="V103" s="61">
        <f t="shared" si="14"/>
        <v>0</v>
      </c>
      <c r="W103" s="58" t="s">
        <v>139</v>
      </c>
      <c r="X103" s="58" t="s">
        <v>141</v>
      </c>
      <c r="Y103" s="53" t="s">
        <v>202</v>
      </c>
      <c r="Z103" s="57"/>
      <c r="AA103" s="62">
        <v>4</v>
      </c>
      <c r="AB103" s="62" t="s">
        <v>146</v>
      </c>
      <c r="AC103" s="62">
        <v>6</v>
      </c>
      <c r="AD103" s="62">
        <v>2</v>
      </c>
      <c r="AE103" s="62">
        <v>1</v>
      </c>
      <c r="AF103" s="63"/>
      <c r="AG103" s="64" t="str">
        <f t="shared" si="15"/>
        <v/>
      </c>
    </row>
    <row r="104" spans="1:33" x14ac:dyDescent="0.25">
      <c r="A104" s="46" t="str">
        <f>IF(ISBLANK(inbound_data[[#This Row],[Receiving Report ref.'#]]),"",IF(inbound_data[[#This Row],[Ending Quantity]]=0,"ZERO","INV"))</f>
        <v>ZERO</v>
      </c>
      <c r="B104" s="165" t="str">
        <f t="shared" si="9"/>
        <v>00104</v>
      </c>
      <c r="C104" s="165" t="str">
        <f>IF(ISBLANK(D104),"",inbound_data[[#This Row],[Pallet_Series]]&amp;inbound_data[[#This Row],[No.]])</f>
        <v>DUO-00095A/494400104</v>
      </c>
      <c r="D104" s="54">
        <v>46047</v>
      </c>
      <c r="E104" s="55" t="s">
        <v>138</v>
      </c>
      <c r="F104" s="56">
        <v>115077</v>
      </c>
      <c r="G104" s="57" t="s">
        <v>270</v>
      </c>
      <c r="H104" s="53" t="s">
        <v>135</v>
      </c>
      <c r="I104" s="53">
        <v>92007</v>
      </c>
      <c r="J104" s="55" t="s">
        <v>347</v>
      </c>
      <c r="K104" s="58">
        <v>1</v>
      </c>
      <c r="L104" s="59" t="s">
        <v>354</v>
      </c>
      <c r="M104" s="55" t="s">
        <v>134</v>
      </c>
      <c r="N104" s="60">
        <v>46023</v>
      </c>
      <c r="O104" s="60">
        <v>46569</v>
      </c>
      <c r="P104" s="165" t="str">
        <f t="shared" ca="1" si="10"/>
        <v/>
      </c>
      <c r="Q104" s="165" t="str">
        <f t="shared" si="11"/>
        <v/>
      </c>
      <c r="R104" s="79">
        <v>30</v>
      </c>
      <c r="S104" s="80">
        <f t="shared" si="18"/>
        <v>312</v>
      </c>
      <c r="T104" s="61">
        <f t="shared" si="12"/>
        <v>0</v>
      </c>
      <c r="U104" s="61">
        <f t="shared" si="13"/>
        <v>0</v>
      </c>
      <c r="V104" s="61">
        <f t="shared" si="14"/>
        <v>0</v>
      </c>
      <c r="W104" s="58" t="s">
        <v>139</v>
      </c>
      <c r="X104" s="58" t="s">
        <v>141</v>
      </c>
      <c r="Y104" s="53" t="s">
        <v>202</v>
      </c>
      <c r="Z104" s="57"/>
      <c r="AA104" s="62">
        <v>4</v>
      </c>
      <c r="AB104" s="62" t="s">
        <v>146</v>
      </c>
      <c r="AC104" s="62">
        <v>6</v>
      </c>
      <c r="AD104" s="62">
        <v>2</v>
      </c>
      <c r="AE104" s="62">
        <v>2</v>
      </c>
      <c r="AF104" s="63"/>
      <c r="AG104" s="64" t="str">
        <f t="shared" si="15"/>
        <v/>
      </c>
    </row>
    <row r="105" spans="1:33" x14ac:dyDescent="0.25">
      <c r="A105" s="46" t="str">
        <f>IF(ISBLANK(inbound_data[[#This Row],[Receiving Report ref.'#]]),"",IF(inbound_data[[#This Row],[Ending Quantity]]=0,"ZERO","INV"))</f>
        <v>ZERO</v>
      </c>
      <c r="B105" s="165" t="str">
        <f t="shared" si="9"/>
        <v>00105</v>
      </c>
      <c r="C105" s="165" t="str">
        <f>IF(ISBLANK(D105),"",inbound_data[[#This Row],[Pallet_Series]]&amp;inbound_data[[#This Row],[No.]])</f>
        <v>DUO-00096A/735500105</v>
      </c>
      <c r="D105" s="54">
        <v>46047</v>
      </c>
      <c r="E105" s="55" t="s">
        <v>138</v>
      </c>
      <c r="F105" s="56">
        <v>115077</v>
      </c>
      <c r="G105" s="57" t="s">
        <v>270</v>
      </c>
      <c r="H105" s="53" t="s">
        <v>135</v>
      </c>
      <c r="I105" s="53">
        <v>92007</v>
      </c>
      <c r="J105" s="55" t="s">
        <v>348</v>
      </c>
      <c r="K105" s="58">
        <v>1</v>
      </c>
      <c r="L105" s="59" t="s">
        <v>354</v>
      </c>
      <c r="M105" s="55" t="s">
        <v>134</v>
      </c>
      <c r="N105" s="60">
        <v>46023</v>
      </c>
      <c r="O105" s="60">
        <v>46569</v>
      </c>
      <c r="P105" s="165" t="str">
        <f t="shared" ca="1" si="10"/>
        <v/>
      </c>
      <c r="Q105" s="165" t="str">
        <f t="shared" si="11"/>
        <v/>
      </c>
      <c r="R105" s="79">
        <v>30</v>
      </c>
      <c r="S105" s="80">
        <f t="shared" si="18"/>
        <v>312</v>
      </c>
      <c r="T105" s="61">
        <f t="shared" si="12"/>
        <v>0</v>
      </c>
      <c r="U105" s="61">
        <f t="shared" si="13"/>
        <v>0</v>
      </c>
      <c r="V105" s="61">
        <f t="shared" si="14"/>
        <v>0</v>
      </c>
      <c r="W105" s="58" t="s">
        <v>139</v>
      </c>
      <c r="X105" s="58" t="s">
        <v>141</v>
      </c>
      <c r="Y105" s="53" t="s">
        <v>202</v>
      </c>
      <c r="Z105" s="57"/>
      <c r="AA105" s="62">
        <v>4</v>
      </c>
      <c r="AB105" s="62" t="s">
        <v>146</v>
      </c>
      <c r="AC105" s="62">
        <v>5</v>
      </c>
      <c r="AD105" s="62">
        <v>3</v>
      </c>
      <c r="AE105" s="62">
        <v>2</v>
      </c>
      <c r="AF105" s="63"/>
      <c r="AG105" s="64" t="str">
        <f t="shared" si="15"/>
        <v/>
      </c>
    </row>
    <row r="106" spans="1:33" x14ac:dyDescent="0.25">
      <c r="A106" s="46" t="str">
        <f>IF(ISBLANK(inbound_data[[#This Row],[Receiving Report ref.'#]]),"",IF(inbound_data[[#This Row],[Ending Quantity]]=0,"ZERO","INV"))</f>
        <v>ZERO</v>
      </c>
      <c r="B106" s="165" t="str">
        <f t="shared" si="9"/>
        <v>00106</v>
      </c>
      <c r="C106" s="165" t="str">
        <f>IF(ISBLANK(D106),"",inbound_data[[#This Row],[Pallet_Series]]&amp;inbound_data[[#This Row],[No.]])</f>
        <v>DUO-00097A/579800106</v>
      </c>
      <c r="D106" s="54">
        <v>46047</v>
      </c>
      <c r="E106" s="55" t="s">
        <v>138</v>
      </c>
      <c r="F106" s="56">
        <v>115077</v>
      </c>
      <c r="G106" s="57" t="s">
        <v>270</v>
      </c>
      <c r="H106" s="53" t="s">
        <v>135</v>
      </c>
      <c r="I106" s="53">
        <v>92007</v>
      </c>
      <c r="J106" s="55" t="s">
        <v>349</v>
      </c>
      <c r="K106" s="58">
        <v>1</v>
      </c>
      <c r="L106" s="59" t="s">
        <v>354</v>
      </c>
      <c r="M106" s="55" t="s">
        <v>134</v>
      </c>
      <c r="N106" s="60">
        <v>46023</v>
      </c>
      <c r="O106" s="60">
        <v>46569</v>
      </c>
      <c r="P106" s="165" t="str">
        <f t="shared" ca="1" si="10"/>
        <v/>
      </c>
      <c r="Q106" s="165" t="str">
        <f t="shared" si="11"/>
        <v/>
      </c>
      <c r="R106" s="79">
        <v>20</v>
      </c>
      <c r="S106" s="80">
        <f>20*10.4</f>
        <v>208</v>
      </c>
      <c r="T106" s="61">
        <f t="shared" si="12"/>
        <v>0</v>
      </c>
      <c r="U106" s="61">
        <f t="shared" si="13"/>
        <v>0</v>
      </c>
      <c r="V106" s="61">
        <f t="shared" si="14"/>
        <v>0</v>
      </c>
      <c r="W106" s="58" t="s">
        <v>139</v>
      </c>
      <c r="X106" s="58" t="s">
        <v>141</v>
      </c>
      <c r="Y106" s="53" t="s">
        <v>202</v>
      </c>
      <c r="Z106" s="57"/>
      <c r="AA106" s="62">
        <v>4</v>
      </c>
      <c r="AB106" s="62" t="s">
        <v>146</v>
      </c>
      <c r="AC106" s="62">
        <v>8</v>
      </c>
      <c r="AD106" s="62">
        <v>1</v>
      </c>
      <c r="AE106" s="62">
        <v>1</v>
      </c>
      <c r="AF106" s="63"/>
      <c r="AG106" s="64" t="str">
        <f t="shared" si="15"/>
        <v/>
      </c>
    </row>
    <row r="107" spans="1:33" x14ac:dyDescent="0.25">
      <c r="A107" s="46" t="str">
        <f>IF(ISBLANK(inbound_data[[#This Row],[Receiving Report ref.'#]]),"",IF(inbound_data[[#This Row],[Ending Quantity]]=0,"ZERO","INV"))</f>
        <v>ZERO</v>
      </c>
      <c r="B107" s="165" t="str">
        <f t="shared" si="9"/>
        <v>00107</v>
      </c>
      <c r="C107" s="165" t="str">
        <f>IF(ISBLANK(D107),"",inbound_data[[#This Row],[Pallet_Series]]&amp;inbound_data[[#This Row],[No.]])</f>
        <v>DUO-00098A/343700107</v>
      </c>
      <c r="D107" s="54">
        <v>46047</v>
      </c>
      <c r="E107" s="55" t="s">
        <v>138</v>
      </c>
      <c r="F107" s="56">
        <v>115077</v>
      </c>
      <c r="G107" s="57" t="s">
        <v>270</v>
      </c>
      <c r="H107" s="53" t="s">
        <v>135</v>
      </c>
      <c r="I107" s="53">
        <v>92007</v>
      </c>
      <c r="J107" s="55" t="s">
        <v>350</v>
      </c>
      <c r="K107" s="58">
        <v>1</v>
      </c>
      <c r="L107" s="59" t="s">
        <v>355</v>
      </c>
      <c r="M107" s="55" t="s">
        <v>134</v>
      </c>
      <c r="N107" s="60">
        <v>46023</v>
      </c>
      <c r="O107" s="60">
        <v>46569</v>
      </c>
      <c r="P107" s="165" t="str">
        <f t="shared" ca="1" si="10"/>
        <v/>
      </c>
      <c r="Q107" s="165" t="str">
        <f t="shared" si="11"/>
        <v/>
      </c>
      <c r="R107" s="79">
        <v>60</v>
      </c>
      <c r="S107" s="80">
        <v>224.64000000000001</v>
      </c>
      <c r="T107" s="61">
        <f t="shared" si="12"/>
        <v>0</v>
      </c>
      <c r="U107" s="61">
        <f t="shared" si="13"/>
        <v>0</v>
      </c>
      <c r="V107" s="61">
        <f t="shared" si="14"/>
        <v>0</v>
      </c>
      <c r="W107" s="58" t="s">
        <v>139</v>
      </c>
      <c r="X107" s="58" t="s">
        <v>141</v>
      </c>
      <c r="Y107" s="53" t="s">
        <v>202</v>
      </c>
      <c r="Z107" s="57"/>
      <c r="AA107" s="62">
        <v>4</v>
      </c>
      <c r="AB107" s="62" t="s">
        <v>146</v>
      </c>
      <c r="AC107" s="62">
        <v>4</v>
      </c>
      <c r="AD107" s="62">
        <v>5</v>
      </c>
      <c r="AE107" s="62">
        <v>2</v>
      </c>
      <c r="AF107" s="63"/>
      <c r="AG107" s="64" t="str">
        <f t="shared" si="15"/>
        <v/>
      </c>
    </row>
    <row r="108" spans="1:33" x14ac:dyDescent="0.25">
      <c r="A108" s="46" t="str">
        <f>IF(ISBLANK(inbound_data[[#This Row],[Receiving Report ref.'#]]),"",IF(inbound_data[[#This Row],[Ending Quantity]]=0,"ZERO","INV"))</f>
        <v>ZERO</v>
      </c>
      <c r="B108" s="165" t="str">
        <f t="shared" si="9"/>
        <v>00108</v>
      </c>
      <c r="C108" s="165" t="str">
        <f>IF(ISBLANK(D108),"",inbound_data[[#This Row],[Pallet_Series]]&amp;inbound_data[[#This Row],[No.]])</f>
        <v>DUO-00099A/883300108</v>
      </c>
      <c r="D108" s="54">
        <v>46047</v>
      </c>
      <c r="E108" s="55" t="s">
        <v>138</v>
      </c>
      <c r="F108" s="56">
        <v>115077</v>
      </c>
      <c r="G108" s="57" t="s">
        <v>270</v>
      </c>
      <c r="H108" s="53" t="s">
        <v>135</v>
      </c>
      <c r="I108" s="53">
        <v>92007</v>
      </c>
      <c r="J108" s="55" t="s">
        <v>351</v>
      </c>
      <c r="K108" s="58">
        <v>1</v>
      </c>
      <c r="L108" s="59" t="s">
        <v>355</v>
      </c>
      <c r="M108" s="55" t="s">
        <v>134</v>
      </c>
      <c r="N108" s="60">
        <v>46023</v>
      </c>
      <c r="O108" s="60">
        <v>46569</v>
      </c>
      <c r="P108" s="165" t="str">
        <f t="shared" ca="1" si="10"/>
        <v/>
      </c>
      <c r="Q108" s="165" t="str">
        <f t="shared" si="11"/>
        <v/>
      </c>
      <c r="R108" s="79">
        <v>60</v>
      </c>
      <c r="S108" s="80">
        <v>224.64000000000001</v>
      </c>
      <c r="T108" s="61">
        <f t="shared" si="12"/>
        <v>0</v>
      </c>
      <c r="U108" s="61">
        <f t="shared" si="13"/>
        <v>0</v>
      </c>
      <c r="V108" s="61">
        <f t="shared" si="14"/>
        <v>0</v>
      </c>
      <c r="W108" s="58" t="s">
        <v>139</v>
      </c>
      <c r="X108" s="58" t="s">
        <v>141</v>
      </c>
      <c r="Y108" s="53" t="s">
        <v>202</v>
      </c>
      <c r="Z108" s="57"/>
      <c r="AA108" s="62">
        <v>4</v>
      </c>
      <c r="AB108" s="62" t="s">
        <v>146</v>
      </c>
      <c r="AC108" s="62">
        <v>4</v>
      </c>
      <c r="AD108" s="62">
        <v>7</v>
      </c>
      <c r="AE108" s="62">
        <v>2</v>
      </c>
      <c r="AF108" s="63"/>
      <c r="AG108" s="64" t="str">
        <f t="shared" si="15"/>
        <v/>
      </c>
    </row>
    <row r="109" spans="1:33" x14ac:dyDescent="0.25">
      <c r="A109" s="46" t="str">
        <f>IF(ISBLANK(inbound_data[[#This Row],[Receiving Report ref.'#]]),"",IF(inbound_data[[#This Row],[Ending Quantity]]=0,"ZERO","INV"))</f>
        <v>ZERO</v>
      </c>
      <c r="B109" s="165" t="str">
        <f t="shared" si="9"/>
        <v>00109</v>
      </c>
      <c r="C109" s="165" t="str">
        <f>IF(ISBLANK(D109),"",inbound_data[[#This Row],[Pallet_Series]]&amp;inbound_data[[#This Row],[No.]])</f>
        <v>DUO-00100A/4077700109</v>
      </c>
      <c r="D109" s="54">
        <v>46047</v>
      </c>
      <c r="E109" s="55" t="s">
        <v>138</v>
      </c>
      <c r="F109" s="56">
        <v>115077</v>
      </c>
      <c r="G109" s="57" t="s">
        <v>270</v>
      </c>
      <c r="H109" s="53" t="s">
        <v>135</v>
      </c>
      <c r="I109" s="53">
        <v>92007</v>
      </c>
      <c r="J109" s="55" t="s">
        <v>352</v>
      </c>
      <c r="K109" s="58">
        <v>1</v>
      </c>
      <c r="L109" s="59" t="s">
        <v>355</v>
      </c>
      <c r="M109" s="55" t="s">
        <v>134</v>
      </c>
      <c r="N109" s="60">
        <v>46023</v>
      </c>
      <c r="O109" s="60">
        <v>46569</v>
      </c>
      <c r="P109" s="165" t="str">
        <f t="shared" ca="1" si="10"/>
        <v/>
      </c>
      <c r="Q109" s="165" t="str">
        <f t="shared" si="11"/>
        <v/>
      </c>
      <c r="R109" s="79">
        <v>70</v>
      </c>
      <c r="S109" s="80">
        <f>70*3.744</f>
        <v>262.08000000000004</v>
      </c>
      <c r="T109" s="61">
        <f t="shared" si="12"/>
        <v>0</v>
      </c>
      <c r="U109" s="61">
        <f t="shared" si="13"/>
        <v>0</v>
      </c>
      <c r="V109" s="61">
        <f t="shared" si="14"/>
        <v>0</v>
      </c>
      <c r="W109" s="58" t="s">
        <v>139</v>
      </c>
      <c r="X109" s="58" t="s">
        <v>141</v>
      </c>
      <c r="Y109" s="53" t="s">
        <v>202</v>
      </c>
      <c r="Z109" s="57"/>
      <c r="AA109" s="62">
        <v>4</v>
      </c>
      <c r="AB109" s="62" t="s">
        <v>146</v>
      </c>
      <c r="AC109" s="62">
        <v>4</v>
      </c>
      <c r="AD109" s="62">
        <v>4</v>
      </c>
      <c r="AE109" s="62">
        <v>2</v>
      </c>
      <c r="AF109" s="63"/>
      <c r="AG109" s="64" t="str">
        <f t="shared" si="15"/>
        <v/>
      </c>
    </row>
    <row r="110" spans="1:33" x14ac:dyDescent="0.25">
      <c r="A110" s="46" t="str">
        <f>IF(ISBLANK(inbound_data[[#This Row],[Receiving Report ref.'#]]),"",IF(inbound_data[[#This Row],[Ending Quantity]]=0,"ZERO","INV"))</f>
        <v>ZERO</v>
      </c>
      <c r="B110" s="165" t="str">
        <f t="shared" si="9"/>
        <v>00110</v>
      </c>
      <c r="C110" s="165" t="str">
        <f>IF(ISBLANK(D110),"",inbound_data[[#This Row],[Pallet_Series]]&amp;inbound_data[[#This Row],[No.]])</f>
        <v>DUO-00101A/35500110</v>
      </c>
      <c r="D110" s="54">
        <v>46047</v>
      </c>
      <c r="E110" s="55" t="s">
        <v>138</v>
      </c>
      <c r="F110" s="56">
        <v>115077</v>
      </c>
      <c r="G110" s="57" t="s">
        <v>270</v>
      </c>
      <c r="H110" s="53" t="s">
        <v>135</v>
      </c>
      <c r="I110" s="53">
        <v>92007</v>
      </c>
      <c r="J110" s="55" t="s">
        <v>353</v>
      </c>
      <c r="K110" s="58">
        <v>1</v>
      </c>
      <c r="L110" s="59" t="s">
        <v>249</v>
      </c>
      <c r="M110" s="55" t="s">
        <v>134</v>
      </c>
      <c r="N110" s="60">
        <v>46023</v>
      </c>
      <c r="O110" s="60">
        <v>46569</v>
      </c>
      <c r="P110" s="165" t="str">
        <f t="shared" ca="1" si="10"/>
        <v/>
      </c>
      <c r="Q110" s="165" t="str">
        <f t="shared" si="11"/>
        <v/>
      </c>
      <c r="R110" s="79">
        <v>23</v>
      </c>
      <c r="S110" s="80">
        <f>23*12</f>
        <v>276</v>
      </c>
      <c r="T110" s="61">
        <f t="shared" si="12"/>
        <v>0</v>
      </c>
      <c r="U110" s="61">
        <f t="shared" si="13"/>
        <v>0</v>
      </c>
      <c r="V110" s="61">
        <f t="shared" si="14"/>
        <v>0</v>
      </c>
      <c r="W110" s="58" t="s">
        <v>139</v>
      </c>
      <c r="X110" s="58" t="s">
        <v>141</v>
      </c>
      <c r="Y110" s="53" t="s">
        <v>202</v>
      </c>
      <c r="Z110" s="57"/>
      <c r="AA110" s="62">
        <v>4</v>
      </c>
      <c r="AB110" s="62" t="s">
        <v>146</v>
      </c>
      <c r="AC110" s="62">
        <v>4</v>
      </c>
      <c r="AD110" s="62">
        <v>6</v>
      </c>
      <c r="AE110" s="62">
        <v>2</v>
      </c>
      <c r="AF110" s="63"/>
      <c r="AG110" s="64" t="str">
        <f t="shared" si="15"/>
        <v/>
      </c>
    </row>
    <row r="111" spans="1:33" x14ac:dyDescent="0.25">
      <c r="A111" s="46" t="str">
        <f>IF(ISBLANK(inbound_data[[#This Row],[Receiving Report ref.'#]]),"",IF(inbound_data[[#This Row],[Ending Quantity]]=0,"ZERO","INV"))</f>
        <v>ZERO</v>
      </c>
      <c r="B111" s="165" t="str">
        <f t="shared" si="9"/>
        <v>00111</v>
      </c>
      <c r="C111" s="165" t="str">
        <f>IF(ISBLANK(D111),"",inbound_data[[#This Row],[Pallet_Series]]&amp;inbound_data[[#This Row],[No.]])</f>
        <v>DUO-00102A/383000111</v>
      </c>
      <c r="D111" s="54">
        <v>46089</v>
      </c>
      <c r="E111" s="55" t="s">
        <v>138</v>
      </c>
      <c r="F111" s="56">
        <v>121230</v>
      </c>
      <c r="G111" s="57" t="s">
        <v>270</v>
      </c>
      <c r="H111" s="53" t="s">
        <v>135</v>
      </c>
      <c r="I111" s="53">
        <v>96368</v>
      </c>
      <c r="J111" s="55" t="s">
        <v>374</v>
      </c>
      <c r="K111" s="58">
        <v>1</v>
      </c>
      <c r="L111" s="59" t="s">
        <v>377</v>
      </c>
      <c r="M111" s="55" t="s">
        <v>134</v>
      </c>
      <c r="N111" s="60">
        <v>46143</v>
      </c>
      <c r="O111" s="60">
        <v>46508</v>
      </c>
      <c r="P111" s="165" t="str">
        <f t="shared" ca="1" si="10"/>
        <v/>
      </c>
      <c r="Q111" s="165" t="str">
        <f t="shared" si="11"/>
        <v/>
      </c>
      <c r="R111" s="79">
        <v>70</v>
      </c>
      <c r="S111" s="80">
        <v>840</v>
      </c>
      <c r="T111" s="61">
        <f t="shared" si="12"/>
        <v>0</v>
      </c>
      <c r="U111" s="61">
        <f t="shared" si="13"/>
        <v>0</v>
      </c>
      <c r="V111" s="61">
        <f t="shared" si="14"/>
        <v>0</v>
      </c>
      <c r="W111" s="58" t="s">
        <v>139</v>
      </c>
      <c r="X111" s="58" t="s">
        <v>141</v>
      </c>
      <c r="Y111" s="53" t="s">
        <v>202</v>
      </c>
      <c r="Z111" s="57"/>
      <c r="AA111" s="62">
        <v>5</v>
      </c>
      <c r="AB111" s="62" t="s">
        <v>143</v>
      </c>
      <c r="AC111" s="62">
        <v>2</v>
      </c>
      <c r="AD111" s="62">
        <v>1</v>
      </c>
      <c r="AE111" s="62">
        <v>1</v>
      </c>
      <c r="AF111" s="63"/>
      <c r="AG111" s="64" t="str">
        <f t="shared" si="15"/>
        <v/>
      </c>
    </row>
    <row r="112" spans="1:33" x14ac:dyDescent="0.25">
      <c r="A112" s="46" t="str">
        <f>IF(ISBLANK(inbound_data[[#This Row],[Receiving Report ref.'#]]),"",IF(inbound_data[[#This Row],[Ending Quantity]]=0,"ZERO","INV"))</f>
        <v>ZERO</v>
      </c>
      <c r="B112" s="165" t="str">
        <f t="shared" si="9"/>
        <v>00112</v>
      </c>
      <c r="C112" s="165" t="str">
        <f>IF(ISBLANK(D112),"",inbound_data[[#This Row],[Pallet_Series]]&amp;inbound_data[[#This Row],[No.]])</f>
        <v>DUO-00103A/563600112</v>
      </c>
      <c r="D112" s="54">
        <v>46089</v>
      </c>
      <c r="E112" s="55" t="s">
        <v>138</v>
      </c>
      <c r="F112" s="56">
        <v>121230</v>
      </c>
      <c r="G112" s="57" t="s">
        <v>270</v>
      </c>
      <c r="H112" s="53" t="s">
        <v>135</v>
      </c>
      <c r="I112" s="53">
        <v>96368</v>
      </c>
      <c r="J112" s="55" t="s">
        <v>375</v>
      </c>
      <c r="K112" s="58">
        <v>1</v>
      </c>
      <c r="L112" s="59" t="s">
        <v>377</v>
      </c>
      <c r="M112" s="55" t="s">
        <v>134</v>
      </c>
      <c r="N112" s="60">
        <v>46143</v>
      </c>
      <c r="O112" s="60">
        <v>46508</v>
      </c>
      <c r="P112" s="165" t="str">
        <f t="shared" ca="1" si="10"/>
        <v/>
      </c>
      <c r="Q112" s="165" t="str">
        <f t="shared" si="11"/>
        <v/>
      </c>
      <c r="R112" s="79">
        <v>70</v>
      </c>
      <c r="S112" s="80">
        <v>840</v>
      </c>
      <c r="T112" s="61">
        <f t="shared" si="12"/>
        <v>0</v>
      </c>
      <c r="U112" s="61">
        <f t="shared" si="13"/>
        <v>0</v>
      </c>
      <c r="V112" s="61">
        <f t="shared" si="14"/>
        <v>0</v>
      </c>
      <c r="W112" s="58" t="s">
        <v>139</v>
      </c>
      <c r="X112" s="58" t="s">
        <v>141</v>
      </c>
      <c r="Y112" s="53" t="s">
        <v>202</v>
      </c>
      <c r="Z112" s="57"/>
      <c r="AA112" s="62">
        <v>5</v>
      </c>
      <c r="AB112" s="62" t="s">
        <v>143</v>
      </c>
      <c r="AC112" s="62">
        <v>1</v>
      </c>
      <c r="AD112" s="62">
        <v>1</v>
      </c>
      <c r="AE112" s="62">
        <v>1</v>
      </c>
      <c r="AF112" s="63"/>
      <c r="AG112" s="64" t="str">
        <f t="shared" si="15"/>
        <v/>
      </c>
    </row>
    <row r="113" spans="1:33" x14ac:dyDescent="0.25">
      <c r="A113" s="46" t="str">
        <f>IF(ISBLANK(inbound_data[[#This Row],[Receiving Report ref.'#]]),"",IF(inbound_data[[#This Row],[Ending Quantity]]=0,"ZERO","INV"))</f>
        <v>INV</v>
      </c>
      <c r="B113" s="165" t="str">
        <f t="shared" si="9"/>
        <v>00113</v>
      </c>
      <c r="C113" s="165" t="str">
        <f>IF(ISBLANK(D113),"",inbound_data[[#This Row],[Pallet_Series]]&amp;inbound_data[[#This Row],[No.]])</f>
        <v>DUO-00104A/630500113</v>
      </c>
      <c r="D113" s="54">
        <v>46089</v>
      </c>
      <c r="E113" s="55" t="s">
        <v>138</v>
      </c>
      <c r="F113" s="56">
        <v>121230</v>
      </c>
      <c r="G113" s="57" t="s">
        <v>270</v>
      </c>
      <c r="H113" s="53" t="s">
        <v>135</v>
      </c>
      <c r="I113" s="53">
        <v>96368</v>
      </c>
      <c r="J113" s="55" t="s">
        <v>376</v>
      </c>
      <c r="K113" s="58">
        <v>1</v>
      </c>
      <c r="L113" s="59" t="s">
        <v>377</v>
      </c>
      <c r="M113" s="55" t="s">
        <v>134</v>
      </c>
      <c r="N113" s="60">
        <v>46143</v>
      </c>
      <c r="O113" s="60">
        <v>46508</v>
      </c>
      <c r="P113" s="165">
        <f t="shared" ca="1" si="10"/>
        <v>397</v>
      </c>
      <c r="Q113" s="165" t="str">
        <f t="shared" ca="1" si="11"/>
        <v/>
      </c>
      <c r="R113" s="79">
        <v>60</v>
      </c>
      <c r="S113" s="80">
        <v>720</v>
      </c>
      <c r="T113" s="61">
        <f t="shared" si="12"/>
        <v>60</v>
      </c>
      <c r="U113" s="61">
        <f t="shared" si="13"/>
        <v>720</v>
      </c>
      <c r="V113" s="61">
        <f t="shared" si="14"/>
        <v>1</v>
      </c>
      <c r="W113" s="58" t="s">
        <v>139</v>
      </c>
      <c r="X113" s="58" t="s">
        <v>141</v>
      </c>
      <c r="Y113" s="53" t="s">
        <v>202</v>
      </c>
      <c r="Z113" s="57"/>
      <c r="AA113" s="62">
        <v>5</v>
      </c>
      <c r="AB113" s="62" t="s">
        <v>143</v>
      </c>
      <c r="AC113" s="62">
        <v>1</v>
      </c>
      <c r="AD113" s="62">
        <v>1</v>
      </c>
      <c r="AE113" s="62">
        <v>2</v>
      </c>
      <c r="AF113" s="63"/>
      <c r="AG113" s="64" t="str">
        <f t="shared" si="15"/>
        <v>5BR01L1.2</v>
      </c>
    </row>
    <row r="114" spans="1:33" x14ac:dyDescent="0.25">
      <c r="A114" s="46" t="str">
        <f>IF(ISBLANK(inbound_data[[#This Row],[Receiving Report ref.'#]]),"",IF(inbound_data[[#This Row],[Ending Quantity]]=0,"ZERO","INV"))</f>
        <v>INV</v>
      </c>
      <c r="B114" s="165" t="str">
        <f t="shared" si="9"/>
        <v>00114</v>
      </c>
      <c r="C114" s="165" t="str">
        <f>IF(ISBLANK(D114),"",inbound_data[[#This Row],[Pallet_Series]]&amp;inbound_data[[#This Row],[No.]])</f>
        <v>DUO-00111A/585300114</v>
      </c>
      <c r="D114" s="54">
        <v>46097</v>
      </c>
      <c r="E114" s="55" t="s">
        <v>138</v>
      </c>
      <c r="F114" s="56">
        <v>121165</v>
      </c>
      <c r="G114" s="57" t="s">
        <v>270</v>
      </c>
      <c r="H114" s="53" t="s">
        <v>396</v>
      </c>
      <c r="I114" s="53">
        <v>69470</v>
      </c>
      <c r="J114" s="55" t="s">
        <v>378</v>
      </c>
      <c r="K114" s="58">
        <v>1</v>
      </c>
      <c r="L114" s="59" t="s">
        <v>392</v>
      </c>
      <c r="M114" s="55" t="s">
        <v>134</v>
      </c>
      <c r="N114" s="60">
        <v>46107</v>
      </c>
      <c r="O114" s="60">
        <v>46292</v>
      </c>
      <c r="P114" s="165">
        <f t="shared" ca="1" si="10"/>
        <v>181</v>
      </c>
      <c r="Q114" s="165" t="str">
        <f t="shared" ca="1" si="11"/>
        <v/>
      </c>
      <c r="R114" s="79">
        <v>25</v>
      </c>
      <c r="S114" s="80">
        <v>11.8</v>
      </c>
      <c r="T114" s="61">
        <f t="shared" si="12"/>
        <v>25</v>
      </c>
      <c r="U114" s="61">
        <f t="shared" si="13"/>
        <v>11.8</v>
      </c>
      <c r="V114" s="61">
        <f t="shared" si="14"/>
        <v>1</v>
      </c>
      <c r="W114" s="58" t="s">
        <v>139</v>
      </c>
      <c r="X114" s="58" t="s">
        <v>141</v>
      </c>
      <c r="Y114" s="53" t="s">
        <v>395</v>
      </c>
      <c r="Z114" s="57"/>
      <c r="AA114" s="62">
        <v>5</v>
      </c>
      <c r="AB114" s="62" t="s">
        <v>143</v>
      </c>
      <c r="AC114" s="62">
        <v>4</v>
      </c>
      <c r="AD114" s="62">
        <v>4</v>
      </c>
      <c r="AE114" s="62">
        <v>2</v>
      </c>
      <c r="AF114" s="63"/>
      <c r="AG114" s="64" t="str">
        <f t="shared" si="15"/>
        <v>5BR04L4.2</v>
      </c>
    </row>
    <row r="115" spans="1:33" x14ac:dyDescent="0.25">
      <c r="A115" s="46" t="str">
        <f>IF(ISBLANK(inbound_data[[#This Row],[Receiving Report ref.'#]]),"",IF(inbound_data[[#This Row],[Ending Quantity]]=0,"ZERO","INV"))</f>
        <v>INV</v>
      </c>
      <c r="B115" s="165" t="str">
        <f t="shared" si="9"/>
        <v>00115</v>
      </c>
      <c r="C115" s="165" t="str">
        <f>IF(ISBLANK(D115),"",inbound_data[[#This Row],[Pallet_Series]]&amp;inbound_data[[#This Row],[No.]])</f>
        <v>DUO-00105A/81700115</v>
      </c>
      <c r="D115" s="54">
        <v>46097</v>
      </c>
      <c r="E115" s="55" t="s">
        <v>138</v>
      </c>
      <c r="F115" s="56">
        <v>121165</v>
      </c>
      <c r="G115" s="57" t="s">
        <v>270</v>
      </c>
      <c r="H115" s="53" t="s">
        <v>396</v>
      </c>
      <c r="I115" s="53">
        <v>69470</v>
      </c>
      <c r="J115" s="55" t="s">
        <v>379</v>
      </c>
      <c r="K115" s="58">
        <v>1</v>
      </c>
      <c r="L115" s="59" t="s">
        <v>393</v>
      </c>
      <c r="M115" s="55" t="s">
        <v>134</v>
      </c>
      <c r="N115" s="60">
        <v>46107</v>
      </c>
      <c r="O115" s="60">
        <v>46292</v>
      </c>
      <c r="P115" s="165">
        <f t="shared" ca="1" si="10"/>
        <v>181</v>
      </c>
      <c r="Q115" s="165" t="str">
        <f t="shared" ca="1" si="11"/>
        <v/>
      </c>
      <c r="R115" s="79">
        <v>25</v>
      </c>
      <c r="S115" s="80">
        <v>0.312</v>
      </c>
      <c r="T115" s="61">
        <f t="shared" si="12"/>
        <v>25</v>
      </c>
      <c r="U115" s="61">
        <f t="shared" si="13"/>
        <v>0.312</v>
      </c>
      <c r="V115" s="61">
        <f t="shared" si="14"/>
        <v>1</v>
      </c>
      <c r="W115" s="58" t="s">
        <v>139</v>
      </c>
      <c r="X115" s="58" t="s">
        <v>141</v>
      </c>
      <c r="Y115" s="53" t="s">
        <v>395</v>
      </c>
      <c r="Z115" s="57"/>
      <c r="AA115" s="62">
        <v>5</v>
      </c>
      <c r="AB115" s="62" t="s">
        <v>143</v>
      </c>
      <c r="AC115" s="62">
        <v>2</v>
      </c>
      <c r="AD115" s="62">
        <v>6</v>
      </c>
      <c r="AE115" s="62">
        <v>1</v>
      </c>
      <c r="AF115" s="63"/>
      <c r="AG115" s="64" t="str">
        <f t="shared" si="15"/>
        <v>5BR02L6.1</v>
      </c>
    </row>
    <row r="116" spans="1:33" x14ac:dyDescent="0.25">
      <c r="A116" s="46" t="str">
        <f>IF(ISBLANK(inbound_data[[#This Row],[Receiving Report ref.'#]]),"",IF(inbound_data[[#This Row],[Ending Quantity]]=0,"ZERO","INV"))</f>
        <v>INV</v>
      </c>
      <c r="B116" s="165" t="str">
        <f t="shared" si="9"/>
        <v>00116</v>
      </c>
      <c r="C116" s="165" t="str">
        <f>IF(ISBLANK(D116),"",inbound_data[[#This Row],[Pallet_Series]]&amp;inbound_data[[#This Row],[No.]])</f>
        <v>DUO-00109A/525000116</v>
      </c>
      <c r="D116" s="54">
        <v>46097</v>
      </c>
      <c r="E116" s="55" t="s">
        <v>138</v>
      </c>
      <c r="F116" s="56">
        <v>121165</v>
      </c>
      <c r="G116" s="57" t="s">
        <v>270</v>
      </c>
      <c r="H116" s="53" t="s">
        <v>396</v>
      </c>
      <c r="I116" s="53">
        <v>69470</v>
      </c>
      <c r="J116" s="55" t="s">
        <v>380</v>
      </c>
      <c r="K116" s="58">
        <v>1</v>
      </c>
      <c r="L116" s="59" t="s">
        <v>394</v>
      </c>
      <c r="M116" s="55" t="s">
        <v>134</v>
      </c>
      <c r="N116" s="60">
        <v>46107</v>
      </c>
      <c r="O116" s="60">
        <v>46292</v>
      </c>
      <c r="P116" s="165">
        <f t="shared" ca="1" si="10"/>
        <v>181</v>
      </c>
      <c r="Q116" s="165" t="str">
        <f t="shared" ca="1" si="11"/>
        <v/>
      </c>
      <c r="R116" s="79">
        <v>25</v>
      </c>
      <c r="S116" s="80">
        <v>0.312</v>
      </c>
      <c r="T116" s="61">
        <f t="shared" si="12"/>
        <v>25</v>
      </c>
      <c r="U116" s="61">
        <f t="shared" si="13"/>
        <v>0.312</v>
      </c>
      <c r="V116" s="61">
        <f t="shared" si="14"/>
        <v>1</v>
      </c>
      <c r="W116" s="58" t="s">
        <v>139</v>
      </c>
      <c r="X116" s="58" t="s">
        <v>141</v>
      </c>
      <c r="Y116" s="53" t="s">
        <v>395</v>
      </c>
      <c r="Z116" s="57"/>
      <c r="AA116" s="62">
        <v>5</v>
      </c>
      <c r="AB116" s="62" t="s">
        <v>143</v>
      </c>
      <c r="AC116" s="62">
        <v>1</v>
      </c>
      <c r="AD116" s="62">
        <v>6</v>
      </c>
      <c r="AE116" s="62">
        <v>2</v>
      </c>
      <c r="AF116" s="63"/>
      <c r="AG116" s="64" t="str">
        <f t="shared" si="15"/>
        <v>5BR01L6.2</v>
      </c>
    </row>
    <row r="117" spans="1:33" x14ac:dyDescent="0.25">
      <c r="A117" s="46" t="str">
        <f>IF(ISBLANK(inbound_data[[#This Row],[Receiving Report ref.'#]]),"",IF(inbound_data[[#This Row],[Ending Quantity]]=0,"ZERO","INV"))</f>
        <v>INV</v>
      </c>
      <c r="B117" s="165" t="str">
        <f t="shared" si="9"/>
        <v>00117</v>
      </c>
      <c r="C117" s="165" t="str">
        <f>IF(ISBLANK(D117),"",inbound_data[[#This Row],[Pallet_Series]]&amp;inbound_data[[#This Row],[No.]])</f>
        <v>DUO-00113A/250100117</v>
      </c>
      <c r="D117" s="54">
        <v>46097</v>
      </c>
      <c r="E117" s="55" t="s">
        <v>138</v>
      </c>
      <c r="F117" s="56">
        <v>121165</v>
      </c>
      <c r="G117" s="57" t="s">
        <v>270</v>
      </c>
      <c r="H117" s="53" t="s">
        <v>396</v>
      </c>
      <c r="I117" s="53">
        <v>69470</v>
      </c>
      <c r="J117" s="55" t="s">
        <v>381</v>
      </c>
      <c r="K117" s="58">
        <v>1</v>
      </c>
      <c r="L117" s="59" t="s">
        <v>397</v>
      </c>
      <c r="M117" s="55" t="s">
        <v>134</v>
      </c>
      <c r="N117" s="60">
        <v>46107</v>
      </c>
      <c r="O117" s="60">
        <v>46292</v>
      </c>
      <c r="P117" s="165">
        <f t="shared" ca="1" si="10"/>
        <v>181</v>
      </c>
      <c r="Q117" s="165" t="str">
        <f t="shared" ca="1" si="11"/>
        <v/>
      </c>
      <c r="R117" s="79">
        <v>25</v>
      </c>
      <c r="S117" s="80">
        <v>14.36</v>
      </c>
      <c r="T117" s="61">
        <f t="shared" si="12"/>
        <v>25</v>
      </c>
      <c r="U117" s="61">
        <f t="shared" si="13"/>
        <v>14.36</v>
      </c>
      <c r="V117" s="61">
        <f t="shared" si="14"/>
        <v>1</v>
      </c>
      <c r="W117" s="58" t="s">
        <v>139</v>
      </c>
      <c r="X117" s="58" t="s">
        <v>141</v>
      </c>
      <c r="Y117" s="53" t="s">
        <v>395</v>
      </c>
      <c r="Z117" s="57"/>
      <c r="AA117" s="62">
        <v>5</v>
      </c>
      <c r="AB117" s="62" t="s">
        <v>143</v>
      </c>
      <c r="AC117" s="62">
        <v>4</v>
      </c>
      <c r="AD117" s="62">
        <v>5</v>
      </c>
      <c r="AE117" s="62">
        <v>1</v>
      </c>
      <c r="AF117" s="63"/>
      <c r="AG117" s="64" t="str">
        <f t="shared" si="15"/>
        <v>5BR04L5.1</v>
      </c>
    </row>
    <row r="118" spans="1:33" x14ac:dyDescent="0.25">
      <c r="A118" s="46" t="str">
        <f>IF(ISBLANK(inbound_data[[#This Row],[Receiving Report ref.'#]]),"",IF(inbound_data[[#This Row],[Ending Quantity]]=0,"ZERO","INV"))</f>
        <v>ZERO</v>
      </c>
      <c r="B118" s="165" t="str">
        <f t="shared" si="9"/>
        <v>00118</v>
      </c>
      <c r="C118" s="165" t="str">
        <f>IF(ISBLANK(D118),"",inbound_data[[#This Row],[Pallet_Series]]&amp;inbound_data[[#This Row],[No.]])</f>
        <v>DUO-00110A/494100118</v>
      </c>
      <c r="D118" s="54">
        <v>46097</v>
      </c>
      <c r="E118" s="55" t="s">
        <v>138</v>
      </c>
      <c r="F118" s="56">
        <v>121165</v>
      </c>
      <c r="G118" s="57" t="s">
        <v>270</v>
      </c>
      <c r="H118" s="53" t="s">
        <v>396</v>
      </c>
      <c r="I118" s="53">
        <v>69470</v>
      </c>
      <c r="J118" s="55" t="s">
        <v>382</v>
      </c>
      <c r="K118" s="58">
        <v>1</v>
      </c>
      <c r="L118" s="59" t="s">
        <v>398</v>
      </c>
      <c r="M118" s="55" t="s">
        <v>134</v>
      </c>
      <c r="N118" s="60">
        <v>46107</v>
      </c>
      <c r="O118" s="60">
        <v>46292</v>
      </c>
      <c r="P118" s="165" t="str">
        <f t="shared" ca="1" si="10"/>
        <v/>
      </c>
      <c r="Q118" s="165" t="str">
        <f t="shared" si="11"/>
        <v/>
      </c>
      <c r="R118" s="79">
        <v>25</v>
      </c>
      <c r="S118" s="80">
        <v>0.312</v>
      </c>
      <c r="T118" s="61">
        <f t="shared" si="12"/>
        <v>0</v>
      </c>
      <c r="U118" s="61">
        <f t="shared" si="13"/>
        <v>-203.68799999999999</v>
      </c>
      <c r="V118" s="61">
        <f t="shared" si="14"/>
        <v>0</v>
      </c>
      <c r="W118" s="58" t="s">
        <v>139</v>
      </c>
      <c r="X118" s="58" t="s">
        <v>141</v>
      </c>
      <c r="Y118" s="53" t="s">
        <v>395</v>
      </c>
      <c r="Z118" s="57"/>
      <c r="AA118" s="62">
        <v>5</v>
      </c>
      <c r="AB118" s="62" t="s">
        <v>143</v>
      </c>
      <c r="AC118" s="62">
        <v>1</v>
      </c>
      <c r="AD118" s="62">
        <v>7</v>
      </c>
      <c r="AE118" s="62">
        <v>1</v>
      </c>
      <c r="AF118" s="63"/>
      <c r="AG118" s="64" t="str">
        <f t="shared" si="15"/>
        <v/>
      </c>
    </row>
    <row r="119" spans="1:33" x14ac:dyDescent="0.25">
      <c r="A119" s="46" t="str">
        <f>IF(ISBLANK(inbound_data[[#This Row],[Receiving Report ref.'#]]),"",IF(inbound_data[[#This Row],[Ending Quantity]]=0,"ZERO","INV"))</f>
        <v>INV</v>
      </c>
      <c r="B119" s="165" t="str">
        <f t="shared" si="9"/>
        <v>00119</v>
      </c>
      <c r="C119" s="165" t="str">
        <f>IF(ISBLANK(D119),"",inbound_data[[#This Row],[Pallet_Series]]&amp;inbound_data[[#This Row],[No.]])</f>
        <v>DUO-00108A/4088400119</v>
      </c>
      <c r="D119" s="54">
        <v>46097</v>
      </c>
      <c r="E119" s="55" t="s">
        <v>138</v>
      </c>
      <c r="F119" s="56">
        <v>121165</v>
      </c>
      <c r="G119" s="57" t="s">
        <v>270</v>
      </c>
      <c r="H119" s="53" t="s">
        <v>396</v>
      </c>
      <c r="I119" s="53">
        <v>69470</v>
      </c>
      <c r="J119" s="55" t="s">
        <v>383</v>
      </c>
      <c r="K119" s="58">
        <v>1</v>
      </c>
      <c r="L119" s="59" t="s">
        <v>399</v>
      </c>
      <c r="M119" s="55" t="s">
        <v>134</v>
      </c>
      <c r="N119" s="60">
        <v>46107</v>
      </c>
      <c r="O119" s="60">
        <v>46292</v>
      </c>
      <c r="P119" s="165">
        <f t="shared" ca="1" si="10"/>
        <v>181</v>
      </c>
      <c r="Q119" s="165" t="str">
        <f t="shared" ca="1" si="11"/>
        <v/>
      </c>
      <c r="R119" s="79">
        <v>25</v>
      </c>
      <c r="S119" s="80">
        <v>0.312</v>
      </c>
      <c r="T119" s="61">
        <f t="shared" si="12"/>
        <v>25</v>
      </c>
      <c r="U119" s="61">
        <f t="shared" si="13"/>
        <v>0.312</v>
      </c>
      <c r="V119" s="61">
        <f t="shared" si="14"/>
        <v>1</v>
      </c>
      <c r="W119" s="58" t="s">
        <v>139</v>
      </c>
      <c r="X119" s="58" t="s">
        <v>141</v>
      </c>
      <c r="Y119" s="53" t="s">
        <v>395</v>
      </c>
      <c r="Z119" s="57"/>
      <c r="AA119" s="62">
        <v>5</v>
      </c>
      <c r="AB119" s="62" t="s">
        <v>143</v>
      </c>
      <c r="AC119" s="62">
        <v>1</v>
      </c>
      <c r="AD119" s="62">
        <v>4</v>
      </c>
      <c r="AE119" s="62">
        <v>2</v>
      </c>
      <c r="AF119" s="63"/>
      <c r="AG119" s="64" t="str">
        <f t="shared" si="15"/>
        <v>5BR01L4.2</v>
      </c>
    </row>
    <row r="120" spans="1:33" x14ac:dyDescent="0.25">
      <c r="A120" s="46" t="str">
        <f>IF(ISBLANK(inbound_data[[#This Row],[Receiving Report ref.'#]]),"",IF(inbound_data[[#This Row],[Ending Quantity]]=0,"ZERO","INV"))</f>
        <v>INV</v>
      </c>
      <c r="B120" s="165" t="str">
        <f t="shared" si="9"/>
        <v>00120</v>
      </c>
      <c r="C120" s="165" t="str">
        <f>IF(ISBLANK(D120),"",inbound_data[[#This Row],[Pallet_Series]]&amp;inbound_data[[#This Row],[No.]])</f>
        <v>DUO-00114A/328000120</v>
      </c>
      <c r="D120" s="54">
        <v>46097</v>
      </c>
      <c r="E120" s="55" t="s">
        <v>138</v>
      </c>
      <c r="F120" s="56">
        <v>121165</v>
      </c>
      <c r="G120" s="57" t="s">
        <v>270</v>
      </c>
      <c r="H120" s="53" t="s">
        <v>396</v>
      </c>
      <c r="I120" s="53">
        <v>69470</v>
      </c>
      <c r="J120" s="55" t="s">
        <v>384</v>
      </c>
      <c r="K120" s="58">
        <v>1</v>
      </c>
      <c r="L120" s="59" t="s">
        <v>397</v>
      </c>
      <c r="M120" s="55" t="s">
        <v>134</v>
      </c>
      <c r="N120" s="60">
        <v>46107</v>
      </c>
      <c r="O120" s="60">
        <v>46292</v>
      </c>
      <c r="P120" s="165">
        <f t="shared" ca="1" si="10"/>
        <v>181</v>
      </c>
      <c r="Q120" s="165" t="str">
        <f t="shared" ca="1" si="11"/>
        <v/>
      </c>
      <c r="R120" s="79">
        <v>25</v>
      </c>
      <c r="S120" s="80">
        <v>14.36</v>
      </c>
      <c r="T120" s="61">
        <f t="shared" si="12"/>
        <v>25</v>
      </c>
      <c r="U120" s="61">
        <f t="shared" si="13"/>
        <v>14.36</v>
      </c>
      <c r="V120" s="61">
        <f t="shared" si="14"/>
        <v>1</v>
      </c>
      <c r="W120" s="58" t="s">
        <v>139</v>
      </c>
      <c r="X120" s="58" t="s">
        <v>141</v>
      </c>
      <c r="Y120" s="53" t="s">
        <v>395</v>
      </c>
      <c r="Z120" s="57"/>
      <c r="AA120" s="62">
        <v>5</v>
      </c>
      <c r="AB120" s="62" t="s">
        <v>145</v>
      </c>
      <c r="AC120" s="62">
        <v>5</v>
      </c>
      <c r="AD120" s="62">
        <v>7</v>
      </c>
      <c r="AE120" s="62">
        <v>2</v>
      </c>
      <c r="AF120" s="63"/>
      <c r="AG120" s="64" t="str">
        <f t="shared" si="15"/>
        <v>5AR05L7.2</v>
      </c>
    </row>
    <row r="121" spans="1:33" x14ac:dyDescent="0.25">
      <c r="A121" s="46" t="str">
        <f>IF(ISBLANK(inbound_data[[#This Row],[Receiving Report ref.'#]]),"",IF(inbound_data[[#This Row],[Ending Quantity]]=0,"ZERO","INV"))</f>
        <v>ZERO</v>
      </c>
      <c r="B121" s="165" t="str">
        <f t="shared" si="9"/>
        <v>00121</v>
      </c>
      <c r="C121" s="165" t="str">
        <f>IF(ISBLANK(D121),"",inbound_data[[#This Row],[Pallet_Series]]&amp;inbound_data[[#This Row],[No.]])</f>
        <v>DUO-00106A/145700121</v>
      </c>
      <c r="D121" s="54">
        <v>46097</v>
      </c>
      <c r="E121" s="55" t="s">
        <v>138</v>
      </c>
      <c r="F121" s="56">
        <v>121165</v>
      </c>
      <c r="G121" s="57" t="s">
        <v>270</v>
      </c>
      <c r="H121" s="53" t="s">
        <v>396</v>
      </c>
      <c r="I121" s="53">
        <v>69470</v>
      </c>
      <c r="J121" s="55" t="s">
        <v>385</v>
      </c>
      <c r="K121" s="58">
        <v>1</v>
      </c>
      <c r="L121" s="59" t="s">
        <v>400</v>
      </c>
      <c r="M121" s="55" t="s">
        <v>134</v>
      </c>
      <c r="N121" s="60">
        <v>46107</v>
      </c>
      <c r="O121" s="60">
        <v>46292</v>
      </c>
      <c r="P121" s="165" t="str">
        <f t="shared" ca="1" si="10"/>
        <v/>
      </c>
      <c r="Q121" s="165" t="str">
        <f t="shared" si="11"/>
        <v/>
      </c>
      <c r="R121" s="79">
        <v>25</v>
      </c>
      <c r="S121" s="80">
        <v>0.312</v>
      </c>
      <c r="T121" s="61">
        <f t="shared" si="12"/>
        <v>0</v>
      </c>
      <c r="U121" s="61">
        <f t="shared" si="13"/>
        <v>-203.68799999999999</v>
      </c>
      <c r="V121" s="61">
        <f t="shared" si="14"/>
        <v>0</v>
      </c>
      <c r="W121" s="58" t="s">
        <v>139</v>
      </c>
      <c r="X121" s="58" t="s">
        <v>141</v>
      </c>
      <c r="Y121" s="53" t="s">
        <v>395</v>
      </c>
      <c r="Z121" s="57"/>
      <c r="AA121" s="62">
        <v>5</v>
      </c>
      <c r="AB121" s="62" t="s">
        <v>145</v>
      </c>
      <c r="AC121" s="62">
        <v>4</v>
      </c>
      <c r="AD121" s="62">
        <v>4</v>
      </c>
      <c r="AE121" s="62">
        <v>1</v>
      </c>
      <c r="AF121" s="63"/>
      <c r="AG121" s="64" t="str">
        <f t="shared" si="15"/>
        <v/>
      </c>
    </row>
    <row r="122" spans="1:33" x14ac:dyDescent="0.25">
      <c r="A122" s="46" t="str">
        <f>IF(ISBLANK(inbound_data[[#This Row],[Receiving Report ref.'#]]),"",IF(inbound_data[[#This Row],[Ending Quantity]]=0,"ZERO","INV"))</f>
        <v>INV</v>
      </c>
      <c r="B122" s="165" t="str">
        <f t="shared" si="9"/>
        <v>00122</v>
      </c>
      <c r="C122" s="165" t="str">
        <f>IF(ISBLANK(D122),"",inbound_data[[#This Row],[Pallet_Series]]&amp;inbound_data[[#This Row],[No.]])</f>
        <v>DUO-00107A/483200122</v>
      </c>
      <c r="D122" s="54">
        <v>46097</v>
      </c>
      <c r="E122" s="55" t="s">
        <v>138</v>
      </c>
      <c r="F122" s="56">
        <v>121165</v>
      </c>
      <c r="G122" s="57" t="s">
        <v>270</v>
      </c>
      <c r="H122" s="53" t="s">
        <v>396</v>
      </c>
      <c r="I122" s="53">
        <v>69470</v>
      </c>
      <c r="J122" s="55" t="s">
        <v>386</v>
      </c>
      <c r="K122" s="58">
        <v>1</v>
      </c>
      <c r="L122" s="59" t="s">
        <v>401</v>
      </c>
      <c r="M122" s="55" t="s">
        <v>134</v>
      </c>
      <c r="N122" s="60">
        <v>46107</v>
      </c>
      <c r="O122" s="60">
        <v>46292</v>
      </c>
      <c r="P122" s="165">
        <f t="shared" ca="1" si="10"/>
        <v>181</v>
      </c>
      <c r="Q122" s="165" t="str">
        <f t="shared" ca="1" si="11"/>
        <v/>
      </c>
      <c r="R122" s="79">
        <v>25</v>
      </c>
      <c r="S122" s="80">
        <v>0.312</v>
      </c>
      <c r="T122" s="61">
        <f t="shared" si="12"/>
        <v>25</v>
      </c>
      <c r="U122" s="61">
        <f t="shared" si="13"/>
        <v>0.312</v>
      </c>
      <c r="V122" s="61">
        <f t="shared" si="14"/>
        <v>1</v>
      </c>
      <c r="W122" s="58" t="s">
        <v>139</v>
      </c>
      <c r="X122" s="58" t="s">
        <v>141</v>
      </c>
      <c r="Y122" s="53" t="s">
        <v>395</v>
      </c>
      <c r="Z122" s="57"/>
      <c r="AA122" s="62">
        <v>5</v>
      </c>
      <c r="AB122" s="62" t="s">
        <v>145</v>
      </c>
      <c r="AC122" s="62">
        <v>5</v>
      </c>
      <c r="AD122" s="62">
        <v>7</v>
      </c>
      <c r="AE122" s="62">
        <v>1</v>
      </c>
      <c r="AF122" s="63"/>
      <c r="AG122" s="64" t="str">
        <f t="shared" si="15"/>
        <v>5AR05L7.1</v>
      </c>
    </row>
    <row r="123" spans="1:33" x14ac:dyDescent="0.25">
      <c r="A123" s="46" t="str">
        <f>IF(ISBLANK(inbound_data[[#This Row],[Receiving Report ref.'#]]),"",IF(inbound_data[[#This Row],[Ending Quantity]]=0,"ZERO","INV"))</f>
        <v>INV</v>
      </c>
      <c r="B123" s="165" t="str">
        <f t="shared" si="9"/>
        <v>00123</v>
      </c>
      <c r="C123" s="165" t="str">
        <f>IF(ISBLANK(D123),"",inbound_data[[#This Row],[Pallet_Series]]&amp;inbound_data[[#This Row],[No.]])</f>
        <v>DUO-00112A/126400123</v>
      </c>
      <c r="D123" s="54">
        <v>46097</v>
      </c>
      <c r="E123" s="55" t="s">
        <v>138</v>
      </c>
      <c r="F123" s="56">
        <v>121165</v>
      </c>
      <c r="G123" s="57" t="s">
        <v>270</v>
      </c>
      <c r="H123" s="53" t="s">
        <v>396</v>
      </c>
      <c r="I123" s="53">
        <v>69470</v>
      </c>
      <c r="J123" s="55" t="s">
        <v>387</v>
      </c>
      <c r="K123" s="58">
        <v>1</v>
      </c>
      <c r="L123" s="59" t="s">
        <v>402</v>
      </c>
      <c r="M123" s="55" t="s">
        <v>134</v>
      </c>
      <c r="N123" s="60">
        <v>46107</v>
      </c>
      <c r="O123" s="60">
        <v>46292</v>
      </c>
      <c r="P123" s="165">
        <f t="shared" ca="1" si="10"/>
        <v>181</v>
      </c>
      <c r="Q123" s="165" t="str">
        <f t="shared" ca="1" si="11"/>
        <v/>
      </c>
      <c r="R123" s="79">
        <v>25</v>
      </c>
      <c r="S123" s="80">
        <v>11.8</v>
      </c>
      <c r="T123" s="61">
        <f t="shared" si="12"/>
        <v>25</v>
      </c>
      <c r="U123" s="61">
        <f t="shared" si="13"/>
        <v>11.8</v>
      </c>
      <c r="V123" s="61">
        <f t="shared" si="14"/>
        <v>1</v>
      </c>
      <c r="W123" s="58" t="s">
        <v>139</v>
      </c>
      <c r="X123" s="58" t="s">
        <v>141</v>
      </c>
      <c r="Y123" s="53" t="s">
        <v>395</v>
      </c>
      <c r="Z123" s="57"/>
      <c r="AA123" s="62">
        <v>5</v>
      </c>
      <c r="AB123" s="62" t="s">
        <v>143</v>
      </c>
      <c r="AC123" s="62">
        <v>4</v>
      </c>
      <c r="AD123" s="62">
        <v>5</v>
      </c>
      <c r="AE123" s="62">
        <v>2</v>
      </c>
      <c r="AF123" s="63"/>
      <c r="AG123" s="64" t="str">
        <f t="shared" si="15"/>
        <v>5BR04L5.2</v>
      </c>
    </row>
    <row r="124" spans="1:33" x14ac:dyDescent="0.25">
      <c r="A124" s="46" t="str">
        <f>IF(ISBLANK(inbound_data[[#This Row],[Receiving Report ref.'#]]),"",IF(inbound_data[[#This Row],[Ending Quantity]]=0,"ZERO","INV"))</f>
        <v>INV</v>
      </c>
      <c r="B124" s="165" t="str">
        <f t="shared" si="9"/>
        <v>00124</v>
      </c>
      <c r="C124" s="165" t="str">
        <f>IF(ISBLANK(D124),"",inbound_data[[#This Row],[Pallet_Series]]&amp;inbound_data[[#This Row],[No.]])</f>
        <v>DUO-00117A/436300124</v>
      </c>
      <c r="D124" s="54">
        <v>46097</v>
      </c>
      <c r="E124" s="55" t="s">
        <v>138</v>
      </c>
      <c r="F124" s="56">
        <v>121165</v>
      </c>
      <c r="G124" s="57" t="s">
        <v>270</v>
      </c>
      <c r="H124" s="53" t="s">
        <v>396</v>
      </c>
      <c r="I124" s="53">
        <v>69470</v>
      </c>
      <c r="J124" s="55" t="s">
        <v>388</v>
      </c>
      <c r="K124" s="58">
        <v>1</v>
      </c>
      <c r="L124" s="59" t="s">
        <v>403</v>
      </c>
      <c r="M124" s="55" t="s">
        <v>134</v>
      </c>
      <c r="N124" s="60">
        <v>46107</v>
      </c>
      <c r="O124" s="60">
        <v>46292</v>
      </c>
      <c r="P124" s="165">
        <f t="shared" ca="1" si="10"/>
        <v>181</v>
      </c>
      <c r="Q124" s="165" t="str">
        <f t="shared" ca="1" si="11"/>
        <v/>
      </c>
      <c r="R124" s="79">
        <v>25</v>
      </c>
      <c r="S124" s="80">
        <v>11.84</v>
      </c>
      <c r="T124" s="61">
        <f t="shared" si="12"/>
        <v>25</v>
      </c>
      <c r="U124" s="61">
        <f t="shared" si="13"/>
        <v>11.84</v>
      </c>
      <c r="V124" s="61">
        <f t="shared" si="14"/>
        <v>1</v>
      </c>
      <c r="W124" s="58" t="s">
        <v>139</v>
      </c>
      <c r="X124" s="58" t="s">
        <v>141</v>
      </c>
      <c r="Y124" s="53" t="s">
        <v>395</v>
      </c>
      <c r="Z124" s="57"/>
      <c r="AA124" s="62">
        <v>5</v>
      </c>
      <c r="AB124" s="62" t="s">
        <v>145</v>
      </c>
      <c r="AC124" s="62">
        <v>4</v>
      </c>
      <c r="AD124" s="62">
        <v>5</v>
      </c>
      <c r="AE124" s="62">
        <v>1</v>
      </c>
      <c r="AF124" s="63"/>
      <c r="AG124" s="64" t="str">
        <f t="shared" si="15"/>
        <v>5AR04L5.1</v>
      </c>
    </row>
    <row r="125" spans="1:33" x14ac:dyDescent="0.25">
      <c r="A125" s="46" t="str">
        <f>IF(ISBLANK(inbound_data[[#This Row],[Receiving Report ref.'#]]),"",IF(inbound_data[[#This Row],[Ending Quantity]]=0,"ZERO","INV"))</f>
        <v>INV</v>
      </c>
      <c r="B125" s="165" t="str">
        <f t="shared" si="9"/>
        <v>00125</v>
      </c>
      <c r="C125" s="165" t="str">
        <f>IF(ISBLANK(D125),"",inbound_data[[#This Row],[Pallet_Series]]&amp;inbound_data[[#This Row],[No.]])</f>
        <v>DUO-00118A/390100125</v>
      </c>
      <c r="D125" s="54">
        <v>46097</v>
      </c>
      <c r="E125" s="55" t="s">
        <v>138</v>
      </c>
      <c r="F125" s="56">
        <v>121165</v>
      </c>
      <c r="G125" s="57" t="s">
        <v>270</v>
      </c>
      <c r="H125" s="53" t="s">
        <v>396</v>
      </c>
      <c r="I125" s="53">
        <v>69470</v>
      </c>
      <c r="J125" s="55" t="s">
        <v>389</v>
      </c>
      <c r="K125" s="58">
        <v>1</v>
      </c>
      <c r="L125" s="59" t="s">
        <v>403</v>
      </c>
      <c r="M125" s="55" t="s">
        <v>134</v>
      </c>
      <c r="N125" s="60">
        <v>46107</v>
      </c>
      <c r="O125" s="60">
        <v>46292</v>
      </c>
      <c r="P125" s="165">
        <f t="shared" ca="1" si="10"/>
        <v>181</v>
      </c>
      <c r="Q125" s="165" t="str">
        <f t="shared" ca="1" si="11"/>
        <v/>
      </c>
      <c r="R125" s="79">
        <v>25</v>
      </c>
      <c r="S125" s="80">
        <v>11.84</v>
      </c>
      <c r="T125" s="61">
        <f t="shared" si="12"/>
        <v>25</v>
      </c>
      <c r="U125" s="61">
        <f t="shared" si="13"/>
        <v>11.84</v>
      </c>
      <c r="V125" s="61">
        <f t="shared" si="14"/>
        <v>1</v>
      </c>
      <c r="W125" s="58" t="s">
        <v>139</v>
      </c>
      <c r="X125" s="58" t="s">
        <v>141</v>
      </c>
      <c r="Y125" s="53" t="s">
        <v>395</v>
      </c>
      <c r="Z125" s="57"/>
      <c r="AA125" s="62">
        <v>5</v>
      </c>
      <c r="AB125" s="62" t="s">
        <v>143</v>
      </c>
      <c r="AC125" s="62">
        <v>1</v>
      </c>
      <c r="AD125" s="62">
        <v>5</v>
      </c>
      <c r="AE125" s="62">
        <v>1</v>
      </c>
      <c r="AF125" s="63"/>
      <c r="AG125" s="64" t="str">
        <f t="shared" si="15"/>
        <v>5BR01L5.1</v>
      </c>
    </row>
    <row r="126" spans="1:33" x14ac:dyDescent="0.25">
      <c r="A126" s="46" t="str">
        <f>IF(ISBLANK(inbound_data[[#This Row],[Receiving Report ref.'#]]),"",IF(inbound_data[[#This Row],[Ending Quantity]]=0,"ZERO","INV"))</f>
        <v>INV</v>
      </c>
      <c r="B126" s="165" t="str">
        <f t="shared" si="9"/>
        <v>00126</v>
      </c>
      <c r="C126" s="165" t="str">
        <f>IF(ISBLANK(D126),"",inbound_data[[#This Row],[Pallet_Series]]&amp;inbound_data[[#This Row],[No.]])</f>
        <v>DUO-00115A/4456300126</v>
      </c>
      <c r="D126" s="54">
        <v>46097</v>
      </c>
      <c r="E126" s="55" t="s">
        <v>138</v>
      </c>
      <c r="F126" s="56">
        <v>121165</v>
      </c>
      <c r="G126" s="57" t="s">
        <v>270</v>
      </c>
      <c r="H126" s="53" t="s">
        <v>396</v>
      </c>
      <c r="I126" s="53">
        <v>69470</v>
      </c>
      <c r="J126" s="55" t="s">
        <v>390</v>
      </c>
      <c r="K126" s="58">
        <v>1</v>
      </c>
      <c r="L126" s="59" t="s">
        <v>404</v>
      </c>
      <c r="M126" s="55" t="s">
        <v>134</v>
      </c>
      <c r="N126" s="60">
        <v>46107</v>
      </c>
      <c r="O126" s="60">
        <v>46292</v>
      </c>
      <c r="P126" s="165">
        <f t="shared" ca="1" si="10"/>
        <v>181</v>
      </c>
      <c r="Q126" s="165" t="str">
        <f t="shared" ca="1" si="11"/>
        <v/>
      </c>
      <c r="R126" s="79">
        <v>25</v>
      </c>
      <c r="S126" s="80">
        <v>14.16</v>
      </c>
      <c r="T126" s="61">
        <f t="shared" si="12"/>
        <v>25</v>
      </c>
      <c r="U126" s="61">
        <f t="shared" si="13"/>
        <v>14.16</v>
      </c>
      <c r="V126" s="61">
        <f t="shared" si="14"/>
        <v>1</v>
      </c>
      <c r="W126" s="58" t="s">
        <v>139</v>
      </c>
      <c r="X126" s="58" t="s">
        <v>141</v>
      </c>
      <c r="Y126" s="53" t="s">
        <v>395</v>
      </c>
      <c r="Z126" s="57"/>
      <c r="AA126" s="62">
        <v>5</v>
      </c>
      <c r="AB126" s="62" t="s">
        <v>143</v>
      </c>
      <c r="AC126" s="62">
        <v>1</v>
      </c>
      <c r="AD126" s="62">
        <v>6</v>
      </c>
      <c r="AE126" s="62">
        <v>1</v>
      </c>
      <c r="AF126" s="63"/>
      <c r="AG126" s="64" t="str">
        <f t="shared" si="15"/>
        <v>5BR01L6.1</v>
      </c>
    </row>
    <row r="127" spans="1:33" x14ac:dyDescent="0.25">
      <c r="A127" s="46" t="str">
        <f>IF(ISBLANK(inbound_data[[#This Row],[Receiving Report ref.'#]]),"",IF(inbound_data[[#This Row],[Ending Quantity]]=0,"ZERO","INV"))</f>
        <v>INV</v>
      </c>
      <c r="B127" s="165" t="str">
        <f t="shared" si="9"/>
        <v>00127</v>
      </c>
      <c r="C127" s="165" t="str">
        <f>IF(ISBLANK(D127),"",inbound_data[[#This Row],[Pallet_Series]]&amp;inbound_data[[#This Row],[No.]])</f>
        <v>DUO-00116A/217300127</v>
      </c>
      <c r="D127" s="54">
        <v>46097</v>
      </c>
      <c r="E127" s="55" t="s">
        <v>138</v>
      </c>
      <c r="F127" s="56">
        <v>121165</v>
      </c>
      <c r="G127" s="57" t="s">
        <v>270</v>
      </c>
      <c r="H127" s="53" t="s">
        <v>396</v>
      </c>
      <c r="I127" s="53">
        <v>69470</v>
      </c>
      <c r="J127" s="55" t="s">
        <v>391</v>
      </c>
      <c r="K127" s="58">
        <v>1</v>
      </c>
      <c r="L127" s="59" t="s">
        <v>404</v>
      </c>
      <c r="M127" s="55" t="s">
        <v>134</v>
      </c>
      <c r="N127" s="60">
        <v>46107</v>
      </c>
      <c r="O127" s="60">
        <v>46292</v>
      </c>
      <c r="P127" s="165">
        <f t="shared" ca="1" si="10"/>
        <v>181</v>
      </c>
      <c r="Q127" s="165" t="str">
        <f t="shared" ca="1" si="11"/>
        <v/>
      </c>
      <c r="R127" s="79">
        <v>25</v>
      </c>
      <c r="S127" s="80">
        <v>14.16</v>
      </c>
      <c r="T127" s="61">
        <f t="shared" si="12"/>
        <v>25</v>
      </c>
      <c r="U127" s="61">
        <f t="shared" si="13"/>
        <v>14.16</v>
      </c>
      <c r="V127" s="61">
        <f t="shared" si="14"/>
        <v>1</v>
      </c>
      <c r="W127" s="58" t="s">
        <v>139</v>
      </c>
      <c r="X127" s="58" t="s">
        <v>141</v>
      </c>
      <c r="Y127" s="53" t="s">
        <v>395</v>
      </c>
      <c r="Z127" s="57"/>
      <c r="AA127" s="62">
        <v>5</v>
      </c>
      <c r="AB127" s="62" t="s">
        <v>145</v>
      </c>
      <c r="AC127" s="62">
        <v>4</v>
      </c>
      <c r="AD127" s="62">
        <v>5</v>
      </c>
      <c r="AE127" s="62">
        <v>2</v>
      </c>
      <c r="AF127" s="63"/>
      <c r="AG127" s="64" t="str">
        <f t="shared" si="15"/>
        <v>5AR04L5.2</v>
      </c>
    </row>
    <row r="128" spans="1:33" x14ac:dyDescent="0.25">
      <c r="A128" s="46" t="str">
        <f>IF(ISBLANK(inbound_data[[#This Row],[Receiving Report ref.'#]]),"",IF(inbound_data[[#This Row],[Ending Quantity]]=0,"ZERO","INV"))</f>
        <v>INV</v>
      </c>
      <c r="B128" s="165" t="str">
        <f t="shared" si="9"/>
        <v>00128</v>
      </c>
      <c r="C128" s="165" t="str">
        <f>IF(ISBLANK(D128),"",inbound_data[[#This Row],[Pallet_Series]]&amp;inbound_data[[#This Row],[No.]])</f>
        <v>DUO-00111AB/485300128</v>
      </c>
      <c r="D128" s="54">
        <v>46098</v>
      </c>
      <c r="E128" s="55" t="s">
        <v>138</v>
      </c>
      <c r="F128" s="56">
        <v>121180</v>
      </c>
      <c r="G128" s="57" t="s">
        <v>134</v>
      </c>
      <c r="H128" s="53" t="s">
        <v>396</v>
      </c>
      <c r="I128" s="53">
        <v>96470</v>
      </c>
      <c r="J128" s="55" t="s">
        <v>405</v>
      </c>
      <c r="K128" s="58">
        <v>1</v>
      </c>
      <c r="L128" s="59" t="s">
        <v>402</v>
      </c>
      <c r="M128" s="55" t="s">
        <v>134</v>
      </c>
      <c r="N128" s="60">
        <v>46082</v>
      </c>
      <c r="O128" s="60">
        <v>46631</v>
      </c>
      <c r="P128" s="165">
        <f t="shared" ca="1" si="10"/>
        <v>520</v>
      </c>
      <c r="Q128" s="165" t="str">
        <f t="shared" ca="1" si="11"/>
        <v/>
      </c>
      <c r="R128" s="79">
        <v>25</v>
      </c>
      <c r="S128" s="80">
        <v>11.8</v>
      </c>
      <c r="T128" s="61">
        <f t="shared" si="12"/>
        <v>25</v>
      </c>
      <c r="U128" s="61">
        <f t="shared" si="13"/>
        <v>11.8</v>
      </c>
      <c r="V128" s="61">
        <f t="shared" si="14"/>
        <v>1</v>
      </c>
      <c r="W128" s="58" t="s">
        <v>139</v>
      </c>
      <c r="X128" s="58" t="s">
        <v>141</v>
      </c>
      <c r="Y128" s="53" t="s">
        <v>395</v>
      </c>
      <c r="Z128" s="57"/>
      <c r="AA128" s="62"/>
      <c r="AB128" s="62"/>
      <c r="AC128" s="62"/>
      <c r="AD128" s="62"/>
      <c r="AE128" s="62"/>
      <c r="AF128" s="63"/>
      <c r="AG128" s="64" t="str">
        <f t="shared" si="15"/>
        <v>R00L0.0</v>
      </c>
    </row>
    <row r="129" spans="1:33" x14ac:dyDescent="0.25">
      <c r="A129" s="46" t="str">
        <f>IF(ISBLANK(inbound_data[[#This Row],[Receiving Report ref.'#]]),"",IF(inbound_data[[#This Row],[Ending Quantity]]=0,"ZERO","INV"))</f>
        <v>INV</v>
      </c>
      <c r="B129" s="165" t="str">
        <f t="shared" si="9"/>
        <v>00129</v>
      </c>
      <c r="C129" s="165" t="str">
        <f>IF(ISBLANK(D129),"",inbound_data[[#This Row],[Pallet_Series]]&amp;inbound_data[[#This Row],[No.]])</f>
        <v>DUO-00105AB/81700129</v>
      </c>
      <c r="D129" s="54">
        <v>46098</v>
      </c>
      <c r="E129" s="55" t="s">
        <v>138</v>
      </c>
      <c r="F129" s="56">
        <v>121180</v>
      </c>
      <c r="G129" s="57" t="s">
        <v>134</v>
      </c>
      <c r="H129" s="53" t="s">
        <v>396</v>
      </c>
      <c r="I129" s="53">
        <v>96470</v>
      </c>
      <c r="J129" s="55" t="s">
        <v>406</v>
      </c>
      <c r="K129" s="58">
        <v>1</v>
      </c>
      <c r="L129" s="59" t="s">
        <v>400</v>
      </c>
      <c r="M129" s="55" t="s">
        <v>134</v>
      </c>
      <c r="N129" s="60">
        <v>46082</v>
      </c>
      <c r="O129" s="60">
        <v>46631</v>
      </c>
      <c r="P129" s="165">
        <f t="shared" ca="1" si="10"/>
        <v>520</v>
      </c>
      <c r="Q129" s="165" t="str">
        <f t="shared" ca="1" si="11"/>
        <v/>
      </c>
      <c r="R129" s="79">
        <v>25</v>
      </c>
      <c r="S129" s="80">
        <v>8.14</v>
      </c>
      <c r="T129" s="61">
        <f t="shared" si="12"/>
        <v>25</v>
      </c>
      <c r="U129" s="61">
        <f t="shared" si="13"/>
        <v>8.14</v>
      </c>
      <c r="V129" s="61">
        <f t="shared" si="14"/>
        <v>1</v>
      </c>
      <c r="W129" s="58" t="s">
        <v>139</v>
      </c>
      <c r="X129" s="58" t="s">
        <v>141</v>
      </c>
      <c r="Y129" s="53" t="s">
        <v>395</v>
      </c>
      <c r="Z129" s="57"/>
      <c r="AA129" s="62"/>
      <c r="AB129" s="62"/>
      <c r="AC129" s="62"/>
      <c r="AD129" s="62"/>
      <c r="AE129" s="62"/>
      <c r="AF129" s="63"/>
      <c r="AG129" s="64" t="str">
        <f t="shared" si="15"/>
        <v>R00L0.0</v>
      </c>
    </row>
    <row r="130" spans="1:33" x14ac:dyDescent="0.25">
      <c r="A130" s="46" t="str">
        <f>IF(ISBLANK(inbound_data[[#This Row],[Receiving Report ref.'#]]),"",IF(inbound_data[[#This Row],[Ending Quantity]]=0,"ZERO","INV"))</f>
        <v>INV</v>
      </c>
      <c r="B130" s="165" t="str">
        <f t="shared" si="9"/>
        <v>00130</v>
      </c>
      <c r="C130" s="165" t="str">
        <f>IF(ISBLANK(D130),"",inbound_data[[#This Row],[Pallet_Series]]&amp;inbound_data[[#This Row],[No.]])</f>
        <v>DUO-00109AB/525000130</v>
      </c>
      <c r="D130" s="54">
        <v>46098</v>
      </c>
      <c r="E130" s="55" t="s">
        <v>138</v>
      </c>
      <c r="F130" s="56">
        <v>121180</v>
      </c>
      <c r="G130" s="57" t="s">
        <v>134</v>
      </c>
      <c r="H130" s="53" t="s">
        <v>396</v>
      </c>
      <c r="I130" s="53">
        <v>96470</v>
      </c>
      <c r="J130" s="55" t="s">
        <v>407</v>
      </c>
      <c r="K130" s="58">
        <v>1</v>
      </c>
      <c r="L130" s="59" t="s">
        <v>398</v>
      </c>
      <c r="M130" s="55" t="s">
        <v>134</v>
      </c>
      <c r="N130" s="60">
        <v>46082</v>
      </c>
      <c r="O130" s="60">
        <v>46631</v>
      </c>
      <c r="P130" s="165">
        <f t="shared" ca="1" si="10"/>
        <v>520</v>
      </c>
      <c r="Q130" s="165" t="str">
        <f t="shared" ca="1" si="11"/>
        <v/>
      </c>
      <c r="R130" s="79">
        <v>25</v>
      </c>
      <c r="S130" s="80">
        <v>8.0399999999999991</v>
      </c>
      <c r="T130" s="61">
        <f t="shared" si="12"/>
        <v>25</v>
      </c>
      <c r="U130" s="61">
        <f t="shared" si="13"/>
        <v>8.0399999999999991</v>
      </c>
      <c r="V130" s="61">
        <f t="shared" si="14"/>
        <v>1</v>
      </c>
      <c r="W130" s="58" t="s">
        <v>139</v>
      </c>
      <c r="X130" s="58" t="s">
        <v>141</v>
      </c>
      <c r="Y130" s="53" t="s">
        <v>395</v>
      </c>
      <c r="Z130" s="57"/>
      <c r="AA130" s="62"/>
      <c r="AB130" s="62"/>
      <c r="AC130" s="62"/>
      <c r="AD130" s="62"/>
      <c r="AE130" s="62"/>
      <c r="AF130" s="63"/>
      <c r="AG130" s="64" t="str">
        <f t="shared" si="15"/>
        <v>R00L0.0</v>
      </c>
    </row>
    <row r="131" spans="1:33" x14ac:dyDescent="0.25">
      <c r="A131" s="46" t="str">
        <f>IF(ISBLANK(inbound_data[[#This Row],[Receiving Report ref.'#]]),"",IF(inbound_data[[#This Row],[Ending Quantity]]=0,"ZERO","INV"))</f>
        <v>INV</v>
      </c>
      <c r="B131" s="165" t="str">
        <f t="shared" si="9"/>
        <v>00131</v>
      </c>
      <c r="C131" s="165" t="str">
        <f>IF(ISBLANK(D131),"",inbound_data[[#This Row],[Pallet_Series]]&amp;inbound_data[[#This Row],[No.]])</f>
        <v>DUO-00113AB/250100131</v>
      </c>
      <c r="D131" s="54">
        <v>46098</v>
      </c>
      <c r="E131" s="55" t="s">
        <v>138</v>
      </c>
      <c r="F131" s="56">
        <v>121180</v>
      </c>
      <c r="G131" s="57" t="s">
        <v>134</v>
      </c>
      <c r="H131" s="53" t="s">
        <v>396</v>
      </c>
      <c r="I131" s="53">
        <v>96470</v>
      </c>
      <c r="J131" s="55" t="s">
        <v>408</v>
      </c>
      <c r="K131" s="58">
        <v>1</v>
      </c>
      <c r="L131" s="59" t="s">
        <v>397</v>
      </c>
      <c r="M131" s="55" t="s">
        <v>134</v>
      </c>
      <c r="N131" s="60">
        <v>46082</v>
      </c>
      <c r="O131" s="60">
        <v>46631</v>
      </c>
      <c r="P131" s="165">
        <f t="shared" ca="1" si="10"/>
        <v>520</v>
      </c>
      <c r="Q131" s="165" t="str">
        <f t="shared" ca="1" si="11"/>
        <v/>
      </c>
      <c r="R131" s="79">
        <v>25</v>
      </c>
      <c r="S131" s="80">
        <v>14.36</v>
      </c>
      <c r="T131" s="61">
        <f t="shared" si="12"/>
        <v>25</v>
      </c>
      <c r="U131" s="61">
        <f t="shared" si="13"/>
        <v>14.36</v>
      </c>
      <c r="V131" s="61">
        <f t="shared" si="14"/>
        <v>1</v>
      </c>
      <c r="W131" s="58" t="s">
        <v>139</v>
      </c>
      <c r="X131" s="58" t="s">
        <v>141</v>
      </c>
      <c r="Y131" s="53" t="s">
        <v>395</v>
      </c>
      <c r="Z131" s="57"/>
      <c r="AA131" s="62"/>
      <c r="AB131" s="62"/>
      <c r="AC131" s="62"/>
      <c r="AD131" s="62"/>
      <c r="AE131" s="62"/>
      <c r="AF131" s="63"/>
      <c r="AG131" s="64" t="str">
        <f t="shared" si="15"/>
        <v>R00L0.0</v>
      </c>
    </row>
    <row r="132" spans="1:33" x14ac:dyDescent="0.25">
      <c r="A132" s="46" t="str">
        <f>IF(ISBLANK(inbound_data[[#This Row],[Receiving Report ref.'#]]),"",IF(inbound_data[[#This Row],[Ending Quantity]]=0,"ZERO","INV"))</f>
        <v>INV</v>
      </c>
      <c r="B132" s="165" t="str">
        <f t="shared" si="9"/>
        <v>00132</v>
      </c>
      <c r="C132" s="165" t="str">
        <f>IF(ISBLANK(D132),"",inbound_data[[#This Row],[Pallet_Series]]&amp;inbound_data[[#This Row],[No.]])</f>
        <v>DUO-00110AB/494100132</v>
      </c>
      <c r="D132" s="54">
        <v>46098</v>
      </c>
      <c r="E132" s="55" t="s">
        <v>138</v>
      </c>
      <c r="F132" s="56">
        <v>121180</v>
      </c>
      <c r="G132" s="57" t="s">
        <v>134</v>
      </c>
      <c r="H132" s="53" t="s">
        <v>396</v>
      </c>
      <c r="I132" s="53">
        <v>96470</v>
      </c>
      <c r="J132" s="55" t="s">
        <v>409</v>
      </c>
      <c r="K132" s="58">
        <v>1</v>
      </c>
      <c r="L132" s="59" t="s">
        <v>398</v>
      </c>
      <c r="M132" s="55" t="s">
        <v>134</v>
      </c>
      <c r="N132" s="60">
        <v>46082</v>
      </c>
      <c r="O132" s="60">
        <v>46631</v>
      </c>
      <c r="P132" s="165">
        <f t="shared" ca="1" si="10"/>
        <v>520</v>
      </c>
      <c r="Q132" s="165" t="str">
        <f t="shared" ca="1" si="11"/>
        <v/>
      </c>
      <c r="R132" s="79">
        <v>25</v>
      </c>
      <c r="S132" s="80">
        <v>8.0399999999999991</v>
      </c>
      <c r="T132" s="61">
        <f t="shared" si="12"/>
        <v>25</v>
      </c>
      <c r="U132" s="61">
        <f t="shared" si="13"/>
        <v>8.0399999999999991</v>
      </c>
      <c r="V132" s="61">
        <f t="shared" si="14"/>
        <v>1</v>
      </c>
      <c r="W132" s="58" t="s">
        <v>139</v>
      </c>
      <c r="X132" s="58" t="s">
        <v>141</v>
      </c>
      <c r="Y132" s="53" t="s">
        <v>395</v>
      </c>
      <c r="Z132" s="57"/>
      <c r="AA132" s="62"/>
      <c r="AB132" s="62"/>
      <c r="AC132" s="62"/>
      <c r="AD132" s="62"/>
      <c r="AE132" s="62"/>
      <c r="AF132" s="63"/>
      <c r="AG132" s="64" t="str">
        <f t="shared" si="15"/>
        <v>R00L0.0</v>
      </c>
    </row>
    <row r="133" spans="1:33" x14ac:dyDescent="0.25">
      <c r="A133" s="46" t="str">
        <f>IF(ISBLANK(inbound_data[[#This Row],[Receiving Report ref.'#]]),"",IF(inbound_data[[#This Row],[Ending Quantity]]=0,"ZERO","INV"))</f>
        <v>INV</v>
      </c>
      <c r="B133" s="165" t="str">
        <f t="shared" si="9"/>
        <v>00133</v>
      </c>
      <c r="C133" s="165" t="str">
        <f>IF(ISBLANK(D133),"",inbound_data[[#This Row],[Pallet_Series]]&amp;inbound_data[[#This Row],[No.]])</f>
        <v>DUO-00108AB/4088400133</v>
      </c>
      <c r="D133" s="54">
        <v>46098</v>
      </c>
      <c r="E133" s="55" t="s">
        <v>138</v>
      </c>
      <c r="F133" s="56">
        <v>121180</v>
      </c>
      <c r="G133" s="57" t="s">
        <v>134</v>
      </c>
      <c r="H133" s="53" t="s">
        <v>396</v>
      </c>
      <c r="I133" s="53">
        <v>96470</v>
      </c>
      <c r="J133" s="55" t="s">
        <v>410</v>
      </c>
      <c r="K133" s="58">
        <v>1</v>
      </c>
      <c r="L133" s="59" t="s">
        <v>401</v>
      </c>
      <c r="M133" s="55" t="s">
        <v>134</v>
      </c>
      <c r="N133" s="60">
        <v>46082</v>
      </c>
      <c r="O133" s="60">
        <v>46631</v>
      </c>
      <c r="P133" s="165">
        <f t="shared" ca="1" si="10"/>
        <v>520</v>
      </c>
      <c r="Q133" s="165" t="str">
        <f t="shared" ca="1" si="11"/>
        <v/>
      </c>
      <c r="R133" s="79">
        <v>25</v>
      </c>
      <c r="S133" s="80">
        <v>8.34</v>
      </c>
      <c r="T133" s="61">
        <f t="shared" si="12"/>
        <v>25</v>
      </c>
      <c r="U133" s="61">
        <f t="shared" si="13"/>
        <v>8.34</v>
      </c>
      <c r="V133" s="61">
        <f t="shared" si="14"/>
        <v>1</v>
      </c>
      <c r="W133" s="58" t="s">
        <v>139</v>
      </c>
      <c r="X133" s="58" t="s">
        <v>141</v>
      </c>
      <c r="Y133" s="53" t="s">
        <v>395</v>
      </c>
      <c r="Z133" s="57"/>
      <c r="AA133" s="62"/>
      <c r="AB133" s="62"/>
      <c r="AC133" s="62"/>
      <c r="AD133" s="62"/>
      <c r="AE133" s="62"/>
      <c r="AF133" s="63"/>
      <c r="AG133" s="64" t="str">
        <f t="shared" si="15"/>
        <v>R00L0.0</v>
      </c>
    </row>
    <row r="134" spans="1:33" x14ac:dyDescent="0.25">
      <c r="A134" s="46" t="str">
        <f>IF(ISBLANK(inbound_data[[#This Row],[Receiving Report ref.'#]]),"",IF(inbound_data[[#This Row],[Ending Quantity]]=0,"ZERO","INV"))</f>
        <v>INV</v>
      </c>
      <c r="B134" s="165" t="str">
        <f t="shared" si="9"/>
        <v>00134</v>
      </c>
      <c r="C134" s="165" t="str">
        <f>IF(ISBLANK(D134),"",inbound_data[[#This Row],[Pallet_Series]]&amp;inbound_data[[#This Row],[No.]])</f>
        <v>DUO-00114AB/328000134</v>
      </c>
      <c r="D134" s="54">
        <v>46098</v>
      </c>
      <c r="E134" s="55" t="s">
        <v>138</v>
      </c>
      <c r="F134" s="56">
        <v>121180</v>
      </c>
      <c r="G134" s="57" t="s">
        <v>134</v>
      </c>
      <c r="H134" s="53" t="s">
        <v>396</v>
      </c>
      <c r="I134" s="53">
        <v>96470</v>
      </c>
      <c r="J134" s="55" t="s">
        <v>411</v>
      </c>
      <c r="K134" s="58">
        <v>1</v>
      </c>
      <c r="L134" s="59" t="s">
        <v>397</v>
      </c>
      <c r="M134" s="55" t="s">
        <v>134</v>
      </c>
      <c r="N134" s="60">
        <v>46082</v>
      </c>
      <c r="O134" s="60">
        <v>46631</v>
      </c>
      <c r="P134" s="165">
        <f t="shared" ca="1" si="10"/>
        <v>520</v>
      </c>
      <c r="Q134" s="165" t="str">
        <f t="shared" ca="1" si="11"/>
        <v/>
      </c>
      <c r="R134" s="79">
        <v>25</v>
      </c>
      <c r="S134" s="80">
        <v>14.36</v>
      </c>
      <c r="T134" s="61">
        <f t="shared" si="12"/>
        <v>25</v>
      </c>
      <c r="U134" s="61">
        <f t="shared" si="13"/>
        <v>14.36</v>
      </c>
      <c r="V134" s="61">
        <f t="shared" si="14"/>
        <v>1</v>
      </c>
      <c r="W134" s="58" t="s">
        <v>139</v>
      </c>
      <c r="X134" s="58" t="s">
        <v>141</v>
      </c>
      <c r="Y134" s="53" t="s">
        <v>395</v>
      </c>
      <c r="Z134" s="57"/>
      <c r="AA134" s="62"/>
      <c r="AB134" s="62"/>
      <c r="AC134" s="62"/>
      <c r="AD134" s="62"/>
      <c r="AE134" s="62"/>
      <c r="AF134" s="63"/>
      <c r="AG134" s="64" t="str">
        <f t="shared" si="15"/>
        <v>R00L0.0</v>
      </c>
    </row>
    <row r="135" spans="1:33" x14ac:dyDescent="0.25">
      <c r="A135" s="46" t="str">
        <f>IF(ISBLANK(inbound_data[[#This Row],[Receiving Report ref.'#]]),"",IF(inbound_data[[#This Row],[Ending Quantity]]=0,"ZERO","INV"))</f>
        <v>INV</v>
      </c>
      <c r="B135" s="165" t="str">
        <f t="shared" si="9"/>
        <v>00135</v>
      </c>
      <c r="C135" s="165" t="str">
        <f>IF(ISBLANK(D135),"",inbound_data[[#This Row],[Pallet_Series]]&amp;inbound_data[[#This Row],[No.]])</f>
        <v>DUO-00106AB/145700135</v>
      </c>
      <c r="D135" s="54">
        <v>46098</v>
      </c>
      <c r="E135" s="55" t="s">
        <v>138</v>
      </c>
      <c r="F135" s="56">
        <v>121180</v>
      </c>
      <c r="G135" s="57" t="s">
        <v>134</v>
      </c>
      <c r="H135" s="53" t="s">
        <v>396</v>
      </c>
      <c r="I135" s="53">
        <v>96470</v>
      </c>
      <c r="J135" s="55" t="s">
        <v>412</v>
      </c>
      <c r="K135" s="58">
        <v>1</v>
      </c>
      <c r="L135" s="59" t="s">
        <v>400</v>
      </c>
      <c r="M135" s="55" t="s">
        <v>134</v>
      </c>
      <c r="N135" s="60">
        <v>46082</v>
      </c>
      <c r="O135" s="60">
        <v>46631</v>
      </c>
      <c r="P135" s="165">
        <f t="shared" ca="1" si="10"/>
        <v>520</v>
      </c>
      <c r="Q135" s="165" t="str">
        <f t="shared" ca="1" si="11"/>
        <v/>
      </c>
      <c r="R135" s="79">
        <v>25</v>
      </c>
      <c r="S135" s="80">
        <v>8.14</v>
      </c>
      <c r="T135" s="61">
        <f t="shared" si="12"/>
        <v>25</v>
      </c>
      <c r="U135" s="61">
        <f t="shared" si="13"/>
        <v>8.14</v>
      </c>
      <c r="V135" s="61">
        <f t="shared" si="14"/>
        <v>1</v>
      </c>
      <c r="W135" s="58" t="s">
        <v>139</v>
      </c>
      <c r="X135" s="58" t="s">
        <v>141</v>
      </c>
      <c r="Y135" s="53" t="s">
        <v>395</v>
      </c>
      <c r="Z135" s="57"/>
      <c r="AA135" s="62"/>
      <c r="AB135" s="62"/>
      <c r="AC135" s="62"/>
      <c r="AD135" s="62"/>
      <c r="AE135" s="62"/>
      <c r="AF135" s="63"/>
      <c r="AG135" s="64" t="str">
        <f t="shared" si="15"/>
        <v>R00L0.0</v>
      </c>
    </row>
    <row r="136" spans="1:33" x14ac:dyDescent="0.25">
      <c r="A136" s="46" t="str">
        <f>IF(ISBLANK(inbound_data[[#This Row],[Receiving Report ref.'#]]),"",IF(inbound_data[[#This Row],[Ending Quantity]]=0,"ZERO","INV"))</f>
        <v>INV</v>
      </c>
      <c r="B136" s="165" t="str">
        <f t="shared" si="9"/>
        <v>00136</v>
      </c>
      <c r="C136" s="165" t="str">
        <f>IF(ISBLANK(D136),"",inbound_data[[#This Row],[Pallet_Series]]&amp;inbound_data[[#This Row],[No.]])</f>
        <v>DUO-00107AB/483200136</v>
      </c>
      <c r="D136" s="54">
        <v>46098</v>
      </c>
      <c r="E136" s="55" t="s">
        <v>138</v>
      </c>
      <c r="F136" s="56">
        <v>121180</v>
      </c>
      <c r="G136" s="57" t="s">
        <v>134</v>
      </c>
      <c r="H136" s="53" t="s">
        <v>396</v>
      </c>
      <c r="I136" s="53">
        <v>96470</v>
      </c>
      <c r="J136" s="55" t="s">
        <v>413</v>
      </c>
      <c r="K136" s="58">
        <v>1</v>
      </c>
      <c r="L136" s="59" t="s">
        <v>401</v>
      </c>
      <c r="M136" s="55" t="s">
        <v>134</v>
      </c>
      <c r="N136" s="60">
        <v>46082</v>
      </c>
      <c r="O136" s="60">
        <v>46631</v>
      </c>
      <c r="P136" s="165">
        <f t="shared" ca="1" si="10"/>
        <v>520</v>
      </c>
      <c r="Q136" s="165" t="str">
        <f t="shared" ca="1" si="11"/>
        <v/>
      </c>
      <c r="R136" s="79">
        <v>25</v>
      </c>
      <c r="S136" s="80">
        <v>8.34</v>
      </c>
      <c r="T136" s="61">
        <f t="shared" si="12"/>
        <v>25</v>
      </c>
      <c r="U136" s="61">
        <f t="shared" si="13"/>
        <v>8.34</v>
      </c>
      <c r="V136" s="61">
        <f t="shared" si="14"/>
        <v>1</v>
      </c>
      <c r="W136" s="58" t="s">
        <v>139</v>
      </c>
      <c r="X136" s="58" t="s">
        <v>141</v>
      </c>
      <c r="Y136" s="53" t="s">
        <v>395</v>
      </c>
      <c r="Z136" s="57"/>
      <c r="AA136" s="62"/>
      <c r="AB136" s="62"/>
      <c r="AC136" s="62"/>
      <c r="AD136" s="62"/>
      <c r="AE136" s="62"/>
      <c r="AF136" s="63"/>
      <c r="AG136" s="64" t="str">
        <f t="shared" si="15"/>
        <v>R00L0.0</v>
      </c>
    </row>
    <row r="137" spans="1:33" x14ac:dyDescent="0.25">
      <c r="A137" s="46" t="str">
        <f>IF(ISBLANK(inbound_data[[#This Row],[Receiving Report ref.'#]]),"",IF(inbound_data[[#This Row],[Ending Quantity]]=0,"ZERO","INV"))</f>
        <v>INV</v>
      </c>
      <c r="B137" s="165" t="str">
        <f t="shared" ref="B137:B200" si="19">IF(ISBLANK(D137),"",TEXT(ROW(),"00000"))</f>
        <v>00137</v>
      </c>
      <c r="C137" s="165" t="str">
        <f>IF(ISBLANK(D137),"",inbound_data[[#This Row],[Pallet_Series]]&amp;inbound_data[[#This Row],[No.]])</f>
        <v>DUO-00112AB/126400137</v>
      </c>
      <c r="D137" s="54">
        <v>46098</v>
      </c>
      <c r="E137" s="55" t="s">
        <v>138</v>
      </c>
      <c r="F137" s="56">
        <v>121180</v>
      </c>
      <c r="G137" s="57" t="s">
        <v>134</v>
      </c>
      <c r="H137" s="53" t="s">
        <v>396</v>
      </c>
      <c r="I137" s="53">
        <v>96470</v>
      </c>
      <c r="J137" s="55" t="s">
        <v>414</v>
      </c>
      <c r="K137" s="58">
        <v>1</v>
      </c>
      <c r="L137" s="59" t="s">
        <v>402</v>
      </c>
      <c r="M137" s="55" t="s">
        <v>134</v>
      </c>
      <c r="N137" s="60">
        <v>46082</v>
      </c>
      <c r="O137" s="60">
        <v>46631</v>
      </c>
      <c r="P137" s="165">
        <f t="shared" ref="P137:P200" ca="1" si="20">IF(A137="ZERO","",IF(O137="","",O137-TODAY()))</f>
        <v>520</v>
      </c>
      <c r="Q137" s="165" t="str">
        <f t="shared" ref="Q137:Q200" ca="1" si="21">IF(A137="ZERO","",IF(P137&lt;0,"ALREADY EXPIRED",IF(P137&lt;60,"NEARLY EXPIRED","")))</f>
        <v/>
      </c>
      <c r="R137" s="79">
        <v>25</v>
      </c>
      <c r="S137" s="80">
        <v>11.8</v>
      </c>
      <c r="T137" s="61">
        <f t="shared" ref="T137:T200" si="22">IF(ISBLANK(R137),0,R137-SUMIF(STOCK_CODE_OUT,$C137,QTY_OUT))</f>
        <v>25</v>
      </c>
      <c r="U137" s="61">
        <f t="shared" ref="U137:U200" si="23">IF(ISBLANK(S137),0,S137-SUMIF(STOCK_CODE_OUT,$C137,KILOS_OUT))</f>
        <v>11.8</v>
      </c>
      <c r="V137" s="61">
        <f t="shared" ref="V137:V200" si="24">IF(ISBLANK(K137),0,K137-SUMIF(STOCK_CODE_OUT,$C137,PALLET_OUT))</f>
        <v>1</v>
      </c>
      <c r="W137" s="58" t="s">
        <v>139</v>
      </c>
      <c r="X137" s="58" t="s">
        <v>141</v>
      </c>
      <c r="Y137" s="53" t="s">
        <v>395</v>
      </c>
      <c r="Z137" s="57"/>
      <c r="AA137" s="62"/>
      <c r="AB137" s="62"/>
      <c r="AC137" s="62"/>
      <c r="AD137" s="62"/>
      <c r="AE137" s="62"/>
      <c r="AF137" s="63"/>
      <c r="AG137" s="64" t="str">
        <f t="shared" ref="AG137:AG200" si="25">IF(T137&gt;0,CONCATENATE(AA137,AB137,TEXT(AC137,"R00"),TEXT(AD137,"L0."),TEXT(AE137,"0")),"")</f>
        <v>R00L0.0</v>
      </c>
    </row>
    <row r="138" spans="1:33" x14ac:dyDescent="0.25">
      <c r="A138" s="46" t="str">
        <f>IF(ISBLANK(inbound_data[[#This Row],[Receiving Report ref.'#]]),"",IF(inbound_data[[#This Row],[Ending Quantity]]=0,"ZERO","INV"))</f>
        <v>INV</v>
      </c>
      <c r="B138" s="165" t="str">
        <f t="shared" si="19"/>
        <v>00138</v>
      </c>
      <c r="C138" s="165" t="str">
        <f>IF(ISBLANK(D138),"",inbound_data[[#This Row],[Pallet_Series]]&amp;inbound_data[[#This Row],[No.]])</f>
        <v>DUO-00117AB/436300138</v>
      </c>
      <c r="D138" s="54">
        <v>46098</v>
      </c>
      <c r="E138" s="55" t="s">
        <v>138</v>
      </c>
      <c r="F138" s="56">
        <v>121180</v>
      </c>
      <c r="G138" s="57" t="s">
        <v>134</v>
      </c>
      <c r="H138" s="53" t="s">
        <v>396</v>
      </c>
      <c r="I138" s="53">
        <v>96470</v>
      </c>
      <c r="J138" s="55" t="s">
        <v>415</v>
      </c>
      <c r="K138" s="58">
        <v>1</v>
      </c>
      <c r="L138" s="59" t="s">
        <v>403</v>
      </c>
      <c r="M138" s="55" t="s">
        <v>134</v>
      </c>
      <c r="N138" s="60">
        <v>46082</v>
      </c>
      <c r="O138" s="60">
        <v>46631</v>
      </c>
      <c r="P138" s="165">
        <f t="shared" ca="1" si="20"/>
        <v>520</v>
      </c>
      <c r="Q138" s="165" t="str">
        <f t="shared" ca="1" si="21"/>
        <v/>
      </c>
      <c r="R138" s="79">
        <v>25</v>
      </c>
      <c r="S138" s="80">
        <v>11.84</v>
      </c>
      <c r="T138" s="61">
        <f t="shared" si="22"/>
        <v>25</v>
      </c>
      <c r="U138" s="61">
        <f t="shared" si="23"/>
        <v>11.84</v>
      </c>
      <c r="V138" s="61">
        <f t="shared" si="24"/>
        <v>1</v>
      </c>
      <c r="W138" s="58" t="s">
        <v>139</v>
      </c>
      <c r="X138" s="58" t="s">
        <v>141</v>
      </c>
      <c r="Y138" s="53" t="s">
        <v>395</v>
      </c>
      <c r="Z138" s="57"/>
      <c r="AA138" s="62"/>
      <c r="AB138" s="62"/>
      <c r="AC138" s="62"/>
      <c r="AD138" s="62"/>
      <c r="AE138" s="62"/>
      <c r="AF138" s="63"/>
      <c r="AG138" s="64" t="str">
        <f t="shared" si="25"/>
        <v>R00L0.0</v>
      </c>
    </row>
    <row r="139" spans="1:33" x14ac:dyDescent="0.25">
      <c r="A139" s="46" t="str">
        <f>IF(ISBLANK(inbound_data[[#This Row],[Receiving Report ref.'#]]),"",IF(inbound_data[[#This Row],[Ending Quantity]]=0,"ZERO","INV"))</f>
        <v>INV</v>
      </c>
      <c r="B139" s="165" t="str">
        <f t="shared" si="19"/>
        <v>00139</v>
      </c>
      <c r="C139" s="165" t="str">
        <f>IF(ISBLANK(D139),"",inbound_data[[#This Row],[Pallet_Series]]&amp;inbound_data[[#This Row],[No.]])</f>
        <v>DUO-00118AB/390100139</v>
      </c>
      <c r="D139" s="54">
        <v>46098</v>
      </c>
      <c r="E139" s="55" t="s">
        <v>138</v>
      </c>
      <c r="F139" s="56">
        <v>121180</v>
      </c>
      <c r="G139" s="57" t="s">
        <v>134</v>
      </c>
      <c r="H139" s="53" t="s">
        <v>396</v>
      </c>
      <c r="I139" s="53">
        <v>96470</v>
      </c>
      <c r="J139" s="55" t="s">
        <v>416</v>
      </c>
      <c r="K139" s="58">
        <v>1</v>
      </c>
      <c r="L139" s="59" t="s">
        <v>403</v>
      </c>
      <c r="M139" s="55" t="s">
        <v>134</v>
      </c>
      <c r="N139" s="60">
        <v>46082</v>
      </c>
      <c r="O139" s="60">
        <v>46631</v>
      </c>
      <c r="P139" s="165">
        <f t="shared" ca="1" si="20"/>
        <v>520</v>
      </c>
      <c r="Q139" s="165" t="str">
        <f t="shared" ca="1" si="21"/>
        <v/>
      </c>
      <c r="R139" s="79">
        <v>25</v>
      </c>
      <c r="S139" s="80">
        <v>11.84</v>
      </c>
      <c r="T139" s="61">
        <f t="shared" si="22"/>
        <v>25</v>
      </c>
      <c r="U139" s="61">
        <f t="shared" si="23"/>
        <v>11.84</v>
      </c>
      <c r="V139" s="61">
        <f t="shared" si="24"/>
        <v>1</v>
      </c>
      <c r="W139" s="58" t="s">
        <v>139</v>
      </c>
      <c r="X139" s="58" t="s">
        <v>141</v>
      </c>
      <c r="Y139" s="53" t="s">
        <v>395</v>
      </c>
      <c r="Z139" s="57"/>
      <c r="AA139" s="62"/>
      <c r="AB139" s="62"/>
      <c r="AC139" s="62"/>
      <c r="AD139" s="62"/>
      <c r="AE139" s="62"/>
      <c r="AF139" s="63"/>
      <c r="AG139" s="64" t="str">
        <f t="shared" si="25"/>
        <v>R00L0.0</v>
      </c>
    </row>
    <row r="140" spans="1:33" x14ac:dyDescent="0.25">
      <c r="A140" s="46" t="str">
        <f>IF(ISBLANK(inbound_data[[#This Row],[Receiving Report ref.'#]]),"",IF(inbound_data[[#This Row],[Ending Quantity]]=0,"ZERO","INV"))</f>
        <v>INV</v>
      </c>
      <c r="B140" s="165" t="str">
        <f t="shared" si="19"/>
        <v>00140</v>
      </c>
      <c r="C140" s="165" t="str">
        <f>IF(ISBLANK(D140),"",inbound_data[[#This Row],[Pallet_Series]]&amp;inbound_data[[#This Row],[No.]])</f>
        <v>DUO-00115AB/4456300140</v>
      </c>
      <c r="D140" s="54">
        <v>46098</v>
      </c>
      <c r="E140" s="55" t="s">
        <v>138</v>
      </c>
      <c r="F140" s="56">
        <v>121180</v>
      </c>
      <c r="G140" s="57" t="s">
        <v>134</v>
      </c>
      <c r="H140" s="53" t="s">
        <v>396</v>
      </c>
      <c r="I140" s="53">
        <v>96470</v>
      </c>
      <c r="J140" s="55" t="s">
        <v>417</v>
      </c>
      <c r="K140" s="58">
        <v>1</v>
      </c>
      <c r="L140" s="59" t="s">
        <v>404</v>
      </c>
      <c r="M140" s="55" t="s">
        <v>134</v>
      </c>
      <c r="N140" s="60">
        <v>46082</v>
      </c>
      <c r="O140" s="60">
        <v>46631</v>
      </c>
      <c r="P140" s="165">
        <f t="shared" ca="1" si="20"/>
        <v>520</v>
      </c>
      <c r="Q140" s="165" t="str">
        <f t="shared" ca="1" si="21"/>
        <v/>
      </c>
      <c r="R140" s="79">
        <v>25</v>
      </c>
      <c r="S140" s="80">
        <v>14.16</v>
      </c>
      <c r="T140" s="61">
        <f t="shared" si="22"/>
        <v>25</v>
      </c>
      <c r="U140" s="61">
        <f t="shared" si="23"/>
        <v>14.16</v>
      </c>
      <c r="V140" s="61">
        <f t="shared" si="24"/>
        <v>1</v>
      </c>
      <c r="W140" s="58" t="s">
        <v>139</v>
      </c>
      <c r="X140" s="58" t="s">
        <v>141</v>
      </c>
      <c r="Y140" s="53" t="s">
        <v>395</v>
      </c>
      <c r="Z140" s="57"/>
      <c r="AA140" s="62"/>
      <c r="AB140" s="62"/>
      <c r="AC140" s="62"/>
      <c r="AD140" s="62"/>
      <c r="AE140" s="62"/>
      <c r="AF140" s="63"/>
      <c r="AG140" s="64" t="str">
        <f t="shared" si="25"/>
        <v>R00L0.0</v>
      </c>
    </row>
    <row r="141" spans="1:33" x14ac:dyDescent="0.25">
      <c r="A141" s="46" t="str">
        <f>IF(ISBLANK(inbound_data[[#This Row],[Receiving Report ref.'#]]),"",IF(inbound_data[[#This Row],[Ending Quantity]]=0,"ZERO","INV"))</f>
        <v>INV</v>
      </c>
      <c r="B141" s="165" t="str">
        <f t="shared" si="19"/>
        <v>00141</v>
      </c>
      <c r="C141" s="165" t="str">
        <f>IF(ISBLANK(D141),"",inbound_data[[#This Row],[Pallet_Series]]&amp;inbound_data[[#This Row],[No.]])</f>
        <v>DUO-00116AB/217300141</v>
      </c>
      <c r="D141" s="54">
        <v>46098</v>
      </c>
      <c r="E141" s="55" t="s">
        <v>138</v>
      </c>
      <c r="F141" s="56">
        <v>121180</v>
      </c>
      <c r="G141" s="57" t="s">
        <v>134</v>
      </c>
      <c r="H141" s="53" t="s">
        <v>396</v>
      </c>
      <c r="I141" s="53">
        <v>96470</v>
      </c>
      <c r="J141" s="55" t="s">
        <v>418</v>
      </c>
      <c r="K141" s="58">
        <v>1</v>
      </c>
      <c r="L141" s="59" t="s">
        <v>404</v>
      </c>
      <c r="M141" s="55" t="s">
        <v>134</v>
      </c>
      <c r="N141" s="60">
        <v>46082</v>
      </c>
      <c r="O141" s="60">
        <v>46631</v>
      </c>
      <c r="P141" s="165">
        <f t="shared" ca="1" si="20"/>
        <v>520</v>
      </c>
      <c r="Q141" s="165" t="str">
        <f t="shared" ca="1" si="21"/>
        <v/>
      </c>
      <c r="R141" s="79">
        <v>25</v>
      </c>
      <c r="S141" s="80">
        <v>14.16</v>
      </c>
      <c r="T141" s="61">
        <f t="shared" si="22"/>
        <v>25</v>
      </c>
      <c r="U141" s="61">
        <f t="shared" si="23"/>
        <v>14.16</v>
      </c>
      <c r="V141" s="61">
        <f t="shared" si="24"/>
        <v>1</v>
      </c>
      <c r="W141" s="58" t="s">
        <v>139</v>
      </c>
      <c r="X141" s="58" t="s">
        <v>141</v>
      </c>
      <c r="Y141" s="53" t="s">
        <v>395</v>
      </c>
      <c r="Z141" s="57"/>
      <c r="AA141" s="62"/>
      <c r="AB141" s="62"/>
      <c r="AC141" s="62"/>
      <c r="AD141" s="62"/>
      <c r="AE141" s="62"/>
      <c r="AF141" s="63"/>
      <c r="AG141" s="64" t="str">
        <f t="shared" si="25"/>
        <v>R00L0.0</v>
      </c>
    </row>
    <row r="142" spans="1:33" x14ac:dyDescent="0.25">
      <c r="A142" s="46" t="str">
        <f>IF(ISBLANK(inbound_data[[#This Row],[Receiving Report ref.'#]]),"",IF(inbound_data[[#This Row],[Ending Quantity]]=0,"ZERO","INV"))</f>
        <v>INV</v>
      </c>
      <c r="B142" s="165" t="str">
        <f t="shared" si="19"/>
        <v>00142</v>
      </c>
      <c r="C142" s="165" t="str">
        <f>IF(ISBLANK(D142),"",inbound_data[[#This Row],[Pallet_Series]]&amp;inbound_data[[#This Row],[No.]])</f>
        <v>DUO-00110A/499700142</v>
      </c>
      <c r="D142" s="54">
        <v>46106</v>
      </c>
      <c r="E142" s="55" t="s">
        <v>427</v>
      </c>
      <c r="F142" s="56">
        <v>122242</v>
      </c>
      <c r="G142" s="57" t="s">
        <v>134</v>
      </c>
      <c r="H142" s="53" t="s">
        <v>428</v>
      </c>
      <c r="I142" s="53" t="s">
        <v>428</v>
      </c>
      <c r="J142" s="55" t="s">
        <v>429</v>
      </c>
      <c r="K142" s="58">
        <v>1</v>
      </c>
      <c r="L142" s="59" t="s">
        <v>394</v>
      </c>
      <c r="M142" s="55" t="s">
        <v>134</v>
      </c>
      <c r="N142" s="60">
        <v>46082</v>
      </c>
      <c r="O142" s="60">
        <v>46631</v>
      </c>
      <c r="P142" s="165">
        <f t="shared" ca="1" si="20"/>
        <v>520</v>
      </c>
      <c r="Q142" s="165" t="str">
        <f t="shared" ca="1" si="21"/>
        <v/>
      </c>
      <c r="R142" s="79">
        <v>5</v>
      </c>
      <c r="S142" s="80">
        <v>40.799999999999997</v>
      </c>
      <c r="T142" s="61">
        <f t="shared" si="22"/>
        <v>5</v>
      </c>
      <c r="U142" s="61">
        <f t="shared" si="23"/>
        <v>40.799999999999997</v>
      </c>
      <c r="V142" s="61">
        <f t="shared" si="24"/>
        <v>1</v>
      </c>
      <c r="W142" s="58" t="s">
        <v>139</v>
      </c>
      <c r="X142" s="58" t="s">
        <v>141</v>
      </c>
      <c r="Y142" s="53" t="s">
        <v>395</v>
      </c>
      <c r="Z142" s="57"/>
      <c r="AA142" s="62"/>
      <c r="AB142" s="62"/>
      <c r="AC142" s="62"/>
      <c r="AD142" s="62"/>
      <c r="AE142" s="62"/>
      <c r="AF142" s="63"/>
      <c r="AG142" s="64" t="str">
        <f t="shared" si="25"/>
        <v>R00L0.0</v>
      </c>
    </row>
    <row r="143" spans="1:33" x14ac:dyDescent="0.25">
      <c r="A143" s="46" t="str">
        <f>IF(ISBLANK(inbound_data[[#This Row],[Receiving Report ref.'#]]),"",IF(inbound_data[[#This Row],[Ending Quantity]]=0,"ZERO","INV"))</f>
        <v>INV</v>
      </c>
      <c r="B143" s="165" t="str">
        <f t="shared" si="19"/>
        <v>00143</v>
      </c>
      <c r="C143" s="165" t="str">
        <f>IF(ISBLANK(D143),"",inbound_data[[#This Row],[Pallet_Series]]&amp;inbound_data[[#This Row],[No.]])</f>
        <v>DUO-00106AC/145700143</v>
      </c>
      <c r="D143" s="54">
        <v>46106</v>
      </c>
      <c r="E143" s="55" t="s">
        <v>427</v>
      </c>
      <c r="F143" s="56">
        <v>122242</v>
      </c>
      <c r="G143" s="57" t="s">
        <v>134</v>
      </c>
      <c r="H143" s="53" t="s">
        <v>428</v>
      </c>
      <c r="I143" s="53" t="s">
        <v>428</v>
      </c>
      <c r="J143" s="55" t="s">
        <v>435</v>
      </c>
      <c r="K143" s="58">
        <v>1</v>
      </c>
      <c r="L143" s="59" t="s">
        <v>393</v>
      </c>
      <c r="M143" s="55" t="s">
        <v>134</v>
      </c>
      <c r="N143" s="60">
        <v>46082</v>
      </c>
      <c r="O143" s="60">
        <v>46631</v>
      </c>
      <c r="P143" s="165">
        <f t="shared" ca="1" si="20"/>
        <v>520</v>
      </c>
      <c r="Q143" s="165" t="str">
        <f t="shared" ca="1" si="21"/>
        <v/>
      </c>
      <c r="R143" s="79">
        <v>5</v>
      </c>
      <c r="S143" s="80">
        <v>40.799999999999997</v>
      </c>
      <c r="T143" s="61">
        <f t="shared" si="22"/>
        <v>5</v>
      </c>
      <c r="U143" s="61">
        <f t="shared" si="23"/>
        <v>40.799999999999997</v>
      </c>
      <c r="V143" s="61">
        <f t="shared" si="24"/>
        <v>1</v>
      </c>
      <c r="W143" s="58" t="s">
        <v>139</v>
      </c>
      <c r="X143" s="58" t="s">
        <v>141</v>
      </c>
      <c r="Y143" s="53" t="s">
        <v>395</v>
      </c>
      <c r="Z143" s="57"/>
      <c r="AA143" s="62"/>
      <c r="AB143" s="62"/>
      <c r="AC143" s="62"/>
      <c r="AD143" s="62"/>
      <c r="AE143" s="62"/>
      <c r="AF143" s="63"/>
      <c r="AG143" s="64" t="str">
        <f t="shared" si="25"/>
        <v>R00L0.0</v>
      </c>
    </row>
    <row r="144" spans="1:33" x14ac:dyDescent="0.25">
      <c r="A144" s="46" t="str">
        <f>IF(ISBLANK(inbound_data[[#This Row],[Receiving Report ref.'#]]),"",IF(inbound_data[[#This Row],[Ending Quantity]]=0,"ZERO","INV"))</f>
        <v>INV</v>
      </c>
      <c r="B144" s="165" t="str">
        <f t="shared" si="19"/>
        <v>00144</v>
      </c>
      <c r="C144" s="165" t="str">
        <f>IF(ISBLANK(D144),"",inbound_data[[#This Row],[Pallet_Series]]&amp;inbound_data[[#This Row],[No.]])</f>
        <v>DUO-00102AB/385000144</v>
      </c>
      <c r="D144" s="54">
        <v>46106</v>
      </c>
      <c r="E144" s="55" t="s">
        <v>427</v>
      </c>
      <c r="F144" s="56">
        <v>122242</v>
      </c>
      <c r="G144" s="57" t="s">
        <v>134</v>
      </c>
      <c r="H144" s="53" t="s">
        <v>428</v>
      </c>
      <c r="I144" s="53" t="s">
        <v>428</v>
      </c>
      <c r="J144" s="55" t="s">
        <v>436</v>
      </c>
      <c r="K144" s="58">
        <v>0</v>
      </c>
      <c r="L144" s="59" t="s">
        <v>430</v>
      </c>
      <c r="M144" s="55" t="s">
        <v>134</v>
      </c>
      <c r="N144" s="60">
        <v>46143</v>
      </c>
      <c r="O144" s="60">
        <v>46508</v>
      </c>
      <c r="P144" s="165">
        <f t="shared" ca="1" si="20"/>
        <v>397</v>
      </c>
      <c r="Q144" s="165" t="str">
        <f t="shared" ca="1" si="21"/>
        <v/>
      </c>
      <c r="R144" s="79">
        <v>30</v>
      </c>
      <c r="S144" s="80">
        <v>360</v>
      </c>
      <c r="T144" s="61">
        <f t="shared" si="22"/>
        <v>30</v>
      </c>
      <c r="U144" s="61">
        <f t="shared" si="23"/>
        <v>360</v>
      </c>
      <c r="V144" s="61">
        <f t="shared" si="24"/>
        <v>0</v>
      </c>
      <c r="W144" s="58" t="s">
        <v>139</v>
      </c>
      <c r="X144" s="58" t="s">
        <v>141</v>
      </c>
      <c r="Y144" s="53" t="s">
        <v>395</v>
      </c>
      <c r="Z144" s="57"/>
      <c r="AA144" s="62"/>
      <c r="AB144" s="62"/>
      <c r="AC144" s="62"/>
      <c r="AD144" s="62"/>
      <c r="AE144" s="62"/>
      <c r="AF144" s="63"/>
      <c r="AG144" s="64" t="str">
        <f t="shared" si="25"/>
        <v>R00L0.0</v>
      </c>
    </row>
    <row r="145" spans="1:33" x14ac:dyDescent="0.25">
      <c r="A145" s="46" t="str">
        <f>IF(ISBLANK(inbound_data[[#This Row],[Receiving Report ref.'#]]),"",IF(inbound_data[[#This Row],[Ending Quantity]]=0,"ZERO","INV"))</f>
        <v>INV</v>
      </c>
      <c r="B145" s="165" t="str">
        <f t="shared" si="19"/>
        <v>00145</v>
      </c>
      <c r="C145" s="165" t="str">
        <f>IF(ISBLANK(D145),"",inbound_data[[#This Row],[Pallet_Series]]&amp;inbound_data[[#This Row],[No.]])</f>
        <v>DUO-00102AB/385000145</v>
      </c>
      <c r="D145" s="54">
        <v>46106</v>
      </c>
      <c r="E145" s="55" t="s">
        <v>427</v>
      </c>
      <c r="F145" s="56">
        <v>122242</v>
      </c>
      <c r="G145" s="57" t="s">
        <v>134</v>
      </c>
      <c r="H145" s="53" t="s">
        <v>428</v>
      </c>
      <c r="I145" s="53" t="s">
        <v>428</v>
      </c>
      <c r="J145" s="55" t="s">
        <v>436</v>
      </c>
      <c r="K145" s="58">
        <v>0</v>
      </c>
      <c r="L145" s="59" t="s">
        <v>431</v>
      </c>
      <c r="M145" s="55" t="s">
        <v>134</v>
      </c>
      <c r="N145" s="60">
        <v>46143</v>
      </c>
      <c r="O145" s="60">
        <v>46508</v>
      </c>
      <c r="P145" s="165">
        <f t="shared" ca="1" si="20"/>
        <v>397</v>
      </c>
      <c r="Q145" s="165" t="str">
        <f t="shared" ca="1" si="21"/>
        <v/>
      </c>
      <c r="R145" s="79">
        <v>1</v>
      </c>
      <c r="S145" s="80">
        <v>12</v>
      </c>
      <c r="T145" s="61">
        <f t="shared" si="22"/>
        <v>1</v>
      </c>
      <c r="U145" s="61">
        <f t="shared" si="23"/>
        <v>12</v>
      </c>
      <c r="V145" s="61">
        <f t="shared" si="24"/>
        <v>0</v>
      </c>
      <c r="W145" s="58" t="s">
        <v>139</v>
      </c>
      <c r="X145" s="58" t="s">
        <v>141</v>
      </c>
      <c r="Y145" s="53" t="s">
        <v>395</v>
      </c>
      <c r="Z145" s="57"/>
      <c r="AA145" s="62"/>
      <c r="AB145" s="62"/>
      <c r="AC145" s="62"/>
      <c r="AD145" s="62"/>
      <c r="AE145" s="62"/>
      <c r="AF145" s="63"/>
      <c r="AG145" s="64" t="str">
        <f t="shared" si="25"/>
        <v>R00L0.0</v>
      </c>
    </row>
    <row r="146" spans="1:33" x14ac:dyDescent="0.25">
      <c r="A146" s="46" t="str">
        <f>IF(ISBLANK(inbound_data[[#This Row],[Receiving Report ref.'#]]),"",IF(inbound_data[[#This Row],[Ending Quantity]]=0,"ZERO","INV"))</f>
        <v>INV</v>
      </c>
      <c r="B146" s="165" t="str">
        <f t="shared" si="19"/>
        <v>00146</v>
      </c>
      <c r="C146" s="165" t="str">
        <f>IF(ISBLANK(D146),"",inbound_data[[#This Row],[Pallet_Series]]&amp;inbound_data[[#This Row],[No.]])</f>
        <v>DUO-00102AB/385000146</v>
      </c>
      <c r="D146" s="54">
        <v>46106</v>
      </c>
      <c r="E146" s="55" t="s">
        <v>427</v>
      </c>
      <c r="F146" s="56">
        <v>122242</v>
      </c>
      <c r="G146" s="57" t="s">
        <v>134</v>
      </c>
      <c r="H146" s="53" t="s">
        <v>428</v>
      </c>
      <c r="I146" s="53" t="s">
        <v>428</v>
      </c>
      <c r="J146" s="55" t="s">
        <v>436</v>
      </c>
      <c r="K146" s="58">
        <v>1</v>
      </c>
      <c r="L146" s="59" t="s">
        <v>432</v>
      </c>
      <c r="M146" s="55" t="s">
        <v>134</v>
      </c>
      <c r="N146" s="60">
        <v>46143</v>
      </c>
      <c r="O146" s="60">
        <v>46508</v>
      </c>
      <c r="P146" s="165">
        <f t="shared" ca="1" si="20"/>
        <v>397</v>
      </c>
      <c r="Q146" s="165" t="str">
        <f t="shared" ca="1" si="21"/>
        <v/>
      </c>
      <c r="R146" s="79">
        <v>19</v>
      </c>
      <c r="S146" s="80">
        <v>228</v>
      </c>
      <c r="T146" s="61">
        <f t="shared" si="22"/>
        <v>19</v>
      </c>
      <c r="U146" s="61">
        <f t="shared" si="23"/>
        <v>228</v>
      </c>
      <c r="V146" s="61">
        <f t="shared" si="24"/>
        <v>1</v>
      </c>
      <c r="W146" s="58" t="s">
        <v>139</v>
      </c>
      <c r="X146" s="58" t="s">
        <v>141</v>
      </c>
      <c r="Y146" s="53" t="s">
        <v>395</v>
      </c>
      <c r="Z146" s="57"/>
      <c r="AA146" s="62"/>
      <c r="AB146" s="62"/>
      <c r="AC146" s="62"/>
      <c r="AD146" s="62"/>
      <c r="AE146" s="62"/>
      <c r="AF146" s="63"/>
      <c r="AG146" s="64" t="str">
        <f t="shared" si="25"/>
        <v>R00L0.0</v>
      </c>
    </row>
    <row r="147" spans="1:33" x14ac:dyDescent="0.25">
      <c r="A147" s="46" t="str">
        <f>IF(ISBLANK(inbound_data[[#This Row],[Receiving Report ref.'#]]),"",IF(inbound_data[[#This Row],[Ending Quantity]]=0,"ZERO","INV"))</f>
        <v>INV</v>
      </c>
      <c r="B147" s="165" t="str">
        <f t="shared" si="19"/>
        <v>00147</v>
      </c>
      <c r="C147" s="165" t="str">
        <f>IF(ISBLANK(D147),"",inbound_data[[#This Row],[Pallet_Series]]&amp;inbound_data[[#This Row],[No.]])</f>
        <v>DUO-00103A/450700147</v>
      </c>
      <c r="D147" s="54">
        <v>46106</v>
      </c>
      <c r="E147" s="55" t="s">
        <v>427</v>
      </c>
      <c r="F147" s="56">
        <v>122242</v>
      </c>
      <c r="G147" s="57" t="s">
        <v>134</v>
      </c>
      <c r="H147" s="53" t="s">
        <v>428</v>
      </c>
      <c r="I147" s="53" t="s">
        <v>428</v>
      </c>
      <c r="J147" s="55" t="s">
        <v>433</v>
      </c>
      <c r="K147" s="58">
        <v>1</v>
      </c>
      <c r="L147" s="59" t="s">
        <v>434</v>
      </c>
      <c r="M147" s="55" t="s">
        <v>134</v>
      </c>
      <c r="N147" s="60">
        <v>46143</v>
      </c>
      <c r="O147" s="60">
        <v>46508</v>
      </c>
      <c r="P147" s="165">
        <f t="shared" ca="1" si="20"/>
        <v>397</v>
      </c>
      <c r="Q147" s="165" t="str">
        <f t="shared" ca="1" si="21"/>
        <v/>
      </c>
      <c r="R147" s="79">
        <v>50</v>
      </c>
      <c r="S147" s="80">
        <v>600</v>
      </c>
      <c r="T147" s="61">
        <f t="shared" si="22"/>
        <v>50</v>
      </c>
      <c r="U147" s="61">
        <f t="shared" si="23"/>
        <v>600</v>
      </c>
      <c r="V147" s="61">
        <f t="shared" si="24"/>
        <v>1</v>
      </c>
      <c r="W147" s="58" t="s">
        <v>139</v>
      </c>
      <c r="X147" s="58" t="s">
        <v>141</v>
      </c>
      <c r="Y147" s="53" t="s">
        <v>395</v>
      </c>
      <c r="Z147" s="57"/>
      <c r="AA147" s="62"/>
      <c r="AB147" s="62"/>
      <c r="AC147" s="62"/>
      <c r="AD147" s="62"/>
      <c r="AE147" s="62"/>
      <c r="AF147" s="63"/>
      <c r="AG147" s="64" t="str">
        <f t="shared" si="25"/>
        <v>R00L0.0</v>
      </c>
    </row>
    <row r="148" spans="1:33" x14ac:dyDescent="0.25">
      <c r="A148" s="46" t="str">
        <f>IF(ISBLANK(inbound_data[[#This Row],[Receiving Report ref.'#]]),"",IF(inbound_data[[#This Row],[Ending Quantity]]=0,"ZERO","INV"))</f>
        <v/>
      </c>
      <c r="B148" s="165" t="str">
        <f t="shared" si="19"/>
        <v/>
      </c>
      <c r="C148" s="165" t="str">
        <f>IF(ISBLANK(D148),"",inbound_data[[#This Row],[Pallet_Series]]&amp;inbound_data[[#This Row],[No.]])</f>
        <v/>
      </c>
      <c r="D148" s="54"/>
      <c r="E148" s="55"/>
      <c r="F148" s="56"/>
      <c r="G148" s="57"/>
      <c r="H148" s="53"/>
      <c r="I148" s="53"/>
      <c r="J148" s="55"/>
      <c r="K148" s="58"/>
      <c r="L148" s="59"/>
      <c r="M148" s="55"/>
      <c r="N148" s="60"/>
      <c r="O148" s="60"/>
      <c r="P148" s="165" t="str">
        <f t="shared" ca="1" si="20"/>
        <v/>
      </c>
      <c r="Q148" s="165" t="str">
        <f t="shared" ca="1" si="21"/>
        <v/>
      </c>
      <c r="R148" s="79"/>
      <c r="S148" s="80"/>
      <c r="T148" s="61">
        <f t="shared" si="22"/>
        <v>0</v>
      </c>
      <c r="U148" s="61">
        <f t="shared" si="23"/>
        <v>0</v>
      </c>
      <c r="V148" s="61">
        <f t="shared" si="24"/>
        <v>0</v>
      </c>
      <c r="W148" s="58"/>
      <c r="X148" s="58"/>
      <c r="Y148" s="53"/>
      <c r="Z148" s="57"/>
      <c r="AA148" s="62"/>
      <c r="AB148" s="62"/>
      <c r="AC148" s="62"/>
      <c r="AD148" s="62"/>
      <c r="AE148" s="62"/>
      <c r="AF148" s="63"/>
      <c r="AG148" s="64" t="str">
        <f t="shared" si="25"/>
        <v/>
      </c>
    </row>
    <row r="149" spans="1:33" x14ac:dyDescent="0.25">
      <c r="A149" s="46" t="str">
        <f>IF(ISBLANK(inbound_data[[#This Row],[Receiving Report ref.'#]]),"",IF(inbound_data[[#This Row],[Ending Quantity]]=0,"ZERO","INV"))</f>
        <v/>
      </c>
      <c r="B149" s="165" t="str">
        <f t="shared" si="19"/>
        <v/>
      </c>
      <c r="C149" s="165" t="str">
        <f>IF(ISBLANK(D149),"",inbound_data[[#This Row],[Pallet_Series]]&amp;inbound_data[[#This Row],[No.]])</f>
        <v/>
      </c>
      <c r="D149" s="54"/>
      <c r="E149" s="55"/>
      <c r="F149" s="56"/>
      <c r="G149" s="57"/>
      <c r="H149" s="53"/>
      <c r="I149" s="53"/>
      <c r="J149" s="55"/>
      <c r="K149" s="58"/>
      <c r="L149" s="59"/>
      <c r="M149" s="55"/>
      <c r="N149" s="60"/>
      <c r="O149" s="60"/>
      <c r="P149" s="165" t="str">
        <f t="shared" ca="1" si="20"/>
        <v/>
      </c>
      <c r="Q149" s="165" t="str">
        <f t="shared" ca="1" si="21"/>
        <v/>
      </c>
      <c r="R149" s="79"/>
      <c r="S149" s="80"/>
      <c r="T149" s="61">
        <f t="shared" si="22"/>
        <v>0</v>
      </c>
      <c r="U149" s="61">
        <f t="shared" si="23"/>
        <v>0</v>
      </c>
      <c r="V149" s="61">
        <f t="shared" si="24"/>
        <v>0</v>
      </c>
      <c r="W149" s="58"/>
      <c r="X149" s="58"/>
      <c r="Y149" s="53"/>
      <c r="Z149" s="57"/>
      <c r="AA149" s="62"/>
      <c r="AB149" s="62"/>
      <c r="AC149" s="62"/>
      <c r="AD149" s="62"/>
      <c r="AE149" s="62"/>
      <c r="AF149" s="63"/>
      <c r="AG149" s="64" t="str">
        <f t="shared" si="25"/>
        <v/>
      </c>
    </row>
    <row r="150" spans="1:33" x14ac:dyDescent="0.25">
      <c r="A150" s="46" t="str">
        <f>IF(ISBLANK(inbound_data[[#This Row],[Receiving Report ref.'#]]),"",IF(inbound_data[[#This Row],[Ending Quantity]]=0,"ZERO","INV"))</f>
        <v/>
      </c>
      <c r="B150" s="165" t="str">
        <f t="shared" si="19"/>
        <v/>
      </c>
      <c r="C150" s="165" t="str">
        <f>IF(ISBLANK(D150),"",inbound_data[[#This Row],[Pallet_Series]]&amp;inbound_data[[#This Row],[No.]])</f>
        <v/>
      </c>
      <c r="D150" s="54"/>
      <c r="E150" s="55"/>
      <c r="F150" s="56"/>
      <c r="G150" s="57"/>
      <c r="H150" s="53"/>
      <c r="I150" s="53"/>
      <c r="J150" s="55"/>
      <c r="K150" s="58"/>
      <c r="L150" s="59"/>
      <c r="M150" s="55"/>
      <c r="N150" s="60"/>
      <c r="O150" s="60"/>
      <c r="P150" s="165" t="str">
        <f t="shared" ca="1" si="20"/>
        <v/>
      </c>
      <c r="Q150" s="165" t="str">
        <f t="shared" ca="1" si="21"/>
        <v/>
      </c>
      <c r="R150" s="79"/>
      <c r="S150" s="80"/>
      <c r="T150" s="61">
        <f t="shared" si="22"/>
        <v>0</v>
      </c>
      <c r="U150" s="61">
        <f t="shared" si="23"/>
        <v>0</v>
      </c>
      <c r="V150" s="61">
        <f t="shared" si="24"/>
        <v>0</v>
      </c>
      <c r="W150" s="58"/>
      <c r="X150" s="58"/>
      <c r="Y150" s="53"/>
      <c r="Z150" s="57"/>
      <c r="AA150" s="62"/>
      <c r="AB150" s="62"/>
      <c r="AC150" s="62"/>
      <c r="AD150" s="62"/>
      <c r="AE150" s="62"/>
      <c r="AF150" s="63"/>
      <c r="AG150" s="64" t="str">
        <f t="shared" si="25"/>
        <v/>
      </c>
    </row>
    <row r="151" spans="1:33" x14ac:dyDescent="0.25">
      <c r="A151" s="46" t="str">
        <f>IF(ISBLANK(inbound_data[[#This Row],[Receiving Report ref.'#]]),"",IF(inbound_data[[#This Row],[Ending Quantity]]=0,"ZERO","INV"))</f>
        <v/>
      </c>
      <c r="B151" s="165" t="str">
        <f t="shared" si="19"/>
        <v/>
      </c>
      <c r="C151" s="165" t="str">
        <f>IF(ISBLANK(D151),"",inbound_data[[#This Row],[Pallet_Series]]&amp;inbound_data[[#This Row],[No.]])</f>
        <v/>
      </c>
      <c r="D151" s="54"/>
      <c r="E151" s="55"/>
      <c r="F151" s="56"/>
      <c r="G151" s="57"/>
      <c r="H151" s="53"/>
      <c r="I151" s="53"/>
      <c r="J151" s="55"/>
      <c r="K151" s="58"/>
      <c r="L151" s="59"/>
      <c r="M151" s="55"/>
      <c r="N151" s="60"/>
      <c r="O151" s="60"/>
      <c r="P151" s="165" t="str">
        <f t="shared" ca="1" si="20"/>
        <v/>
      </c>
      <c r="Q151" s="165" t="str">
        <f t="shared" ca="1" si="21"/>
        <v/>
      </c>
      <c r="R151" s="79"/>
      <c r="S151" s="80"/>
      <c r="T151" s="61">
        <f t="shared" si="22"/>
        <v>0</v>
      </c>
      <c r="U151" s="61">
        <f t="shared" si="23"/>
        <v>0</v>
      </c>
      <c r="V151" s="61">
        <f t="shared" si="24"/>
        <v>0</v>
      </c>
      <c r="W151" s="58"/>
      <c r="X151" s="58"/>
      <c r="Y151" s="53"/>
      <c r="Z151" s="57"/>
      <c r="AA151" s="62"/>
      <c r="AB151" s="62"/>
      <c r="AC151" s="62"/>
      <c r="AD151" s="62"/>
      <c r="AE151" s="62"/>
      <c r="AF151" s="63"/>
      <c r="AG151" s="64" t="str">
        <f t="shared" si="25"/>
        <v/>
      </c>
    </row>
    <row r="152" spans="1:33" x14ac:dyDescent="0.25">
      <c r="A152" s="46" t="str">
        <f>IF(ISBLANK(inbound_data[[#This Row],[Receiving Report ref.'#]]),"",IF(inbound_data[[#This Row],[Ending Quantity]]=0,"ZERO","INV"))</f>
        <v/>
      </c>
      <c r="B152" s="165" t="str">
        <f t="shared" si="19"/>
        <v/>
      </c>
      <c r="C152" s="165" t="str">
        <f>IF(ISBLANK(D152),"",inbound_data[[#This Row],[Pallet_Series]]&amp;inbound_data[[#This Row],[No.]])</f>
        <v/>
      </c>
      <c r="D152" s="54"/>
      <c r="E152" s="55"/>
      <c r="F152" s="56"/>
      <c r="G152" s="57"/>
      <c r="H152" s="53"/>
      <c r="I152" s="53"/>
      <c r="J152" s="55"/>
      <c r="K152" s="58"/>
      <c r="L152" s="59"/>
      <c r="M152" s="55"/>
      <c r="N152" s="60"/>
      <c r="O152" s="60"/>
      <c r="P152" s="165" t="str">
        <f t="shared" ca="1" si="20"/>
        <v/>
      </c>
      <c r="Q152" s="165" t="str">
        <f t="shared" ca="1" si="21"/>
        <v/>
      </c>
      <c r="R152" s="79"/>
      <c r="S152" s="80"/>
      <c r="T152" s="61">
        <f t="shared" si="22"/>
        <v>0</v>
      </c>
      <c r="U152" s="61">
        <f t="shared" si="23"/>
        <v>0</v>
      </c>
      <c r="V152" s="61">
        <f t="shared" si="24"/>
        <v>0</v>
      </c>
      <c r="W152" s="58"/>
      <c r="X152" s="58"/>
      <c r="Y152" s="53"/>
      <c r="Z152" s="57"/>
      <c r="AA152" s="62"/>
      <c r="AB152" s="62"/>
      <c r="AC152" s="62"/>
      <c r="AD152" s="62"/>
      <c r="AE152" s="62"/>
      <c r="AF152" s="63"/>
      <c r="AG152" s="64" t="str">
        <f t="shared" si="25"/>
        <v/>
      </c>
    </row>
    <row r="153" spans="1:33" x14ac:dyDescent="0.25">
      <c r="A153" s="46" t="str">
        <f>IF(ISBLANK(inbound_data[[#This Row],[Receiving Report ref.'#]]),"",IF(inbound_data[[#This Row],[Ending Quantity]]=0,"ZERO","INV"))</f>
        <v/>
      </c>
      <c r="B153" s="165" t="str">
        <f t="shared" si="19"/>
        <v/>
      </c>
      <c r="C153" s="165" t="str">
        <f>IF(ISBLANK(D153),"",inbound_data[[#This Row],[Pallet_Series]]&amp;inbound_data[[#This Row],[No.]])</f>
        <v/>
      </c>
      <c r="D153" s="54"/>
      <c r="E153" s="55"/>
      <c r="F153" s="56"/>
      <c r="G153" s="57"/>
      <c r="H153" s="53"/>
      <c r="I153" s="53"/>
      <c r="J153" s="55"/>
      <c r="K153" s="58"/>
      <c r="L153" s="59"/>
      <c r="M153" s="55"/>
      <c r="N153" s="60"/>
      <c r="O153" s="60"/>
      <c r="P153" s="165" t="str">
        <f t="shared" ca="1" si="20"/>
        <v/>
      </c>
      <c r="Q153" s="165" t="str">
        <f t="shared" ca="1" si="21"/>
        <v/>
      </c>
      <c r="R153" s="79"/>
      <c r="S153" s="80"/>
      <c r="T153" s="61">
        <f t="shared" si="22"/>
        <v>0</v>
      </c>
      <c r="U153" s="61">
        <f t="shared" si="23"/>
        <v>0</v>
      </c>
      <c r="V153" s="61">
        <f t="shared" si="24"/>
        <v>0</v>
      </c>
      <c r="W153" s="58"/>
      <c r="X153" s="58"/>
      <c r="Y153" s="53"/>
      <c r="Z153" s="57"/>
      <c r="AA153" s="62"/>
      <c r="AB153" s="62"/>
      <c r="AC153" s="62"/>
      <c r="AD153" s="62"/>
      <c r="AE153" s="62"/>
      <c r="AF153" s="63"/>
      <c r="AG153" s="64" t="str">
        <f t="shared" si="25"/>
        <v/>
      </c>
    </row>
    <row r="154" spans="1:33" x14ac:dyDescent="0.25">
      <c r="A154" s="46" t="str">
        <f>IF(ISBLANK(inbound_data[[#This Row],[Receiving Report ref.'#]]),"",IF(inbound_data[[#This Row],[Ending Quantity]]=0,"ZERO","INV"))</f>
        <v/>
      </c>
      <c r="B154" s="165" t="str">
        <f t="shared" si="19"/>
        <v/>
      </c>
      <c r="C154" s="165" t="str">
        <f>IF(ISBLANK(D154),"",inbound_data[[#This Row],[Pallet_Series]]&amp;inbound_data[[#This Row],[No.]])</f>
        <v/>
      </c>
      <c r="D154" s="54"/>
      <c r="E154" s="55"/>
      <c r="F154" s="56"/>
      <c r="G154" s="57"/>
      <c r="H154" s="53"/>
      <c r="I154" s="53"/>
      <c r="J154" s="55"/>
      <c r="K154" s="58"/>
      <c r="L154" s="59"/>
      <c r="M154" s="55"/>
      <c r="N154" s="60"/>
      <c r="O154" s="60"/>
      <c r="P154" s="165" t="str">
        <f t="shared" ca="1" si="20"/>
        <v/>
      </c>
      <c r="Q154" s="165" t="str">
        <f t="shared" ca="1" si="21"/>
        <v/>
      </c>
      <c r="R154" s="79"/>
      <c r="S154" s="80"/>
      <c r="T154" s="61">
        <f t="shared" si="22"/>
        <v>0</v>
      </c>
      <c r="U154" s="61">
        <f t="shared" si="23"/>
        <v>0</v>
      </c>
      <c r="V154" s="61">
        <f t="shared" si="24"/>
        <v>0</v>
      </c>
      <c r="W154" s="58"/>
      <c r="X154" s="58"/>
      <c r="Y154" s="53"/>
      <c r="Z154" s="57"/>
      <c r="AA154" s="62"/>
      <c r="AB154" s="62"/>
      <c r="AC154" s="62"/>
      <c r="AD154" s="62"/>
      <c r="AE154" s="62"/>
      <c r="AF154" s="63"/>
      <c r="AG154" s="64" t="str">
        <f t="shared" si="25"/>
        <v/>
      </c>
    </row>
    <row r="155" spans="1:33" x14ac:dyDescent="0.25">
      <c r="A155" s="46" t="str">
        <f>IF(ISBLANK(inbound_data[[#This Row],[Receiving Report ref.'#]]),"",IF(inbound_data[[#This Row],[Ending Quantity]]=0,"ZERO","INV"))</f>
        <v/>
      </c>
      <c r="B155" s="165" t="str">
        <f t="shared" si="19"/>
        <v/>
      </c>
      <c r="C155" s="165" t="str">
        <f>IF(ISBLANK(D155),"",inbound_data[[#This Row],[Pallet_Series]]&amp;inbound_data[[#This Row],[No.]])</f>
        <v/>
      </c>
      <c r="D155" s="54"/>
      <c r="E155" s="55"/>
      <c r="F155" s="56"/>
      <c r="G155" s="57"/>
      <c r="H155" s="53"/>
      <c r="I155" s="53"/>
      <c r="J155" s="55"/>
      <c r="K155" s="58"/>
      <c r="L155" s="59"/>
      <c r="M155" s="55"/>
      <c r="N155" s="60"/>
      <c r="O155" s="60"/>
      <c r="P155" s="165" t="str">
        <f t="shared" ca="1" si="20"/>
        <v/>
      </c>
      <c r="Q155" s="165" t="str">
        <f t="shared" ca="1" si="21"/>
        <v/>
      </c>
      <c r="R155" s="79"/>
      <c r="S155" s="80"/>
      <c r="T155" s="61">
        <f t="shared" si="22"/>
        <v>0</v>
      </c>
      <c r="U155" s="61">
        <f t="shared" si="23"/>
        <v>0</v>
      </c>
      <c r="V155" s="61">
        <f t="shared" si="24"/>
        <v>0</v>
      </c>
      <c r="W155" s="58"/>
      <c r="X155" s="58"/>
      <c r="Y155" s="53"/>
      <c r="Z155" s="57"/>
      <c r="AA155" s="62"/>
      <c r="AB155" s="62"/>
      <c r="AC155" s="62"/>
      <c r="AD155" s="62"/>
      <c r="AE155" s="62"/>
      <c r="AF155" s="63"/>
      <c r="AG155" s="64" t="str">
        <f t="shared" si="25"/>
        <v/>
      </c>
    </row>
    <row r="156" spans="1:33" x14ac:dyDescent="0.25">
      <c r="A156" s="46" t="str">
        <f>IF(ISBLANK(inbound_data[[#This Row],[Receiving Report ref.'#]]),"",IF(inbound_data[[#This Row],[Ending Quantity]]=0,"ZERO","INV"))</f>
        <v/>
      </c>
      <c r="B156" s="165" t="str">
        <f t="shared" si="19"/>
        <v/>
      </c>
      <c r="C156" s="165" t="str">
        <f>IF(ISBLANK(D156),"",inbound_data[[#This Row],[Pallet_Series]]&amp;inbound_data[[#This Row],[No.]])</f>
        <v/>
      </c>
      <c r="D156" s="54"/>
      <c r="E156" s="55"/>
      <c r="F156" s="56"/>
      <c r="G156" s="57"/>
      <c r="H156" s="53"/>
      <c r="I156" s="53"/>
      <c r="J156" s="55"/>
      <c r="K156" s="58"/>
      <c r="L156" s="59"/>
      <c r="M156" s="55"/>
      <c r="N156" s="60"/>
      <c r="O156" s="60"/>
      <c r="P156" s="165" t="str">
        <f t="shared" ca="1" si="20"/>
        <v/>
      </c>
      <c r="Q156" s="165" t="str">
        <f t="shared" ca="1" si="21"/>
        <v/>
      </c>
      <c r="R156" s="79"/>
      <c r="S156" s="80"/>
      <c r="T156" s="61">
        <f t="shared" si="22"/>
        <v>0</v>
      </c>
      <c r="U156" s="61">
        <f t="shared" si="23"/>
        <v>0</v>
      </c>
      <c r="V156" s="61">
        <f t="shared" si="24"/>
        <v>0</v>
      </c>
      <c r="W156" s="58"/>
      <c r="X156" s="58"/>
      <c r="Y156" s="53"/>
      <c r="Z156" s="57"/>
      <c r="AA156" s="62"/>
      <c r="AB156" s="62"/>
      <c r="AC156" s="62"/>
      <c r="AD156" s="62"/>
      <c r="AE156" s="62"/>
      <c r="AF156" s="63"/>
      <c r="AG156" s="64" t="str">
        <f t="shared" si="25"/>
        <v/>
      </c>
    </row>
    <row r="157" spans="1:33" x14ac:dyDescent="0.25">
      <c r="A157" s="46" t="str">
        <f>IF(ISBLANK(inbound_data[[#This Row],[Receiving Report ref.'#]]),"",IF(inbound_data[[#This Row],[Ending Quantity]]=0,"ZERO","INV"))</f>
        <v/>
      </c>
      <c r="B157" s="165" t="str">
        <f t="shared" si="19"/>
        <v/>
      </c>
      <c r="C157" s="165" t="str">
        <f>IF(ISBLANK(D157),"",inbound_data[[#This Row],[Pallet_Series]]&amp;inbound_data[[#This Row],[No.]])</f>
        <v/>
      </c>
      <c r="D157" s="54"/>
      <c r="E157" s="55"/>
      <c r="F157" s="56"/>
      <c r="G157" s="57"/>
      <c r="H157" s="53"/>
      <c r="I157" s="53"/>
      <c r="J157" s="55"/>
      <c r="K157" s="58"/>
      <c r="L157" s="59"/>
      <c r="M157" s="55"/>
      <c r="N157" s="60"/>
      <c r="O157" s="60"/>
      <c r="P157" s="165" t="str">
        <f t="shared" ca="1" si="20"/>
        <v/>
      </c>
      <c r="Q157" s="165" t="str">
        <f t="shared" ca="1" si="21"/>
        <v/>
      </c>
      <c r="R157" s="79"/>
      <c r="S157" s="80"/>
      <c r="T157" s="61">
        <f t="shared" si="22"/>
        <v>0</v>
      </c>
      <c r="U157" s="61">
        <f t="shared" si="23"/>
        <v>0</v>
      </c>
      <c r="V157" s="61">
        <f t="shared" si="24"/>
        <v>0</v>
      </c>
      <c r="W157" s="58"/>
      <c r="X157" s="58"/>
      <c r="Y157" s="53"/>
      <c r="Z157" s="57"/>
      <c r="AA157" s="62"/>
      <c r="AB157" s="62"/>
      <c r="AC157" s="62"/>
      <c r="AD157" s="62"/>
      <c r="AE157" s="62"/>
      <c r="AF157" s="63"/>
      <c r="AG157" s="64" t="str">
        <f t="shared" si="25"/>
        <v/>
      </c>
    </row>
    <row r="158" spans="1:33" x14ac:dyDescent="0.25">
      <c r="A158" s="46" t="str">
        <f>IF(ISBLANK(inbound_data[[#This Row],[Receiving Report ref.'#]]),"",IF(inbound_data[[#This Row],[Ending Quantity]]=0,"ZERO","INV"))</f>
        <v/>
      </c>
      <c r="B158" s="165" t="str">
        <f t="shared" si="19"/>
        <v/>
      </c>
      <c r="C158" s="165" t="str">
        <f>IF(ISBLANK(D158),"",inbound_data[[#This Row],[Pallet_Series]]&amp;inbound_data[[#This Row],[No.]])</f>
        <v/>
      </c>
      <c r="D158" s="54"/>
      <c r="E158" s="55"/>
      <c r="F158" s="56"/>
      <c r="G158" s="57"/>
      <c r="H158" s="53"/>
      <c r="I158" s="53"/>
      <c r="J158" s="55"/>
      <c r="K158" s="58"/>
      <c r="L158" s="59"/>
      <c r="M158" s="55"/>
      <c r="N158" s="60"/>
      <c r="O158" s="60"/>
      <c r="P158" s="165" t="str">
        <f t="shared" ca="1" si="20"/>
        <v/>
      </c>
      <c r="Q158" s="165" t="str">
        <f t="shared" ca="1" si="21"/>
        <v/>
      </c>
      <c r="R158" s="79"/>
      <c r="S158" s="80"/>
      <c r="T158" s="61">
        <f t="shared" si="22"/>
        <v>0</v>
      </c>
      <c r="U158" s="61">
        <f t="shared" si="23"/>
        <v>0</v>
      </c>
      <c r="V158" s="61">
        <f t="shared" si="24"/>
        <v>0</v>
      </c>
      <c r="W158" s="58"/>
      <c r="X158" s="58"/>
      <c r="Y158" s="53"/>
      <c r="Z158" s="57"/>
      <c r="AA158" s="62"/>
      <c r="AB158" s="62"/>
      <c r="AC158" s="62"/>
      <c r="AD158" s="62"/>
      <c r="AE158" s="62"/>
      <c r="AF158" s="63"/>
      <c r="AG158" s="64" t="str">
        <f t="shared" si="25"/>
        <v/>
      </c>
    </row>
    <row r="159" spans="1:33" x14ac:dyDescent="0.25">
      <c r="A159" s="46" t="str">
        <f>IF(ISBLANK(inbound_data[[#This Row],[Receiving Report ref.'#]]),"",IF(inbound_data[[#This Row],[Ending Quantity]]=0,"ZERO","INV"))</f>
        <v/>
      </c>
      <c r="B159" s="165" t="str">
        <f t="shared" si="19"/>
        <v/>
      </c>
      <c r="C159" s="165" t="str">
        <f>IF(ISBLANK(D159),"",inbound_data[[#This Row],[Pallet_Series]]&amp;inbound_data[[#This Row],[No.]])</f>
        <v/>
      </c>
      <c r="D159" s="54"/>
      <c r="E159" s="55"/>
      <c r="F159" s="56"/>
      <c r="G159" s="57"/>
      <c r="H159" s="53"/>
      <c r="I159" s="53"/>
      <c r="J159" s="55"/>
      <c r="K159" s="58"/>
      <c r="L159" s="59"/>
      <c r="M159" s="55"/>
      <c r="N159" s="60"/>
      <c r="O159" s="60"/>
      <c r="P159" s="165" t="str">
        <f t="shared" ca="1" si="20"/>
        <v/>
      </c>
      <c r="Q159" s="165" t="str">
        <f t="shared" ca="1" si="21"/>
        <v/>
      </c>
      <c r="R159" s="79"/>
      <c r="S159" s="80"/>
      <c r="T159" s="61">
        <f t="shared" si="22"/>
        <v>0</v>
      </c>
      <c r="U159" s="61">
        <f t="shared" si="23"/>
        <v>0</v>
      </c>
      <c r="V159" s="61">
        <f t="shared" si="24"/>
        <v>0</v>
      </c>
      <c r="W159" s="58"/>
      <c r="X159" s="58"/>
      <c r="Y159" s="53"/>
      <c r="Z159" s="57"/>
      <c r="AA159" s="62"/>
      <c r="AB159" s="62"/>
      <c r="AC159" s="62"/>
      <c r="AD159" s="62"/>
      <c r="AE159" s="62"/>
      <c r="AF159" s="63"/>
      <c r="AG159" s="64" t="str">
        <f t="shared" si="25"/>
        <v/>
      </c>
    </row>
    <row r="160" spans="1:33" x14ac:dyDescent="0.25">
      <c r="A160" s="46" t="str">
        <f>IF(ISBLANK(inbound_data[[#This Row],[Receiving Report ref.'#]]),"",IF(inbound_data[[#This Row],[Ending Quantity]]=0,"ZERO","INV"))</f>
        <v/>
      </c>
      <c r="B160" s="165" t="str">
        <f t="shared" si="19"/>
        <v/>
      </c>
      <c r="C160" s="165" t="str">
        <f>IF(ISBLANK(D160),"",inbound_data[[#This Row],[Pallet_Series]]&amp;inbound_data[[#This Row],[No.]])</f>
        <v/>
      </c>
      <c r="D160" s="54"/>
      <c r="E160" s="55"/>
      <c r="F160" s="56"/>
      <c r="G160" s="57"/>
      <c r="H160" s="53"/>
      <c r="I160" s="53"/>
      <c r="J160" s="55"/>
      <c r="K160" s="58"/>
      <c r="L160" s="59"/>
      <c r="M160" s="55"/>
      <c r="N160" s="60"/>
      <c r="O160" s="60"/>
      <c r="P160" s="165" t="str">
        <f t="shared" ca="1" si="20"/>
        <v/>
      </c>
      <c r="Q160" s="165" t="str">
        <f t="shared" ca="1" si="21"/>
        <v/>
      </c>
      <c r="R160" s="79"/>
      <c r="S160" s="80"/>
      <c r="T160" s="61">
        <f t="shared" si="22"/>
        <v>0</v>
      </c>
      <c r="U160" s="61">
        <f t="shared" si="23"/>
        <v>0</v>
      </c>
      <c r="V160" s="61">
        <f t="shared" si="24"/>
        <v>0</v>
      </c>
      <c r="W160" s="58"/>
      <c r="X160" s="58"/>
      <c r="Y160" s="53"/>
      <c r="Z160" s="57"/>
      <c r="AA160" s="62"/>
      <c r="AB160" s="62"/>
      <c r="AC160" s="62"/>
      <c r="AD160" s="62"/>
      <c r="AE160" s="62"/>
      <c r="AF160" s="63"/>
      <c r="AG160" s="64" t="str">
        <f t="shared" si="25"/>
        <v/>
      </c>
    </row>
    <row r="161" spans="1:33" x14ac:dyDescent="0.25">
      <c r="A161" s="46" t="str">
        <f>IF(ISBLANK(inbound_data[[#This Row],[Receiving Report ref.'#]]),"",IF(inbound_data[[#This Row],[Ending Quantity]]=0,"ZERO","INV"))</f>
        <v/>
      </c>
      <c r="B161" s="165" t="str">
        <f t="shared" si="19"/>
        <v/>
      </c>
      <c r="C161" s="165" t="str">
        <f>IF(ISBLANK(D161),"",inbound_data[[#This Row],[Pallet_Series]]&amp;inbound_data[[#This Row],[No.]])</f>
        <v/>
      </c>
      <c r="D161" s="54"/>
      <c r="E161" s="55"/>
      <c r="F161" s="56"/>
      <c r="G161" s="57"/>
      <c r="H161" s="53"/>
      <c r="I161" s="53"/>
      <c r="J161" s="55"/>
      <c r="K161" s="58"/>
      <c r="L161" s="59"/>
      <c r="M161" s="55"/>
      <c r="N161" s="60"/>
      <c r="O161" s="60"/>
      <c r="P161" s="165" t="str">
        <f t="shared" ca="1" si="20"/>
        <v/>
      </c>
      <c r="Q161" s="165" t="str">
        <f t="shared" ca="1" si="21"/>
        <v/>
      </c>
      <c r="R161" s="79"/>
      <c r="S161" s="80"/>
      <c r="T161" s="61">
        <f t="shared" si="22"/>
        <v>0</v>
      </c>
      <c r="U161" s="61">
        <f t="shared" si="23"/>
        <v>0</v>
      </c>
      <c r="V161" s="61">
        <f t="shared" si="24"/>
        <v>0</v>
      </c>
      <c r="W161" s="58"/>
      <c r="X161" s="58"/>
      <c r="Y161" s="53"/>
      <c r="Z161" s="57"/>
      <c r="AA161" s="62"/>
      <c r="AB161" s="62"/>
      <c r="AC161" s="62"/>
      <c r="AD161" s="62"/>
      <c r="AE161" s="62"/>
      <c r="AF161" s="63"/>
      <c r="AG161" s="64" t="str">
        <f t="shared" si="25"/>
        <v/>
      </c>
    </row>
    <row r="162" spans="1:33" x14ac:dyDescent="0.25">
      <c r="A162" s="46" t="str">
        <f>IF(ISBLANK(inbound_data[[#This Row],[Receiving Report ref.'#]]),"",IF(inbound_data[[#This Row],[Ending Quantity]]=0,"ZERO","INV"))</f>
        <v/>
      </c>
      <c r="B162" s="165" t="str">
        <f t="shared" si="19"/>
        <v/>
      </c>
      <c r="C162" s="165" t="str">
        <f>IF(ISBLANK(D162),"",inbound_data[[#This Row],[Pallet_Series]]&amp;inbound_data[[#This Row],[No.]])</f>
        <v/>
      </c>
      <c r="D162" s="54"/>
      <c r="E162" s="55"/>
      <c r="F162" s="56"/>
      <c r="G162" s="57"/>
      <c r="H162" s="53"/>
      <c r="I162" s="53"/>
      <c r="J162" s="55"/>
      <c r="K162" s="58"/>
      <c r="L162" s="59"/>
      <c r="M162" s="55"/>
      <c r="N162" s="60"/>
      <c r="O162" s="60"/>
      <c r="P162" s="165" t="str">
        <f t="shared" ca="1" si="20"/>
        <v/>
      </c>
      <c r="Q162" s="165" t="str">
        <f t="shared" ca="1" si="21"/>
        <v/>
      </c>
      <c r="R162" s="79"/>
      <c r="S162" s="80"/>
      <c r="T162" s="61">
        <f t="shared" si="22"/>
        <v>0</v>
      </c>
      <c r="U162" s="61">
        <f t="shared" si="23"/>
        <v>0</v>
      </c>
      <c r="V162" s="61">
        <f t="shared" si="24"/>
        <v>0</v>
      </c>
      <c r="W162" s="58"/>
      <c r="X162" s="58"/>
      <c r="Y162" s="53"/>
      <c r="Z162" s="57"/>
      <c r="AA162" s="62"/>
      <c r="AB162" s="62"/>
      <c r="AC162" s="62"/>
      <c r="AD162" s="62"/>
      <c r="AE162" s="62"/>
      <c r="AF162" s="63"/>
      <c r="AG162" s="64" t="str">
        <f t="shared" si="25"/>
        <v/>
      </c>
    </row>
    <row r="163" spans="1:33" x14ac:dyDescent="0.25">
      <c r="A163" s="46" t="str">
        <f>IF(ISBLANK(inbound_data[[#This Row],[Receiving Report ref.'#]]),"",IF(inbound_data[[#This Row],[Ending Quantity]]=0,"ZERO","INV"))</f>
        <v/>
      </c>
      <c r="B163" s="165" t="str">
        <f t="shared" si="19"/>
        <v/>
      </c>
      <c r="C163" s="165" t="str">
        <f>IF(ISBLANK(D163),"",inbound_data[[#This Row],[Pallet_Series]]&amp;inbound_data[[#This Row],[No.]])</f>
        <v/>
      </c>
      <c r="D163" s="54"/>
      <c r="E163" s="55"/>
      <c r="F163" s="56"/>
      <c r="G163" s="57"/>
      <c r="H163" s="53"/>
      <c r="I163" s="53"/>
      <c r="J163" s="55"/>
      <c r="K163" s="58"/>
      <c r="L163" s="59"/>
      <c r="M163" s="55"/>
      <c r="N163" s="60"/>
      <c r="O163" s="60"/>
      <c r="P163" s="165" t="str">
        <f t="shared" ca="1" si="20"/>
        <v/>
      </c>
      <c r="Q163" s="165" t="str">
        <f t="shared" ca="1" si="21"/>
        <v/>
      </c>
      <c r="R163" s="79"/>
      <c r="S163" s="80"/>
      <c r="T163" s="61">
        <f t="shared" si="22"/>
        <v>0</v>
      </c>
      <c r="U163" s="61">
        <f t="shared" si="23"/>
        <v>0</v>
      </c>
      <c r="V163" s="61">
        <f t="shared" si="24"/>
        <v>0</v>
      </c>
      <c r="W163" s="58"/>
      <c r="X163" s="58"/>
      <c r="Y163" s="53"/>
      <c r="Z163" s="57"/>
      <c r="AA163" s="62"/>
      <c r="AB163" s="62"/>
      <c r="AC163" s="62"/>
      <c r="AD163" s="62"/>
      <c r="AE163" s="62"/>
      <c r="AF163" s="63"/>
      <c r="AG163" s="64" t="str">
        <f t="shared" si="25"/>
        <v/>
      </c>
    </row>
    <row r="164" spans="1:33" x14ac:dyDescent="0.25">
      <c r="A164" s="46" t="str">
        <f>IF(ISBLANK(inbound_data[[#This Row],[Receiving Report ref.'#]]),"",IF(inbound_data[[#This Row],[Ending Quantity]]=0,"ZERO","INV"))</f>
        <v/>
      </c>
      <c r="B164" s="165" t="str">
        <f t="shared" si="19"/>
        <v/>
      </c>
      <c r="C164" s="165" t="str">
        <f>IF(ISBLANK(D164),"",inbound_data[[#This Row],[Pallet_Series]]&amp;inbound_data[[#This Row],[No.]])</f>
        <v/>
      </c>
      <c r="D164" s="54"/>
      <c r="E164" s="55"/>
      <c r="F164" s="56"/>
      <c r="G164" s="57"/>
      <c r="H164" s="53"/>
      <c r="I164" s="53"/>
      <c r="J164" s="55"/>
      <c r="K164" s="58"/>
      <c r="L164" s="59"/>
      <c r="M164" s="55"/>
      <c r="N164" s="60"/>
      <c r="O164" s="60"/>
      <c r="P164" s="165" t="str">
        <f t="shared" ca="1" si="20"/>
        <v/>
      </c>
      <c r="Q164" s="165" t="str">
        <f t="shared" ca="1" si="21"/>
        <v/>
      </c>
      <c r="R164" s="79"/>
      <c r="S164" s="80"/>
      <c r="T164" s="61">
        <f t="shared" si="22"/>
        <v>0</v>
      </c>
      <c r="U164" s="61">
        <f t="shared" si="23"/>
        <v>0</v>
      </c>
      <c r="V164" s="61">
        <f t="shared" si="24"/>
        <v>0</v>
      </c>
      <c r="W164" s="58"/>
      <c r="X164" s="58"/>
      <c r="Y164" s="53"/>
      <c r="Z164" s="57"/>
      <c r="AA164" s="62"/>
      <c r="AB164" s="62"/>
      <c r="AC164" s="62"/>
      <c r="AD164" s="62"/>
      <c r="AE164" s="62"/>
      <c r="AF164" s="63"/>
      <c r="AG164" s="64" t="str">
        <f t="shared" si="25"/>
        <v/>
      </c>
    </row>
    <row r="165" spans="1:33" x14ac:dyDescent="0.25">
      <c r="A165" s="46" t="str">
        <f>IF(ISBLANK(inbound_data[[#This Row],[Receiving Report ref.'#]]),"",IF(inbound_data[[#This Row],[Ending Quantity]]=0,"ZERO","INV"))</f>
        <v/>
      </c>
      <c r="B165" s="165" t="str">
        <f t="shared" si="19"/>
        <v/>
      </c>
      <c r="C165" s="165" t="str">
        <f>IF(ISBLANK(D165),"",inbound_data[[#This Row],[Pallet_Series]]&amp;inbound_data[[#This Row],[No.]])</f>
        <v/>
      </c>
      <c r="D165" s="54"/>
      <c r="E165" s="55"/>
      <c r="F165" s="56"/>
      <c r="G165" s="57"/>
      <c r="H165" s="53"/>
      <c r="I165" s="53"/>
      <c r="J165" s="55"/>
      <c r="K165" s="58"/>
      <c r="L165" s="59"/>
      <c r="M165" s="55"/>
      <c r="N165" s="60"/>
      <c r="O165" s="60"/>
      <c r="P165" s="165" t="str">
        <f t="shared" ca="1" si="20"/>
        <v/>
      </c>
      <c r="Q165" s="165" t="str">
        <f t="shared" ca="1" si="21"/>
        <v/>
      </c>
      <c r="R165" s="79"/>
      <c r="S165" s="80"/>
      <c r="T165" s="61">
        <f t="shared" si="22"/>
        <v>0</v>
      </c>
      <c r="U165" s="61">
        <f t="shared" si="23"/>
        <v>0</v>
      </c>
      <c r="V165" s="61">
        <f t="shared" si="24"/>
        <v>0</v>
      </c>
      <c r="W165" s="58"/>
      <c r="X165" s="58"/>
      <c r="Y165" s="53"/>
      <c r="Z165" s="57"/>
      <c r="AA165" s="62"/>
      <c r="AB165" s="62"/>
      <c r="AC165" s="62"/>
      <c r="AD165" s="62"/>
      <c r="AE165" s="62"/>
      <c r="AF165" s="63"/>
      <c r="AG165" s="64" t="str">
        <f t="shared" si="25"/>
        <v/>
      </c>
    </row>
    <row r="166" spans="1:33" x14ac:dyDescent="0.25">
      <c r="A166" s="46" t="str">
        <f>IF(ISBLANK(inbound_data[[#This Row],[Receiving Report ref.'#]]),"",IF(inbound_data[[#This Row],[Ending Quantity]]=0,"ZERO","INV"))</f>
        <v/>
      </c>
      <c r="B166" s="165" t="str">
        <f t="shared" si="19"/>
        <v/>
      </c>
      <c r="C166" s="165" t="str">
        <f>IF(ISBLANK(D166),"",inbound_data[[#This Row],[Pallet_Series]]&amp;inbound_data[[#This Row],[No.]])</f>
        <v/>
      </c>
      <c r="D166" s="54"/>
      <c r="E166" s="55"/>
      <c r="F166" s="56"/>
      <c r="G166" s="57"/>
      <c r="H166" s="53"/>
      <c r="I166" s="53"/>
      <c r="J166" s="55"/>
      <c r="K166" s="58"/>
      <c r="L166" s="59"/>
      <c r="M166" s="55"/>
      <c r="N166" s="60"/>
      <c r="O166" s="60"/>
      <c r="P166" s="165" t="str">
        <f t="shared" ca="1" si="20"/>
        <v/>
      </c>
      <c r="Q166" s="165" t="str">
        <f t="shared" ca="1" si="21"/>
        <v/>
      </c>
      <c r="R166" s="79"/>
      <c r="S166" s="80"/>
      <c r="T166" s="61">
        <f t="shared" si="22"/>
        <v>0</v>
      </c>
      <c r="U166" s="61">
        <f t="shared" si="23"/>
        <v>0</v>
      </c>
      <c r="V166" s="61">
        <f t="shared" si="24"/>
        <v>0</v>
      </c>
      <c r="W166" s="58"/>
      <c r="X166" s="58"/>
      <c r="Y166" s="53"/>
      <c r="Z166" s="57"/>
      <c r="AA166" s="62"/>
      <c r="AB166" s="62"/>
      <c r="AC166" s="62"/>
      <c r="AD166" s="62"/>
      <c r="AE166" s="62"/>
      <c r="AF166" s="63"/>
      <c r="AG166" s="64" t="str">
        <f t="shared" si="25"/>
        <v/>
      </c>
    </row>
    <row r="167" spans="1:33" x14ac:dyDescent="0.25">
      <c r="A167" s="46" t="str">
        <f>IF(ISBLANK(inbound_data[[#This Row],[Receiving Report ref.'#]]),"",IF(inbound_data[[#This Row],[Ending Quantity]]=0,"ZERO","INV"))</f>
        <v/>
      </c>
      <c r="B167" s="165" t="str">
        <f t="shared" si="19"/>
        <v/>
      </c>
      <c r="C167" s="165" t="str">
        <f>IF(ISBLANK(D167),"",inbound_data[[#This Row],[Pallet_Series]]&amp;inbound_data[[#This Row],[No.]])</f>
        <v/>
      </c>
      <c r="D167" s="54"/>
      <c r="E167" s="55"/>
      <c r="F167" s="56"/>
      <c r="G167" s="57"/>
      <c r="H167" s="53"/>
      <c r="I167" s="53"/>
      <c r="J167" s="55"/>
      <c r="K167" s="58"/>
      <c r="L167" s="59"/>
      <c r="M167" s="55"/>
      <c r="N167" s="60"/>
      <c r="O167" s="60"/>
      <c r="P167" s="165" t="str">
        <f t="shared" ca="1" si="20"/>
        <v/>
      </c>
      <c r="Q167" s="165" t="str">
        <f t="shared" ca="1" si="21"/>
        <v/>
      </c>
      <c r="R167" s="79"/>
      <c r="S167" s="80"/>
      <c r="T167" s="61">
        <f t="shared" si="22"/>
        <v>0</v>
      </c>
      <c r="U167" s="61">
        <f t="shared" si="23"/>
        <v>0</v>
      </c>
      <c r="V167" s="61">
        <f t="shared" si="24"/>
        <v>0</v>
      </c>
      <c r="W167" s="58"/>
      <c r="X167" s="58"/>
      <c r="Y167" s="53"/>
      <c r="Z167" s="57"/>
      <c r="AA167" s="62"/>
      <c r="AB167" s="62"/>
      <c r="AC167" s="62"/>
      <c r="AD167" s="62"/>
      <c r="AE167" s="62"/>
      <c r="AF167" s="63"/>
      <c r="AG167" s="64" t="str">
        <f t="shared" si="25"/>
        <v/>
      </c>
    </row>
    <row r="168" spans="1:33" x14ac:dyDescent="0.25">
      <c r="A168" s="46" t="str">
        <f>IF(ISBLANK(inbound_data[[#This Row],[Receiving Report ref.'#]]),"",IF(inbound_data[[#This Row],[Ending Quantity]]=0,"ZERO","INV"))</f>
        <v/>
      </c>
      <c r="B168" s="165" t="str">
        <f t="shared" si="19"/>
        <v/>
      </c>
      <c r="C168" s="165" t="str">
        <f>IF(ISBLANK(D168),"",inbound_data[[#This Row],[Pallet_Series]]&amp;inbound_data[[#This Row],[No.]])</f>
        <v/>
      </c>
      <c r="D168" s="54"/>
      <c r="E168" s="55"/>
      <c r="F168" s="56"/>
      <c r="G168" s="57"/>
      <c r="H168" s="53"/>
      <c r="I168" s="53"/>
      <c r="J168" s="55"/>
      <c r="K168" s="58"/>
      <c r="L168" s="59"/>
      <c r="M168" s="55"/>
      <c r="N168" s="60"/>
      <c r="O168" s="60"/>
      <c r="P168" s="165" t="str">
        <f t="shared" ca="1" si="20"/>
        <v/>
      </c>
      <c r="Q168" s="165" t="str">
        <f t="shared" ca="1" si="21"/>
        <v/>
      </c>
      <c r="R168" s="79"/>
      <c r="S168" s="80"/>
      <c r="T168" s="61">
        <f t="shared" si="22"/>
        <v>0</v>
      </c>
      <c r="U168" s="61">
        <f t="shared" si="23"/>
        <v>0</v>
      </c>
      <c r="V168" s="61">
        <f t="shared" si="24"/>
        <v>0</v>
      </c>
      <c r="W168" s="58"/>
      <c r="X168" s="58"/>
      <c r="Y168" s="53"/>
      <c r="Z168" s="57"/>
      <c r="AA168" s="62"/>
      <c r="AB168" s="62"/>
      <c r="AC168" s="62"/>
      <c r="AD168" s="62"/>
      <c r="AE168" s="62"/>
      <c r="AF168" s="63"/>
      <c r="AG168" s="64" t="str">
        <f t="shared" si="25"/>
        <v/>
      </c>
    </row>
    <row r="169" spans="1:33" x14ac:dyDescent="0.25">
      <c r="A169" s="46" t="str">
        <f>IF(ISBLANK(inbound_data[[#This Row],[Receiving Report ref.'#]]),"",IF(inbound_data[[#This Row],[Ending Quantity]]=0,"ZERO","INV"))</f>
        <v/>
      </c>
      <c r="B169" s="165" t="str">
        <f t="shared" si="19"/>
        <v/>
      </c>
      <c r="C169" s="165" t="str">
        <f>IF(ISBLANK(D169),"",inbound_data[[#This Row],[Pallet_Series]]&amp;inbound_data[[#This Row],[No.]])</f>
        <v/>
      </c>
      <c r="D169" s="54"/>
      <c r="E169" s="55"/>
      <c r="F169" s="56"/>
      <c r="G169" s="57"/>
      <c r="H169" s="53"/>
      <c r="I169" s="53"/>
      <c r="J169" s="55"/>
      <c r="K169" s="58"/>
      <c r="L169" s="59"/>
      <c r="M169" s="55"/>
      <c r="N169" s="60"/>
      <c r="O169" s="60"/>
      <c r="P169" s="165" t="str">
        <f t="shared" ca="1" si="20"/>
        <v/>
      </c>
      <c r="Q169" s="165" t="str">
        <f t="shared" ca="1" si="21"/>
        <v/>
      </c>
      <c r="R169" s="79"/>
      <c r="S169" s="80"/>
      <c r="T169" s="61">
        <f t="shared" si="22"/>
        <v>0</v>
      </c>
      <c r="U169" s="61">
        <f t="shared" si="23"/>
        <v>0</v>
      </c>
      <c r="V169" s="61">
        <f t="shared" si="24"/>
        <v>0</v>
      </c>
      <c r="W169" s="58"/>
      <c r="X169" s="58"/>
      <c r="Y169" s="53"/>
      <c r="Z169" s="57"/>
      <c r="AA169" s="62"/>
      <c r="AB169" s="62"/>
      <c r="AC169" s="62"/>
      <c r="AD169" s="62"/>
      <c r="AE169" s="62"/>
      <c r="AF169" s="63"/>
      <c r="AG169" s="64" t="str">
        <f t="shared" si="25"/>
        <v/>
      </c>
    </row>
    <row r="170" spans="1:33" x14ac:dyDescent="0.25">
      <c r="A170" s="46" t="str">
        <f>IF(ISBLANK(inbound_data[[#This Row],[Receiving Report ref.'#]]),"",IF(inbound_data[[#This Row],[Ending Quantity]]=0,"ZERO","INV"))</f>
        <v/>
      </c>
      <c r="B170" s="165" t="str">
        <f t="shared" si="19"/>
        <v/>
      </c>
      <c r="C170" s="165" t="str">
        <f>IF(ISBLANK(D170),"",inbound_data[[#This Row],[Pallet_Series]]&amp;inbound_data[[#This Row],[No.]])</f>
        <v/>
      </c>
      <c r="D170" s="54"/>
      <c r="E170" s="55"/>
      <c r="F170" s="56"/>
      <c r="G170" s="57"/>
      <c r="H170" s="53"/>
      <c r="I170" s="53"/>
      <c r="J170" s="55"/>
      <c r="K170" s="58"/>
      <c r="L170" s="59"/>
      <c r="M170" s="55"/>
      <c r="N170" s="60"/>
      <c r="O170" s="60"/>
      <c r="P170" s="165" t="str">
        <f t="shared" ca="1" si="20"/>
        <v/>
      </c>
      <c r="Q170" s="165" t="str">
        <f t="shared" ca="1" si="21"/>
        <v/>
      </c>
      <c r="R170" s="79"/>
      <c r="S170" s="80"/>
      <c r="T170" s="61">
        <f t="shared" si="22"/>
        <v>0</v>
      </c>
      <c r="U170" s="61">
        <f t="shared" si="23"/>
        <v>0</v>
      </c>
      <c r="V170" s="61">
        <f t="shared" si="24"/>
        <v>0</v>
      </c>
      <c r="W170" s="58"/>
      <c r="X170" s="58"/>
      <c r="Y170" s="53"/>
      <c r="Z170" s="57"/>
      <c r="AA170" s="62"/>
      <c r="AB170" s="62"/>
      <c r="AC170" s="62"/>
      <c r="AD170" s="62"/>
      <c r="AE170" s="62"/>
      <c r="AF170" s="63"/>
      <c r="AG170" s="64" t="str">
        <f t="shared" si="25"/>
        <v/>
      </c>
    </row>
    <row r="171" spans="1:33" x14ac:dyDescent="0.25">
      <c r="A171" s="46" t="str">
        <f>IF(ISBLANK(inbound_data[[#This Row],[Receiving Report ref.'#]]),"",IF(inbound_data[[#This Row],[Ending Quantity]]=0,"ZERO","INV"))</f>
        <v/>
      </c>
      <c r="B171" s="165" t="str">
        <f t="shared" si="19"/>
        <v/>
      </c>
      <c r="C171" s="165" t="str">
        <f>IF(ISBLANK(D171),"",inbound_data[[#This Row],[Pallet_Series]]&amp;inbound_data[[#This Row],[No.]])</f>
        <v/>
      </c>
      <c r="D171" s="54"/>
      <c r="E171" s="55"/>
      <c r="F171" s="56"/>
      <c r="G171" s="57"/>
      <c r="H171" s="53"/>
      <c r="I171" s="53"/>
      <c r="J171" s="55"/>
      <c r="K171" s="58"/>
      <c r="L171" s="59"/>
      <c r="M171" s="55"/>
      <c r="N171" s="60"/>
      <c r="O171" s="60"/>
      <c r="P171" s="165" t="str">
        <f t="shared" ca="1" si="20"/>
        <v/>
      </c>
      <c r="Q171" s="165" t="str">
        <f t="shared" ca="1" si="21"/>
        <v/>
      </c>
      <c r="R171" s="79"/>
      <c r="S171" s="80"/>
      <c r="T171" s="61">
        <f t="shared" si="22"/>
        <v>0</v>
      </c>
      <c r="U171" s="61">
        <f t="shared" si="23"/>
        <v>0</v>
      </c>
      <c r="V171" s="61">
        <f t="shared" si="24"/>
        <v>0</v>
      </c>
      <c r="W171" s="58"/>
      <c r="X171" s="58"/>
      <c r="Y171" s="53"/>
      <c r="Z171" s="57"/>
      <c r="AA171" s="62"/>
      <c r="AB171" s="62"/>
      <c r="AC171" s="62"/>
      <c r="AD171" s="62"/>
      <c r="AE171" s="62"/>
      <c r="AF171" s="63"/>
      <c r="AG171" s="64" t="str">
        <f t="shared" si="25"/>
        <v/>
      </c>
    </row>
    <row r="172" spans="1:33" x14ac:dyDescent="0.25">
      <c r="A172" s="46" t="str">
        <f>IF(ISBLANK(inbound_data[[#This Row],[Receiving Report ref.'#]]),"",IF(inbound_data[[#This Row],[Ending Quantity]]=0,"ZERO","INV"))</f>
        <v/>
      </c>
      <c r="B172" s="165" t="str">
        <f t="shared" si="19"/>
        <v/>
      </c>
      <c r="C172" s="165" t="str">
        <f>IF(ISBLANK(D172),"",inbound_data[[#This Row],[Pallet_Series]]&amp;inbound_data[[#This Row],[No.]])</f>
        <v/>
      </c>
      <c r="D172" s="54"/>
      <c r="E172" s="55"/>
      <c r="F172" s="56"/>
      <c r="G172" s="57"/>
      <c r="H172" s="53"/>
      <c r="I172" s="53"/>
      <c r="J172" s="55"/>
      <c r="K172" s="58"/>
      <c r="L172" s="59"/>
      <c r="M172" s="55"/>
      <c r="N172" s="60"/>
      <c r="O172" s="60"/>
      <c r="P172" s="165" t="str">
        <f t="shared" ca="1" si="20"/>
        <v/>
      </c>
      <c r="Q172" s="165" t="str">
        <f t="shared" ca="1" si="21"/>
        <v/>
      </c>
      <c r="R172" s="79"/>
      <c r="S172" s="80"/>
      <c r="T172" s="61">
        <f t="shared" si="22"/>
        <v>0</v>
      </c>
      <c r="U172" s="61">
        <f t="shared" si="23"/>
        <v>0</v>
      </c>
      <c r="V172" s="61">
        <f t="shared" si="24"/>
        <v>0</v>
      </c>
      <c r="W172" s="58"/>
      <c r="X172" s="58"/>
      <c r="Y172" s="53"/>
      <c r="Z172" s="57"/>
      <c r="AA172" s="62"/>
      <c r="AB172" s="62"/>
      <c r="AC172" s="62"/>
      <c r="AD172" s="62"/>
      <c r="AE172" s="62"/>
      <c r="AF172" s="63"/>
      <c r="AG172" s="64" t="str">
        <f t="shared" si="25"/>
        <v/>
      </c>
    </row>
    <row r="173" spans="1:33" x14ac:dyDescent="0.25">
      <c r="A173" s="46" t="str">
        <f>IF(ISBLANK(inbound_data[[#This Row],[Receiving Report ref.'#]]),"",IF(inbound_data[[#This Row],[Ending Quantity]]=0,"ZERO","INV"))</f>
        <v/>
      </c>
      <c r="B173" s="165" t="str">
        <f t="shared" si="19"/>
        <v/>
      </c>
      <c r="C173" s="165" t="str">
        <f>IF(ISBLANK(D173),"",inbound_data[[#This Row],[Pallet_Series]]&amp;inbound_data[[#This Row],[No.]])</f>
        <v/>
      </c>
      <c r="D173" s="54"/>
      <c r="E173" s="55"/>
      <c r="F173" s="56"/>
      <c r="G173" s="57"/>
      <c r="H173" s="53"/>
      <c r="I173" s="53"/>
      <c r="J173" s="55"/>
      <c r="K173" s="58"/>
      <c r="L173" s="59"/>
      <c r="M173" s="55"/>
      <c r="N173" s="60"/>
      <c r="O173" s="60"/>
      <c r="P173" s="165" t="str">
        <f t="shared" ca="1" si="20"/>
        <v/>
      </c>
      <c r="Q173" s="165" t="str">
        <f t="shared" ca="1" si="21"/>
        <v/>
      </c>
      <c r="R173" s="79"/>
      <c r="S173" s="80"/>
      <c r="T173" s="61">
        <f t="shared" si="22"/>
        <v>0</v>
      </c>
      <c r="U173" s="61">
        <f t="shared" si="23"/>
        <v>0</v>
      </c>
      <c r="V173" s="61">
        <f t="shared" si="24"/>
        <v>0</v>
      </c>
      <c r="W173" s="58"/>
      <c r="X173" s="58"/>
      <c r="Y173" s="53"/>
      <c r="Z173" s="57"/>
      <c r="AA173" s="62"/>
      <c r="AB173" s="62"/>
      <c r="AC173" s="62"/>
      <c r="AD173" s="62"/>
      <c r="AE173" s="62"/>
      <c r="AF173" s="63"/>
      <c r="AG173" s="64" t="str">
        <f t="shared" si="25"/>
        <v/>
      </c>
    </row>
    <row r="174" spans="1:33" x14ac:dyDescent="0.25">
      <c r="A174" s="46" t="str">
        <f>IF(ISBLANK(inbound_data[[#This Row],[Receiving Report ref.'#]]),"",IF(inbound_data[[#This Row],[Ending Quantity]]=0,"ZERO","INV"))</f>
        <v/>
      </c>
      <c r="B174" s="165" t="str">
        <f t="shared" si="19"/>
        <v/>
      </c>
      <c r="C174" s="165" t="str">
        <f>IF(ISBLANK(D174),"",inbound_data[[#This Row],[Pallet_Series]]&amp;inbound_data[[#This Row],[No.]])</f>
        <v/>
      </c>
      <c r="D174" s="54"/>
      <c r="E174" s="55"/>
      <c r="F174" s="56"/>
      <c r="G174" s="57"/>
      <c r="H174" s="53"/>
      <c r="I174" s="53"/>
      <c r="J174" s="55"/>
      <c r="K174" s="58"/>
      <c r="L174" s="59"/>
      <c r="M174" s="55"/>
      <c r="N174" s="60"/>
      <c r="O174" s="60"/>
      <c r="P174" s="165" t="str">
        <f t="shared" ca="1" si="20"/>
        <v/>
      </c>
      <c r="Q174" s="165" t="str">
        <f t="shared" ca="1" si="21"/>
        <v/>
      </c>
      <c r="R174" s="79"/>
      <c r="S174" s="80"/>
      <c r="T174" s="61">
        <f t="shared" si="22"/>
        <v>0</v>
      </c>
      <c r="U174" s="61">
        <f t="shared" si="23"/>
        <v>0</v>
      </c>
      <c r="V174" s="61">
        <f t="shared" si="24"/>
        <v>0</v>
      </c>
      <c r="W174" s="58"/>
      <c r="X174" s="58"/>
      <c r="Y174" s="53"/>
      <c r="Z174" s="57"/>
      <c r="AA174" s="62"/>
      <c r="AB174" s="62"/>
      <c r="AC174" s="62"/>
      <c r="AD174" s="62"/>
      <c r="AE174" s="62"/>
      <c r="AF174" s="63"/>
      <c r="AG174" s="64" t="str">
        <f t="shared" si="25"/>
        <v/>
      </c>
    </row>
    <row r="175" spans="1:33" x14ac:dyDescent="0.25">
      <c r="A175" s="46" t="str">
        <f>IF(ISBLANK(inbound_data[[#This Row],[Receiving Report ref.'#]]),"",IF(inbound_data[[#This Row],[Ending Quantity]]=0,"ZERO","INV"))</f>
        <v/>
      </c>
      <c r="B175" s="165" t="str">
        <f t="shared" si="19"/>
        <v/>
      </c>
      <c r="C175" s="165" t="str">
        <f>IF(ISBLANK(D175),"",inbound_data[[#This Row],[Pallet_Series]]&amp;inbound_data[[#This Row],[No.]])</f>
        <v/>
      </c>
      <c r="D175" s="54"/>
      <c r="E175" s="55"/>
      <c r="F175" s="56"/>
      <c r="G175" s="57"/>
      <c r="H175" s="53"/>
      <c r="I175" s="53"/>
      <c r="J175" s="55"/>
      <c r="K175" s="58"/>
      <c r="L175" s="59"/>
      <c r="M175" s="55"/>
      <c r="N175" s="60"/>
      <c r="O175" s="60"/>
      <c r="P175" s="165" t="str">
        <f t="shared" ca="1" si="20"/>
        <v/>
      </c>
      <c r="Q175" s="165" t="str">
        <f t="shared" ca="1" si="21"/>
        <v/>
      </c>
      <c r="R175" s="79"/>
      <c r="S175" s="80"/>
      <c r="T175" s="61">
        <f t="shared" si="22"/>
        <v>0</v>
      </c>
      <c r="U175" s="61">
        <f t="shared" si="23"/>
        <v>0</v>
      </c>
      <c r="V175" s="61">
        <f t="shared" si="24"/>
        <v>0</v>
      </c>
      <c r="W175" s="58"/>
      <c r="X175" s="58"/>
      <c r="Y175" s="53"/>
      <c r="Z175" s="57"/>
      <c r="AA175" s="62"/>
      <c r="AB175" s="62"/>
      <c r="AC175" s="62"/>
      <c r="AD175" s="62"/>
      <c r="AE175" s="62"/>
      <c r="AF175" s="63"/>
      <c r="AG175" s="64" t="str">
        <f t="shared" si="25"/>
        <v/>
      </c>
    </row>
    <row r="176" spans="1:33" x14ac:dyDescent="0.25">
      <c r="A176" s="46" t="str">
        <f>IF(ISBLANK(inbound_data[[#This Row],[Receiving Report ref.'#]]),"",IF(inbound_data[[#This Row],[Ending Quantity]]=0,"ZERO","INV"))</f>
        <v/>
      </c>
      <c r="B176" s="165" t="str">
        <f t="shared" si="19"/>
        <v/>
      </c>
      <c r="C176" s="165" t="str">
        <f>IF(ISBLANK(D176),"",inbound_data[[#This Row],[Pallet_Series]]&amp;inbound_data[[#This Row],[No.]])</f>
        <v/>
      </c>
      <c r="D176" s="54"/>
      <c r="E176" s="55"/>
      <c r="F176" s="56"/>
      <c r="G176" s="57"/>
      <c r="H176" s="53"/>
      <c r="I176" s="53"/>
      <c r="J176" s="55"/>
      <c r="K176" s="58"/>
      <c r="L176" s="59"/>
      <c r="M176" s="55"/>
      <c r="N176" s="60"/>
      <c r="O176" s="60"/>
      <c r="P176" s="165" t="str">
        <f t="shared" ca="1" si="20"/>
        <v/>
      </c>
      <c r="Q176" s="165" t="str">
        <f t="shared" ca="1" si="21"/>
        <v/>
      </c>
      <c r="R176" s="79"/>
      <c r="S176" s="80"/>
      <c r="T176" s="61">
        <f t="shared" si="22"/>
        <v>0</v>
      </c>
      <c r="U176" s="61">
        <f t="shared" si="23"/>
        <v>0</v>
      </c>
      <c r="V176" s="61">
        <f t="shared" si="24"/>
        <v>0</v>
      </c>
      <c r="W176" s="58"/>
      <c r="X176" s="58"/>
      <c r="Y176" s="53"/>
      <c r="Z176" s="57"/>
      <c r="AA176" s="62"/>
      <c r="AB176" s="62"/>
      <c r="AC176" s="62"/>
      <c r="AD176" s="62"/>
      <c r="AE176" s="62"/>
      <c r="AF176" s="63"/>
      <c r="AG176" s="64" t="str">
        <f t="shared" si="25"/>
        <v/>
      </c>
    </row>
    <row r="177" spans="1:33" x14ac:dyDescent="0.25">
      <c r="A177" s="46" t="str">
        <f>IF(ISBLANK(inbound_data[[#This Row],[Receiving Report ref.'#]]),"",IF(inbound_data[[#This Row],[Ending Quantity]]=0,"ZERO","INV"))</f>
        <v/>
      </c>
      <c r="B177" s="165" t="str">
        <f t="shared" si="19"/>
        <v/>
      </c>
      <c r="C177" s="165" t="str">
        <f>IF(ISBLANK(D177),"",inbound_data[[#This Row],[Pallet_Series]]&amp;inbound_data[[#This Row],[No.]])</f>
        <v/>
      </c>
      <c r="D177" s="54"/>
      <c r="E177" s="55"/>
      <c r="F177" s="56"/>
      <c r="G177" s="57"/>
      <c r="H177" s="53"/>
      <c r="I177" s="53"/>
      <c r="J177" s="55"/>
      <c r="K177" s="58"/>
      <c r="L177" s="59"/>
      <c r="M177" s="55"/>
      <c r="N177" s="60"/>
      <c r="O177" s="60"/>
      <c r="P177" s="165" t="str">
        <f t="shared" ca="1" si="20"/>
        <v/>
      </c>
      <c r="Q177" s="165" t="str">
        <f t="shared" ca="1" si="21"/>
        <v/>
      </c>
      <c r="R177" s="79"/>
      <c r="S177" s="80"/>
      <c r="T177" s="61">
        <f t="shared" si="22"/>
        <v>0</v>
      </c>
      <c r="U177" s="61">
        <f t="shared" si="23"/>
        <v>0</v>
      </c>
      <c r="V177" s="61">
        <f t="shared" si="24"/>
        <v>0</v>
      </c>
      <c r="W177" s="58"/>
      <c r="X177" s="58"/>
      <c r="Y177" s="53"/>
      <c r="Z177" s="57"/>
      <c r="AA177" s="62"/>
      <c r="AB177" s="62"/>
      <c r="AC177" s="62"/>
      <c r="AD177" s="62"/>
      <c r="AE177" s="62"/>
      <c r="AF177" s="63"/>
      <c r="AG177" s="64" t="str">
        <f t="shared" si="25"/>
        <v/>
      </c>
    </row>
    <row r="178" spans="1:33" x14ac:dyDescent="0.25">
      <c r="A178" s="46" t="str">
        <f>IF(ISBLANK(inbound_data[[#This Row],[Receiving Report ref.'#]]),"",IF(inbound_data[[#This Row],[Ending Quantity]]=0,"ZERO","INV"))</f>
        <v/>
      </c>
      <c r="B178" s="165" t="str">
        <f t="shared" si="19"/>
        <v/>
      </c>
      <c r="C178" s="165" t="str">
        <f>IF(ISBLANK(D178),"",inbound_data[[#This Row],[Pallet_Series]]&amp;inbound_data[[#This Row],[No.]])</f>
        <v/>
      </c>
      <c r="D178" s="54"/>
      <c r="E178" s="55"/>
      <c r="F178" s="56"/>
      <c r="G178" s="57"/>
      <c r="H178" s="53"/>
      <c r="I178" s="53"/>
      <c r="J178" s="55"/>
      <c r="K178" s="58"/>
      <c r="L178" s="59"/>
      <c r="M178" s="55"/>
      <c r="N178" s="60"/>
      <c r="O178" s="60"/>
      <c r="P178" s="165" t="str">
        <f t="shared" ca="1" si="20"/>
        <v/>
      </c>
      <c r="Q178" s="165" t="str">
        <f t="shared" ca="1" si="21"/>
        <v/>
      </c>
      <c r="R178" s="79"/>
      <c r="S178" s="80"/>
      <c r="T178" s="61">
        <f t="shared" si="22"/>
        <v>0</v>
      </c>
      <c r="U178" s="61">
        <f t="shared" si="23"/>
        <v>0</v>
      </c>
      <c r="V178" s="61">
        <f t="shared" si="24"/>
        <v>0</v>
      </c>
      <c r="W178" s="58"/>
      <c r="X178" s="58"/>
      <c r="Y178" s="53"/>
      <c r="Z178" s="57"/>
      <c r="AA178" s="62"/>
      <c r="AB178" s="62"/>
      <c r="AC178" s="62"/>
      <c r="AD178" s="62"/>
      <c r="AE178" s="62"/>
      <c r="AF178" s="63"/>
      <c r="AG178" s="64" t="str">
        <f t="shared" si="25"/>
        <v/>
      </c>
    </row>
    <row r="179" spans="1:33" x14ac:dyDescent="0.25">
      <c r="A179" s="46" t="str">
        <f>IF(ISBLANK(inbound_data[[#This Row],[Receiving Report ref.'#]]),"",IF(inbound_data[[#This Row],[Ending Quantity]]=0,"ZERO","INV"))</f>
        <v/>
      </c>
      <c r="B179" s="165" t="str">
        <f t="shared" si="19"/>
        <v/>
      </c>
      <c r="C179" s="165" t="str">
        <f>IF(ISBLANK(D179),"",inbound_data[[#This Row],[Pallet_Series]]&amp;inbound_data[[#This Row],[No.]])</f>
        <v/>
      </c>
      <c r="D179" s="54"/>
      <c r="E179" s="55"/>
      <c r="F179" s="56"/>
      <c r="G179" s="57"/>
      <c r="H179" s="53"/>
      <c r="I179" s="53"/>
      <c r="J179" s="55"/>
      <c r="K179" s="58"/>
      <c r="L179" s="59"/>
      <c r="M179" s="55"/>
      <c r="N179" s="60"/>
      <c r="O179" s="60"/>
      <c r="P179" s="165" t="str">
        <f t="shared" ca="1" si="20"/>
        <v/>
      </c>
      <c r="Q179" s="165" t="str">
        <f t="shared" ca="1" si="21"/>
        <v/>
      </c>
      <c r="R179" s="79"/>
      <c r="S179" s="80"/>
      <c r="T179" s="61">
        <f t="shared" si="22"/>
        <v>0</v>
      </c>
      <c r="U179" s="61">
        <f t="shared" si="23"/>
        <v>0</v>
      </c>
      <c r="V179" s="61">
        <f t="shared" si="24"/>
        <v>0</v>
      </c>
      <c r="W179" s="58"/>
      <c r="X179" s="58"/>
      <c r="Y179" s="53"/>
      <c r="Z179" s="57"/>
      <c r="AA179" s="62"/>
      <c r="AB179" s="62"/>
      <c r="AC179" s="62"/>
      <c r="AD179" s="62"/>
      <c r="AE179" s="62"/>
      <c r="AF179" s="63"/>
      <c r="AG179" s="64" t="str">
        <f t="shared" si="25"/>
        <v/>
      </c>
    </row>
    <row r="180" spans="1:33" x14ac:dyDescent="0.25">
      <c r="A180" s="46" t="str">
        <f>IF(ISBLANK(inbound_data[[#This Row],[Receiving Report ref.'#]]),"",IF(inbound_data[[#This Row],[Ending Quantity]]=0,"ZERO","INV"))</f>
        <v/>
      </c>
      <c r="B180" s="165" t="str">
        <f t="shared" si="19"/>
        <v/>
      </c>
      <c r="C180" s="165" t="str">
        <f>IF(ISBLANK(D180),"",inbound_data[[#This Row],[Pallet_Series]]&amp;inbound_data[[#This Row],[No.]])</f>
        <v/>
      </c>
      <c r="D180" s="54"/>
      <c r="E180" s="55"/>
      <c r="F180" s="56"/>
      <c r="G180" s="57"/>
      <c r="H180" s="53"/>
      <c r="I180" s="53"/>
      <c r="J180" s="55"/>
      <c r="K180" s="58"/>
      <c r="L180" s="59"/>
      <c r="M180" s="55"/>
      <c r="N180" s="60"/>
      <c r="O180" s="60"/>
      <c r="P180" s="165" t="str">
        <f t="shared" ca="1" si="20"/>
        <v/>
      </c>
      <c r="Q180" s="165" t="str">
        <f t="shared" ca="1" si="21"/>
        <v/>
      </c>
      <c r="R180" s="79"/>
      <c r="S180" s="80"/>
      <c r="T180" s="61">
        <f t="shared" si="22"/>
        <v>0</v>
      </c>
      <c r="U180" s="61">
        <f t="shared" si="23"/>
        <v>0</v>
      </c>
      <c r="V180" s="61">
        <f t="shared" si="24"/>
        <v>0</v>
      </c>
      <c r="W180" s="58"/>
      <c r="X180" s="58"/>
      <c r="Y180" s="53"/>
      <c r="Z180" s="57"/>
      <c r="AA180" s="62"/>
      <c r="AB180" s="62"/>
      <c r="AC180" s="62"/>
      <c r="AD180" s="62"/>
      <c r="AE180" s="62"/>
      <c r="AF180" s="63"/>
      <c r="AG180" s="64" t="str">
        <f t="shared" si="25"/>
        <v/>
      </c>
    </row>
    <row r="181" spans="1:33" x14ac:dyDescent="0.25">
      <c r="A181" s="46" t="str">
        <f>IF(ISBLANK(inbound_data[[#This Row],[Receiving Report ref.'#]]),"",IF(inbound_data[[#This Row],[Ending Quantity]]=0,"ZERO","INV"))</f>
        <v/>
      </c>
      <c r="B181" s="165" t="str">
        <f t="shared" si="19"/>
        <v/>
      </c>
      <c r="C181" s="165" t="str">
        <f>IF(ISBLANK(D181),"",inbound_data[[#This Row],[Pallet_Series]]&amp;inbound_data[[#This Row],[No.]])</f>
        <v/>
      </c>
      <c r="D181" s="54"/>
      <c r="E181" s="55"/>
      <c r="F181" s="56"/>
      <c r="G181" s="57"/>
      <c r="H181" s="53"/>
      <c r="I181" s="53"/>
      <c r="J181" s="55"/>
      <c r="K181" s="58"/>
      <c r="L181" s="59"/>
      <c r="M181" s="55"/>
      <c r="N181" s="60"/>
      <c r="O181" s="60"/>
      <c r="P181" s="165" t="str">
        <f t="shared" ca="1" si="20"/>
        <v/>
      </c>
      <c r="Q181" s="165" t="str">
        <f t="shared" ca="1" si="21"/>
        <v/>
      </c>
      <c r="R181" s="79"/>
      <c r="S181" s="80"/>
      <c r="T181" s="61">
        <f t="shared" si="22"/>
        <v>0</v>
      </c>
      <c r="U181" s="61">
        <f t="shared" si="23"/>
        <v>0</v>
      </c>
      <c r="V181" s="61">
        <f t="shared" si="24"/>
        <v>0</v>
      </c>
      <c r="W181" s="58"/>
      <c r="X181" s="58"/>
      <c r="Y181" s="53"/>
      <c r="Z181" s="57"/>
      <c r="AA181" s="62"/>
      <c r="AB181" s="62"/>
      <c r="AC181" s="62"/>
      <c r="AD181" s="62"/>
      <c r="AE181" s="62"/>
      <c r="AF181" s="63"/>
      <c r="AG181" s="64" t="str">
        <f t="shared" si="25"/>
        <v/>
      </c>
    </row>
    <row r="182" spans="1:33" x14ac:dyDescent="0.25">
      <c r="A182" s="46" t="str">
        <f>IF(ISBLANK(inbound_data[[#This Row],[Receiving Report ref.'#]]),"",IF(inbound_data[[#This Row],[Ending Quantity]]=0,"ZERO","INV"))</f>
        <v/>
      </c>
      <c r="B182" s="165" t="str">
        <f t="shared" si="19"/>
        <v/>
      </c>
      <c r="C182" s="165" t="str">
        <f>IF(ISBLANK(D182),"",inbound_data[[#This Row],[Pallet_Series]]&amp;inbound_data[[#This Row],[No.]])</f>
        <v/>
      </c>
      <c r="D182" s="54"/>
      <c r="E182" s="55"/>
      <c r="F182" s="56"/>
      <c r="G182" s="57"/>
      <c r="H182" s="53"/>
      <c r="I182" s="53"/>
      <c r="J182" s="55"/>
      <c r="K182" s="58"/>
      <c r="L182" s="59"/>
      <c r="M182" s="55"/>
      <c r="N182" s="60"/>
      <c r="O182" s="60"/>
      <c r="P182" s="165" t="str">
        <f t="shared" ca="1" si="20"/>
        <v/>
      </c>
      <c r="Q182" s="165" t="str">
        <f t="shared" ca="1" si="21"/>
        <v/>
      </c>
      <c r="R182" s="79"/>
      <c r="S182" s="80"/>
      <c r="T182" s="61">
        <f t="shared" si="22"/>
        <v>0</v>
      </c>
      <c r="U182" s="61">
        <f t="shared" si="23"/>
        <v>0</v>
      </c>
      <c r="V182" s="61">
        <f t="shared" si="24"/>
        <v>0</v>
      </c>
      <c r="W182" s="58"/>
      <c r="X182" s="58"/>
      <c r="Y182" s="53"/>
      <c r="Z182" s="57"/>
      <c r="AA182" s="62"/>
      <c r="AB182" s="62"/>
      <c r="AC182" s="62"/>
      <c r="AD182" s="62"/>
      <c r="AE182" s="62"/>
      <c r="AF182" s="63"/>
      <c r="AG182" s="64" t="str">
        <f t="shared" si="25"/>
        <v/>
      </c>
    </row>
    <row r="183" spans="1:33" x14ac:dyDescent="0.25">
      <c r="A183" s="46" t="str">
        <f>IF(ISBLANK(inbound_data[[#This Row],[Receiving Report ref.'#]]),"",IF(inbound_data[[#This Row],[Ending Quantity]]=0,"ZERO","INV"))</f>
        <v/>
      </c>
      <c r="B183" s="165" t="str">
        <f t="shared" si="19"/>
        <v/>
      </c>
      <c r="C183" s="165" t="str">
        <f>IF(ISBLANK(D183),"",inbound_data[[#This Row],[Pallet_Series]]&amp;inbound_data[[#This Row],[No.]])</f>
        <v/>
      </c>
      <c r="D183" s="54"/>
      <c r="E183" s="55"/>
      <c r="F183" s="56"/>
      <c r="G183" s="57"/>
      <c r="H183" s="53"/>
      <c r="I183" s="53"/>
      <c r="J183" s="55"/>
      <c r="K183" s="58"/>
      <c r="L183" s="59"/>
      <c r="M183" s="55"/>
      <c r="N183" s="60"/>
      <c r="O183" s="60"/>
      <c r="P183" s="165" t="str">
        <f t="shared" ca="1" si="20"/>
        <v/>
      </c>
      <c r="Q183" s="165" t="str">
        <f t="shared" ca="1" si="21"/>
        <v/>
      </c>
      <c r="R183" s="79"/>
      <c r="S183" s="80"/>
      <c r="T183" s="61">
        <f t="shared" si="22"/>
        <v>0</v>
      </c>
      <c r="U183" s="61">
        <f t="shared" si="23"/>
        <v>0</v>
      </c>
      <c r="V183" s="61">
        <f t="shared" si="24"/>
        <v>0</v>
      </c>
      <c r="W183" s="58"/>
      <c r="X183" s="58"/>
      <c r="Y183" s="53"/>
      <c r="Z183" s="57"/>
      <c r="AA183" s="62"/>
      <c r="AB183" s="62"/>
      <c r="AC183" s="62"/>
      <c r="AD183" s="62"/>
      <c r="AE183" s="62"/>
      <c r="AF183" s="63"/>
      <c r="AG183" s="64" t="str">
        <f t="shared" si="25"/>
        <v/>
      </c>
    </row>
    <row r="184" spans="1:33" x14ac:dyDescent="0.25">
      <c r="A184" s="46" t="str">
        <f>IF(ISBLANK(inbound_data[[#This Row],[Receiving Report ref.'#]]),"",IF(inbound_data[[#This Row],[Ending Quantity]]=0,"ZERO","INV"))</f>
        <v/>
      </c>
      <c r="B184" s="165" t="str">
        <f t="shared" si="19"/>
        <v/>
      </c>
      <c r="C184" s="165" t="str">
        <f>IF(ISBLANK(D184),"",inbound_data[[#This Row],[Pallet_Series]]&amp;inbound_data[[#This Row],[No.]])</f>
        <v/>
      </c>
      <c r="D184" s="54"/>
      <c r="E184" s="55"/>
      <c r="F184" s="56"/>
      <c r="G184" s="57"/>
      <c r="H184" s="53"/>
      <c r="I184" s="53"/>
      <c r="J184" s="55"/>
      <c r="K184" s="58"/>
      <c r="L184" s="59"/>
      <c r="M184" s="55"/>
      <c r="N184" s="60"/>
      <c r="O184" s="60"/>
      <c r="P184" s="165" t="str">
        <f t="shared" ca="1" si="20"/>
        <v/>
      </c>
      <c r="Q184" s="165" t="str">
        <f t="shared" ca="1" si="21"/>
        <v/>
      </c>
      <c r="R184" s="79"/>
      <c r="S184" s="80"/>
      <c r="T184" s="61">
        <f t="shared" si="22"/>
        <v>0</v>
      </c>
      <c r="U184" s="61">
        <f t="shared" si="23"/>
        <v>0</v>
      </c>
      <c r="V184" s="61">
        <f t="shared" si="24"/>
        <v>0</v>
      </c>
      <c r="W184" s="58"/>
      <c r="X184" s="58"/>
      <c r="Y184" s="53"/>
      <c r="Z184" s="57"/>
      <c r="AA184" s="62"/>
      <c r="AB184" s="62"/>
      <c r="AC184" s="62"/>
      <c r="AD184" s="62"/>
      <c r="AE184" s="62"/>
      <c r="AF184" s="63"/>
      <c r="AG184" s="64" t="str">
        <f t="shared" si="25"/>
        <v/>
      </c>
    </row>
    <row r="185" spans="1:33" x14ac:dyDescent="0.25">
      <c r="A185" s="46" t="str">
        <f>IF(ISBLANK(inbound_data[[#This Row],[Receiving Report ref.'#]]),"",IF(inbound_data[[#This Row],[Ending Quantity]]=0,"ZERO","INV"))</f>
        <v/>
      </c>
      <c r="B185" s="165" t="str">
        <f t="shared" si="19"/>
        <v/>
      </c>
      <c r="C185" s="165" t="str">
        <f>IF(ISBLANK(D185),"",inbound_data[[#This Row],[Pallet_Series]]&amp;inbound_data[[#This Row],[No.]])</f>
        <v/>
      </c>
      <c r="D185" s="54"/>
      <c r="E185" s="55"/>
      <c r="F185" s="56"/>
      <c r="G185" s="57"/>
      <c r="H185" s="53"/>
      <c r="I185" s="53"/>
      <c r="J185" s="55"/>
      <c r="K185" s="58"/>
      <c r="L185" s="59"/>
      <c r="M185" s="55"/>
      <c r="N185" s="60"/>
      <c r="O185" s="60"/>
      <c r="P185" s="165" t="str">
        <f t="shared" ca="1" si="20"/>
        <v/>
      </c>
      <c r="Q185" s="165" t="str">
        <f t="shared" ca="1" si="21"/>
        <v/>
      </c>
      <c r="R185" s="79"/>
      <c r="S185" s="80"/>
      <c r="T185" s="61">
        <f t="shared" si="22"/>
        <v>0</v>
      </c>
      <c r="U185" s="61">
        <f t="shared" si="23"/>
        <v>0</v>
      </c>
      <c r="V185" s="61">
        <f t="shared" si="24"/>
        <v>0</v>
      </c>
      <c r="W185" s="58"/>
      <c r="X185" s="58"/>
      <c r="Y185" s="53"/>
      <c r="Z185" s="57"/>
      <c r="AA185" s="62"/>
      <c r="AB185" s="62"/>
      <c r="AC185" s="62"/>
      <c r="AD185" s="62"/>
      <c r="AE185" s="62"/>
      <c r="AF185" s="63"/>
      <c r="AG185" s="64" t="str">
        <f t="shared" si="25"/>
        <v/>
      </c>
    </row>
    <row r="186" spans="1:33" x14ac:dyDescent="0.25">
      <c r="A186" s="46" t="str">
        <f>IF(ISBLANK(inbound_data[[#This Row],[Receiving Report ref.'#]]),"",IF(inbound_data[[#This Row],[Ending Quantity]]=0,"ZERO","INV"))</f>
        <v/>
      </c>
      <c r="B186" s="165" t="str">
        <f t="shared" si="19"/>
        <v/>
      </c>
      <c r="C186" s="165" t="str">
        <f>IF(ISBLANK(D186),"",inbound_data[[#This Row],[Pallet_Series]]&amp;inbound_data[[#This Row],[No.]])</f>
        <v/>
      </c>
      <c r="D186" s="54"/>
      <c r="E186" s="55"/>
      <c r="F186" s="56"/>
      <c r="G186" s="57"/>
      <c r="H186" s="53"/>
      <c r="I186" s="53"/>
      <c r="J186" s="55"/>
      <c r="K186" s="58"/>
      <c r="L186" s="59"/>
      <c r="M186" s="55"/>
      <c r="N186" s="60"/>
      <c r="O186" s="60"/>
      <c r="P186" s="165" t="str">
        <f t="shared" ca="1" si="20"/>
        <v/>
      </c>
      <c r="Q186" s="165" t="str">
        <f t="shared" ca="1" si="21"/>
        <v/>
      </c>
      <c r="R186" s="79"/>
      <c r="S186" s="80"/>
      <c r="T186" s="61">
        <f t="shared" si="22"/>
        <v>0</v>
      </c>
      <c r="U186" s="61">
        <f t="shared" si="23"/>
        <v>0</v>
      </c>
      <c r="V186" s="61">
        <f t="shared" si="24"/>
        <v>0</v>
      </c>
      <c r="W186" s="58"/>
      <c r="X186" s="58"/>
      <c r="Y186" s="53"/>
      <c r="Z186" s="57"/>
      <c r="AA186" s="62"/>
      <c r="AB186" s="62"/>
      <c r="AC186" s="62"/>
      <c r="AD186" s="62"/>
      <c r="AE186" s="62"/>
      <c r="AF186" s="63"/>
      <c r="AG186" s="64" t="str">
        <f t="shared" si="25"/>
        <v/>
      </c>
    </row>
    <row r="187" spans="1:33" x14ac:dyDescent="0.25">
      <c r="A187" s="46" t="str">
        <f>IF(ISBLANK(inbound_data[[#This Row],[Receiving Report ref.'#]]),"",IF(inbound_data[[#This Row],[Ending Quantity]]=0,"ZERO","INV"))</f>
        <v/>
      </c>
      <c r="B187" s="165" t="str">
        <f t="shared" si="19"/>
        <v/>
      </c>
      <c r="C187" s="165" t="str">
        <f>IF(ISBLANK(D187),"",inbound_data[[#This Row],[Pallet_Series]]&amp;inbound_data[[#This Row],[No.]])</f>
        <v/>
      </c>
      <c r="D187" s="54"/>
      <c r="E187" s="55"/>
      <c r="F187" s="56"/>
      <c r="G187" s="57"/>
      <c r="H187" s="53"/>
      <c r="I187" s="53"/>
      <c r="J187" s="55"/>
      <c r="K187" s="58"/>
      <c r="L187" s="59"/>
      <c r="M187" s="55"/>
      <c r="N187" s="60"/>
      <c r="O187" s="60"/>
      <c r="P187" s="165" t="str">
        <f t="shared" ca="1" si="20"/>
        <v/>
      </c>
      <c r="Q187" s="165" t="str">
        <f t="shared" ca="1" si="21"/>
        <v/>
      </c>
      <c r="R187" s="79"/>
      <c r="S187" s="80"/>
      <c r="T187" s="61">
        <f t="shared" si="22"/>
        <v>0</v>
      </c>
      <c r="U187" s="61">
        <f t="shared" si="23"/>
        <v>0</v>
      </c>
      <c r="V187" s="61">
        <f t="shared" si="24"/>
        <v>0</v>
      </c>
      <c r="W187" s="58"/>
      <c r="X187" s="58"/>
      <c r="Y187" s="53"/>
      <c r="Z187" s="57"/>
      <c r="AA187" s="62"/>
      <c r="AB187" s="62"/>
      <c r="AC187" s="62"/>
      <c r="AD187" s="62"/>
      <c r="AE187" s="62"/>
      <c r="AF187" s="63"/>
      <c r="AG187" s="64" t="str">
        <f t="shared" si="25"/>
        <v/>
      </c>
    </row>
    <row r="188" spans="1:33" x14ac:dyDescent="0.25">
      <c r="A188" s="46" t="str">
        <f>IF(ISBLANK(inbound_data[[#This Row],[Receiving Report ref.'#]]),"",IF(inbound_data[[#This Row],[Ending Quantity]]=0,"ZERO","INV"))</f>
        <v/>
      </c>
      <c r="B188" s="165" t="str">
        <f t="shared" si="19"/>
        <v/>
      </c>
      <c r="C188" s="165" t="str">
        <f>IF(ISBLANK(D188),"",inbound_data[[#This Row],[Pallet_Series]]&amp;inbound_data[[#This Row],[No.]])</f>
        <v/>
      </c>
      <c r="D188" s="54"/>
      <c r="E188" s="55"/>
      <c r="F188" s="56"/>
      <c r="G188" s="57"/>
      <c r="H188" s="53"/>
      <c r="I188" s="53"/>
      <c r="J188" s="55"/>
      <c r="K188" s="58"/>
      <c r="L188" s="59"/>
      <c r="M188" s="55"/>
      <c r="N188" s="60"/>
      <c r="O188" s="60"/>
      <c r="P188" s="165" t="str">
        <f t="shared" ca="1" si="20"/>
        <v/>
      </c>
      <c r="Q188" s="165" t="str">
        <f t="shared" ca="1" si="21"/>
        <v/>
      </c>
      <c r="R188" s="79"/>
      <c r="S188" s="80"/>
      <c r="T188" s="61">
        <f t="shared" si="22"/>
        <v>0</v>
      </c>
      <c r="U188" s="61">
        <f t="shared" si="23"/>
        <v>0</v>
      </c>
      <c r="V188" s="61">
        <f t="shared" si="24"/>
        <v>0</v>
      </c>
      <c r="W188" s="58"/>
      <c r="X188" s="58"/>
      <c r="Y188" s="53"/>
      <c r="Z188" s="57"/>
      <c r="AA188" s="62"/>
      <c r="AB188" s="62"/>
      <c r="AC188" s="62"/>
      <c r="AD188" s="62"/>
      <c r="AE188" s="62"/>
      <c r="AF188" s="63"/>
      <c r="AG188" s="64" t="str">
        <f t="shared" si="25"/>
        <v/>
      </c>
    </row>
    <row r="189" spans="1:33" x14ac:dyDescent="0.25">
      <c r="A189" s="46" t="str">
        <f>IF(ISBLANK(inbound_data[[#This Row],[Receiving Report ref.'#]]),"",IF(inbound_data[[#This Row],[Ending Quantity]]=0,"ZERO","INV"))</f>
        <v/>
      </c>
      <c r="B189" s="165" t="str">
        <f t="shared" si="19"/>
        <v/>
      </c>
      <c r="C189" s="165" t="str">
        <f>IF(ISBLANK(D189),"",inbound_data[[#This Row],[Pallet_Series]]&amp;inbound_data[[#This Row],[No.]])</f>
        <v/>
      </c>
      <c r="D189" s="54"/>
      <c r="E189" s="55"/>
      <c r="F189" s="56"/>
      <c r="G189" s="57"/>
      <c r="H189" s="53"/>
      <c r="I189" s="53"/>
      <c r="J189" s="55"/>
      <c r="K189" s="58"/>
      <c r="L189" s="59"/>
      <c r="M189" s="55"/>
      <c r="N189" s="60"/>
      <c r="O189" s="60"/>
      <c r="P189" s="165" t="str">
        <f t="shared" ca="1" si="20"/>
        <v/>
      </c>
      <c r="Q189" s="165" t="str">
        <f t="shared" ca="1" si="21"/>
        <v/>
      </c>
      <c r="R189" s="79"/>
      <c r="S189" s="80"/>
      <c r="T189" s="61">
        <f t="shared" si="22"/>
        <v>0</v>
      </c>
      <c r="U189" s="61">
        <f t="shared" si="23"/>
        <v>0</v>
      </c>
      <c r="V189" s="61">
        <f t="shared" si="24"/>
        <v>0</v>
      </c>
      <c r="W189" s="58"/>
      <c r="X189" s="58"/>
      <c r="Y189" s="53"/>
      <c r="Z189" s="57"/>
      <c r="AA189" s="62"/>
      <c r="AB189" s="62"/>
      <c r="AC189" s="62"/>
      <c r="AD189" s="62"/>
      <c r="AE189" s="62"/>
      <c r="AF189" s="63"/>
      <c r="AG189" s="64" t="str">
        <f t="shared" si="25"/>
        <v/>
      </c>
    </row>
    <row r="190" spans="1:33" x14ac:dyDescent="0.25">
      <c r="A190" s="46" t="str">
        <f>IF(ISBLANK(inbound_data[[#This Row],[Receiving Report ref.'#]]),"",IF(inbound_data[[#This Row],[Ending Quantity]]=0,"ZERO","INV"))</f>
        <v/>
      </c>
      <c r="B190" s="165" t="str">
        <f t="shared" si="19"/>
        <v/>
      </c>
      <c r="C190" s="165" t="str">
        <f>IF(ISBLANK(D190),"",inbound_data[[#This Row],[Pallet_Series]]&amp;inbound_data[[#This Row],[No.]])</f>
        <v/>
      </c>
      <c r="D190" s="54"/>
      <c r="E190" s="55"/>
      <c r="F190" s="56"/>
      <c r="G190" s="57"/>
      <c r="H190" s="53"/>
      <c r="I190" s="53"/>
      <c r="J190" s="55"/>
      <c r="K190" s="58"/>
      <c r="L190" s="59"/>
      <c r="M190" s="55"/>
      <c r="N190" s="60"/>
      <c r="O190" s="60"/>
      <c r="P190" s="165" t="str">
        <f t="shared" ca="1" si="20"/>
        <v/>
      </c>
      <c r="Q190" s="165" t="str">
        <f t="shared" ca="1" si="21"/>
        <v/>
      </c>
      <c r="R190" s="79"/>
      <c r="S190" s="80"/>
      <c r="T190" s="61">
        <f t="shared" si="22"/>
        <v>0</v>
      </c>
      <c r="U190" s="61">
        <f t="shared" si="23"/>
        <v>0</v>
      </c>
      <c r="V190" s="61">
        <f t="shared" si="24"/>
        <v>0</v>
      </c>
      <c r="W190" s="58"/>
      <c r="X190" s="58"/>
      <c r="Y190" s="53"/>
      <c r="Z190" s="57"/>
      <c r="AA190" s="62"/>
      <c r="AB190" s="62"/>
      <c r="AC190" s="62"/>
      <c r="AD190" s="62"/>
      <c r="AE190" s="62"/>
      <c r="AF190" s="63"/>
      <c r="AG190" s="64" t="str">
        <f t="shared" si="25"/>
        <v/>
      </c>
    </row>
    <row r="191" spans="1:33" x14ac:dyDescent="0.25">
      <c r="A191" s="46" t="str">
        <f>IF(ISBLANK(inbound_data[[#This Row],[Receiving Report ref.'#]]),"",IF(inbound_data[[#This Row],[Ending Quantity]]=0,"ZERO","INV"))</f>
        <v/>
      </c>
      <c r="B191" s="165" t="str">
        <f t="shared" si="19"/>
        <v/>
      </c>
      <c r="C191" s="165" t="str">
        <f>IF(ISBLANK(D191),"",inbound_data[[#This Row],[Pallet_Series]]&amp;inbound_data[[#This Row],[No.]])</f>
        <v/>
      </c>
      <c r="D191" s="54"/>
      <c r="E191" s="55"/>
      <c r="F191" s="56"/>
      <c r="G191" s="57"/>
      <c r="H191" s="53"/>
      <c r="I191" s="53"/>
      <c r="J191" s="55"/>
      <c r="K191" s="58"/>
      <c r="L191" s="59"/>
      <c r="M191" s="55"/>
      <c r="N191" s="60"/>
      <c r="O191" s="60"/>
      <c r="P191" s="165" t="str">
        <f t="shared" ca="1" si="20"/>
        <v/>
      </c>
      <c r="Q191" s="165" t="str">
        <f t="shared" ca="1" si="21"/>
        <v/>
      </c>
      <c r="R191" s="79"/>
      <c r="S191" s="80"/>
      <c r="T191" s="61">
        <f t="shared" si="22"/>
        <v>0</v>
      </c>
      <c r="U191" s="61">
        <f t="shared" si="23"/>
        <v>0</v>
      </c>
      <c r="V191" s="61">
        <f t="shared" si="24"/>
        <v>0</v>
      </c>
      <c r="W191" s="58"/>
      <c r="X191" s="58"/>
      <c r="Y191" s="53"/>
      <c r="Z191" s="57"/>
      <c r="AA191" s="62"/>
      <c r="AB191" s="62"/>
      <c r="AC191" s="62"/>
      <c r="AD191" s="62"/>
      <c r="AE191" s="62"/>
      <c r="AF191" s="63"/>
      <c r="AG191" s="64" t="str">
        <f t="shared" si="25"/>
        <v/>
      </c>
    </row>
    <row r="192" spans="1:33" x14ac:dyDescent="0.25">
      <c r="A192" s="46" t="str">
        <f>IF(ISBLANK(inbound_data[[#This Row],[Receiving Report ref.'#]]),"",IF(inbound_data[[#This Row],[Ending Quantity]]=0,"ZERO","INV"))</f>
        <v/>
      </c>
      <c r="B192" s="165" t="str">
        <f t="shared" si="19"/>
        <v/>
      </c>
      <c r="C192" s="165" t="str">
        <f>IF(ISBLANK(D192),"",inbound_data[[#This Row],[Pallet_Series]]&amp;inbound_data[[#This Row],[No.]])</f>
        <v/>
      </c>
      <c r="D192" s="54"/>
      <c r="E192" s="55"/>
      <c r="F192" s="56"/>
      <c r="G192" s="57"/>
      <c r="H192" s="53"/>
      <c r="I192" s="53"/>
      <c r="J192" s="55"/>
      <c r="K192" s="58"/>
      <c r="L192" s="59"/>
      <c r="M192" s="55"/>
      <c r="N192" s="60"/>
      <c r="O192" s="60"/>
      <c r="P192" s="165" t="str">
        <f t="shared" ca="1" si="20"/>
        <v/>
      </c>
      <c r="Q192" s="165" t="str">
        <f t="shared" ca="1" si="21"/>
        <v/>
      </c>
      <c r="R192" s="79"/>
      <c r="S192" s="80"/>
      <c r="T192" s="61">
        <f t="shared" si="22"/>
        <v>0</v>
      </c>
      <c r="U192" s="61">
        <f t="shared" si="23"/>
        <v>0</v>
      </c>
      <c r="V192" s="61">
        <f t="shared" si="24"/>
        <v>0</v>
      </c>
      <c r="W192" s="58"/>
      <c r="X192" s="58"/>
      <c r="Y192" s="53"/>
      <c r="Z192" s="57"/>
      <c r="AA192" s="62"/>
      <c r="AB192" s="62"/>
      <c r="AC192" s="62"/>
      <c r="AD192" s="62"/>
      <c r="AE192" s="62"/>
      <c r="AF192" s="63"/>
      <c r="AG192" s="64" t="str">
        <f t="shared" si="25"/>
        <v/>
      </c>
    </row>
    <row r="193" spans="1:33" x14ac:dyDescent="0.25">
      <c r="A193" s="46" t="str">
        <f>IF(ISBLANK(inbound_data[[#This Row],[Receiving Report ref.'#]]),"",IF(inbound_data[[#This Row],[Ending Quantity]]=0,"ZERO","INV"))</f>
        <v/>
      </c>
      <c r="B193" s="165" t="str">
        <f t="shared" si="19"/>
        <v/>
      </c>
      <c r="C193" s="165" t="str">
        <f>IF(ISBLANK(D193),"",inbound_data[[#This Row],[Pallet_Series]]&amp;inbound_data[[#This Row],[No.]])</f>
        <v/>
      </c>
      <c r="D193" s="54"/>
      <c r="E193" s="55"/>
      <c r="F193" s="56"/>
      <c r="G193" s="57"/>
      <c r="H193" s="53"/>
      <c r="I193" s="53"/>
      <c r="J193" s="55"/>
      <c r="K193" s="58"/>
      <c r="L193" s="59"/>
      <c r="M193" s="55"/>
      <c r="N193" s="60"/>
      <c r="O193" s="60"/>
      <c r="P193" s="165" t="str">
        <f t="shared" ca="1" si="20"/>
        <v/>
      </c>
      <c r="Q193" s="165" t="str">
        <f t="shared" ca="1" si="21"/>
        <v/>
      </c>
      <c r="R193" s="79"/>
      <c r="S193" s="80"/>
      <c r="T193" s="61">
        <f t="shared" si="22"/>
        <v>0</v>
      </c>
      <c r="U193" s="61">
        <f t="shared" si="23"/>
        <v>0</v>
      </c>
      <c r="V193" s="61">
        <f t="shared" si="24"/>
        <v>0</v>
      </c>
      <c r="W193" s="58"/>
      <c r="X193" s="58"/>
      <c r="Y193" s="53"/>
      <c r="Z193" s="57"/>
      <c r="AA193" s="62"/>
      <c r="AB193" s="62"/>
      <c r="AC193" s="62"/>
      <c r="AD193" s="62"/>
      <c r="AE193" s="62"/>
      <c r="AF193" s="63"/>
      <c r="AG193" s="64" t="str">
        <f t="shared" si="25"/>
        <v/>
      </c>
    </row>
    <row r="194" spans="1:33" x14ac:dyDescent="0.25">
      <c r="A194" s="46" t="str">
        <f>IF(ISBLANK(inbound_data[[#This Row],[Receiving Report ref.'#]]),"",IF(inbound_data[[#This Row],[Ending Quantity]]=0,"ZERO","INV"))</f>
        <v/>
      </c>
      <c r="B194" s="165" t="str">
        <f t="shared" si="19"/>
        <v/>
      </c>
      <c r="C194" s="165" t="str">
        <f>IF(ISBLANK(D194),"",inbound_data[[#This Row],[Pallet_Series]]&amp;inbound_data[[#This Row],[No.]])</f>
        <v/>
      </c>
      <c r="D194" s="54"/>
      <c r="E194" s="55"/>
      <c r="F194" s="56"/>
      <c r="G194" s="57"/>
      <c r="H194" s="53"/>
      <c r="I194" s="53"/>
      <c r="J194" s="55"/>
      <c r="K194" s="58"/>
      <c r="L194" s="59"/>
      <c r="M194" s="55"/>
      <c r="N194" s="60"/>
      <c r="O194" s="60"/>
      <c r="P194" s="165" t="str">
        <f t="shared" ca="1" si="20"/>
        <v/>
      </c>
      <c r="Q194" s="165" t="str">
        <f t="shared" ca="1" si="21"/>
        <v/>
      </c>
      <c r="R194" s="79"/>
      <c r="S194" s="80"/>
      <c r="T194" s="61">
        <f t="shared" si="22"/>
        <v>0</v>
      </c>
      <c r="U194" s="61">
        <f t="shared" si="23"/>
        <v>0</v>
      </c>
      <c r="V194" s="61">
        <f t="shared" si="24"/>
        <v>0</v>
      </c>
      <c r="W194" s="58"/>
      <c r="X194" s="58"/>
      <c r="Y194" s="53"/>
      <c r="Z194" s="57"/>
      <c r="AA194" s="62"/>
      <c r="AB194" s="62"/>
      <c r="AC194" s="62"/>
      <c r="AD194" s="62"/>
      <c r="AE194" s="62"/>
      <c r="AF194" s="63"/>
      <c r="AG194" s="64" t="str">
        <f t="shared" si="25"/>
        <v/>
      </c>
    </row>
    <row r="195" spans="1:33" x14ac:dyDescent="0.25">
      <c r="A195" s="46" t="str">
        <f>IF(ISBLANK(inbound_data[[#This Row],[Receiving Report ref.'#]]),"",IF(inbound_data[[#This Row],[Ending Quantity]]=0,"ZERO","INV"))</f>
        <v/>
      </c>
      <c r="B195" s="165" t="str">
        <f t="shared" si="19"/>
        <v/>
      </c>
      <c r="C195" s="165" t="str">
        <f>IF(ISBLANK(D195),"",inbound_data[[#This Row],[Pallet_Series]]&amp;inbound_data[[#This Row],[No.]])</f>
        <v/>
      </c>
      <c r="D195" s="54"/>
      <c r="E195" s="55"/>
      <c r="F195" s="56"/>
      <c r="G195" s="57"/>
      <c r="H195" s="53"/>
      <c r="I195" s="53"/>
      <c r="J195" s="55"/>
      <c r="K195" s="58"/>
      <c r="L195" s="59"/>
      <c r="M195" s="55"/>
      <c r="N195" s="60"/>
      <c r="O195" s="60"/>
      <c r="P195" s="165" t="str">
        <f t="shared" ca="1" si="20"/>
        <v/>
      </c>
      <c r="Q195" s="165" t="str">
        <f t="shared" ca="1" si="21"/>
        <v/>
      </c>
      <c r="R195" s="79"/>
      <c r="S195" s="80"/>
      <c r="T195" s="61">
        <f t="shared" si="22"/>
        <v>0</v>
      </c>
      <c r="U195" s="61">
        <f t="shared" si="23"/>
        <v>0</v>
      </c>
      <c r="V195" s="61">
        <f t="shared" si="24"/>
        <v>0</v>
      </c>
      <c r="W195" s="58"/>
      <c r="X195" s="58"/>
      <c r="Y195" s="53"/>
      <c r="Z195" s="57"/>
      <c r="AA195" s="62"/>
      <c r="AB195" s="62"/>
      <c r="AC195" s="62"/>
      <c r="AD195" s="62"/>
      <c r="AE195" s="62"/>
      <c r="AF195" s="63"/>
      <c r="AG195" s="64" t="str">
        <f t="shared" si="25"/>
        <v/>
      </c>
    </row>
    <row r="196" spans="1:33" x14ac:dyDescent="0.25">
      <c r="A196" s="46" t="str">
        <f>IF(ISBLANK(inbound_data[[#This Row],[Receiving Report ref.'#]]),"",IF(inbound_data[[#This Row],[Ending Quantity]]=0,"ZERO","INV"))</f>
        <v/>
      </c>
      <c r="B196" s="165" t="str">
        <f t="shared" si="19"/>
        <v/>
      </c>
      <c r="C196" s="165" t="str">
        <f>IF(ISBLANK(D196),"",inbound_data[[#This Row],[Pallet_Series]]&amp;inbound_data[[#This Row],[No.]])</f>
        <v/>
      </c>
      <c r="D196" s="54"/>
      <c r="E196" s="55"/>
      <c r="F196" s="56"/>
      <c r="G196" s="57"/>
      <c r="H196" s="53"/>
      <c r="I196" s="53"/>
      <c r="J196" s="55"/>
      <c r="K196" s="58"/>
      <c r="L196" s="59"/>
      <c r="M196" s="55"/>
      <c r="N196" s="60"/>
      <c r="O196" s="60"/>
      <c r="P196" s="165" t="str">
        <f t="shared" ca="1" si="20"/>
        <v/>
      </c>
      <c r="Q196" s="165" t="str">
        <f t="shared" ca="1" si="21"/>
        <v/>
      </c>
      <c r="R196" s="79"/>
      <c r="S196" s="80"/>
      <c r="T196" s="61">
        <f t="shared" si="22"/>
        <v>0</v>
      </c>
      <c r="U196" s="61">
        <f t="shared" si="23"/>
        <v>0</v>
      </c>
      <c r="V196" s="61">
        <f t="shared" si="24"/>
        <v>0</v>
      </c>
      <c r="W196" s="58"/>
      <c r="X196" s="58"/>
      <c r="Y196" s="53"/>
      <c r="Z196" s="57"/>
      <c r="AA196" s="62"/>
      <c r="AB196" s="62"/>
      <c r="AC196" s="62"/>
      <c r="AD196" s="62"/>
      <c r="AE196" s="62"/>
      <c r="AF196" s="63"/>
      <c r="AG196" s="64" t="str">
        <f t="shared" si="25"/>
        <v/>
      </c>
    </row>
    <row r="197" spans="1:33" x14ac:dyDescent="0.25">
      <c r="A197" s="46" t="str">
        <f>IF(ISBLANK(inbound_data[[#This Row],[Receiving Report ref.'#]]),"",IF(inbound_data[[#This Row],[Ending Quantity]]=0,"ZERO","INV"))</f>
        <v/>
      </c>
      <c r="B197" s="165" t="str">
        <f t="shared" si="19"/>
        <v/>
      </c>
      <c r="C197" s="165" t="str">
        <f>IF(ISBLANK(D197),"",inbound_data[[#This Row],[Pallet_Series]]&amp;inbound_data[[#This Row],[No.]])</f>
        <v/>
      </c>
      <c r="D197" s="54"/>
      <c r="E197" s="55"/>
      <c r="F197" s="56"/>
      <c r="G197" s="57"/>
      <c r="H197" s="53"/>
      <c r="I197" s="53"/>
      <c r="J197" s="55"/>
      <c r="K197" s="58"/>
      <c r="L197" s="59"/>
      <c r="M197" s="55"/>
      <c r="N197" s="60"/>
      <c r="O197" s="60"/>
      <c r="P197" s="165" t="str">
        <f t="shared" ca="1" si="20"/>
        <v/>
      </c>
      <c r="Q197" s="165" t="str">
        <f t="shared" ca="1" si="21"/>
        <v/>
      </c>
      <c r="R197" s="79"/>
      <c r="S197" s="80"/>
      <c r="T197" s="61">
        <f t="shared" si="22"/>
        <v>0</v>
      </c>
      <c r="U197" s="61">
        <f t="shared" si="23"/>
        <v>0</v>
      </c>
      <c r="V197" s="61">
        <f t="shared" si="24"/>
        <v>0</v>
      </c>
      <c r="W197" s="58"/>
      <c r="X197" s="58"/>
      <c r="Y197" s="53"/>
      <c r="Z197" s="57"/>
      <c r="AA197" s="62"/>
      <c r="AB197" s="62"/>
      <c r="AC197" s="62"/>
      <c r="AD197" s="62"/>
      <c r="AE197" s="62"/>
      <c r="AF197" s="63"/>
      <c r="AG197" s="64" t="str">
        <f t="shared" si="25"/>
        <v/>
      </c>
    </row>
    <row r="198" spans="1:33" x14ac:dyDescent="0.25">
      <c r="A198" s="46" t="str">
        <f>IF(ISBLANK(inbound_data[[#This Row],[Receiving Report ref.'#]]),"",IF(inbound_data[[#This Row],[Ending Quantity]]=0,"ZERO","INV"))</f>
        <v/>
      </c>
      <c r="B198" s="165" t="str">
        <f t="shared" si="19"/>
        <v/>
      </c>
      <c r="C198" s="165" t="str">
        <f>IF(ISBLANK(D198),"",inbound_data[[#This Row],[Pallet_Series]]&amp;inbound_data[[#This Row],[No.]])</f>
        <v/>
      </c>
      <c r="D198" s="54"/>
      <c r="E198" s="55"/>
      <c r="F198" s="56"/>
      <c r="G198" s="57"/>
      <c r="H198" s="53"/>
      <c r="I198" s="53"/>
      <c r="J198" s="55"/>
      <c r="K198" s="58"/>
      <c r="L198" s="59"/>
      <c r="M198" s="55"/>
      <c r="N198" s="60"/>
      <c r="O198" s="60"/>
      <c r="P198" s="165" t="str">
        <f t="shared" ca="1" si="20"/>
        <v/>
      </c>
      <c r="Q198" s="165" t="str">
        <f t="shared" ca="1" si="21"/>
        <v/>
      </c>
      <c r="R198" s="79"/>
      <c r="S198" s="80"/>
      <c r="T198" s="61">
        <f t="shared" si="22"/>
        <v>0</v>
      </c>
      <c r="U198" s="61">
        <f t="shared" si="23"/>
        <v>0</v>
      </c>
      <c r="V198" s="61">
        <f t="shared" si="24"/>
        <v>0</v>
      </c>
      <c r="W198" s="58"/>
      <c r="X198" s="58"/>
      <c r="Y198" s="53"/>
      <c r="Z198" s="57"/>
      <c r="AA198" s="62"/>
      <c r="AB198" s="62"/>
      <c r="AC198" s="62"/>
      <c r="AD198" s="62"/>
      <c r="AE198" s="62"/>
      <c r="AF198" s="63"/>
      <c r="AG198" s="64" t="str">
        <f t="shared" si="25"/>
        <v/>
      </c>
    </row>
    <row r="199" spans="1:33" x14ac:dyDescent="0.25">
      <c r="A199" s="46" t="str">
        <f>IF(ISBLANK(inbound_data[[#This Row],[Receiving Report ref.'#]]),"",IF(inbound_data[[#This Row],[Ending Quantity]]=0,"ZERO","INV"))</f>
        <v/>
      </c>
      <c r="B199" s="165" t="str">
        <f t="shared" si="19"/>
        <v/>
      </c>
      <c r="C199" s="165" t="str">
        <f>IF(ISBLANK(D199),"",inbound_data[[#This Row],[Pallet_Series]]&amp;inbound_data[[#This Row],[No.]])</f>
        <v/>
      </c>
      <c r="D199" s="54"/>
      <c r="E199" s="55"/>
      <c r="F199" s="56"/>
      <c r="G199" s="57"/>
      <c r="H199" s="53"/>
      <c r="I199" s="53"/>
      <c r="J199" s="55"/>
      <c r="K199" s="58"/>
      <c r="L199" s="59"/>
      <c r="M199" s="55"/>
      <c r="N199" s="60"/>
      <c r="O199" s="60"/>
      <c r="P199" s="165" t="str">
        <f t="shared" ca="1" si="20"/>
        <v/>
      </c>
      <c r="Q199" s="165" t="str">
        <f t="shared" ca="1" si="21"/>
        <v/>
      </c>
      <c r="R199" s="79"/>
      <c r="S199" s="80"/>
      <c r="T199" s="61">
        <f t="shared" si="22"/>
        <v>0</v>
      </c>
      <c r="U199" s="61">
        <f t="shared" si="23"/>
        <v>0</v>
      </c>
      <c r="V199" s="61">
        <f t="shared" si="24"/>
        <v>0</v>
      </c>
      <c r="W199" s="58"/>
      <c r="X199" s="58"/>
      <c r="Y199" s="53"/>
      <c r="Z199" s="57"/>
      <c r="AA199" s="62"/>
      <c r="AB199" s="62"/>
      <c r="AC199" s="62"/>
      <c r="AD199" s="62"/>
      <c r="AE199" s="62"/>
      <c r="AF199" s="63"/>
      <c r="AG199" s="64" t="str">
        <f t="shared" si="25"/>
        <v/>
      </c>
    </row>
    <row r="200" spans="1:33" x14ac:dyDescent="0.25">
      <c r="A200" s="46" t="str">
        <f>IF(ISBLANK(inbound_data[[#This Row],[Receiving Report ref.'#]]),"",IF(inbound_data[[#This Row],[Ending Quantity]]=0,"ZERO","INV"))</f>
        <v/>
      </c>
      <c r="B200" s="165" t="str">
        <f t="shared" si="19"/>
        <v/>
      </c>
      <c r="C200" s="165" t="str">
        <f>IF(ISBLANK(D200),"",inbound_data[[#This Row],[Pallet_Series]]&amp;inbound_data[[#This Row],[No.]])</f>
        <v/>
      </c>
      <c r="D200" s="54"/>
      <c r="E200" s="55"/>
      <c r="F200" s="56"/>
      <c r="G200" s="57"/>
      <c r="H200" s="53"/>
      <c r="I200" s="53"/>
      <c r="J200" s="55"/>
      <c r="K200" s="58"/>
      <c r="L200" s="59"/>
      <c r="M200" s="55"/>
      <c r="N200" s="60"/>
      <c r="O200" s="60"/>
      <c r="P200" s="165" t="str">
        <f t="shared" ca="1" si="20"/>
        <v/>
      </c>
      <c r="Q200" s="165" t="str">
        <f t="shared" ca="1" si="21"/>
        <v/>
      </c>
      <c r="R200" s="79"/>
      <c r="S200" s="80"/>
      <c r="T200" s="61">
        <f t="shared" si="22"/>
        <v>0</v>
      </c>
      <c r="U200" s="61">
        <f t="shared" si="23"/>
        <v>0</v>
      </c>
      <c r="V200" s="61">
        <f t="shared" si="24"/>
        <v>0</v>
      </c>
      <c r="W200" s="58"/>
      <c r="X200" s="58"/>
      <c r="Y200" s="53"/>
      <c r="Z200" s="57"/>
      <c r="AA200" s="62"/>
      <c r="AB200" s="62"/>
      <c r="AC200" s="62"/>
      <c r="AD200" s="62"/>
      <c r="AE200" s="62"/>
      <c r="AF200" s="63"/>
      <c r="AG200" s="64" t="str">
        <f t="shared" si="25"/>
        <v/>
      </c>
    </row>
    <row r="201" spans="1:33" x14ac:dyDescent="0.25">
      <c r="A201" s="46" t="str">
        <f>IF(ISBLANK(inbound_data[[#This Row],[Receiving Report ref.'#]]),"",IF(inbound_data[[#This Row],[Ending Quantity]]=0,"ZERO","INV"))</f>
        <v/>
      </c>
      <c r="B201" s="165" t="str">
        <f t="shared" ref="B201:B264" si="26">IF(ISBLANK(D201),"",TEXT(ROW(),"00000"))</f>
        <v/>
      </c>
      <c r="C201" s="165" t="str">
        <f>IF(ISBLANK(D201),"",inbound_data[[#This Row],[Pallet_Series]]&amp;inbound_data[[#This Row],[No.]])</f>
        <v/>
      </c>
      <c r="D201" s="54"/>
      <c r="E201" s="55"/>
      <c r="F201" s="56"/>
      <c r="G201" s="57"/>
      <c r="H201" s="53"/>
      <c r="I201" s="53"/>
      <c r="J201" s="55"/>
      <c r="K201" s="58"/>
      <c r="L201" s="59"/>
      <c r="M201" s="55"/>
      <c r="N201" s="60"/>
      <c r="O201" s="60"/>
      <c r="P201" s="165" t="str">
        <f t="shared" ref="P201:P264" ca="1" si="27">IF(A201="ZERO","",IF(O201="","",O201-TODAY()))</f>
        <v/>
      </c>
      <c r="Q201" s="165" t="str">
        <f t="shared" ref="Q201:Q264" ca="1" si="28">IF(A201="ZERO","",IF(P201&lt;0,"ALREADY EXPIRED",IF(P201&lt;60,"NEARLY EXPIRED","")))</f>
        <v/>
      </c>
      <c r="R201" s="79"/>
      <c r="S201" s="80"/>
      <c r="T201" s="61">
        <f t="shared" ref="T201:T264" si="29">IF(ISBLANK(R201),0,R201-SUMIF(STOCK_CODE_OUT,$C201,QTY_OUT))</f>
        <v>0</v>
      </c>
      <c r="U201" s="61">
        <f t="shared" ref="U201:U264" si="30">IF(ISBLANK(S201),0,S201-SUMIF(STOCK_CODE_OUT,$C201,KILOS_OUT))</f>
        <v>0</v>
      </c>
      <c r="V201" s="61">
        <f t="shared" ref="V201:V264" si="31">IF(ISBLANK(K201),0,K201-SUMIF(STOCK_CODE_OUT,$C201,PALLET_OUT))</f>
        <v>0</v>
      </c>
      <c r="W201" s="58"/>
      <c r="X201" s="58"/>
      <c r="Y201" s="53"/>
      <c r="Z201" s="57"/>
      <c r="AA201" s="62"/>
      <c r="AB201" s="62"/>
      <c r="AC201" s="62"/>
      <c r="AD201" s="62"/>
      <c r="AE201" s="62"/>
      <c r="AF201" s="63"/>
      <c r="AG201" s="64" t="str">
        <f t="shared" ref="AG201:AG264" si="32">IF(T201&gt;0,CONCATENATE(AA201,AB201,TEXT(AC201,"R00"),TEXT(AD201,"L0."),TEXT(AE201,"0")),"")</f>
        <v/>
      </c>
    </row>
    <row r="202" spans="1:33" x14ac:dyDescent="0.25">
      <c r="A202" s="46" t="str">
        <f>IF(ISBLANK(inbound_data[[#This Row],[Receiving Report ref.'#]]),"",IF(inbound_data[[#This Row],[Ending Quantity]]=0,"ZERO","INV"))</f>
        <v/>
      </c>
      <c r="B202" s="165" t="str">
        <f t="shared" si="26"/>
        <v/>
      </c>
      <c r="C202" s="165" t="str">
        <f>IF(ISBLANK(D202),"",inbound_data[[#This Row],[Pallet_Series]]&amp;inbound_data[[#This Row],[No.]])</f>
        <v/>
      </c>
      <c r="D202" s="54"/>
      <c r="E202" s="55"/>
      <c r="F202" s="56"/>
      <c r="G202" s="57"/>
      <c r="H202" s="53"/>
      <c r="I202" s="53"/>
      <c r="J202" s="55"/>
      <c r="K202" s="58"/>
      <c r="L202" s="59"/>
      <c r="M202" s="55"/>
      <c r="N202" s="60"/>
      <c r="O202" s="60"/>
      <c r="P202" s="165" t="str">
        <f t="shared" ca="1" si="27"/>
        <v/>
      </c>
      <c r="Q202" s="165" t="str">
        <f t="shared" ca="1" si="28"/>
        <v/>
      </c>
      <c r="R202" s="79"/>
      <c r="S202" s="80"/>
      <c r="T202" s="61">
        <f t="shared" si="29"/>
        <v>0</v>
      </c>
      <c r="U202" s="61">
        <f t="shared" si="30"/>
        <v>0</v>
      </c>
      <c r="V202" s="61">
        <f t="shared" si="31"/>
        <v>0</v>
      </c>
      <c r="W202" s="58"/>
      <c r="X202" s="58"/>
      <c r="Y202" s="53"/>
      <c r="Z202" s="57"/>
      <c r="AA202" s="62"/>
      <c r="AB202" s="62"/>
      <c r="AC202" s="62"/>
      <c r="AD202" s="62"/>
      <c r="AE202" s="62"/>
      <c r="AF202" s="63"/>
      <c r="AG202" s="64" t="str">
        <f t="shared" si="32"/>
        <v/>
      </c>
    </row>
    <row r="203" spans="1:33" x14ac:dyDescent="0.25">
      <c r="A203" s="46" t="str">
        <f>IF(ISBLANK(inbound_data[[#This Row],[Receiving Report ref.'#]]),"",IF(inbound_data[[#This Row],[Ending Quantity]]=0,"ZERO","INV"))</f>
        <v/>
      </c>
      <c r="B203" s="165" t="str">
        <f t="shared" si="26"/>
        <v/>
      </c>
      <c r="C203" s="165" t="str">
        <f>IF(ISBLANK(D203),"",inbound_data[[#This Row],[Pallet_Series]]&amp;inbound_data[[#This Row],[No.]])</f>
        <v/>
      </c>
      <c r="D203" s="54"/>
      <c r="E203" s="55"/>
      <c r="F203" s="56"/>
      <c r="G203" s="57"/>
      <c r="H203" s="53"/>
      <c r="I203" s="53"/>
      <c r="J203" s="55"/>
      <c r="K203" s="58"/>
      <c r="L203" s="59"/>
      <c r="M203" s="55"/>
      <c r="N203" s="60"/>
      <c r="O203" s="60"/>
      <c r="P203" s="165" t="str">
        <f t="shared" ca="1" si="27"/>
        <v/>
      </c>
      <c r="Q203" s="165" t="str">
        <f t="shared" ca="1" si="28"/>
        <v/>
      </c>
      <c r="R203" s="79"/>
      <c r="S203" s="80"/>
      <c r="T203" s="61">
        <f t="shared" si="29"/>
        <v>0</v>
      </c>
      <c r="U203" s="61">
        <f t="shared" si="30"/>
        <v>0</v>
      </c>
      <c r="V203" s="61">
        <f t="shared" si="31"/>
        <v>0</v>
      </c>
      <c r="W203" s="58"/>
      <c r="X203" s="58"/>
      <c r="Y203" s="53"/>
      <c r="Z203" s="57"/>
      <c r="AA203" s="62"/>
      <c r="AB203" s="62"/>
      <c r="AC203" s="62"/>
      <c r="AD203" s="62"/>
      <c r="AE203" s="62"/>
      <c r="AF203" s="63"/>
      <c r="AG203" s="64" t="str">
        <f t="shared" si="32"/>
        <v/>
      </c>
    </row>
    <row r="204" spans="1:33" x14ac:dyDescent="0.25">
      <c r="A204" s="46" t="str">
        <f>IF(ISBLANK(inbound_data[[#This Row],[Receiving Report ref.'#]]),"",IF(inbound_data[[#This Row],[Ending Quantity]]=0,"ZERO","INV"))</f>
        <v/>
      </c>
      <c r="B204" s="165" t="str">
        <f t="shared" si="26"/>
        <v/>
      </c>
      <c r="C204" s="165" t="str">
        <f>IF(ISBLANK(D204),"",inbound_data[[#This Row],[Pallet_Series]]&amp;inbound_data[[#This Row],[No.]])</f>
        <v/>
      </c>
      <c r="D204" s="54"/>
      <c r="E204" s="55"/>
      <c r="F204" s="56"/>
      <c r="G204" s="57"/>
      <c r="H204" s="53"/>
      <c r="I204" s="53"/>
      <c r="J204" s="55"/>
      <c r="K204" s="58"/>
      <c r="L204" s="59"/>
      <c r="M204" s="55"/>
      <c r="N204" s="60"/>
      <c r="O204" s="60"/>
      <c r="P204" s="165" t="str">
        <f t="shared" ca="1" si="27"/>
        <v/>
      </c>
      <c r="Q204" s="165" t="str">
        <f t="shared" ca="1" si="28"/>
        <v/>
      </c>
      <c r="R204" s="79"/>
      <c r="S204" s="80"/>
      <c r="T204" s="61">
        <f t="shared" si="29"/>
        <v>0</v>
      </c>
      <c r="U204" s="61">
        <f t="shared" si="30"/>
        <v>0</v>
      </c>
      <c r="V204" s="61">
        <f t="shared" si="31"/>
        <v>0</v>
      </c>
      <c r="W204" s="58"/>
      <c r="X204" s="58"/>
      <c r="Y204" s="53"/>
      <c r="Z204" s="57"/>
      <c r="AA204" s="62"/>
      <c r="AB204" s="62"/>
      <c r="AC204" s="62"/>
      <c r="AD204" s="62"/>
      <c r="AE204" s="62"/>
      <c r="AF204" s="63"/>
      <c r="AG204" s="64" t="str">
        <f t="shared" si="32"/>
        <v/>
      </c>
    </row>
    <row r="205" spans="1:33" x14ac:dyDescent="0.25">
      <c r="A205" s="46" t="str">
        <f>IF(ISBLANK(inbound_data[[#This Row],[Receiving Report ref.'#]]),"",IF(inbound_data[[#This Row],[Ending Quantity]]=0,"ZERO","INV"))</f>
        <v/>
      </c>
      <c r="B205" s="165" t="str">
        <f t="shared" si="26"/>
        <v/>
      </c>
      <c r="C205" s="165" t="str">
        <f>IF(ISBLANK(D205),"",inbound_data[[#This Row],[Pallet_Series]]&amp;inbound_data[[#This Row],[No.]])</f>
        <v/>
      </c>
      <c r="D205" s="54"/>
      <c r="E205" s="55"/>
      <c r="F205" s="56"/>
      <c r="G205" s="57"/>
      <c r="H205" s="53"/>
      <c r="I205" s="53"/>
      <c r="J205" s="55"/>
      <c r="K205" s="58"/>
      <c r="L205" s="59"/>
      <c r="M205" s="55"/>
      <c r="N205" s="60"/>
      <c r="O205" s="60"/>
      <c r="P205" s="165" t="str">
        <f t="shared" ca="1" si="27"/>
        <v/>
      </c>
      <c r="Q205" s="165" t="str">
        <f t="shared" ca="1" si="28"/>
        <v/>
      </c>
      <c r="R205" s="79"/>
      <c r="S205" s="80"/>
      <c r="T205" s="61">
        <f t="shared" si="29"/>
        <v>0</v>
      </c>
      <c r="U205" s="61">
        <f t="shared" si="30"/>
        <v>0</v>
      </c>
      <c r="V205" s="61">
        <f t="shared" si="31"/>
        <v>0</v>
      </c>
      <c r="W205" s="58"/>
      <c r="X205" s="58"/>
      <c r="Y205" s="53"/>
      <c r="Z205" s="57"/>
      <c r="AA205" s="62"/>
      <c r="AB205" s="62"/>
      <c r="AC205" s="62"/>
      <c r="AD205" s="62"/>
      <c r="AE205" s="62"/>
      <c r="AF205" s="63"/>
      <c r="AG205" s="64" t="str">
        <f t="shared" si="32"/>
        <v/>
      </c>
    </row>
    <row r="206" spans="1:33" x14ac:dyDescent="0.25">
      <c r="A206" s="46" t="str">
        <f>IF(ISBLANK(inbound_data[[#This Row],[Receiving Report ref.'#]]),"",IF(inbound_data[[#This Row],[Ending Quantity]]=0,"ZERO","INV"))</f>
        <v/>
      </c>
      <c r="B206" s="165" t="str">
        <f t="shared" si="26"/>
        <v/>
      </c>
      <c r="C206" s="165" t="str">
        <f>IF(ISBLANK(D206),"",inbound_data[[#This Row],[Pallet_Series]]&amp;inbound_data[[#This Row],[No.]])</f>
        <v/>
      </c>
      <c r="D206" s="54"/>
      <c r="E206" s="55"/>
      <c r="F206" s="56"/>
      <c r="G206" s="57"/>
      <c r="H206" s="53"/>
      <c r="I206" s="53"/>
      <c r="J206" s="55"/>
      <c r="K206" s="58"/>
      <c r="L206" s="59"/>
      <c r="M206" s="55"/>
      <c r="N206" s="60"/>
      <c r="O206" s="60"/>
      <c r="P206" s="165" t="str">
        <f t="shared" ca="1" si="27"/>
        <v/>
      </c>
      <c r="Q206" s="165" t="str">
        <f t="shared" ca="1" si="28"/>
        <v/>
      </c>
      <c r="R206" s="79"/>
      <c r="S206" s="80"/>
      <c r="T206" s="61">
        <f t="shared" si="29"/>
        <v>0</v>
      </c>
      <c r="U206" s="61">
        <f t="shared" si="30"/>
        <v>0</v>
      </c>
      <c r="V206" s="61">
        <f t="shared" si="31"/>
        <v>0</v>
      </c>
      <c r="W206" s="58"/>
      <c r="X206" s="58"/>
      <c r="Y206" s="53"/>
      <c r="Z206" s="57"/>
      <c r="AA206" s="62"/>
      <c r="AB206" s="62"/>
      <c r="AC206" s="62"/>
      <c r="AD206" s="62"/>
      <c r="AE206" s="62"/>
      <c r="AF206" s="63"/>
      <c r="AG206" s="64" t="str">
        <f t="shared" si="32"/>
        <v/>
      </c>
    </row>
    <row r="207" spans="1:33" x14ac:dyDescent="0.25">
      <c r="A207" s="46" t="str">
        <f>IF(ISBLANK(inbound_data[[#This Row],[Receiving Report ref.'#]]),"",IF(inbound_data[[#This Row],[Ending Quantity]]=0,"ZERO","INV"))</f>
        <v/>
      </c>
      <c r="B207" s="165" t="str">
        <f t="shared" si="26"/>
        <v/>
      </c>
      <c r="C207" s="165" t="str">
        <f>IF(ISBLANK(D207),"",inbound_data[[#This Row],[Pallet_Series]]&amp;inbound_data[[#This Row],[No.]])</f>
        <v/>
      </c>
      <c r="D207" s="54"/>
      <c r="E207" s="55"/>
      <c r="F207" s="56"/>
      <c r="G207" s="57"/>
      <c r="H207" s="53"/>
      <c r="I207" s="53"/>
      <c r="J207" s="55"/>
      <c r="K207" s="58"/>
      <c r="L207" s="59"/>
      <c r="M207" s="55"/>
      <c r="N207" s="60"/>
      <c r="O207" s="60"/>
      <c r="P207" s="165" t="str">
        <f t="shared" ca="1" si="27"/>
        <v/>
      </c>
      <c r="Q207" s="165" t="str">
        <f t="shared" ca="1" si="28"/>
        <v/>
      </c>
      <c r="R207" s="79"/>
      <c r="S207" s="80"/>
      <c r="T207" s="61">
        <f t="shared" si="29"/>
        <v>0</v>
      </c>
      <c r="U207" s="61">
        <f t="shared" si="30"/>
        <v>0</v>
      </c>
      <c r="V207" s="61">
        <f t="shared" si="31"/>
        <v>0</v>
      </c>
      <c r="W207" s="58"/>
      <c r="X207" s="58"/>
      <c r="Y207" s="53"/>
      <c r="Z207" s="57"/>
      <c r="AA207" s="62"/>
      <c r="AB207" s="62"/>
      <c r="AC207" s="62"/>
      <c r="AD207" s="62"/>
      <c r="AE207" s="62"/>
      <c r="AF207" s="63"/>
      <c r="AG207" s="64" t="str">
        <f t="shared" si="32"/>
        <v/>
      </c>
    </row>
    <row r="208" spans="1:33" x14ac:dyDescent="0.25">
      <c r="A208" s="46" t="str">
        <f>IF(ISBLANK(inbound_data[[#This Row],[Receiving Report ref.'#]]),"",IF(inbound_data[[#This Row],[Ending Quantity]]=0,"ZERO","INV"))</f>
        <v/>
      </c>
      <c r="B208" s="165" t="str">
        <f t="shared" si="26"/>
        <v/>
      </c>
      <c r="C208" s="165" t="str">
        <f>IF(ISBLANK(D208),"",inbound_data[[#This Row],[Pallet_Series]]&amp;inbound_data[[#This Row],[No.]])</f>
        <v/>
      </c>
      <c r="D208" s="54"/>
      <c r="E208" s="55"/>
      <c r="F208" s="56"/>
      <c r="G208" s="57"/>
      <c r="H208" s="53"/>
      <c r="I208" s="53"/>
      <c r="J208" s="55"/>
      <c r="K208" s="58"/>
      <c r="L208" s="59"/>
      <c r="M208" s="55"/>
      <c r="N208" s="60"/>
      <c r="O208" s="60"/>
      <c r="P208" s="165" t="str">
        <f t="shared" ca="1" si="27"/>
        <v/>
      </c>
      <c r="Q208" s="165" t="str">
        <f t="shared" ca="1" si="28"/>
        <v/>
      </c>
      <c r="R208" s="79"/>
      <c r="S208" s="80"/>
      <c r="T208" s="61">
        <f t="shared" si="29"/>
        <v>0</v>
      </c>
      <c r="U208" s="61">
        <f t="shared" si="30"/>
        <v>0</v>
      </c>
      <c r="V208" s="61">
        <f t="shared" si="31"/>
        <v>0</v>
      </c>
      <c r="W208" s="58"/>
      <c r="X208" s="58"/>
      <c r="Y208" s="53"/>
      <c r="Z208" s="57"/>
      <c r="AA208" s="62"/>
      <c r="AB208" s="62"/>
      <c r="AC208" s="62"/>
      <c r="AD208" s="62"/>
      <c r="AE208" s="62"/>
      <c r="AF208" s="63"/>
      <c r="AG208" s="64" t="str">
        <f t="shared" si="32"/>
        <v/>
      </c>
    </row>
    <row r="209" spans="1:33" x14ac:dyDescent="0.25">
      <c r="A209" s="46" t="str">
        <f>IF(ISBLANK(inbound_data[[#This Row],[Receiving Report ref.'#]]),"",IF(inbound_data[[#This Row],[Ending Quantity]]=0,"ZERO","INV"))</f>
        <v/>
      </c>
      <c r="B209" s="165" t="str">
        <f t="shared" si="26"/>
        <v/>
      </c>
      <c r="C209" s="165" t="str">
        <f>IF(ISBLANK(D209),"",inbound_data[[#This Row],[Pallet_Series]]&amp;inbound_data[[#This Row],[No.]])</f>
        <v/>
      </c>
      <c r="D209" s="54"/>
      <c r="E209" s="55"/>
      <c r="F209" s="56"/>
      <c r="G209" s="57"/>
      <c r="H209" s="53"/>
      <c r="I209" s="53"/>
      <c r="J209" s="55"/>
      <c r="K209" s="58"/>
      <c r="L209" s="59"/>
      <c r="M209" s="55"/>
      <c r="N209" s="60"/>
      <c r="O209" s="60"/>
      <c r="P209" s="165" t="str">
        <f t="shared" ca="1" si="27"/>
        <v/>
      </c>
      <c r="Q209" s="165" t="str">
        <f t="shared" ca="1" si="28"/>
        <v/>
      </c>
      <c r="R209" s="79"/>
      <c r="S209" s="80"/>
      <c r="T209" s="61">
        <f t="shared" si="29"/>
        <v>0</v>
      </c>
      <c r="U209" s="61">
        <f t="shared" si="30"/>
        <v>0</v>
      </c>
      <c r="V209" s="61">
        <f t="shared" si="31"/>
        <v>0</v>
      </c>
      <c r="W209" s="58"/>
      <c r="X209" s="58"/>
      <c r="Y209" s="53"/>
      <c r="Z209" s="57"/>
      <c r="AA209" s="62"/>
      <c r="AB209" s="62"/>
      <c r="AC209" s="62"/>
      <c r="AD209" s="62"/>
      <c r="AE209" s="62"/>
      <c r="AF209" s="63"/>
      <c r="AG209" s="64" t="str">
        <f t="shared" si="32"/>
        <v/>
      </c>
    </row>
    <row r="210" spans="1:33" x14ac:dyDescent="0.25">
      <c r="A210" s="46" t="str">
        <f>IF(ISBLANK(inbound_data[[#This Row],[Receiving Report ref.'#]]),"",IF(inbound_data[[#This Row],[Ending Quantity]]=0,"ZERO","INV"))</f>
        <v/>
      </c>
      <c r="B210" s="165" t="str">
        <f t="shared" si="26"/>
        <v/>
      </c>
      <c r="C210" s="165" t="str">
        <f>IF(ISBLANK(D210),"",inbound_data[[#This Row],[Pallet_Series]]&amp;inbound_data[[#This Row],[No.]])</f>
        <v/>
      </c>
      <c r="D210" s="54"/>
      <c r="E210" s="55"/>
      <c r="F210" s="56"/>
      <c r="G210" s="57"/>
      <c r="H210" s="53"/>
      <c r="I210" s="53"/>
      <c r="J210" s="55"/>
      <c r="K210" s="58"/>
      <c r="L210" s="59"/>
      <c r="M210" s="55"/>
      <c r="N210" s="60"/>
      <c r="O210" s="60"/>
      <c r="P210" s="165" t="str">
        <f t="shared" ca="1" si="27"/>
        <v/>
      </c>
      <c r="Q210" s="165" t="str">
        <f t="shared" ca="1" si="28"/>
        <v/>
      </c>
      <c r="R210" s="79"/>
      <c r="S210" s="80"/>
      <c r="T210" s="61">
        <f t="shared" si="29"/>
        <v>0</v>
      </c>
      <c r="U210" s="61">
        <f t="shared" si="30"/>
        <v>0</v>
      </c>
      <c r="V210" s="61">
        <f t="shared" si="31"/>
        <v>0</v>
      </c>
      <c r="W210" s="58"/>
      <c r="X210" s="58"/>
      <c r="Y210" s="53"/>
      <c r="Z210" s="57"/>
      <c r="AA210" s="62"/>
      <c r="AB210" s="62"/>
      <c r="AC210" s="62"/>
      <c r="AD210" s="62"/>
      <c r="AE210" s="62"/>
      <c r="AF210" s="63"/>
      <c r="AG210" s="64" t="str">
        <f t="shared" si="32"/>
        <v/>
      </c>
    </row>
    <row r="211" spans="1:33" x14ac:dyDescent="0.25">
      <c r="A211" s="46" t="str">
        <f>IF(ISBLANK(inbound_data[[#This Row],[Receiving Report ref.'#]]),"",IF(inbound_data[[#This Row],[Ending Quantity]]=0,"ZERO","INV"))</f>
        <v/>
      </c>
      <c r="B211" s="165" t="str">
        <f t="shared" si="26"/>
        <v/>
      </c>
      <c r="C211" s="165" t="str">
        <f>IF(ISBLANK(D211),"",inbound_data[[#This Row],[Pallet_Series]]&amp;inbound_data[[#This Row],[No.]])</f>
        <v/>
      </c>
      <c r="D211" s="54"/>
      <c r="E211" s="55"/>
      <c r="F211" s="56"/>
      <c r="G211" s="57"/>
      <c r="H211" s="53"/>
      <c r="I211" s="53"/>
      <c r="J211" s="55"/>
      <c r="K211" s="58"/>
      <c r="L211" s="59"/>
      <c r="M211" s="55"/>
      <c r="N211" s="60"/>
      <c r="O211" s="60"/>
      <c r="P211" s="165" t="str">
        <f t="shared" ca="1" si="27"/>
        <v/>
      </c>
      <c r="Q211" s="165" t="str">
        <f t="shared" ca="1" si="28"/>
        <v/>
      </c>
      <c r="R211" s="79"/>
      <c r="S211" s="80"/>
      <c r="T211" s="61">
        <f t="shared" si="29"/>
        <v>0</v>
      </c>
      <c r="U211" s="61">
        <f t="shared" si="30"/>
        <v>0</v>
      </c>
      <c r="V211" s="61">
        <f t="shared" si="31"/>
        <v>0</v>
      </c>
      <c r="W211" s="58"/>
      <c r="X211" s="58"/>
      <c r="Y211" s="53"/>
      <c r="Z211" s="57"/>
      <c r="AA211" s="62"/>
      <c r="AB211" s="62"/>
      <c r="AC211" s="62"/>
      <c r="AD211" s="62"/>
      <c r="AE211" s="62"/>
      <c r="AF211" s="63"/>
      <c r="AG211" s="64" t="str">
        <f t="shared" si="32"/>
        <v/>
      </c>
    </row>
    <row r="212" spans="1:33" x14ac:dyDescent="0.25">
      <c r="A212" s="46" t="str">
        <f>IF(ISBLANK(inbound_data[[#This Row],[Receiving Report ref.'#]]),"",IF(inbound_data[[#This Row],[Ending Quantity]]=0,"ZERO","INV"))</f>
        <v/>
      </c>
      <c r="B212" s="165" t="str">
        <f t="shared" si="26"/>
        <v/>
      </c>
      <c r="C212" s="165" t="str">
        <f>IF(ISBLANK(D212),"",inbound_data[[#This Row],[Pallet_Series]]&amp;inbound_data[[#This Row],[No.]])</f>
        <v/>
      </c>
      <c r="D212" s="54"/>
      <c r="E212" s="55"/>
      <c r="F212" s="56"/>
      <c r="G212" s="57"/>
      <c r="H212" s="53"/>
      <c r="I212" s="53"/>
      <c r="J212" s="55"/>
      <c r="K212" s="58"/>
      <c r="L212" s="59"/>
      <c r="M212" s="55"/>
      <c r="N212" s="60"/>
      <c r="O212" s="60"/>
      <c r="P212" s="165" t="str">
        <f t="shared" ca="1" si="27"/>
        <v/>
      </c>
      <c r="Q212" s="165" t="str">
        <f t="shared" ca="1" si="28"/>
        <v/>
      </c>
      <c r="R212" s="79"/>
      <c r="S212" s="80"/>
      <c r="T212" s="61">
        <f t="shared" si="29"/>
        <v>0</v>
      </c>
      <c r="U212" s="61">
        <f t="shared" si="30"/>
        <v>0</v>
      </c>
      <c r="V212" s="61">
        <f t="shared" si="31"/>
        <v>0</v>
      </c>
      <c r="W212" s="58"/>
      <c r="X212" s="58"/>
      <c r="Y212" s="53"/>
      <c r="Z212" s="57"/>
      <c r="AA212" s="62"/>
      <c r="AB212" s="62"/>
      <c r="AC212" s="62"/>
      <c r="AD212" s="62"/>
      <c r="AE212" s="62"/>
      <c r="AF212" s="63"/>
      <c r="AG212" s="64" t="str">
        <f t="shared" si="32"/>
        <v/>
      </c>
    </row>
    <row r="213" spans="1:33" x14ac:dyDescent="0.25">
      <c r="A213" s="46" t="str">
        <f>IF(ISBLANK(inbound_data[[#This Row],[Receiving Report ref.'#]]),"",IF(inbound_data[[#This Row],[Ending Quantity]]=0,"ZERO","INV"))</f>
        <v/>
      </c>
      <c r="B213" s="165" t="str">
        <f t="shared" si="26"/>
        <v/>
      </c>
      <c r="C213" s="165" t="str">
        <f>IF(ISBLANK(D213),"",inbound_data[[#This Row],[Pallet_Series]]&amp;inbound_data[[#This Row],[No.]])</f>
        <v/>
      </c>
      <c r="D213" s="54"/>
      <c r="E213" s="55"/>
      <c r="F213" s="56"/>
      <c r="G213" s="57"/>
      <c r="H213" s="53"/>
      <c r="I213" s="53"/>
      <c r="J213" s="55"/>
      <c r="K213" s="58"/>
      <c r="L213" s="59"/>
      <c r="M213" s="55"/>
      <c r="N213" s="60"/>
      <c r="O213" s="60"/>
      <c r="P213" s="165" t="str">
        <f t="shared" ca="1" si="27"/>
        <v/>
      </c>
      <c r="Q213" s="165" t="str">
        <f t="shared" ca="1" si="28"/>
        <v/>
      </c>
      <c r="R213" s="79"/>
      <c r="S213" s="80"/>
      <c r="T213" s="61">
        <f t="shared" si="29"/>
        <v>0</v>
      </c>
      <c r="U213" s="61">
        <f t="shared" si="30"/>
        <v>0</v>
      </c>
      <c r="V213" s="61">
        <f t="shared" si="31"/>
        <v>0</v>
      </c>
      <c r="W213" s="58"/>
      <c r="X213" s="58"/>
      <c r="Y213" s="53"/>
      <c r="Z213" s="57"/>
      <c r="AA213" s="62"/>
      <c r="AB213" s="62"/>
      <c r="AC213" s="62"/>
      <c r="AD213" s="62"/>
      <c r="AE213" s="62"/>
      <c r="AF213" s="63"/>
      <c r="AG213" s="64" t="str">
        <f t="shared" si="32"/>
        <v/>
      </c>
    </row>
    <row r="214" spans="1:33" x14ac:dyDescent="0.25">
      <c r="A214" s="46" t="str">
        <f>IF(ISBLANK(inbound_data[[#This Row],[Receiving Report ref.'#]]),"",IF(inbound_data[[#This Row],[Ending Quantity]]=0,"ZERO","INV"))</f>
        <v/>
      </c>
      <c r="B214" s="165" t="str">
        <f t="shared" si="26"/>
        <v/>
      </c>
      <c r="C214" s="165" t="str">
        <f>IF(ISBLANK(D214),"",inbound_data[[#This Row],[Pallet_Series]]&amp;inbound_data[[#This Row],[No.]])</f>
        <v/>
      </c>
      <c r="D214" s="54"/>
      <c r="E214" s="55"/>
      <c r="F214" s="56"/>
      <c r="G214" s="57"/>
      <c r="H214" s="53"/>
      <c r="I214" s="53"/>
      <c r="J214" s="55"/>
      <c r="K214" s="58"/>
      <c r="L214" s="59"/>
      <c r="M214" s="55"/>
      <c r="N214" s="60"/>
      <c r="O214" s="60"/>
      <c r="P214" s="165" t="str">
        <f t="shared" ca="1" si="27"/>
        <v/>
      </c>
      <c r="Q214" s="165" t="str">
        <f t="shared" ca="1" si="28"/>
        <v/>
      </c>
      <c r="R214" s="79"/>
      <c r="S214" s="80"/>
      <c r="T214" s="61">
        <f t="shared" si="29"/>
        <v>0</v>
      </c>
      <c r="U214" s="61">
        <f t="shared" si="30"/>
        <v>0</v>
      </c>
      <c r="V214" s="61">
        <f t="shared" si="31"/>
        <v>0</v>
      </c>
      <c r="W214" s="58"/>
      <c r="X214" s="58"/>
      <c r="Y214" s="53"/>
      <c r="Z214" s="57"/>
      <c r="AA214" s="62"/>
      <c r="AB214" s="62"/>
      <c r="AC214" s="62"/>
      <c r="AD214" s="62"/>
      <c r="AE214" s="62"/>
      <c r="AF214" s="63"/>
      <c r="AG214" s="64" t="str">
        <f t="shared" si="32"/>
        <v/>
      </c>
    </row>
    <row r="215" spans="1:33" x14ac:dyDescent="0.25">
      <c r="A215" s="46" t="str">
        <f>IF(ISBLANK(inbound_data[[#This Row],[Receiving Report ref.'#]]),"",IF(inbound_data[[#This Row],[Ending Quantity]]=0,"ZERO","INV"))</f>
        <v/>
      </c>
      <c r="B215" s="165" t="str">
        <f t="shared" si="26"/>
        <v/>
      </c>
      <c r="C215" s="165" t="str">
        <f>IF(ISBLANK(D215),"",inbound_data[[#This Row],[Pallet_Series]]&amp;inbound_data[[#This Row],[No.]])</f>
        <v/>
      </c>
      <c r="D215" s="54"/>
      <c r="E215" s="55"/>
      <c r="F215" s="56"/>
      <c r="G215" s="57"/>
      <c r="H215" s="53"/>
      <c r="I215" s="53"/>
      <c r="J215" s="55"/>
      <c r="K215" s="58"/>
      <c r="L215" s="59"/>
      <c r="M215" s="55"/>
      <c r="N215" s="60"/>
      <c r="O215" s="60"/>
      <c r="P215" s="165" t="str">
        <f t="shared" ca="1" si="27"/>
        <v/>
      </c>
      <c r="Q215" s="165" t="str">
        <f t="shared" ca="1" si="28"/>
        <v/>
      </c>
      <c r="R215" s="79"/>
      <c r="S215" s="80"/>
      <c r="T215" s="61">
        <f t="shared" si="29"/>
        <v>0</v>
      </c>
      <c r="U215" s="61">
        <f t="shared" si="30"/>
        <v>0</v>
      </c>
      <c r="V215" s="61">
        <f t="shared" si="31"/>
        <v>0</v>
      </c>
      <c r="W215" s="58"/>
      <c r="X215" s="58"/>
      <c r="Y215" s="53"/>
      <c r="Z215" s="57"/>
      <c r="AA215" s="62"/>
      <c r="AB215" s="62"/>
      <c r="AC215" s="62"/>
      <c r="AD215" s="62"/>
      <c r="AE215" s="62"/>
      <c r="AF215" s="63"/>
      <c r="AG215" s="64" t="str">
        <f t="shared" si="32"/>
        <v/>
      </c>
    </row>
    <row r="216" spans="1:33" x14ac:dyDescent="0.25">
      <c r="A216" s="46" t="str">
        <f>IF(ISBLANK(inbound_data[[#This Row],[Receiving Report ref.'#]]),"",IF(inbound_data[[#This Row],[Ending Quantity]]=0,"ZERO","INV"))</f>
        <v/>
      </c>
      <c r="B216" s="165" t="str">
        <f t="shared" si="26"/>
        <v/>
      </c>
      <c r="C216" s="165" t="str">
        <f>IF(ISBLANK(D216),"",inbound_data[[#This Row],[Pallet_Series]]&amp;inbound_data[[#This Row],[No.]])</f>
        <v/>
      </c>
      <c r="D216" s="54"/>
      <c r="E216" s="55"/>
      <c r="F216" s="56"/>
      <c r="G216" s="57"/>
      <c r="H216" s="53"/>
      <c r="I216" s="53"/>
      <c r="J216" s="55"/>
      <c r="K216" s="58"/>
      <c r="L216" s="59"/>
      <c r="M216" s="55"/>
      <c r="N216" s="60"/>
      <c r="O216" s="60"/>
      <c r="P216" s="165" t="str">
        <f t="shared" ca="1" si="27"/>
        <v/>
      </c>
      <c r="Q216" s="165" t="str">
        <f t="shared" ca="1" si="28"/>
        <v/>
      </c>
      <c r="R216" s="79"/>
      <c r="S216" s="80"/>
      <c r="T216" s="61">
        <f t="shared" si="29"/>
        <v>0</v>
      </c>
      <c r="U216" s="61">
        <f t="shared" si="30"/>
        <v>0</v>
      </c>
      <c r="V216" s="61">
        <f t="shared" si="31"/>
        <v>0</v>
      </c>
      <c r="W216" s="58"/>
      <c r="X216" s="58"/>
      <c r="Y216" s="53"/>
      <c r="Z216" s="57"/>
      <c r="AA216" s="62"/>
      <c r="AB216" s="62"/>
      <c r="AC216" s="62"/>
      <c r="AD216" s="62"/>
      <c r="AE216" s="62"/>
      <c r="AF216" s="63"/>
      <c r="AG216" s="64" t="str">
        <f t="shared" si="32"/>
        <v/>
      </c>
    </row>
    <row r="217" spans="1:33" x14ac:dyDescent="0.25">
      <c r="A217" s="46" t="str">
        <f>IF(ISBLANK(inbound_data[[#This Row],[Receiving Report ref.'#]]),"",IF(inbound_data[[#This Row],[Ending Quantity]]=0,"ZERO","INV"))</f>
        <v/>
      </c>
      <c r="B217" s="165" t="str">
        <f t="shared" si="26"/>
        <v/>
      </c>
      <c r="C217" s="165" t="str">
        <f>IF(ISBLANK(D217),"",inbound_data[[#This Row],[Pallet_Series]]&amp;inbound_data[[#This Row],[No.]])</f>
        <v/>
      </c>
      <c r="D217" s="54"/>
      <c r="E217" s="55"/>
      <c r="F217" s="56"/>
      <c r="G217" s="57"/>
      <c r="H217" s="53"/>
      <c r="I217" s="53"/>
      <c r="J217" s="55"/>
      <c r="K217" s="58"/>
      <c r="L217" s="59"/>
      <c r="M217" s="55"/>
      <c r="N217" s="60"/>
      <c r="O217" s="60"/>
      <c r="P217" s="165" t="str">
        <f t="shared" ca="1" si="27"/>
        <v/>
      </c>
      <c r="Q217" s="165" t="str">
        <f t="shared" ca="1" si="28"/>
        <v/>
      </c>
      <c r="R217" s="79"/>
      <c r="S217" s="80"/>
      <c r="T217" s="61">
        <f t="shared" si="29"/>
        <v>0</v>
      </c>
      <c r="U217" s="61">
        <f t="shared" si="30"/>
        <v>0</v>
      </c>
      <c r="V217" s="61">
        <f t="shared" si="31"/>
        <v>0</v>
      </c>
      <c r="W217" s="58"/>
      <c r="X217" s="58"/>
      <c r="Y217" s="53"/>
      <c r="Z217" s="57"/>
      <c r="AA217" s="62"/>
      <c r="AB217" s="62"/>
      <c r="AC217" s="62"/>
      <c r="AD217" s="62"/>
      <c r="AE217" s="62"/>
      <c r="AF217" s="63"/>
      <c r="AG217" s="64" t="str">
        <f t="shared" si="32"/>
        <v/>
      </c>
    </row>
    <row r="218" spans="1:33" x14ac:dyDescent="0.25">
      <c r="A218" s="46" t="str">
        <f>IF(ISBLANK(inbound_data[[#This Row],[Receiving Report ref.'#]]),"",IF(inbound_data[[#This Row],[Ending Quantity]]=0,"ZERO","INV"))</f>
        <v/>
      </c>
      <c r="B218" s="165" t="str">
        <f t="shared" si="26"/>
        <v/>
      </c>
      <c r="C218" s="165" t="str">
        <f>IF(ISBLANK(D218),"",inbound_data[[#This Row],[Pallet_Series]]&amp;inbound_data[[#This Row],[No.]])</f>
        <v/>
      </c>
      <c r="D218" s="54"/>
      <c r="E218" s="55"/>
      <c r="F218" s="56"/>
      <c r="G218" s="57"/>
      <c r="H218" s="53"/>
      <c r="I218" s="53"/>
      <c r="J218" s="55"/>
      <c r="K218" s="58"/>
      <c r="L218" s="59"/>
      <c r="M218" s="55"/>
      <c r="N218" s="60"/>
      <c r="O218" s="60"/>
      <c r="P218" s="165" t="str">
        <f t="shared" ca="1" si="27"/>
        <v/>
      </c>
      <c r="Q218" s="165" t="str">
        <f t="shared" ca="1" si="28"/>
        <v/>
      </c>
      <c r="R218" s="79"/>
      <c r="S218" s="80"/>
      <c r="T218" s="61">
        <f t="shared" si="29"/>
        <v>0</v>
      </c>
      <c r="U218" s="61">
        <f t="shared" si="30"/>
        <v>0</v>
      </c>
      <c r="V218" s="61">
        <f t="shared" si="31"/>
        <v>0</v>
      </c>
      <c r="W218" s="58"/>
      <c r="X218" s="58"/>
      <c r="Y218" s="53"/>
      <c r="Z218" s="57"/>
      <c r="AA218" s="62"/>
      <c r="AB218" s="62"/>
      <c r="AC218" s="62"/>
      <c r="AD218" s="62"/>
      <c r="AE218" s="62"/>
      <c r="AF218" s="63"/>
      <c r="AG218" s="64" t="str">
        <f t="shared" si="32"/>
        <v/>
      </c>
    </row>
    <row r="219" spans="1:33" x14ac:dyDescent="0.25">
      <c r="A219" s="46" t="str">
        <f>IF(ISBLANK(inbound_data[[#This Row],[Receiving Report ref.'#]]),"",IF(inbound_data[[#This Row],[Ending Quantity]]=0,"ZERO","INV"))</f>
        <v/>
      </c>
      <c r="B219" s="165" t="str">
        <f t="shared" si="26"/>
        <v/>
      </c>
      <c r="C219" s="165" t="str">
        <f>IF(ISBLANK(D219),"",inbound_data[[#This Row],[Pallet_Series]]&amp;inbound_data[[#This Row],[No.]])</f>
        <v/>
      </c>
      <c r="D219" s="54"/>
      <c r="E219" s="55"/>
      <c r="F219" s="56"/>
      <c r="G219" s="57"/>
      <c r="H219" s="53"/>
      <c r="I219" s="53"/>
      <c r="J219" s="55"/>
      <c r="K219" s="58"/>
      <c r="L219" s="59"/>
      <c r="M219" s="55"/>
      <c r="N219" s="60"/>
      <c r="O219" s="60"/>
      <c r="P219" s="165" t="str">
        <f t="shared" ca="1" si="27"/>
        <v/>
      </c>
      <c r="Q219" s="165" t="str">
        <f t="shared" ca="1" si="28"/>
        <v/>
      </c>
      <c r="R219" s="79"/>
      <c r="S219" s="80"/>
      <c r="T219" s="61">
        <f t="shared" si="29"/>
        <v>0</v>
      </c>
      <c r="U219" s="61">
        <f t="shared" si="30"/>
        <v>0</v>
      </c>
      <c r="V219" s="61">
        <f t="shared" si="31"/>
        <v>0</v>
      </c>
      <c r="W219" s="58"/>
      <c r="X219" s="58"/>
      <c r="Y219" s="53"/>
      <c r="Z219" s="57"/>
      <c r="AA219" s="62"/>
      <c r="AB219" s="62"/>
      <c r="AC219" s="62"/>
      <c r="AD219" s="62"/>
      <c r="AE219" s="62"/>
      <c r="AF219" s="63"/>
      <c r="AG219" s="64" t="str">
        <f t="shared" si="32"/>
        <v/>
      </c>
    </row>
    <row r="220" spans="1:33" x14ac:dyDescent="0.25">
      <c r="A220" s="46" t="str">
        <f>IF(ISBLANK(inbound_data[[#This Row],[Receiving Report ref.'#]]),"",IF(inbound_data[[#This Row],[Ending Quantity]]=0,"ZERO","INV"))</f>
        <v/>
      </c>
      <c r="B220" s="165" t="str">
        <f t="shared" si="26"/>
        <v/>
      </c>
      <c r="C220" s="165" t="str">
        <f>IF(ISBLANK(D220),"",inbound_data[[#This Row],[Pallet_Series]]&amp;inbound_data[[#This Row],[No.]])</f>
        <v/>
      </c>
      <c r="D220" s="54"/>
      <c r="E220" s="55"/>
      <c r="F220" s="56"/>
      <c r="G220" s="57"/>
      <c r="H220" s="53"/>
      <c r="I220" s="53"/>
      <c r="J220" s="55"/>
      <c r="K220" s="58"/>
      <c r="L220" s="59"/>
      <c r="M220" s="55"/>
      <c r="N220" s="60"/>
      <c r="O220" s="60"/>
      <c r="P220" s="165" t="str">
        <f t="shared" ca="1" si="27"/>
        <v/>
      </c>
      <c r="Q220" s="165" t="str">
        <f t="shared" ca="1" si="28"/>
        <v/>
      </c>
      <c r="R220" s="79"/>
      <c r="S220" s="80"/>
      <c r="T220" s="61">
        <f t="shared" si="29"/>
        <v>0</v>
      </c>
      <c r="U220" s="61">
        <f t="shared" si="30"/>
        <v>0</v>
      </c>
      <c r="V220" s="61">
        <f t="shared" si="31"/>
        <v>0</v>
      </c>
      <c r="W220" s="58"/>
      <c r="X220" s="58"/>
      <c r="Y220" s="53"/>
      <c r="Z220" s="57"/>
      <c r="AA220" s="62"/>
      <c r="AB220" s="62"/>
      <c r="AC220" s="62"/>
      <c r="AD220" s="62"/>
      <c r="AE220" s="62"/>
      <c r="AF220" s="63"/>
      <c r="AG220" s="64" t="str">
        <f t="shared" si="32"/>
        <v/>
      </c>
    </row>
    <row r="221" spans="1:33" x14ac:dyDescent="0.25">
      <c r="A221" s="46" t="str">
        <f>IF(ISBLANK(inbound_data[[#This Row],[Receiving Report ref.'#]]),"",IF(inbound_data[[#This Row],[Ending Quantity]]=0,"ZERO","INV"))</f>
        <v/>
      </c>
      <c r="B221" s="165" t="str">
        <f t="shared" si="26"/>
        <v/>
      </c>
      <c r="C221" s="165" t="str">
        <f>IF(ISBLANK(D221),"",inbound_data[[#This Row],[Pallet_Series]]&amp;inbound_data[[#This Row],[No.]])</f>
        <v/>
      </c>
      <c r="D221" s="54"/>
      <c r="E221" s="55"/>
      <c r="F221" s="56"/>
      <c r="G221" s="57"/>
      <c r="H221" s="53"/>
      <c r="I221" s="53"/>
      <c r="J221" s="55"/>
      <c r="K221" s="58"/>
      <c r="L221" s="59"/>
      <c r="M221" s="55"/>
      <c r="N221" s="60"/>
      <c r="O221" s="60"/>
      <c r="P221" s="165" t="str">
        <f t="shared" ca="1" si="27"/>
        <v/>
      </c>
      <c r="Q221" s="165" t="str">
        <f t="shared" ca="1" si="28"/>
        <v/>
      </c>
      <c r="R221" s="79"/>
      <c r="S221" s="80"/>
      <c r="T221" s="61">
        <f t="shared" si="29"/>
        <v>0</v>
      </c>
      <c r="U221" s="61">
        <f t="shared" si="30"/>
        <v>0</v>
      </c>
      <c r="V221" s="61">
        <f t="shared" si="31"/>
        <v>0</v>
      </c>
      <c r="W221" s="58"/>
      <c r="X221" s="58"/>
      <c r="Y221" s="53"/>
      <c r="Z221" s="57"/>
      <c r="AA221" s="62"/>
      <c r="AB221" s="62"/>
      <c r="AC221" s="62"/>
      <c r="AD221" s="62"/>
      <c r="AE221" s="62"/>
      <c r="AF221" s="63"/>
      <c r="AG221" s="64" t="str">
        <f t="shared" si="32"/>
        <v/>
      </c>
    </row>
    <row r="222" spans="1:33" x14ac:dyDescent="0.25">
      <c r="A222" s="46" t="str">
        <f>IF(ISBLANK(inbound_data[[#This Row],[Receiving Report ref.'#]]),"",IF(inbound_data[[#This Row],[Ending Quantity]]=0,"ZERO","INV"))</f>
        <v/>
      </c>
      <c r="B222" s="165" t="str">
        <f t="shared" si="26"/>
        <v/>
      </c>
      <c r="C222" s="165" t="str">
        <f>IF(ISBLANK(D222),"",inbound_data[[#This Row],[Pallet_Series]]&amp;inbound_data[[#This Row],[No.]])</f>
        <v/>
      </c>
      <c r="D222" s="54"/>
      <c r="E222" s="55"/>
      <c r="F222" s="56"/>
      <c r="G222" s="57"/>
      <c r="H222" s="53"/>
      <c r="I222" s="53"/>
      <c r="J222" s="55"/>
      <c r="K222" s="58"/>
      <c r="L222" s="59"/>
      <c r="M222" s="55"/>
      <c r="N222" s="60"/>
      <c r="O222" s="60"/>
      <c r="P222" s="165" t="str">
        <f t="shared" ca="1" si="27"/>
        <v/>
      </c>
      <c r="Q222" s="165" t="str">
        <f t="shared" ca="1" si="28"/>
        <v/>
      </c>
      <c r="R222" s="79"/>
      <c r="S222" s="80"/>
      <c r="T222" s="61">
        <f t="shared" si="29"/>
        <v>0</v>
      </c>
      <c r="U222" s="61">
        <f t="shared" si="30"/>
        <v>0</v>
      </c>
      <c r="V222" s="61">
        <f t="shared" si="31"/>
        <v>0</v>
      </c>
      <c r="W222" s="58"/>
      <c r="X222" s="58"/>
      <c r="Y222" s="53"/>
      <c r="Z222" s="57"/>
      <c r="AA222" s="62"/>
      <c r="AB222" s="62"/>
      <c r="AC222" s="62"/>
      <c r="AD222" s="62"/>
      <c r="AE222" s="62"/>
      <c r="AF222" s="63"/>
      <c r="AG222" s="64" t="str">
        <f t="shared" si="32"/>
        <v/>
      </c>
    </row>
    <row r="223" spans="1:33" x14ac:dyDescent="0.25">
      <c r="A223" s="46" t="str">
        <f>IF(ISBLANK(inbound_data[[#This Row],[Receiving Report ref.'#]]),"",IF(inbound_data[[#This Row],[Ending Quantity]]=0,"ZERO","INV"))</f>
        <v/>
      </c>
      <c r="B223" s="165" t="str">
        <f t="shared" si="26"/>
        <v/>
      </c>
      <c r="C223" s="165" t="str">
        <f>IF(ISBLANK(D223),"",inbound_data[[#This Row],[Pallet_Series]]&amp;inbound_data[[#This Row],[No.]])</f>
        <v/>
      </c>
      <c r="D223" s="54"/>
      <c r="E223" s="55"/>
      <c r="F223" s="56"/>
      <c r="G223" s="57"/>
      <c r="H223" s="53"/>
      <c r="I223" s="53"/>
      <c r="J223" s="55"/>
      <c r="K223" s="58"/>
      <c r="L223" s="59"/>
      <c r="M223" s="55"/>
      <c r="N223" s="60"/>
      <c r="O223" s="60"/>
      <c r="P223" s="165" t="str">
        <f t="shared" ca="1" si="27"/>
        <v/>
      </c>
      <c r="Q223" s="165" t="str">
        <f t="shared" ca="1" si="28"/>
        <v/>
      </c>
      <c r="R223" s="79"/>
      <c r="S223" s="80"/>
      <c r="T223" s="61">
        <f t="shared" si="29"/>
        <v>0</v>
      </c>
      <c r="U223" s="61">
        <f t="shared" si="30"/>
        <v>0</v>
      </c>
      <c r="V223" s="61">
        <f t="shared" si="31"/>
        <v>0</v>
      </c>
      <c r="W223" s="58"/>
      <c r="X223" s="58"/>
      <c r="Y223" s="53"/>
      <c r="Z223" s="57"/>
      <c r="AA223" s="62"/>
      <c r="AB223" s="62"/>
      <c r="AC223" s="62"/>
      <c r="AD223" s="62"/>
      <c r="AE223" s="62"/>
      <c r="AF223" s="63"/>
      <c r="AG223" s="64" t="str">
        <f t="shared" si="32"/>
        <v/>
      </c>
    </row>
    <row r="224" spans="1:33" x14ac:dyDescent="0.25">
      <c r="A224" s="46" t="str">
        <f>IF(ISBLANK(inbound_data[[#This Row],[Receiving Report ref.'#]]),"",IF(inbound_data[[#This Row],[Ending Quantity]]=0,"ZERO","INV"))</f>
        <v/>
      </c>
      <c r="B224" s="165" t="str">
        <f t="shared" si="26"/>
        <v/>
      </c>
      <c r="C224" s="165" t="str">
        <f>IF(ISBLANK(D224),"",inbound_data[[#This Row],[Pallet_Series]]&amp;inbound_data[[#This Row],[No.]])</f>
        <v/>
      </c>
      <c r="D224" s="54"/>
      <c r="E224" s="55"/>
      <c r="F224" s="56"/>
      <c r="G224" s="57"/>
      <c r="H224" s="53"/>
      <c r="I224" s="53"/>
      <c r="J224" s="55"/>
      <c r="K224" s="58"/>
      <c r="L224" s="59"/>
      <c r="M224" s="55"/>
      <c r="N224" s="60"/>
      <c r="O224" s="60"/>
      <c r="P224" s="165" t="str">
        <f t="shared" ca="1" si="27"/>
        <v/>
      </c>
      <c r="Q224" s="165" t="str">
        <f t="shared" ca="1" si="28"/>
        <v/>
      </c>
      <c r="R224" s="79"/>
      <c r="S224" s="80"/>
      <c r="T224" s="61">
        <f t="shared" si="29"/>
        <v>0</v>
      </c>
      <c r="U224" s="61">
        <f t="shared" si="30"/>
        <v>0</v>
      </c>
      <c r="V224" s="61">
        <f t="shared" si="31"/>
        <v>0</v>
      </c>
      <c r="W224" s="58"/>
      <c r="X224" s="58"/>
      <c r="Y224" s="53"/>
      <c r="Z224" s="57"/>
      <c r="AA224" s="62"/>
      <c r="AB224" s="62"/>
      <c r="AC224" s="62"/>
      <c r="AD224" s="62"/>
      <c r="AE224" s="62"/>
      <c r="AF224" s="63"/>
      <c r="AG224" s="64" t="str">
        <f t="shared" si="32"/>
        <v/>
      </c>
    </row>
    <row r="225" spans="1:33" x14ac:dyDescent="0.25">
      <c r="A225" s="46" t="str">
        <f>IF(ISBLANK(inbound_data[[#This Row],[Receiving Report ref.'#]]),"",IF(inbound_data[[#This Row],[Ending Quantity]]=0,"ZERO","INV"))</f>
        <v/>
      </c>
      <c r="B225" s="165" t="str">
        <f t="shared" si="26"/>
        <v/>
      </c>
      <c r="C225" s="165" t="str">
        <f>IF(ISBLANK(D225),"",inbound_data[[#This Row],[Pallet_Series]]&amp;inbound_data[[#This Row],[No.]])</f>
        <v/>
      </c>
      <c r="D225" s="54"/>
      <c r="E225" s="55"/>
      <c r="F225" s="56"/>
      <c r="G225" s="57"/>
      <c r="H225" s="53"/>
      <c r="I225" s="53"/>
      <c r="J225" s="55"/>
      <c r="K225" s="58"/>
      <c r="L225" s="59"/>
      <c r="M225" s="55"/>
      <c r="N225" s="60"/>
      <c r="O225" s="60"/>
      <c r="P225" s="165" t="str">
        <f t="shared" ca="1" si="27"/>
        <v/>
      </c>
      <c r="Q225" s="165" t="str">
        <f t="shared" ca="1" si="28"/>
        <v/>
      </c>
      <c r="R225" s="79"/>
      <c r="S225" s="80"/>
      <c r="T225" s="61">
        <f t="shared" si="29"/>
        <v>0</v>
      </c>
      <c r="U225" s="61">
        <f t="shared" si="30"/>
        <v>0</v>
      </c>
      <c r="V225" s="61">
        <f t="shared" si="31"/>
        <v>0</v>
      </c>
      <c r="W225" s="58"/>
      <c r="X225" s="58"/>
      <c r="Y225" s="53"/>
      <c r="Z225" s="57"/>
      <c r="AA225" s="62"/>
      <c r="AB225" s="62"/>
      <c r="AC225" s="62"/>
      <c r="AD225" s="62"/>
      <c r="AE225" s="62"/>
      <c r="AF225" s="63"/>
      <c r="AG225" s="64" t="str">
        <f t="shared" si="32"/>
        <v/>
      </c>
    </row>
    <row r="226" spans="1:33" x14ac:dyDescent="0.25">
      <c r="A226" s="46" t="str">
        <f>IF(ISBLANK(inbound_data[[#This Row],[Receiving Report ref.'#]]),"",IF(inbound_data[[#This Row],[Ending Quantity]]=0,"ZERO","INV"))</f>
        <v/>
      </c>
      <c r="B226" s="165" t="str">
        <f t="shared" si="26"/>
        <v/>
      </c>
      <c r="C226" s="165" t="str">
        <f>IF(ISBLANK(D226),"",inbound_data[[#This Row],[Pallet_Series]]&amp;inbound_data[[#This Row],[No.]])</f>
        <v/>
      </c>
      <c r="D226" s="54"/>
      <c r="E226" s="55"/>
      <c r="F226" s="56"/>
      <c r="G226" s="57"/>
      <c r="H226" s="53"/>
      <c r="I226" s="53"/>
      <c r="J226" s="55"/>
      <c r="K226" s="58"/>
      <c r="L226" s="59"/>
      <c r="M226" s="55"/>
      <c r="N226" s="60"/>
      <c r="O226" s="60"/>
      <c r="P226" s="165" t="str">
        <f t="shared" ca="1" si="27"/>
        <v/>
      </c>
      <c r="Q226" s="165" t="str">
        <f t="shared" ca="1" si="28"/>
        <v/>
      </c>
      <c r="R226" s="79"/>
      <c r="S226" s="80"/>
      <c r="T226" s="61">
        <f t="shared" si="29"/>
        <v>0</v>
      </c>
      <c r="U226" s="61">
        <f t="shared" si="30"/>
        <v>0</v>
      </c>
      <c r="V226" s="61">
        <f t="shared" si="31"/>
        <v>0</v>
      </c>
      <c r="W226" s="58"/>
      <c r="X226" s="58"/>
      <c r="Y226" s="53"/>
      <c r="Z226" s="57"/>
      <c r="AA226" s="62"/>
      <c r="AB226" s="62"/>
      <c r="AC226" s="62"/>
      <c r="AD226" s="62"/>
      <c r="AE226" s="62"/>
      <c r="AF226" s="63"/>
      <c r="AG226" s="64" t="str">
        <f t="shared" si="32"/>
        <v/>
      </c>
    </row>
    <row r="227" spans="1:33" x14ac:dyDescent="0.25">
      <c r="A227" s="46" t="str">
        <f>IF(ISBLANK(inbound_data[[#This Row],[Receiving Report ref.'#]]),"",IF(inbound_data[[#This Row],[Ending Quantity]]=0,"ZERO","INV"))</f>
        <v/>
      </c>
      <c r="B227" s="165" t="str">
        <f t="shared" si="26"/>
        <v/>
      </c>
      <c r="C227" s="165" t="str">
        <f>IF(ISBLANK(D227),"",inbound_data[[#This Row],[Pallet_Series]]&amp;inbound_data[[#This Row],[No.]])</f>
        <v/>
      </c>
      <c r="D227" s="54"/>
      <c r="E227" s="55"/>
      <c r="F227" s="56"/>
      <c r="G227" s="57"/>
      <c r="H227" s="53"/>
      <c r="I227" s="53"/>
      <c r="J227" s="55"/>
      <c r="K227" s="58"/>
      <c r="L227" s="59"/>
      <c r="M227" s="55"/>
      <c r="N227" s="60"/>
      <c r="O227" s="60"/>
      <c r="P227" s="165" t="str">
        <f t="shared" ca="1" si="27"/>
        <v/>
      </c>
      <c r="Q227" s="165" t="str">
        <f t="shared" ca="1" si="28"/>
        <v/>
      </c>
      <c r="R227" s="79"/>
      <c r="S227" s="80"/>
      <c r="T227" s="61">
        <f t="shared" si="29"/>
        <v>0</v>
      </c>
      <c r="U227" s="61">
        <f t="shared" si="30"/>
        <v>0</v>
      </c>
      <c r="V227" s="61">
        <f t="shared" si="31"/>
        <v>0</v>
      </c>
      <c r="W227" s="58"/>
      <c r="X227" s="58"/>
      <c r="Y227" s="53"/>
      <c r="Z227" s="57"/>
      <c r="AA227" s="62"/>
      <c r="AB227" s="62"/>
      <c r="AC227" s="62"/>
      <c r="AD227" s="62"/>
      <c r="AE227" s="62"/>
      <c r="AF227" s="63"/>
      <c r="AG227" s="64" t="str">
        <f t="shared" si="32"/>
        <v/>
      </c>
    </row>
    <row r="228" spans="1:33" x14ac:dyDescent="0.25">
      <c r="A228" s="46" t="str">
        <f>IF(ISBLANK(inbound_data[[#This Row],[Receiving Report ref.'#]]),"",IF(inbound_data[[#This Row],[Ending Quantity]]=0,"ZERO","INV"))</f>
        <v/>
      </c>
      <c r="B228" s="165" t="str">
        <f t="shared" si="26"/>
        <v/>
      </c>
      <c r="C228" s="165" t="str">
        <f>IF(ISBLANK(D228),"",inbound_data[[#This Row],[Pallet_Series]]&amp;inbound_data[[#This Row],[No.]])</f>
        <v/>
      </c>
      <c r="D228" s="54"/>
      <c r="E228" s="55"/>
      <c r="F228" s="56"/>
      <c r="G228" s="57"/>
      <c r="H228" s="53"/>
      <c r="I228" s="53"/>
      <c r="J228" s="55"/>
      <c r="K228" s="58"/>
      <c r="L228" s="59"/>
      <c r="M228" s="55"/>
      <c r="N228" s="60"/>
      <c r="O228" s="60"/>
      <c r="P228" s="165" t="str">
        <f t="shared" ca="1" si="27"/>
        <v/>
      </c>
      <c r="Q228" s="165" t="str">
        <f t="shared" ca="1" si="28"/>
        <v/>
      </c>
      <c r="R228" s="79"/>
      <c r="S228" s="80"/>
      <c r="T228" s="61">
        <f t="shared" si="29"/>
        <v>0</v>
      </c>
      <c r="U228" s="61">
        <f t="shared" si="30"/>
        <v>0</v>
      </c>
      <c r="V228" s="61">
        <f t="shared" si="31"/>
        <v>0</v>
      </c>
      <c r="W228" s="58"/>
      <c r="X228" s="58"/>
      <c r="Y228" s="53"/>
      <c r="Z228" s="57"/>
      <c r="AA228" s="62"/>
      <c r="AB228" s="62"/>
      <c r="AC228" s="62"/>
      <c r="AD228" s="62"/>
      <c r="AE228" s="62"/>
      <c r="AF228" s="63"/>
      <c r="AG228" s="64" t="str">
        <f t="shared" si="32"/>
        <v/>
      </c>
    </row>
    <row r="229" spans="1:33" x14ac:dyDescent="0.25">
      <c r="A229" s="46" t="str">
        <f>IF(ISBLANK(inbound_data[[#This Row],[Receiving Report ref.'#]]),"",IF(inbound_data[[#This Row],[Ending Quantity]]=0,"ZERO","INV"))</f>
        <v/>
      </c>
      <c r="B229" s="165" t="str">
        <f t="shared" si="26"/>
        <v/>
      </c>
      <c r="C229" s="165" t="str">
        <f>IF(ISBLANK(D229),"",inbound_data[[#This Row],[Pallet_Series]]&amp;inbound_data[[#This Row],[No.]])</f>
        <v/>
      </c>
      <c r="D229" s="54"/>
      <c r="E229" s="55"/>
      <c r="F229" s="56"/>
      <c r="G229" s="57"/>
      <c r="H229" s="53"/>
      <c r="I229" s="53"/>
      <c r="J229" s="55"/>
      <c r="K229" s="58"/>
      <c r="L229" s="59"/>
      <c r="M229" s="55"/>
      <c r="N229" s="60"/>
      <c r="O229" s="60"/>
      <c r="P229" s="165" t="str">
        <f t="shared" ca="1" si="27"/>
        <v/>
      </c>
      <c r="Q229" s="165" t="str">
        <f t="shared" ca="1" si="28"/>
        <v/>
      </c>
      <c r="R229" s="79"/>
      <c r="S229" s="80"/>
      <c r="T229" s="61">
        <f t="shared" si="29"/>
        <v>0</v>
      </c>
      <c r="U229" s="61">
        <f t="shared" si="30"/>
        <v>0</v>
      </c>
      <c r="V229" s="61">
        <f t="shared" si="31"/>
        <v>0</v>
      </c>
      <c r="W229" s="58"/>
      <c r="X229" s="58"/>
      <c r="Y229" s="53"/>
      <c r="Z229" s="57"/>
      <c r="AA229" s="62"/>
      <c r="AB229" s="62"/>
      <c r="AC229" s="62"/>
      <c r="AD229" s="62"/>
      <c r="AE229" s="62"/>
      <c r="AF229" s="63"/>
      <c r="AG229" s="64" t="str">
        <f t="shared" si="32"/>
        <v/>
      </c>
    </row>
    <row r="230" spans="1:33" x14ac:dyDescent="0.25">
      <c r="A230" s="46" t="str">
        <f>IF(ISBLANK(inbound_data[[#This Row],[Receiving Report ref.'#]]),"",IF(inbound_data[[#This Row],[Ending Quantity]]=0,"ZERO","INV"))</f>
        <v/>
      </c>
      <c r="B230" s="165" t="str">
        <f t="shared" si="26"/>
        <v/>
      </c>
      <c r="C230" s="165" t="str">
        <f>IF(ISBLANK(D230),"",inbound_data[[#This Row],[Pallet_Series]]&amp;inbound_data[[#This Row],[No.]])</f>
        <v/>
      </c>
      <c r="D230" s="54"/>
      <c r="E230" s="55"/>
      <c r="F230" s="56"/>
      <c r="G230" s="57"/>
      <c r="H230" s="53"/>
      <c r="I230" s="53"/>
      <c r="J230" s="55"/>
      <c r="K230" s="58"/>
      <c r="L230" s="59"/>
      <c r="M230" s="55"/>
      <c r="N230" s="60"/>
      <c r="O230" s="60"/>
      <c r="P230" s="165" t="str">
        <f t="shared" ca="1" si="27"/>
        <v/>
      </c>
      <c r="Q230" s="165" t="str">
        <f t="shared" ca="1" si="28"/>
        <v/>
      </c>
      <c r="R230" s="79"/>
      <c r="S230" s="80"/>
      <c r="T230" s="61">
        <f t="shared" si="29"/>
        <v>0</v>
      </c>
      <c r="U230" s="61">
        <f t="shared" si="30"/>
        <v>0</v>
      </c>
      <c r="V230" s="61">
        <f t="shared" si="31"/>
        <v>0</v>
      </c>
      <c r="W230" s="58"/>
      <c r="X230" s="58"/>
      <c r="Y230" s="53"/>
      <c r="Z230" s="57"/>
      <c r="AA230" s="62"/>
      <c r="AB230" s="62"/>
      <c r="AC230" s="62"/>
      <c r="AD230" s="62"/>
      <c r="AE230" s="62"/>
      <c r="AF230" s="63"/>
      <c r="AG230" s="64" t="str">
        <f t="shared" si="32"/>
        <v/>
      </c>
    </row>
    <row r="231" spans="1:33" x14ac:dyDescent="0.25">
      <c r="A231" s="46" t="str">
        <f>IF(ISBLANK(inbound_data[[#This Row],[Receiving Report ref.'#]]),"",IF(inbound_data[[#This Row],[Ending Quantity]]=0,"ZERO","INV"))</f>
        <v/>
      </c>
      <c r="B231" s="165" t="str">
        <f t="shared" si="26"/>
        <v/>
      </c>
      <c r="C231" s="165" t="str">
        <f>IF(ISBLANK(D231),"",inbound_data[[#This Row],[Pallet_Series]]&amp;inbound_data[[#This Row],[No.]])</f>
        <v/>
      </c>
      <c r="D231" s="54"/>
      <c r="E231" s="55"/>
      <c r="F231" s="56"/>
      <c r="G231" s="57"/>
      <c r="H231" s="53"/>
      <c r="I231" s="53"/>
      <c r="J231" s="55"/>
      <c r="K231" s="58"/>
      <c r="L231" s="59"/>
      <c r="M231" s="55"/>
      <c r="N231" s="60"/>
      <c r="O231" s="60"/>
      <c r="P231" s="165" t="str">
        <f t="shared" ca="1" si="27"/>
        <v/>
      </c>
      <c r="Q231" s="165" t="str">
        <f t="shared" ca="1" si="28"/>
        <v/>
      </c>
      <c r="R231" s="79"/>
      <c r="S231" s="80"/>
      <c r="T231" s="61">
        <f t="shared" si="29"/>
        <v>0</v>
      </c>
      <c r="U231" s="61">
        <f t="shared" si="30"/>
        <v>0</v>
      </c>
      <c r="V231" s="61">
        <f t="shared" si="31"/>
        <v>0</v>
      </c>
      <c r="W231" s="58"/>
      <c r="X231" s="58"/>
      <c r="Y231" s="53"/>
      <c r="Z231" s="57"/>
      <c r="AA231" s="62"/>
      <c r="AB231" s="62"/>
      <c r="AC231" s="62"/>
      <c r="AD231" s="62"/>
      <c r="AE231" s="62"/>
      <c r="AF231" s="63"/>
      <c r="AG231" s="64" t="str">
        <f t="shared" si="32"/>
        <v/>
      </c>
    </row>
    <row r="232" spans="1:33" x14ac:dyDescent="0.25">
      <c r="A232" s="46" t="str">
        <f>IF(ISBLANK(inbound_data[[#This Row],[Receiving Report ref.'#]]),"",IF(inbound_data[[#This Row],[Ending Quantity]]=0,"ZERO","INV"))</f>
        <v/>
      </c>
      <c r="B232" s="165" t="str">
        <f t="shared" si="26"/>
        <v/>
      </c>
      <c r="C232" s="165" t="str">
        <f>IF(ISBLANK(D232),"",inbound_data[[#This Row],[Pallet_Series]]&amp;inbound_data[[#This Row],[No.]])</f>
        <v/>
      </c>
      <c r="D232" s="54"/>
      <c r="E232" s="55"/>
      <c r="F232" s="56"/>
      <c r="G232" s="57"/>
      <c r="H232" s="53"/>
      <c r="I232" s="53"/>
      <c r="J232" s="55"/>
      <c r="K232" s="58"/>
      <c r="L232" s="59"/>
      <c r="M232" s="55"/>
      <c r="N232" s="60"/>
      <c r="O232" s="60"/>
      <c r="P232" s="165" t="str">
        <f t="shared" ca="1" si="27"/>
        <v/>
      </c>
      <c r="Q232" s="165" t="str">
        <f t="shared" ca="1" si="28"/>
        <v/>
      </c>
      <c r="R232" s="79"/>
      <c r="S232" s="80"/>
      <c r="T232" s="61">
        <f t="shared" si="29"/>
        <v>0</v>
      </c>
      <c r="U232" s="61">
        <f t="shared" si="30"/>
        <v>0</v>
      </c>
      <c r="V232" s="61">
        <f t="shared" si="31"/>
        <v>0</v>
      </c>
      <c r="W232" s="58"/>
      <c r="X232" s="58"/>
      <c r="Y232" s="53"/>
      <c r="Z232" s="57"/>
      <c r="AA232" s="62"/>
      <c r="AB232" s="62"/>
      <c r="AC232" s="62"/>
      <c r="AD232" s="62"/>
      <c r="AE232" s="62"/>
      <c r="AF232" s="63"/>
      <c r="AG232" s="64" t="str">
        <f t="shared" si="32"/>
        <v/>
      </c>
    </row>
    <row r="233" spans="1:33" x14ac:dyDescent="0.25">
      <c r="A233" s="46" t="str">
        <f>IF(ISBLANK(inbound_data[[#This Row],[Receiving Report ref.'#]]),"",IF(inbound_data[[#This Row],[Ending Quantity]]=0,"ZERO","INV"))</f>
        <v/>
      </c>
      <c r="B233" s="165" t="str">
        <f t="shared" si="26"/>
        <v/>
      </c>
      <c r="C233" s="165" t="str">
        <f>IF(ISBLANK(D233),"",inbound_data[[#This Row],[Pallet_Series]]&amp;inbound_data[[#This Row],[No.]])</f>
        <v/>
      </c>
      <c r="D233" s="54"/>
      <c r="E233" s="55"/>
      <c r="F233" s="56"/>
      <c r="G233" s="57"/>
      <c r="H233" s="53"/>
      <c r="I233" s="53"/>
      <c r="J233" s="55"/>
      <c r="K233" s="58"/>
      <c r="L233" s="59"/>
      <c r="M233" s="55"/>
      <c r="N233" s="60"/>
      <c r="O233" s="60"/>
      <c r="P233" s="165" t="str">
        <f t="shared" ca="1" si="27"/>
        <v/>
      </c>
      <c r="Q233" s="165" t="str">
        <f t="shared" ca="1" si="28"/>
        <v/>
      </c>
      <c r="R233" s="79"/>
      <c r="S233" s="80"/>
      <c r="T233" s="61">
        <f t="shared" si="29"/>
        <v>0</v>
      </c>
      <c r="U233" s="61">
        <f t="shared" si="30"/>
        <v>0</v>
      </c>
      <c r="V233" s="61">
        <f t="shared" si="31"/>
        <v>0</v>
      </c>
      <c r="W233" s="58"/>
      <c r="X233" s="58"/>
      <c r="Y233" s="53"/>
      <c r="Z233" s="57"/>
      <c r="AA233" s="62"/>
      <c r="AB233" s="62"/>
      <c r="AC233" s="62"/>
      <c r="AD233" s="62"/>
      <c r="AE233" s="62"/>
      <c r="AF233" s="63"/>
      <c r="AG233" s="64" t="str">
        <f t="shared" si="32"/>
        <v/>
      </c>
    </row>
    <row r="234" spans="1:33" x14ac:dyDescent="0.25">
      <c r="A234" s="46" t="str">
        <f>IF(ISBLANK(inbound_data[[#This Row],[Receiving Report ref.'#]]),"",IF(inbound_data[[#This Row],[Ending Quantity]]=0,"ZERO","INV"))</f>
        <v/>
      </c>
      <c r="B234" s="165" t="str">
        <f t="shared" si="26"/>
        <v/>
      </c>
      <c r="C234" s="165" t="str">
        <f>IF(ISBLANK(D234),"",inbound_data[[#This Row],[Pallet_Series]]&amp;inbound_data[[#This Row],[No.]])</f>
        <v/>
      </c>
      <c r="D234" s="54"/>
      <c r="E234" s="55"/>
      <c r="F234" s="56"/>
      <c r="G234" s="57"/>
      <c r="H234" s="53"/>
      <c r="I234" s="53"/>
      <c r="J234" s="55"/>
      <c r="K234" s="58"/>
      <c r="L234" s="59"/>
      <c r="M234" s="55"/>
      <c r="N234" s="60"/>
      <c r="O234" s="60"/>
      <c r="P234" s="165" t="str">
        <f t="shared" ca="1" si="27"/>
        <v/>
      </c>
      <c r="Q234" s="165" t="str">
        <f t="shared" ca="1" si="28"/>
        <v/>
      </c>
      <c r="R234" s="79"/>
      <c r="S234" s="80"/>
      <c r="T234" s="61">
        <f t="shared" si="29"/>
        <v>0</v>
      </c>
      <c r="U234" s="61">
        <f t="shared" si="30"/>
        <v>0</v>
      </c>
      <c r="V234" s="61">
        <f t="shared" si="31"/>
        <v>0</v>
      </c>
      <c r="W234" s="58"/>
      <c r="X234" s="58"/>
      <c r="Y234" s="53"/>
      <c r="Z234" s="57"/>
      <c r="AA234" s="62"/>
      <c r="AB234" s="62"/>
      <c r="AC234" s="62"/>
      <c r="AD234" s="62"/>
      <c r="AE234" s="62"/>
      <c r="AF234" s="63"/>
      <c r="AG234" s="64" t="str">
        <f t="shared" si="32"/>
        <v/>
      </c>
    </row>
    <row r="235" spans="1:33" x14ac:dyDescent="0.25">
      <c r="A235" s="46" t="str">
        <f>IF(ISBLANK(inbound_data[[#This Row],[Receiving Report ref.'#]]),"",IF(inbound_data[[#This Row],[Ending Quantity]]=0,"ZERO","INV"))</f>
        <v/>
      </c>
      <c r="B235" s="165" t="str">
        <f t="shared" si="26"/>
        <v/>
      </c>
      <c r="C235" s="165" t="str">
        <f>IF(ISBLANK(D235),"",inbound_data[[#This Row],[Pallet_Series]]&amp;inbound_data[[#This Row],[No.]])</f>
        <v/>
      </c>
      <c r="D235" s="54"/>
      <c r="E235" s="55"/>
      <c r="F235" s="56"/>
      <c r="G235" s="57"/>
      <c r="H235" s="53"/>
      <c r="I235" s="53"/>
      <c r="J235" s="55"/>
      <c r="K235" s="58"/>
      <c r="L235" s="59"/>
      <c r="M235" s="55"/>
      <c r="N235" s="60"/>
      <c r="O235" s="60"/>
      <c r="P235" s="165" t="str">
        <f t="shared" ca="1" si="27"/>
        <v/>
      </c>
      <c r="Q235" s="165" t="str">
        <f t="shared" ca="1" si="28"/>
        <v/>
      </c>
      <c r="R235" s="79"/>
      <c r="S235" s="80"/>
      <c r="T235" s="61">
        <f t="shared" si="29"/>
        <v>0</v>
      </c>
      <c r="U235" s="61">
        <f t="shared" si="30"/>
        <v>0</v>
      </c>
      <c r="V235" s="61">
        <f t="shared" si="31"/>
        <v>0</v>
      </c>
      <c r="W235" s="58"/>
      <c r="X235" s="58"/>
      <c r="Y235" s="53"/>
      <c r="Z235" s="57"/>
      <c r="AA235" s="62"/>
      <c r="AB235" s="62"/>
      <c r="AC235" s="62"/>
      <c r="AD235" s="62"/>
      <c r="AE235" s="62"/>
      <c r="AF235" s="63"/>
      <c r="AG235" s="64" t="str">
        <f t="shared" si="32"/>
        <v/>
      </c>
    </row>
    <row r="236" spans="1:33" x14ac:dyDescent="0.25">
      <c r="A236" s="46" t="str">
        <f>IF(ISBLANK(inbound_data[[#This Row],[Receiving Report ref.'#]]),"",IF(inbound_data[[#This Row],[Ending Quantity]]=0,"ZERO","INV"))</f>
        <v/>
      </c>
      <c r="B236" s="165" t="str">
        <f t="shared" si="26"/>
        <v/>
      </c>
      <c r="C236" s="165" t="str">
        <f>IF(ISBLANK(D236),"",inbound_data[[#This Row],[Pallet_Series]]&amp;inbound_data[[#This Row],[No.]])</f>
        <v/>
      </c>
      <c r="D236" s="54"/>
      <c r="E236" s="55"/>
      <c r="F236" s="56"/>
      <c r="G236" s="57"/>
      <c r="H236" s="53"/>
      <c r="I236" s="53"/>
      <c r="J236" s="55"/>
      <c r="K236" s="58"/>
      <c r="L236" s="59"/>
      <c r="M236" s="55"/>
      <c r="N236" s="60"/>
      <c r="O236" s="60"/>
      <c r="P236" s="165" t="str">
        <f t="shared" ca="1" si="27"/>
        <v/>
      </c>
      <c r="Q236" s="165" t="str">
        <f t="shared" ca="1" si="28"/>
        <v/>
      </c>
      <c r="R236" s="79"/>
      <c r="S236" s="80"/>
      <c r="T236" s="61">
        <f t="shared" si="29"/>
        <v>0</v>
      </c>
      <c r="U236" s="61">
        <f t="shared" si="30"/>
        <v>0</v>
      </c>
      <c r="V236" s="61">
        <f t="shared" si="31"/>
        <v>0</v>
      </c>
      <c r="W236" s="58"/>
      <c r="X236" s="58"/>
      <c r="Y236" s="53"/>
      <c r="Z236" s="57"/>
      <c r="AA236" s="62"/>
      <c r="AB236" s="62"/>
      <c r="AC236" s="62"/>
      <c r="AD236" s="62"/>
      <c r="AE236" s="62"/>
      <c r="AF236" s="63"/>
      <c r="AG236" s="64" t="str">
        <f t="shared" si="32"/>
        <v/>
      </c>
    </row>
    <row r="237" spans="1:33" x14ac:dyDescent="0.25">
      <c r="A237" s="46" t="str">
        <f>IF(ISBLANK(inbound_data[[#This Row],[Receiving Report ref.'#]]),"",IF(inbound_data[[#This Row],[Ending Quantity]]=0,"ZERO","INV"))</f>
        <v/>
      </c>
      <c r="B237" s="165" t="str">
        <f t="shared" si="26"/>
        <v/>
      </c>
      <c r="C237" s="165" t="str">
        <f>IF(ISBLANK(D237),"",inbound_data[[#This Row],[Pallet_Series]]&amp;inbound_data[[#This Row],[No.]])</f>
        <v/>
      </c>
      <c r="D237" s="54"/>
      <c r="E237" s="55"/>
      <c r="F237" s="56"/>
      <c r="G237" s="57"/>
      <c r="H237" s="53"/>
      <c r="I237" s="53"/>
      <c r="J237" s="55"/>
      <c r="K237" s="58"/>
      <c r="L237" s="59"/>
      <c r="M237" s="55"/>
      <c r="N237" s="60"/>
      <c r="O237" s="60"/>
      <c r="P237" s="165" t="str">
        <f t="shared" ca="1" si="27"/>
        <v/>
      </c>
      <c r="Q237" s="165" t="str">
        <f t="shared" ca="1" si="28"/>
        <v/>
      </c>
      <c r="R237" s="79"/>
      <c r="S237" s="80"/>
      <c r="T237" s="61">
        <f t="shared" si="29"/>
        <v>0</v>
      </c>
      <c r="U237" s="61">
        <f t="shared" si="30"/>
        <v>0</v>
      </c>
      <c r="V237" s="61">
        <f t="shared" si="31"/>
        <v>0</v>
      </c>
      <c r="W237" s="58"/>
      <c r="X237" s="58"/>
      <c r="Y237" s="53"/>
      <c r="Z237" s="57"/>
      <c r="AA237" s="62"/>
      <c r="AB237" s="62"/>
      <c r="AC237" s="62"/>
      <c r="AD237" s="62"/>
      <c r="AE237" s="62"/>
      <c r="AF237" s="63"/>
      <c r="AG237" s="64" t="str">
        <f t="shared" si="32"/>
        <v/>
      </c>
    </row>
    <row r="238" spans="1:33" x14ac:dyDescent="0.25">
      <c r="A238" s="46" t="str">
        <f>IF(ISBLANK(inbound_data[[#This Row],[Receiving Report ref.'#]]),"",IF(inbound_data[[#This Row],[Ending Quantity]]=0,"ZERO","INV"))</f>
        <v/>
      </c>
      <c r="B238" s="165" t="str">
        <f t="shared" si="26"/>
        <v/>
      </c>
      <c r="C238" s="165" t="str">
        <f>IF(ISBLANK(D238),"",inbound_data[[#This Row],[Pallet_Series]]&amp;inbound_data[[#This Row],[No.]])</f>
        <v/>
      </c>
      <c r="D238" s="54"/>
      <c r="E238" s="55"/>
      <c r="F238" s="56"/>
      <c r="G238" s="57"/>
      <c r="H238" s="53"/>
      <c r="I238" s="53"/>
      <c r="J238" s="55"/>
      <c r="K238" s="58"/>
      <c r="L238" s="59"/>
      <c r="M238" s="55"/>
      <c r="N238" s="60"/>
      <c r="O238" s="60"/>
      <c r="P238" s="165" t="str">
        <f t="shared" ca="1" si="27"/>
        <v/>
      </c>
      <c r="Q238" s="165" t="str">
        <f t="shared" ca="1" si="28"/>
        <v/>
      </c>
      <c r="R238" s="79"/>
      <c r="S238" s="80"/>
      <c r="T238" s="61">
        <f t="shared" si="29"/>
        <v>0</v>
      </c>
      <c r="U238" s="61">
        <f t="shared" si="30"/>
        <v>0</v>
      </c>
      <c r="V238" s="61">
        <f t="shared" si="31"/>
        <v>0</v>
      </c>
      <c r="W238" s="58"/>
      <c r="X238" s="58"/>
      <c r="Y238" s="53"/>
      <c r="Z238" s="57"/>
      <c r="AA238" s="62"/>
      <c r="AB238" s="62"/>
      <c r="AC238" s="62"/>
      <c r="AD238" s="62"/>
      <c r="AE238" s="62"/>
      <c r="AF238" s="63"/>
      <c r="AG238" s="64" t="str">
        <f t="shared" si="32"/>
        <v/>
      </c>
    </row>
    <row r="239" spans="1:33" x14ac:dyDescent="0.25">
      <c r="A239" s="46" t="str">
        <f>IF(ISBLANK(inbound_data[[#This Row],[Receiving Report ref.'#]]),"",IF(inbound_data[[#This Row],[Ending Quantity]]=0,"ZERO","INV"))</f>
        <v/>
      </c>
      <c r="B239" s="165" t="str">
        <f t="shared" si="26"/>
        <v/>
      </c>
      <c r="C239" s="165" t="str">
        <f>IF(ISBLANK(D239),"",inbound_data[[#This Row],[Pallet_Series]]&amp;inbound_data[[#This Row],[No.]])</f>
        <v/>
      </c>
      <c r="D239" s="54"/>
      <c r="E239" s="55"/>
      <c r="F239" s="56"/>
      <c r="G239" s="57"/>
      <c r="H239" s="53"/>
      <c r="I239" s="53"/>
      <c r="J239" s="55"/>
      <c r="K239" s="58"/>
      <c r="L239" s="59"/>
      <c r="M239" s="55"/>
      <c r="N239" s="60"/>
      <c r="O239" s="60"/>
      <c r="P239" s="165" t="str">
        <f t="shared" ca="1" si="27"/>
        <v/>
      </c>
      <c r="Q239" s="165" t="str">
        <f t="shared" ca="1" si="28"/>
        <v/>
      </c>
      <c r="R239" s="79"/>
      <c r="S239" s="80"/>
      <c r="T239" s="61">
        <f t="shared" si="29"/>
        <v>0</v>
      </c>
      <c r="U239" s="61">
        <f t="shared" si="30"/>
        <v>0</v>
      </c>
      <c r="V239" s="61">
        <f t="shared" si="31"/>
        <v>0</v>
      </c>
      <c r="W239" s="58"/>
      <c r="X239" s="58"/>
      <c r="Y239" s="53"/>
      <c r="Z239" s="57"/>
      <c r="AA239" s="62"/>
      <c r="AB239" s="62"/>
      <c r="AC239" s="62"/>
      <c r="AD239" s="62"/>
      <c r="AE239" s="62"/>
      <c r="AF239" s="63"/>
      <c r="AG239" s="64" t="str">
        <f t="shared" si="32"/>
        <v/>
      </c>
    </row>
    <row r="240" spans="1:33" x14ac:dyDescent="0.25">
      <c r="A240" s="46" t="str">
        <f>IF(ISBLANK(inbound_data[[#This Row],[Receiving Report ref.'#]]),"",IF(inbound_data[[#This Row],[Ending Quantity]]=0,"ZERO","INV"))</f>
        <v/>
      </c>
      <c r="B240" s="165" t="str">
        <f t="shared" si="26"/>
        <v/>
      </c>
      <c r="C240" s="165" t="str">
        <f>IF(ISBLANK(D240),"",inbound_data[[#This Row],[Pallet_Series]]&amp;inbound_data[[#This Row],[No.]])</f>
        <v/>
      </c>
      <c r="D240" s="54"/>
      <c r="E240" s="55"/>
      <c r="F240" s="56"/>
      <c r="G240" s="57"/>
      <c r="H240" s="53"/>
      <c r="I240" s="53"/>
      <c r="J240" s="55"/>
      <c r="K240" s="58"/>
      <c r="L240" s="59"/>
      <c r="M240" s="55"/>
      <c r="N240" s="60"/>
      <c r="O240" s="60"/>
      <c r="P240" s="165" t="str">
        <f t="shared" ca="1" si="27"/>
        <v/>
      </c>
      <c r="Q240" s="165" t="str">
        <f t="shared" ca="1" si="28"/>
        <v/>
      </c>
      <c r="R240" s="79"/>
      <c r="S240" s="80"/>
      <c r="T240" s="61">
        <f t="shared" si="29"/>
        <v>0</v>
      </c>
      <c r="U240" s="61">
        <f t="shared" si="30"/>
        <v>0</v>
      </c>
      <c r="V240" s="61">
        <f t="shared" si="31"/>
        <v>0</v>
      </c>
      <c r="W240" s="58"/>
      <c r="X240" s="58"/>
      <c r="Y240" s="53"/>
      <c r="Z240" s="57"/>
      <c r="AA240" s="62"/>
      <c r="AB240" s="62"/>
      <c r="AC240" s="62"/>
      <c r="AD240" s="62"/>
      <c r="AE240" s="62"/>
      <c r="AF240" s="63"/>
      <c r="AG240" s="64" t="str">
        <f t="shared" si="32"/>
        <v/>
      </c>
    </row>
    <row r="241" spans="1:33" x14ac:dyDescent="0.25">
      <c r="A241" s="46" t="str">
        <f>IF(ISBLANK(inbound_data[[#This Row],[Receiving Report ref.'#]]),"",IF(inbound_data[[#This Row],[Ending Quantity]]=0,"ZERO","INV"))</f>
        <v/>
      </c>
      <c r="B241" s="165" t="str">
        <f t="shared" si="26"/>
        <v/>
      </c>
      <c r="C241" s="165" t="str">
        <f>IF(ISBLANK(D241),"",inbound_data[[#This Row],[Pallet_Series]]&amp;inbound_data[[#This Row],[No.]])</f>
        <v/>
      </c>
      <c r="D241" s="54"/>
      <c r="E241" s="55"/>
      <c r="F241" s="56"/>
      <c r="G241" s="57"/>
      <c r="H241" s="53"/>
      <c r="I241" s="53"/>
      <c r="J241" s="55"/>
      <c r="K241" s="58"/>
      <c r="L241" s="59"/>
      <c r="M241" s="55"/>
      <c r="N241" s="60"/>
      <c r="O241" s="60"/>
      <c r="P241" s="165" t="str">
        <f t="shared" ca="1" si="27"/>
        <v/>
      </c>
      <c r="Q241" s="165" t="str">
        <f t="shared" ca="1" si="28"/>
        <v/>
      </c>
      <c r="R241" s="79"/>
      <c r="S241" s="80"/>
      <c r="T241" s="61">
        <f t="shared" si="29"/>
        <v>0</v>
      </c>
      <c r="U241" s="61">
        <f t="shared" si="30"/>
        <v>0</v>
      </c>
      <c r="V241" s="61">
        <f t="shared" si="31"/>
        <v>0</v>
      </c>
      <c r="W241" s="58"/>
      <c r="X241" s="58"/>
      <c r="Y241" s="53"/>
      <c r="Z241" s="57"/>
      <c r="AA241" s="62"/>
      <c r="AB241" s="62"/>
      <c r="AC241" s="62"/>
      <c r="AD241" s="62"/>
      <c r="AE241" s="62"/>
      <c r="AF241" s="63"/>
      <c r="AG241" s="64" t="str">
        <f t="shared" si="32"/>
        <v/>
      </c>
    </row>
    <row r="242" spans="1:33" x14ac:dyDescent="0.25">
      <c r="A242" s="46" t="str">
        <f>IF(ISBLANK(inbound_data[[#This Row],[Receiving Report ref.'#]]),"",IF(inbound_data[[#This Row],[Ending Quantity]]=0,"ZERO","INV"))</f>
        <v/>
      </c>
      <c r="B242" s="165" t="str">
        <f t="shared" si="26"/>
        <v/>
      </c>
      <c r="C242" s="165" t="str">
        <f>IF(ISBLANK(D242),"",inbound_data[[#This Row],[Pallet_Series]]&amp;inbound_data[[#This Row],[No.]])</f>
        <v/>
      </c>
      <c r="D242" s="54"/>
      <c r="E242" s="55"/>
      <c r="F242" s="56"/>
      <c r="G242" s="57"/>
      <c r="H242" s="53"/>
      <c r="I242" s="53"/>
      <c r="J242" s="55"/>
      <c r="K242" s="58"/>
      <c r="L242" s="59"/>
      <c r="M242" s="55"/>
      <c r="N242" s="60"/>
      <c r="O242" s="60"/>
      <c r="P242" s="165" t="str">
        <f t="shared" ca="1" si="27"/>
        <v/>
      </c>
      <c r="Q242" s="165" t="str">
        <f t="shared" ca="1" si="28"/>
        <v/>
      </c>
      <c r="R242" s="79"/>
      <c r="S242" s="80"/>
      <c r="T242" s="61">
        <f t="shared" si="29"/>
        <v>0</v>
      </c>
      <c r="U242" s="61">
        <f t="shared" si="30"/>
        <v>0</v>
      </c>
      <c r="V242" s="61">
        <f t="shared" si="31"/>
        <v>0</v>
      </c>
      <c r="W242" s="58"/>
      <c r="X242" s="58"/>
      <c r="Y242" s="53"/>
      <c r="Z242" s="57"/>
      <c r="AA242" s="62"/>
      <c r="AB242" s="62"/>
      <c r="AC242" s="62"/>
      <c r="AD242" s="62"/>
      <c r="AE242" s="62"/>
      <c r="AF242" s="63"/>
      <c r="AG242" s="64" t="str">
        <f t="shared" si="32"/>
        <v/>
      </c>
    </row>
    <row r="243" spans="1:33" x14ac:dyDescent="0.25">
      <c r="A243" s="46" t="str">
        <f>IF(ISBLANK(inbound_data[[#This Row],[Receiving Report ref.'#]]),"",IF(inbound_data[[#This Row],[Ending Quantity]]=0,"ZERO","INV"))</f>
        <v/>
      </c>
      <c r="B243" s="165" t="str">
        <f t="shared" si="26"/>
        <v/>
      </c>
      <c r="C243" s="165" t="str">
        <f>IF(ISBLANK(D243),"",inbound_data[[#This Row],[Pallet_Series]]&amp;inbound_data[[#This Row],[No.]])</f>
        <v/>
      </c>
      <c r="D243" s="54"/>
      <c r="E243" s="55"/>
      <c r="F243" s="56"/>
      <c r="G243" s="57"/>
      <c r="H243" s="53"/>
      <c r="I243" s="53"/>
      <c r="J243" s="55"/>
      <c r="K243" s="58"/>
      <c r="L243" s="59"/>
      <c r="M243" s="55"/>
      <c r="N243" s="60"/>
      <c r="O243" s="60"/>
      <c r="P243" s="165" t="str">
        <f t="shared" ca="1" si="27"/>
        <v/>
      </c>
      <c r="Q243" s="165" t="str">
        <f t="shared" ca="1" si="28"/>
        <v/>
      </c>
      <c r="R243" s="79"/>
      <c r="S243" s="80"/>
      <c r="T243" s="61">
        <f t="shared" si="29"/>
        <v>0</v>
      </c>
      <c r="U243" s="61">
        <f t="shared" si="30"/>
        <v>0</v>
      </c>
      <c r="V243" s="61">
        <f t="shared" si="31"/>
        <v>0</v>
      </c>
      <c r="W243" s="58"/>
      <c r="X243" s="58"/>
      <c r="Y243" s="53"/>
      <c r="Z243" s="57"/>
      <c r="AA243" s="62"/>
      <c r="AB243" s="62"/>
      <c r="AC243" s="62"/>
      <c r="AD243" s="62"/>
      <c r="AE243" s="62"/>
      <c r="AF243" s="63"/>
      <c r="AG243" s="64" t="str">
        <f t="shared" si="32"/>
        <v/>
      </c>
    </row>
    <row r="244" spans="1:33" x14ac:dyDescent="0.25">
      <c r="A244" s="46" t="str">
        <f>IF(ISBLANK(inbound_data[[#This Row],[Receiving Report ref.'#]]),"",IF(inbound_data[[#This Row],[Ending Quantity]]=0,"ZERO","INV"))</f>
        <v/>
      </c>
      <c r="B244" s="165" t="str">
        <f t="shared" si="26"/>
        <v/>
      </c>
      <c r="C244" s="165" t="str">
        <f>IF(ISBLANK(D244),"",inbound_data[[#This Row],[Pallet_Series]]&amp;inbound_data[[#This Row],[No.]])</f>
        <v/>
      </c>
      <c r="D244" s="54"/>
      <c r="E244" s="55"/>
      <c r="F244" s="56"/>
      <c r="G244" s="57"/>
      <c r="H244" s="53"/>
      <c r="I244" s="53"/>
      <c r="J244" s="55"/>
      <c r="K244" s="58"/>
      <c r="L244" s="59"/>
      <c r="M244" s="55"/>
      <c r="N244" s="60"/>
      <c r="O244" s="60"/>
      <c r="P244" s="165" t="str">
        <f t="shared" ca="1" si="27"/>
        <v/>
      </c>
      <c r="Q244" s="165" t="str">
        <f t="shared" ca="1" si="28"/>
        <v/>
      </c>
      <c r="R244" s="79"/>
      <c r="S244" s="80"/>
      <c r="T244" s="61">
        <f t="shared" si="29"/>
        <v>0</v>
      </c>
      <c r="U244" s="61">
        <f t="shared" si="30"/>
        <v>0</v>
      </c>
      <c r="V244" s="61">
        <f t="shared" si="31"/>
        <v>0</v>
      </c>
      <c r="W244" s="58"/>
      <c r="X244" s="58"/>
      <c r="Y244" s="53"/>
      <c r="Z244" s="57"/>
      <c r="AA244" s="62"/>
      <c r="AB244" s="62"/>
      <c r="AC244" s="62"/>
      <c r="AD244" s="62"/>
      <c r="AE244" s="62"/>
      <c r="AF244" s="63"/>
      <c r="AG244" s="64" t="str">
        <f t="shared" si="32"/>
        <v/>
      </c>
    </row>
    <row r="245" spans="1:33" x14ac:dyDescent="0.25">
      <c r="A245" s="46" t="str">
        <f>IF(ISBLANK(inbound_data[[#This Row],[Receiving Report ref.'#]]),"",IF(inbound_data[[#This Row],[Ending Quantity]]=0,"ZERO","INV"))</f>
        <v/>
      </c>
      <c r="B245" s="165" t="str">
        <f t="shared" si="26"/>
        <v/>
      </c>
      <c r="C245" s="165" t="str">
        <f>IF(ISBLANK(D245),"",inbound_data[[#This Row],[Pallet_Series]]&amp;inbound_data[[#This Row],[No.]])</f>
        <v/>
      </c>
      <c r="D245" s="54"/>
      <c r="E245" s="55"/>
      <c r="F245" s="56"/>
      <c r="G245" s="57"/>
      <c r="H245" s="53"/>
      <c r="I245" s="53"/>
      <c r="J245" s="55"/>
      <c r="K245" s="58"/>
      <c r="L245" s="59"/>
      <c r="M245" s="55"/>
      <c r="N245" s="60"/>
      <c r="O245" s="60"/>
      <c r="P245" s="165" t="str">
        <f t="shared" ca="1" si="27"/>
        <v/>
      </c>
      <c r="Q245" s="165" t="str">
        <f t="shared" ca="1" si="28"/>
        <v/>
      </c>
      <c r="R245" s="79"/>
      <c r="S245" s="80"/>
      <c r="T245" s="61">
        <f t="shared" si="29"/>
        <v>0</v>
      </c>
      <c r="U245" s="61">
        <f t="shared" si="30"/>
        <v>0</v>
      </c>
      <c r="V245" s="61">
        <f t="shared" si="31"/>
        <v>0</v>
      </c>
      <c r="W245" s="58"/>
      <c r="X245" s="58"/>
      <c r="Y245" s="53"/>
      <c r="Z245" s="57"/>
      <c r="AA245" s="62"/>
      <c r="AB245" s="62"/>
      <c r="AC245" s="62"/>
      <c r="AD245" s="62"/>
      <c r="AE245" s="62"/>
      <c r="AF245" s="63"/>
      <c r="AG245" s="64" t="str">
        <f t="shared" si="32"/>
        <v/>
      </c>
    </row>
    <row r="246" spans="1:33" x14ac:dyDescent="0.25">
      <c r="A246" s="46" t="str">
        <f>IF(ISBLANK(inbound_data[[#This Row],[Receiving Report ref.'#]]),"",IF(inbound_data[[#This Row],[Ending Quantity]]=0,"ZERO","INV"))</f>
        <v/>
      </c>
      <c r="B246" s="165" t="str">
        <f t="shared" si="26"/>
        <v/>
      </c>
      <c r="C246" s="165" t="str">
        <f>IF(ISBLANK(D246),"",inbound_data[[#This Row],[Pallet_Series]]&amp;inbound_data[[#This Row],[No.]])</f>
        <v/>
      </c>
      <c r="D246" s="54"/>
      <c r="E246" s="55"/>
      <c r="F246" s="56"/>
      <c r="G246" s="57"/>
      <c r="H246" s="53"/>
      <c r="I246" s="53"/>
      <c r="J246" s="55"/>
      <c r="K246" s="58"/>
      <c r="L246" s="59"/>
      <c r="M246" s="55"/>
      <c r="N246" s="60"/>
      <c r="O246" s="60"/>
      <c r="P246" s="165" t="str">
        <f t="shared" ca="1" si="27"/>
        <v/>
      </c>
      <c r="Q246" s="165" t="str">
        <f t="shared" ca="1" si="28"/>
        <v/>
      </c>
      <c r="R246" s="79"/>
      <c r="S246" s="80"/>
      <c r="T246" s="61">
        <f t="shared" si="29"/>
        <v>0</v>
      </c>
      <c r="U246" s="61">
        <f t="shared" si="30"/>
        <v>0</v>
      </c>
      <c r="V246" s="61">
        <f t="shared" si="31"/>
        <v>0</v>
      </c>
      <c r="W246" s="58"/>
      <c r="X246" s="58"/>
      <c r="Y246" s="53"/>
      <c r="Z246" s="57"/>
      <c r="AA246" s="62"/>
      <c r="AB246" s="62"/>
      <c r="AC246" s="62"/>
      <c r="AD246" s="62"/>
      <c r="AE246" s="62"/>
      <c r="AF246" s="63"/>
      <c r="AG246" s="64" t="str">
        <f t="shared" si="32"/>
        <v/>
      </c>
    </row>
    <row r="247" spans="1:33" x14ac:dyDescent="0.25">
      <c r="A247" s="46" t="str">
        <f>IF(ISBLANK(inbound_data[[#This Row],[Receiving Report ref.'#]]),"",IF(inbound_data[[#This Row],[Ending Quantity]]=0,"ZERO","INV"))</f>
        <v/>
      </c>
      <c r="B247" s="165" t="str">
        <f t="shared" si="26"/>
        <v/>
      </c>
      <c r="C247" s="165" t="str">
        <f>IF(ISBLANK(D247),"",inbound_data[[#This Row],[Pallet_Series]]&amp;inbound_data[[#This Row],[No.]])</f>
        <v/>
      </c>
      <c r="D247" s="54"/>
      <c r="E247" s="55"/>
      <c r="F247" s="56"/>
      <c r="G247" s="57"/>
      <c r="H247" s="53"/>
      <c r="I247" s="53"/>
      <c r="J247" s="55"/>
      <c r="K247" s="58"/>
      <c r="L247" s="59"/>
      <c r="M247" s="55"/>
      <c r="N247" s="60"/>
      <c r="O247" s="60"/>
      <c r="P247" s="165" t="str">
        <f t="shared" ca="1" si="27"/>
        <v/>
      </c>
      <c r="Q247" s="165" t="str">
        <f t="shared" ca="1" si="28"/>
        <v/>
      </c>
      <c r="R247" s="79"/>
      <c r="S247" s="80"/>
      <c r="T247" s="61">
        <f t="shared" si="29"/>
        <v>0</v>
      </c>
      <c r="U247" s="61">
        <f t="shared" si="30"/>
        <v>0</v>
      </c>
      <c r="V247" s="61">
        <f t="shared" si="31"/>
        <v>0</v>
      </c>
      <c r="W247" s="58"/>
      <c r="X247" s="58"/>
      <c r="Y247" s="53"/>
      <c r="Z247" s="57"/>
      <c r="AA247" s="62"/>
      <c r="AB247" s="62"/>
      <c r="AC247" s="62"/>
      <c r="AD247" s="62"/>
      <c r="AE247" s="62"/>
      <c r="AF247" s="63"/>
      <c r="AG247" s="64" t="str">
        <f t="shared" si="32"/>
        <v/>
      </c>
    </row>
    <row r="248" spans="1:33" x14ac:dyDescent="0.25">
      <c r="A248" s="46" t="str">
        <f>IF(ISBLANK(inbound_data[[#This Row],[Receiving Report ref.'#]]),"",IF(inbound_data[[#This Row],[Ending Quantity]]=0,"ZERO","INV"))</f>
        <v/>
      </c>
      <c r="B248" s="165" t="str">
        <f t="shared" si="26"/>
        <v/>
      </c>
      <c r="C248" s="165" t="str">
        <f>IF(ISBLANK(D248),"",inbound_data[[#This Row],[Pallet_Series]]&amp;inbound_data[[#This Row],[No.]])</f>
        <v/>
      </c>
      <c r="D248" s="54"/>
      <c r="E248" s="55"/>
      <c r="F248" s="56"/>
      <c r="G248" s="57"/>
      <c r="H248" s="53"/>
      <c r="I248" s="53"/>
      <c r="J248" s="55"/>
      <c r="K248" s="58"/>
      <c r="L248" s="59"/>
      <c r="M248" s="55"/>
      <c r="N248" s="60"/>
      <c r="O248" s="60"/>
      <c r="P248" s="165" t="str">
        <f t="shared" ca="1" si="27"/>
        <v/>
      </c>
      <c r="Q248" s="165" t="str">
        <f t="shared" ca="1" si="28"/>
        <v/>
      </c>
      <c r="R248" s="79"/>
      <c r="S248" s="80"/>
      <c r="T248" s="61">
        <f t="shared" si="29"/>
        <v>0</v>
      </c>
      <c r="U248" s="61">
        <f t="shared" si="30"/>
        <v>0</v>
      </c>
      <c r="V248" s="61">
        <f t="shared" si="31"/>
        <v>0</v>
      </c>
      <c r="W248" s="58"/>
      <c r="X248" s="58"/>
      <c r="Y248" s="53"/>
      <c r="Z248" s="57"/>
      <c r="AA248" s="62"/>
      <c r="AB248" s="62"/>
      <c r="AC248" s="62"/>
      <c r="AD248" s="62"/>
      <c r="AE248" s="62"/>
      <c r="AF248" s="63"/>
      <c r="AG248" s="64" t="str">
        <f t="shared" si="32"/>
        <v/>
      </c>
    </row>
    <row r="249" spans="1:33" x14ac:dyDescent="0.25">
      <c r="A249" s="46" t="str">
        <f>IF(ISBLANK(inbound_data[[#This Row],[Receiving Report ref.'#]]),"",IF(inbound_data[[#This Row],[Ending Quantity]]=0,"ZERO","INV"))</f>
        <v/>
      </c>
      <c r="B249" s="165" t="str">
        <f t="shared" si="26"/>
        <v/>
      </c>
      <c r="C249" s="165" t="str">
        <f>IF(ISBLANK(D249),"",inbound_data[[#This Row],[Pallet_Series]]&amp;inbound_data[[#This Row],[No.]])</f>
        <v/>
      </c>
      <c r="D249" s="54"/>
      <c r="E249" s="55"/>
      <c r="F249" s="56"/>
      <c r="G249" s="57"/>
      <c r="H249" s="53"/>
      <c r="I249" s="53"/>
      <c r="J249" s="55"/>
      <c r="K249" s="58"/>
      <c r="L249" s="59"/>
      <c r="M249" s="55"/>
      <c r="N249" s="60"/>
      <c r="O249" s="60"/>
      <c r="P249" s="165" t="str">
        <f t="shared" ca="1" si="27"/>
        <v/>
      </c>
      <c r="Q249" s="165" t="str">
        <f t="shared" ca="1" si="28"/>
        <v/>
      </c>
      <c r="R249" s="79"/>
      <c r="S249" s="80"/>
      <c r="T249" s="61">
        <f t="shared" si="29"/>
        <v>0</v>
      </c>
      <c r="U249" s="61">
        <f t="shared" si="30"/>
        <v>0</v>
      </c>
      <c r="V249" s="61">
        <f t="shared" si="31"/>
        <v>0</v>
      </c>
      <c r="W249" s="58"/>
      <c r="X249" s="58"/>
      <c r="Y249" s="53"/>
      <c r="Z249" s="57"/>
      <c r="AA249" s="62"/>
      <c r="AB249" s="62"/>
      <c r="AC249" s="62"/>
      <c r="AD249" s="62"/>
      <c r="AE249" s="62"/>
      <c r="AF249" s="63"/>
      <c r="AG249" s="64" t="str">
        <f t="shared" si="32"/>
        <v/>
      </c>
    </row>
    <row r="250" spans="1:33" x14ac:dyDescent="0.25">
      <c r="A250" s="46" t="str">
        <f>IF(ISBLANK(inbound_data[[#This Row],[Receiving Report ref.'#]]),"",IF(inbound_data[[#This Row],[Ending Quantity]]=0,"ZERO","INV"))</f>
        <v/>
      </c>
      <c r="B250" s="165" t="str">
        <f t="shared" si="26"/>
        <v/>
      </c>
      <c r="C250" s="165" t="str">
        <f>IF(ISBLANK(D250),"",inbound_data[[#This Row],[Pallet_Series]]&amp;inbound_data[[#This Row],[No.]])</f>
        <v/>
      </c>
      <c r="D250" s="54"/>
      <c r="E250" s="55"/>
      <c r="F250" s="56"/>
      <c r="G250" s="57"/>
      <c r="H250" s="53"/>
      <c r="I250" s="53"/>
      <c r="J250" s="55"/>
      <c r="K250" s="58"/>
      <c r="L250" s="59"/>
      <c r="M250" s="55"/>
      <c r="N250" s="60"/>
      <c r="O250" s="60"/>
      <c r="P250" s="165" t="str">
        <f t="shared" ca="1" si="27"/>
        <v/>
      </c>
      <c r="Q250" s="165" t="str">
        <f t="shared" ca="1" si="28"/>
        <v/>
      </c>
      <c r="R250" s="79"/>
      <c r="S250" s="80"/>
      <c r="T250" s="61">
        <f t="shared" si="29"/>
        <v>0</v>
      </c>
      <c r="U250" s="61">
        <f t="shared" si="30"/>
        <v>0</v>
      </c>
      <c r="V250" s="61">
        <f t="shared" si="31"/>
        <v>0</v>
      </c>
      <c r="W250" s="58"/>
      <c r="X250" s="58"/>
      <c r="Y250" s="53"/>
      <c r="Z250" s="57"/>
      <c r="AA250" s="62"/>
      <c r="AB250" s="62"/>
      <c r="AC250" s="62"/>
      <c r="AD250" s="62"/>
      <c r="AE250" s="62"/>
      <c r="AF250" s="63"/>
      <c r="AG250" s="64" t="str">
        <f t="shared" si="32"/>
        <v/>
      </c>
    </row>
    <row r="251" spans="1:33" x14ac:dyDescent="0.25">
      <c r="A251" s="46" t="str">
        <f>IF(ISBLANK(inbound_data[[#This Row],[Receiving Report ref.'#]]),"",IF(inbound_data[[#This Row],[Ending Quantity]]=0,"ZERO","INV"))</f>
        <v/>
      </c>
      <c r="B251" s="165" t="str">
        <f t="shared" si="26"/>
        <v/>
      </c>
      <c r="C251" s="165" t="str">
        <f>IF(ISBLANK(D251),"",inbound_data[[#This Row],[Pallet_Series]]&amp;inbound_data[[#This Row],[No.]])</f>
        <v/>
      </c>
      <c r="D251" s="54"/>
      <c r="E251" s="55"/>
      <c r="F251" s="56"/>
      <c r="G251" s="57"/>
      <c r="H251" s="53"/>
      <c r="I251" s="53"/>
      <c r="J251" s="55"/>
      <c r="K251" s="58"/>
      <c r="L251" s="59"/>
      <c r="M251" s="55"/>
      <c r="N251" s="60"/>
      <c r="O251" s="60"/>
      <c r="P251" s="165" t="str">
        <f t="shared" ca="1" si="27"/>
        <v/>
      </c>
      <c r="Q251" s="165" t="str">
        <f t="shared" ca="1" si="28"/>
        <v/>
      </c>
      <c r="R251" s="79"/>
      <c r="S251" s="80"/>
      <c r="T251" s="61">
        <f t="shared" si="29"/>
        <v>0</v>
      </c>
      <c r="U251" s="61">
        <f t="shared" si="30"/>
        <v>0</v>
      </c>
      <c r="V251" s="61">
        <f t="shared" si="31"/>
        <v>0</v>
      </c>
      <c r="W251" s="58"/>
      <c r="X251" s="58"/>
      <c r="Y251" s="53"/>
      <c r="Z251" s="57"/>
      <c r="AA251" s="62"/>
      <c r="AB251" s="62"/>
      <c r="AC251" s="62"/>
      <c r="AD251" s="62"/>
      <c r="AE251" s="62"/>
      <c r="AF251" s="63"/>
      <c r="AG251" s="64" t="str">
        <f t="shared" si="32"/>
        <v/>
      </c>
    </row>
    <row r="252" spans="1:33" x14ac:dyDescent="0.25">
      <c r="A252" s="46" t="str">
        <f>IF(ISBLANK(inbound_data[[#This Row],[Receiving Report ref.'#]]),"",IF(inbound_data[[#This Row],[Ending Quantity]]=0,"ZERO","INV"))</f>
        <v/>
      </c>
      <c r="B252" s="165" t="str">
        <f t="shared" si="26"/>
        <v/>
      </c>
      <c r="C252" s="165" t="str">
        <f>IF(ISBLANK(D252),"",inbound_data[[#This Row],[Pallet_Series]]&amp;inbound_data[[#This Row],[No.]])</f>
        <v/>
      </c>
      <c r="D252" s="54"/>
      <c r="E252" s="55"/>
      <c r="F252" s="56"/>
      <c r="G252" s="57"/>
      <c r="H252" s="53"/>
      <c r="I252" s="53"/>
      <c r="J252" s="55"/>
      <c r="K252" s="58"/>
      <c r="L252" s="59"/>
      <c r="M252" s="55"/>
      <c r="N252" s="60"/>
      <c r="O252" s="60"/>
      <c r="P252" s="165" t="str">
        <f t="shared" ca="1" si="27"/>
        <v/>
      </c>
      <c r="Q252" s="165" t="str">
        <f t="shared" ca="1" si="28"/>
        <v/>
      </c>
      <c r="R252" s="79"/>
      <c r="S252" s="80"/>
      <c r="T252" s="61">
        <f t="shared" si="29"/>
        <v>0</v>
      </c>
      <c r="U252" s="61">
        <f t="shared" si="30"/>
        <v>0</v>
      </c>
      <c r="V252" s="61">
        <f t="shared" si="31"/>
        <v>0</v>
      </c>
      <c r="W252" s="58"/>
      <c r="X252" s="58"/>
      <c r="Y252" s="53"/>
      <c r="Z252" s="57"/>
      <c r="AA252" s="62"/>
      <c r="AB252" s="62"/>
      <c r="AC252" s="62"/>
      <c r="AD252" s="62"/>
      <c r="AE252" s="62"/>
      <c r="AF252" s="63"/>
      <c r="AG252" s="64" t="str">
        <f t="shared" si="32"/>
        <v/>
      </c>
    </row>
    <row r="253" spans="1:33" x14ac:dyDescent="0.25">
      <c r="A253" s="46" t="str">
        <f>IF(ISBLANK(inbound_data[[#This Row],[Receiving Report ref.'#]]),"",IF(inbound_data[[#This Row],[Ending Quantity]]=0,"ZERO","INV"))</f>
        <v/>
      </c>
      <c r="B253" s="165" t="str">
        <f t="shared" si="26"/>
        <v/>
      </c>
      <c r="C253" s="165" t="str">
        <f>IF(ISBLANK(D253),"",inbound_data[[#This Row],[Pallet_Series]]&amp;inbound_data[[#This Row],[No.]])</f>
        <v/>
      </c>
      <c r="D253" s="54"/>
      <c r="E253" s="55"/>
      <c r="F253" s="56"/>
      <c r="G253" s="57"/>
      <c r="H253" s="53"/>
      <c r="I253" s="53"/>
      <c r="J253" s="55"/>
      <c r="K253" s="58"/>
      <c r="L253" s="59"/>
      <c r="M253" s="55"/>
      <c r="N253" s="60"/>
      <c r="O253" s="60"/>
      <c r="P253" s="165" t="str">
        <f t="shared" ca="1" si="27"/>
        <v/>
      </c>
      <c r="Q253" s="165" t="str">
        <f t="shared" ca="1" si="28"/>
        <v/>
      </c>
      <c r="R253" s="79"/>
      <c r="S253" s="80"/>
      <c r="T253" s="61">
        <f t="shared" si="29"/>
        <v>0</v>
      </c>
      <c r="U253" s="61">
        <f t="shared" si="30"/>
        <v>0</v>
      </c>
      <c r="V253" s="61">
        <f t="shared" si="31"/>
        <v>0</v>
      </c>
      <c r="W253" s="58"/>
      <c r="X253" s="58"/>
      <c r="Y253" s="53"/>
      <c r="Z253" s="57"/>
      <c r="AA253" s="62"/>
      <c r="AB253" s="62"/>
      <c r="AC253" s="62"/>
      <c r="AD253" s="62"/>
      <c r="AE253" s="62"/>
      <c r="AF253" s="63"/>
      <c r="AG253" s="64" t="str">
        <f t="shared" si="32"/>
        <v/>
      </c>
    </row>
    <row r="254" spans="1:33" x14ac:dyDescent="0.25">
      <c r="A254" s="46" t="str">
        <f>IF(ISBLANK(inbound_data[[#This Row],[Receiving Report ref.'#]]),"",IF(inbound_data[[#This Row],[Ending Quantity]]=0,"ZERO","INV"))</f>
        <v/>
      </c>
      <c r="B254" s="165" t="str">
        <f t="shared" si="26"/>
        <v/>
      </c>
      <c r="C254" s="165" t="str">
        <f>IF(ISBLANK(D254),"",inbound_data[[#This Row],[Pallet_Series]]&amp;inbound_data[[#This Row],[No.]])</f>
        <v/>
      </c>
      <c r="D254" s="54"/>
      <c r="E254" s="55"/>
      <c r="F254" s="56"/>
      <c r="G254" s="57"/>
      <c r="H254" s="53"/>
      <c r="I254" s="53"/>
      <c r="J254" s="55"/>
      <c r="K254" s="58"/>
      <c r="L254" s="59"/>
      <c r="M254" s="55"/>
      <c r="N254" s="60"/>
      <c r="O254" s="60"/>
      <c r="P254" s="165" t="str">
        <f t="shared" ca="1" si="27"/>
        <v/>
      </c>
      <c r="Q254" s="165" t="str">
        <f t="shared" ca="1" si="28"/>
        <v/>
      </c>
      <c r="R254" s="79"/>
      <c r="S254" s="80"/>
      <c r="T254" s="61">
        <f t="shared" si="29"/>
        <v>0</v>
      </c>
      <c r="U254" s="61">
        <f t="shared" si="30"/>
        <v>0</v>
      </c>
      <c r="V254" s="61">
        <f t="shared" si="31"/>
        <v>0</v>
      </c>
      <c r="W254" s="58"/>
      <c r="X254" s="58"/>
      <c r="Y254" s="53"/>
      <c r="Z254" s="57"/>
      <c r="AA254" s="62"/>
      <c r="AB254" s="62"/>
      <c r="AC254" s="62"/>
      <c r="AD254" s="62"/>
      <c r="AE254" s="62"/>
      <c r="AF254" s="63"/>
      <c r="AG254" s="64" t="str">
        <f t="shared" si="32"/>
        <v/>
      </c>
    </row>
    <row r="255" spans="1:33" x14ac:dyDescent="0.25">
      <c r="A255" s="46" t="str">
        <f>IF(ISBLANK(inbound_data[[#This Row],[Receiving Report ref.'#]]),"",IF(inbound_data[[#This Row],[Ending Quantity]]=0,"ZERO","INV"))</f>
        <v/>
      </c>
      <c r="B255" s="165" t="str">
        <f t="shared" si="26"/>
        <v/>
      </c>
      <c r="C255" s="165" t="str">
        <f>IF(ISBLANK(D255),"",inbound_data[[#This Row],[Pallet_Series]]&amp;inbound_data[[#This Row],[No.]])</f>
        <v/>
      </c>
      <c r="D255" s="54"/>
      <c r="E255" s="55"/>
      <c r="F255" s="56"/>
      <c r="G255" s="57"/>
      <c r="H255" s="53"/>
      <c r="I255" s="53"/>
      <c r="J255" s="55"/>
      <c r="K255" s="58"/>
      <c r="L255" s="59"/>
      <c r="M255" s="55"/>
      <c r="N255" s="60"/>
      <c r="O255" s="60"/>
      <c r="P255" s="165" t="str">
        <f t="shared" ca="1" si="27"/>
        <v/>
      </c>
      <c r="Q255" s="165" t="str">
        <f t="shared" ca="1" si="28"/>
        <v/>
      </c>
      <c r="R255" s="79"/>
      <c r="S255" s="80"/>
      <c r="T255" s="61">
        <f t="shared" si="29"/>
        <v>0</v>
      </c>
      <c r="U255" s="61">
        <f t="shared" si="30"/>
        <v>0</v>
      </c>
      <c r="V255" s="61">
        <f t="shared" si="31"/>
        <v>0</v>
      </c>
      <c r="W255" s="58"/>
      <c r="X255" s="58"/>
      <c r="Y255" s="53"/>
      <c r="Z255" s="57"/>
      <c r="AA255" s="62"/>
      <c r="AB255" s="62"/>
      <c r="AC255" s="62"/>
      <c r="AD255" s="62"/>
      <c r="AE255" s="62"/>
      <c r="AF255" s="63"/>
      <c r="AG255" s="64" t="str">
        <f t="shared" si="32"/>
        <v/>
      </c>
    </row>
    <row r="256" spans="1:33" x14ac:dyDescent="0.25">
      <c r="A256" s="46" t="str">
        <f>IF(ISBLANK(inbound_data[[#This Row],[Receiving Report ref.'#]]),"",IF(inbound_data[[#This Row],[Ending Quantity]]=0,"ZERO","INV"))</f>
        <v/>
      </c>
      <c r="B256" s="165" t="str">
        <f t="shared" si="26"/>
        <v/>
      </c>
      <c r="C256" s="165" t="str">
        <f>IF(ISBLANK(D256),"",inbound_data[[#This Row],[Pallet_Series]]&amp;inbound_data[[#This Row],[No.]])</f>
        <v/>
      </c>
      <c r="D256" s="54"/>
      <c r="E256" s="55"/>
      <c r="F256" s="56"/>
      <c r="G256" s="57"/>
      <c r="H256" s="53"/>
      <c r="I256" s="53"/>
      <c r="J256" s="55"/>
      <c r="K256" s="58"/>
      <c r="L256" s="59"/>
      <c r="M256" s="55"/>
      <c r="N256" s="60"/>
      <c r="O256" s="60"/>
      <c r="P256" s="165" t="str">
        <f t="shared" ca="1" si="27"/>
        <v/>
      </c>
      <c r="Q256" s="165" t="str">
        <f t="shared" ca="1" si="28"/>
        <v/>
      </c>
      <c r="R256" s="79"/>
      <c r="S256" s="80"/>
      <c r="T256" s="61">
        <f t="shared" si="29"/>
        <v>0</v>
      </c>
      <c r="U256" s="61">
        <f t="shared" si="30"/>
        <v>0</v>
      </c>
      <c r="V256" s="61">
        <f t="shared" si="31"/>
        <v>0</v>
      </c>
      <c r="W256" s="58"/>
      <c r="X256" s="58"/>
      <c r="Y256" s="53"/>
      <c r="Z256" s="57"/>
      <c r="AA256" s="62"/>
      <c r="AB256" s="62"/>
      <c r="AC256" s="62"/>
      <c r="AD256" s="62"/>
      <c r="AE256" s="62"/>
      <c r="AF256" s="63"/>
      <c r="AG256" s="64" t="str">
        <f t="shared" si="32"/>
        <v/>
      </c>
    </row>
    <row r="257" spans="1:33" x14ac:dyDescent="0.25">
      <c r="A257" s="46" t="str">
        <f>IF(ISBLANK(inbound_data[[#This Row],[Receiving Report ref.'#]]),"",IF(inbound_data[[#This Row],[Ending Quantity]]=0,"ZERO","INV"))</f>
        <v/>
      </c>
      <c r="B257" s="165" t="str">
        <f t="shared" si="26"/>
        <v/>
      </c>
      <c r="C257" s="165" t="str">
        <f>IF(ISBLANK(D257),"",inbound_data[[#This Row],[Pallet_Series]]&amp;inbound_data[[#This Row],[No.]])</f>
        <v/>
      </c>
      <c r="D257" s="54"/>
      <c r="E257" s="55"/>
      <c r="F257" s="56"/>
      <c r="G257" s="57"/>
      <c r="H257" s="53"/>
      <c r="I257" s="53"/>
      <c r="J257" s="55"/>
      <c r="K257" s="58"/>
      <c r="L257" s="59"/>
      <c r="M257" s="55"/>
      <c r="N257" s="60"/>
      <c r="O257" s="60"/>
      <c r="P257" s="165" t="str">
        <f t="shared" ca="1" si="27"/>
        <v/>
      </c>
      <c r="Q257" s="165" t="str">
        <f t="shared" ca="1" si="28"/>
        <v/>
      </c>
      <c r="R257" s="79"/>
      <c r="S257" s="80"/>
      <c r="T257" s="61">
        <f t="shared" si="29"/>
        <v>0</v>
      </c>
      <c r="U257" s="61">
        <f t="shared" si="30"/>
        <v>0</v>
      </c>
      <c r="V257" s="61">
        <f t="shared" si="31"/>
        <v>0</v>
      </c>
      <c r="W257" s="58"/>
      <c r="X257" s="58"/>
      <c r="Y257" s="53"/>
      <c r="Z257" s="57"/>
      <c r="AA257" s="62"/>
      <c r="AB257" s="62"/>
      <c r="AC257" s="62"/>
      <c r="AD257" s="62"/>
      <c r="AE257" s="62"/>
      <c r="AF257" s="63"/>
      <c r="AG257" s="64" t="str">
        <f t="shared" si="32"/>
        <v/>
      </c>
    </row>
    <row r="258" spans="1:33" x14ac:dyDescent="0.25">
      <c r="A258" s="46" t="str">
        <f>IF(ISBLANK(inbound_data[[#This Row],[Receiving Report ref.'#]]),"",IF(inbound_data[[#This Row],[Ending Quantity]]=0,"ZERO","INV"))</f>
        <v/>
      </c>
      <c r="B258" s="165" t="str">
        <f t="shared" si="26"/>
        <v/>
      </c>
      <c r="C258" s="165" t="str">
        <f>IF(ISBLANK(D258),"",inbound_data[[#This Row],[Pallet_Series]]&amp;inbound_data[[#This Row],[No.]])</f>
        <v/>
      </c>
      <c r="D258" s="54"/>
      <c r="E258" s="55"/>
      <c r="F258" s="56"/>
      <c r="G258" s="57"/>
      <c r="H258" s="53"/>
      <c r="I258" s="53"/>
      <c r="J258" s="55"/>
      <c r="K258" s="58"/>
      <c r="L258" s="59"/>
      <c r="M258" s="55"/>
      <c r="N258" s="60"/>
      <c r="O258" s="60"/>
      <c r="P258" s="165" t="str">
        <f t="shared" ca="1" si="27"/>
        <v/>
      </c>
      <c r="Q258" s="165" t="str">
        <f t="shared" ca="1" si="28"/>
        <v/>
      </c>
      <c r="R258" s="79"/>
      <c r="S258" s="80"/>
      <c r="T258" s="61">
        <f t="shared" si="29"/>
        <v>0</v>
      </c>
      <c r="U258" s="61">
        <f t="shared" si="30"/>
        <v>0</v>
      </c>
      <c r="V258" s="61">
        <f t="shared" si="31"/>
        <v>0</v>
      </c>
      <c r="W258" s="58"/>
      <c r="X258" s="58"/>
      <c r="Y258" s="53"/>
      <c r="Z258" s="57"/>
      <c r="AA258" s="62"/>
      <c r="AB258" s="62"/>
      <c r="AC258" s="62"/>
      <c r="AD258" s="62"/>
      <c r="AE258" s="62"/>
      <c r="AF258" s="63"/>
      <c r="AG258" s="64" t="str">
        <f t="shared" si="32"/>
        <v/>
      </c>
    </row>
    <row r="259" spans="1:33" x14ac:dyDescent="0.25">
      <c r="A259" s="46" t="str">
        <f>IF(ISBLANK(inbound_data[[#This Row],[Receiving Report ref.'#]]),"",IF(inbound_data[[#This Row],[Ending Quantity]]=0,"ZERO","INV"))</f>
        <v/>
      </c>
      <c r="B259" s="165" t="str">
        <f t="shared" si="26"/>
        <v/>
      </c>
      <c r="C259" s="165" t="str">
        <f>IF(ISBLANK(D259),"",inbound_data[[#This Row],[Pallet_Series]]&amp;inbound_data[[#This Row],[No.]])</f>
        <v/>
      </c>
      <c r="D259" s="54"/>
      <c r="E259" s="55"/>
      <c r="F259" s="56"/>
      <c r="G259" s="57"/>
      <c r="H259" s="53"/>
      <c r="I259" s="53"/>
      <c r="J259" s="55"/>
      <c r="K259" s="58"/>
      <c r="L259" s="59"/>
      <c r="M259" s="55"/>
      <c r="N259" s="60"/>
      <c r="O259" s="60"/>
      <c r="P259" s="165" t="str">
        <f t="shared" ca="1" si="27"/>
        <v/>
      </c>
      <c r="Q259" s="165" t="str">
        <f t="shared" ca="1" si="28"/>
        <v/>
      </c>
      <c r="R259" s="79"/>
      <c r="S259" s="80"/>
      <c r="T259" s="61">
        <f t="shared" si="29"/>
        <v>0</v>
      </c>
      <c r="U259" s="61">
        <f t="shared" si="30"/>
        <v>0</v>
      </c>
      <c r="V259" s="61">
        <f t="shared" si="31"/>
        <v>0</v>
      </c>
      <c r="W259" s="58"/>
      <c r="X259" s="58"/>
      <c r="Y259" s="53"/>
      <c r="Z259" s="57"/>
      <c r="AA259" s="62"/>
      <c r="AB259" s="62"/>
      <c r="AC259" s="62"/>
      <c r="AD259" s="62"/>
      <c r="AE259" s="62"/>
      <c r="AF259" s="63"/>
      <c r="AG259" s="64" t="str">
        <f t="shared" si="32"/>
        <v/>
      </c>
    </row>
    <row r="260" spans="1:33" x14ac:dyDescent="0.25">
      <c r="A260" s="46" t="str">
        <f>IF(ISBLANK(inbound_data[[#This Row],[Receiving Report ref.'#]]),"",IF(inbound_data[[#This Row],[Ending Quantity]]=0,"ZERO","INV"))</f>
        <v/>
      </c>
      <c r="B260" s="165" t="str">
        <f t="shared" si="26"/>
        <v/>
      </c>
      <c r="C260" s="165" t="str">
        <f>IF(ISBLANK(D260),"",inbound_data[[#This Row],[Pallet_Series]]&amp;inbound_data[[#This Row],[No.]])</f>
        <v/>
      </c>
      <c r="D260" s="54"/>
      <c r="E260" s="55"/>
      <c r="F260" s="56"/>
      <c r="G260" s="57"/>
      <c r="H260" s="53"/>
      <c r="I260" s="53"/>
      <c r="J260" s="55"/>
      <c r="K260" s="58"/>
      <c r="L260" s="59"/>
      <c r="M260" s="55"/>
      <c r="N260" s="60"/>
      <c r="O260" s="60"/>
      <c r="P260" s="165" t="str">
        <f t="shared" ca="1" si="27"/>
        <v/>
      </c>
      <c r="Q260" s="165" t="str">
        <f t="shared" ca="1" si="28"/>
        <v/>
      </c>
      <c r="R260" s="79"/>
      <c r="S260" s="80"/>
      <c r="T260" s="61">
        <f t="shared" si="29"/>
        <v>0</v>
      </c>
      <c r="U260" s="61">
        <f t="shared" si="30"/>
        <v>0</v>
      </c>
      <c r="V260" s="61">
        <f t="shared" si="31"/>
        <v>0</v>
      </c>
      <c r="W260" s="58"/>
      <c r="X260" s="58"/>
      <c r="Y260" s="53"/>
      <c r="Z260" s="57"/>
      <c r="AA260" s="62"/>
      <c r="AB260" s="62"/>
      <c r="AC260" s="62"/>
      <c r="AD260" s="62"/>
      <c r="AE260" s="62"/>
      <c r="AF260" s="63"/>
      <c r="AG260" s="64" t="str">
        <f t="shared" si="32"/>
        <v/>
      </c>
    </row>
    <row r="261" spans="1:33" x14ac:dyDescent="0.25">
      <c r="A261" s="46" t="str">
        <f>IF(ISBLANK(inbound_data[[#This Row],[Receiving Report ref.'#]]),"",IF(inbound_data[[#This Row],[Ending Quantity]]=0,"ZERO","INV"))</f>
        <v/>
      </c>
      <c r="B261" s="165" t="str">
        <f t="shared" si="26"/>
        <v/>
      </c>
      <c r="C261" s="165" t="str">
        <f>IF(ISBLANK(D261),"",inbound_data[[#This Row],[Pallet_Series]]&amp;inbound_data[[#This Row],[No.]])</f>
        <v/>
      </c>
      <c r="D261" s="54"/>
      <c r="E261" s="55"/>
      <c r="F261" s="56"/>
      <c r="G261" s="57"/>
      <c r="H261" s="53"/>
      <c r="I261" s="53"/>
      <c r="J261" s="55"/>
      <c r="K261" s="58"/>
      <c r="L261" s="59"/>
      <c r="M261" s="55"/>
      <c r="N261" s="60"/>
      <c r="O261" s="60"/>
      <c r="P261" s="165" t="str">
        <f t="shared" ca="1" si="27"/>
        <v/>
      </c>
      <c r="Q261" s="165" t="str">
        <f t="shared" ca="1" si="28"/>
        <v/>
      </c>
      <c r="R261" s="79"/>
      <c r="S261" s="80"/>
      <c r="T261" s="61">
        <f t="shared" si="29"/>
        <v>0</v>
      </c>
      <c r="U261" s="61">
        <f t="shared" si="30"/>
        <v>0</v>
      </c>
      <c r="V261" s="61">
        <f t="shared" si="31"/>
        <v>0</v>
      </c>
      <c r="W261" s="58"/>
      <c r="X261" s="58"/>
      <c r="Y261" s="53"/>
      <c r="Z261" s="57"/>
      <c r="AA261" s="62"/>
      <c r="AB261" s="62"/>
      <c r="AC261" s="62"/>
      <c r="AD261" s="62"/>
      <c r="AE261" s="62"/>
      <c r="AF261" s="63"/>
      <c r="AG261" s="64" t="str">
        <f t="shared" si="32"/>
        <v/>
      </c>
    </row>
    <row r="262" spans="1:33" x14ac:dyDescent="0.25">
      <c r="A262" s="46" t="str">
        <f>IF(ISBLANK(inbound_data[[#This Row],[Receiving Report ref.'#]]),"",IF(inbound_data[[#This Row],[Ending Quantity]]=0,"ZERO","INV"))</f>
        <v/>
      </c>
      <c r="B262" s="165" t="str">
        <f t="shared" si="26"/>
        <v/>
      </c>
      <c r="C262" s="165" t="str">
        <f>IF(ISBLANK(D262),"",inbound_data[[#This Row],[Pallet_Series]]&amp;inbound_data[[#This Row],[No.]])</f>
        <v/>
      </c>
      <c r="D262" s="54"/>
      <c r="E262" s="55"/>
      <c r="F262" s="56"/>
      <c r="G262" s="57"/>
      <c r="H262" s="53"/>
      <c r="I262" s="53"/>
      <c r="J262" s="55"/>
      <c r="K262" s="58"/>
      <c r="L262" s="59"/>
      <c r="M262" s="55"/>
      <c r="N262" s="60"/>
      <c r="O262" s="60"/>
      <c r="P262" s="165" t="str">
        <f t="shared" ca="1" si="27"/>
        <v/>
      </c>
      <c r="Q262" s="165" t="str">
        <f t="shared" ca="1" si="28"/>
        <v/>
      </c>
      <c r="R262" s="79"/>
      <c r="S262" s="80"/>
      <c r="T262" s="61">
        <f t="shared" si="29"/>
        <v>0</v>
      </c>
      <c r="U262" s="61">
        <f t="shared" si="30"/>
        <v>0</v>
      </c>
      <c r="V262" s="61">
        <f t="shared" si="31"/>
        <v>0</v>
      </c>
      <c r="W262" s="58"/>
      <c r="X262" s="58"/>
      <c r="Y262" s="53"/>
      <c r="Z262" s="57"/>
      <c r="AA262" s="62"/>
      <c r="AB262" s="62"/>
      <c r="AC262" s="62"/>
      <c r="AD262" s="62"/>
      <c r="AE262" s="62"/>
      <c r="AF262" s="63"/>
      <c r="AG262" s="64" t="str">
        <f t="shared" si="32"/>
        <v/>
      </c>
    </row>
    <row r="263" spans="1:33" x14ac:dyDescent="0.25">
      <c r="A263" s="46" t="str">
        <f>IF(ISBLANK(inbound_data[[#This Row],[Receiving Report ref.'#]]),"",IF(inbound_data[[#This Row],[Ending Quantity]]=0,"ZERO","INV"))</f>
        <v/>
      </c>
      <c r="B263" s="165" t="str">
        <f t="shared" si="26"/>
        <v/>
      </c>
      <c r="C263" s="165" t="str">
        <f>IF(ISBLANK(D263),"",inbound_data[[#This Row],[Pallet_Series]]&amp;inbound_data[[#This Row],[No.]])</f>
        <v/>
      </c>
      <c r="D263" s="54"/>
      <c r="E263" s="55"/>
      <c r="F263" s="56"/>
      <c r="G263" s="57"/>
      <c r="H263" s="53"/>
      <c r="I263" s="53"/>
      <c r="J263" s="55"/>
      <c r="K263" s="58"/>
      <c r="L263" s="59"/>
      <c r="M263" s="55"/>
      <c r="N263" s="60"/>
      <c r="O263" s="60"/>
      <c r="P263" s="165" t="str">
        <f t="shared" ca="1" si="27"/>
        <v/>
      </c>
      <c r="Q263" s="165" t="str">
        <f t="shared" ca="1" si="28"/>
        <v/>
      </c>
      <c r="R263" s="79"/>
      <c r="S263" s="80"/>
      <c r="T263" s="61">
        <f t="shared" si="29"/>
        <v>0</v>
      </c>
      <c r="U263" s="61">
        <f t="shared" si="30"/>
        <v>0</v>
      </c>
      <c r="V263" s="61">
        <f t="shared" si="31"/>
        <v>0</v>
      </c>
      <c r="W263" s="58"/>
      <c r="X263" s="58"/>
      <c r="Y263" s="53"/>
      <c r="Z263" s="57"/>
      <c r="AA263" s="62"/>
      <c r="AB263" s="62"/>
      <c r="AC263" s="62"/>
      <c r="AD263" s="62"/>
      <c r="AE263" s="62"/>
      <c r="AF263" s="63"/>
      <c r="AG263" s="64" t="str">
        <f t="shared" si="32"/>
        <v/>
      </c>
    </row>
    <row r="264" spans="1:33" x14ac:dyDescent="0.25">
      <c r="A264" s="46" t="str">
        <f>IF(ISBLANK(inbound_data[[#This Row],[Receiving Report ref.'#]]),"",IF(inbound_data[[#This Row],[Ending Quantity]]=0,"ZERO","INV"))</f>
        <v/>
      </c>
      <c r="B264" s="165" t="str">
        <f t="shared" si="26"/>
        <v/>
      </c>
      <c r="C264" s="165" t="str">
        <f>IF(ISBLANK(D264),"",inbound_data[[#This Row],[Pallet_Series]]&amp;inbound_data[[#This Row],[No.]])</f>
        <v/>
      </c>
      <c r="D264" s="54"/>
      <c r="E264" s="55"/>
      <c r="F264" s="56"/>
      <c r="G264" s="57"/>
      <c r="H264" s="53"/>
      <c r="I264" s="53"/>
      <c r="J264" s="55"/>
      <c r="K264" s="58"/>
      <c r="L264" s="59"/>
      <c r="M264" s="55"/>
      <c r="N264" s="60"/>
      <c r="O264" s="60"/>
      <c r="P264" s="165" t="str">
        <f t="shared" ca="1" si="27"/>
        <v/>
      </c>
      <c r="Q264" s="165" t="str">
        <f t="shared" ca="1" si="28"/>
        <v/>
      </c>
      <c r="R264" s="79"/>
      <c r="S264" s="80"/>
      <c r="T264" s="61">
        <f t="shared" si="29"/>
        <v>0</v>
      </c>
      <c r="U264" s="61">
        <f t="shared" si="30"/>
        <v>0</v>
      </c>
      <c r="V264" s="61">
        <f t="shared" si="31"/>
        <v>0</v>
      </c>
      <c r="W264" s="58"/>
      <c r="X264" s="58"/>
      <c r="Y264" s="53"/>
      <c r="Z264" s="57"/>
      <c r="AA264" s="62"/>
      <c r="AB264" s="62"/>
      <c r="AC264" s="62"/>
      <c r="AD264" s="62"/>
      <c r="AE264" s="62"/>
      <c r="AF264" s="63"/>
      <c r="AG264" s="64" t="str">
        <f t="shared" si="32"/>
        <v/>
      </c>
    </row>
    <row r="265" spans="1:33" x14ac:dyDescent="0.25">
      <c r="A265" s="46" t="str">
        <f>IF(ISBLANK(inbound_data[[#This Row],[Receiving Report ref.'#]]),"",IF(inbound_data[[#This Row],[Ending Quantity]]=0,"ZERO","INV"))</f>
        <v/>
      </c>
      <c r="B265" s="165" t="str">
        <f t="shared" ref="B265:B328" si="33">IF(ISBLANK(D265),"",TEXT(ROW(),"00000"))</f>
        <v/>
      </c>
      <c r="C265" s="165" t="str">
        <f>IF(ISBLANK(D265),"",inbound_data[[#This Row],[Pallet_Series]]&amp;inbound_data[[#This Row],[No.]])</f>
        <v/>
      </c>
      <c r="D265" s="54"/>
      <c r="E265" s="55"/>
      <c r="F265" s="56"/>
      <c r="G265" s="57"/>
      <c r="H265" s="53"/>
      <c r="I265" s="53"/>
      <c r="J265" s="55"/>
      <c r="K265" s="58"/>
      <c r="L265" s="59"/>
      <c r="M265" s="55"/>
      <c r="N265" s="60"/>
      <c r="O265" s="60"/>
      <c r="P265" s="165" t="str">
        <f t="shared" ref="P265:P328" ca="1" si="34">IF(A265="ZERO","",IF(O265="","",O265-TODAY()))</f>
        <v/>
      </c>
      <c r="Q265" s="165" t="str">
        <f t="shared" ref="Q265:Q328" ca="1" si="35">IF(A265="ZERO","",IF(P265&lt;0,"ALREADY EXPIRED",IF(P265&lt;60,"NEARLY EXPIRED","")))</f>
        <v/>
      </c>
      <c r="R265" s="79"/>
      <c r="S265" s="80"/>
      <c r="T265" s="61">
        <f t="shared" ref="T265:T328" si="36">IF(ISBLANK(R265),0,R265-SUMIF(STOCK_CODE_OUT,$C265,QTY_OUT))</f>
        <v>0</v>
      </c>
      <c r="U265" s="61">
        <f t="shared" ref="U265:U328" si="37">IF(ISBLANK(S265),0,S265-SUMIF(STOCK_CODE_OUT,$C265,KILOS_OUT))</f>
        <v>0</v>
      </c>
      <c r="V265" s="61">
        <f t="shared" ref="V265:V328" si="38">IF(ISBLANK(K265),0,K265-SUMIF(STOCK_CODE_OUT,$C265,PALLET_OUT))</f>
        <v>0</v>
      </c>
      <c r="W265" s="58"/>
      <c r="X265" s="58"/>
      <c r="Y265" s="53"/>
      <c r="Z265" s="57"/>
      <c r="AA265" s="62"/>
      <c r="AB265" s="62"/>
      <c r="AC265" s="62"/>
      <c r="AD265" s="62"/>
      <c r="AE265" s="62"/>
      <c r="AF265" s="63"/>
      <c r="AG265" s="64" t="str">
        <f t="shared" ref="AG265:AG328" si="39">IF(T265&gt;0,CONCATENATE(AA265,AB265,TEXT(AC265,"R00"),TEXT(AD265,"L0."),TEXT(AE265,"0")),"")</f>
        <v/>
      </c>
    </row>
    <row r="266" spans="1:33" x14ac:dyDescent="0.25">
      <c r="A266" s="46" t="str">
        <f>IF(ISBLANK(inbound_data[[#This Row],[Receiving Report ref.'#]]),"",IF(inbound_data[[#This Row],[Ending Quantity]]=0,"ZERO","INV"))</f>
        <v/>
      </c>
      <c r="B266" s="165" t="str">
        <f t="shared" si="33"/>
        <v/>
      </c>
      <c r="C266" s="165" t="str">
        <f>IF(ISBLANK(D266),"",inbound_data[[#This Row],[Pallet_Series]]&amp;inbound_data[[#This Row],[No.]])</f>
        <v/>
      </c>
      <c r="D266" s="54"/>
      <c r="E266" s="55"/>
      <c r="F266" s="56"/>
      <c r="G266" s="57"/>
      <c r="H266" s="53"/>
      <c r="I266" s="53"/>
      <c r="J266" s="55"/>
      <c r="K266" s="58"/>
      <c r="L266" s="59"/>
      <c r="M266" s="55"/>
      <c r="N266" s="60"/>
      <c r="O266" s="60"/>
      <c r="P266" s="165" t="str">
        <f t="shared" ca="1" si="34"/>
        <v/>
      </c>
      <c r="Q266" s="165" t="str">
        <f t="shared" ca="1" si="35"/>
        <v/>
      </c>
      <c r="R266" s="79"/>
      <c r="S266" s="80"/>
      <c r="T266" s="61">
        <f t="shared" si="36"/>
        <v>0</v>
      </c>
      <c r="U266" s="61">
        <f t="shared" si="37"/>
        <v>0</v>
      </c>
      <c r="V266" s="61">
        <f t="shared" si="38"/>
        <v>0</v>
      </c>
      <c r="W266" s="58"/>
      <c r="X266" s="58"/>
      <c r="Y266" s="53"/>
      <c r="Z266" s="57"/>
      <c r="AA266" s="62"/>
      <c r="AB266" s="62"/>
      <c r="AC266" s="62"/>
      <c r="AD266" s="62"/>
      <c r="AE266" s="62"/>
      <c r="AF266" s="63"/>
      <c r="AG266" s="64" t="str">
        <f t="shared" si="39"/>
        <v/>
      </c>
    </row>
    <row r="267" spans="1:33" x14ac:dyDescent="0.25">
      <c r="A267" s="46" t="str">
        <f>IF(ISBLANK(inbound_data[[#This Row],[Receiving Report ref.'#]]),"",IF(inbound_data[[#This Row],[Ending Quantity]]=0,"ZERO","INV"))</f>
        <v/>
      </c>
      <c r="B267" s="165" t="str">
        <f t="shared" si="33"/>
        <v/>
      </c>
      <c r="C267" s="165" t="str">
        <f>IF(ISBLANK(D267),"",inbound_data[[#This Row],[Pallet_Series]]&amp;inbound_data[[#This Row],[No.]])</f>
        <v/>
      </c>
      <c r="D267" s="54"/>
      <c r="E267" s="55"/>
      <c r="F267" s="56"/>
      <c r="G267" s="57"/>
      <c r="H267" s="53"/>
      <c r="I267" s="53"/>
      <c r="J267" s="55"/>
      <c r="K267" s="58"/>
      <c r="L267" s="59"/>
      <c r="M267" s="55"/>
      <c r="N267" s="60"/>
      <c r="O267" s="60"/>
      <c r="P267" s="165" t="str">
        <f t="shared" ca="1" si="34"/>
        <v/>
      </c>
      <c r="Q267" s="165" t="str">
        <f t="shared" ca="1" si="35"/>
        <v/>
      </c>
      <c r="R267" s="79"/>
      <c r="S267" s="80"/>
      <c r="T267" s="61">
        <f t="shared" si="36"/>
        <v>0</v>
      </c>
      <c r="U267" s="61">
        <f t="shared" si="37"/>
        <v>0</v>
      </c>
      <c r="V267" s="61">
        <f t="shared" si="38"/>
        <v>0</v>
      </c>
      <c r="W267" s="58"/>
      <c r="X267" s="58"/>
      <c r="Y267" s="53"/>
      <c r="Z267" s="57"/>
      <c r="AA267" s="62"/>
      <c r="AB267" s="62"/>
      <c r="AC267" s="62"/>
      <c r="AD267" s="62"/>
      <c r="AE267" s="62"/>
      <c r="AF267" s="63"/>
      <c r="AG267" s="64" t="str">
        <f t="shared" si="39"/>
        <v/>
      </c>
    </row>
    <row r="268" spans="1:33" x14ac:dyDescent="0.25">
      <c r="A268" s="46" t="str">
        <f>IF(ISBLANK(inbound_data[[#This Row],[Receiving Report ref.'#]]),"",IF(inbound_data[[#This Row],[Ending Quantity]]=0,"ZERO","INV"))</f>
        <v/>
      </c>
      <c r="B268" s="165" t="str">
        <f t="shared" si="33"/>
        <v/>
      </c>
      <c r="C268" s="165" t="str">
        <f>IF(ISBLANK(D268),"",inbound_data[[#This Row],[Pallet_Series]]&amp;inbound_data[[#This Row],[No.]])</f>
        <v/>
      </c>
      <c r="D268" s="54"/>
      <c r="E268" s="55"/>
      <c r="F268" s="56"/>
      <c r="G268" s="57"/>
      <c r="H268" s="53"/>
      <c r="I268" s="53"/>
      <c r="J268" s="55"/>
      <c r="K268" s="58"/>
      <c r="L268" s="59"/>
      <c r="M268" s="55"/>
      <c r="N268" s="60"/>
      <c r="O268" s="60"/>
      <c r="P268" s="165" t="str">
        <f t="shared" ca="1" si="34"/>
        <v/>
      </c>
      <c r="Q268" s="165" t="str">
        <f t="shared" ca="1" si="35"/>
        <v/>
      </c>
      <c r="R268" s="79"/>
      <c r="S268" s="80"/>
      <c r="T268" s="61">
        <f t="shared" si="36"/>
        <v>0</v>
      </c>
      <c r="U268" s="61">
        <f t="shared" si="37"/>
        <v>0</v>
      </c>
      <c r="V268" s="61">
        <f t="shared" si="38"/>
        <v>0</v>
      </c>
      <c r="W268" s="58"/>
      <c r="X268" s="58"/>
      <c r="Y268" s="53"/>
      <c r="Z268" s="57"/>
      <c r="AA268" s="62"/>
      <c r="AB268" s="62"/>
      <c r="AC268" s="62"/>
      <c r="AD268" s="62"/>
      <c r="AE268" s="62"/>
      <c r="AF268" s="63"/>
      <c r="AG268" s="64" t="str">
        <f t="shared" si="39"/>
        <v/>
      </c>
    </row>
    <row r="269" spans="1:33" x14ac:dyDescent="0.25">
      <c r="A269" s="46" t="str">
        <f>IF(ISBLANK(inbound_data[[#This Row],[Receiving Report ref.'#]]),"",IF(inbound_data[[#This Row],[Ending Quantity]]=0,"ZERO","INV"))</f>
        <v/>
      </c>
      <c r="B269" s="165" t="str">
        <f t="shared" si="33"/>
        <v/>
      </c>
      <c r="C269" s="165" t="str">
        <f>IF(ISBLANK(D269),"",inbound_data[[#This Row],[Pallet_Series]]&amp;inbound_data[[#This Row],[No.]])</f>
        <v/>
      </c>
      <c r="D269" s="54"/>
      <c r="E269" s="55"/>
      <c r="F269" s="56"/>
      <c r="G269" s="57"/>
      <c r="H269" s="53"/>
      <c r="I269" s="53"/>
      <c r="J269" s="55"/>
      <c r="K269" s="58"/>
      <c r="L269" s="59"/>
      <c r="M269" s="55"/>
      <c r="N269" s="60"/>
      <c r="O269" s="60"/>
      <c r="P269" s="165" t="str">
        <f t="shared" ca="1" si="34"/>
        <v/>
      </c>
      <c r="Q269" s="165" t="str">
        <f t="shared" ca="1" si="35"/>
        <v/>
      </c>
      <c r="R269" s="79"/>
      <c r="S269" s="80"/>
      <c r="T269" s="61">
        <f t="shared" si="36"/>
        <v>0</v>
      </c>
      <c r="U269" s="61">
        <f t="shared" si="37"/>
        <v>0</v>
      </c>
      <c r="V269" s="61">
        <f t="shared" si="38"/>
        <v>0</v>
      </c>
      <c r="W269" s="58"/>
      <c r="X269" s="58"/>
      <c r="Y269" s="53"/>
      <c r="Z269" s="57"/>
      <c r="AA269" s="62"/>
      <c r="AB269" s="62"/>
      <c r="AC269" s="62"/>
      <c r="AD269" s="62"/>
      <c r="AE269" s="62"/>
      <c r="AF269" s="63"/>
      <c r="AG269" s="64" t="str">
        <f t="shared" si="39"/>
        <v/>
      </c>
    </row>
    <row r="270" spans="1:33" x14ac:dyDescent="0.25">
      <c r="A270" s="46" t="str">
        <f>IF(ISBLANK(inbound_data[[#This Row],[Receiving Report ref.'#]]),"",IF(inbound_data[[#This Row],[Ending Quantity]]=0,"ZERO","INV"))</f>
        <v/>
      </c>
      <c r="B270" s="165" t="str">
        <f t="shared" si="33"/>
        <v/>
      </c>
      <c r="C270" s="165" t="str">
        <f>IF(ISBLANK(D270),"",inbound_data[[#This Row],[Pallet_Series]]&amp;inbound_data[[#This Row],[No.]])</f>
        <v/>
      </c>
      <c r="D270" s="54"/>
      <c r="E270" s="55"/>
      <c r="F270" s="56"/>
      <c r="G270" s="57"/>
      <c r="H270" s="53"/>
      <c r="I270" s="53"/>
      <c r="J270" s="55"/>
      <c r="K270" s="58"/>
      <c r="L270" s="59"/>
      <c r="M270" s="55"/>
      <c r="N270" s="60"/>
      <c r="O270" s="60"/>
      <c r="P270" s="165" t="str">
        <f t="shared" ca="1" si="34"/>
        <v/>
      </c>
      <c r="Q270" s="165" t="str">
        <f t="shared" ca="1" si="35"/>
        <v/>
      </c>
      <c r="R270" s="79"/>
      <c r="S270" s="80"/>
      <c r="T270" s="61">
        <f t="shared" si="36"/>
        <v>0</v>
      </c>
      <c r="U270" s="61">
        <f t="shared" si="37"/>
        <v>0</v>
      </c>
      <c r="V270" s="61">
        <f t="shared" si="38"/>
        <v>0</v>
      </c>
      <c r="W270" s="58"/>
      <c r="X270" s="58"/>
      <c r="Y270" s="53"/>
      <c r="Z270" s="57"/>
      <c r="AA270" s="62"/>
      <c r="AB270" s="62"/>
      <c r="AC270" s="62"/>
      <c r="AD270" s="62"/>
      <c r="AE270" s="62"/>
      <c r="AF270" s="63"/>
      <c r="AG270" s="64" t="str">
        <f t="shared" si="39"/>
        <v/>
      </c>
    </row>
    <row r="271" spans="1:33" x14ac:dyDescent="0.25">
      <c r="A271" s="46" t="str">
        <f>IF(ISBLANK(inbound_data[[#This Row],[Receiving Report ref.'#]]),"",IF(inbound_data[[#This Row],[Ending Quantity]]=0,"ZERO","INV"))</f>
        <v/>
      </c>
      <c r="B271" s="165" t="str">
        <f t="shared" si="33"/>
        <v/>
      </c>
      <c r="C271" s="165" t="str">
        <f>IF(ISBLANK(D271),"",inbound_data[[#This Row],[Pallet_Series]]&amp;inbound_data[[#This Row],[No.]])</f>
        <v/>
      </c>
      <c r="D271" s="54"/>
      <c r="E271" s="55"/>
      <c r="F271" s="56"/>
      <c r="G271" s="57"/>
      <c r="H271" s="53"/>
      <c r="I271" s="53"/>
      <c r="J271" s="55"/>
      <c r="K271" s="58"/>
      <c r="L271" s="59"/>
      <c r="M271" s="55"/>
      <c r="N271" s="60"/>
      <c r="O271" s="60"/>
      <c r="P271" s="165" t="str">
        <f t="shared" ca="1" si="34"/>
        <v/>
      </c>
      <c r="Q271" s="165" t="str">
        <f t="shared" ca="1" si="35"/>
        <v/>
      </c>
      <c r="R271" s="79"/>
      <c r="S271" s="80"/>
      <c r="T271" s="61">
        <f t="shared" si="36"/>
        <v>0</v>
      </c>
      <c r="U271" s="61">
        <f t="shared" si="37"/>
        <v>0</v>
      </c>
      <c r="V271" s="61">
        <f t="shared" si="38"/>
        <v>0</v>
      </c>
      <c r="W271" s="58"/>
      <c r="X271" s="58"/>
      <c r="Y271" s="53"/>
      <c r="Z271" s="57"/>
      <c r="AA271" s="62"/>
      <c r="AB271" s="62"/>
      <c r="AC271" s="62"/>
      <c r="AD271" s="62"/>
      <c r="AE271" s="62"/>
      <c r="AF271" s="63"/>
      <c r="AG271" s="64" t="str">
        <f t="shared" si="39"/>
        <v/>
      </c>
    </row>
    <row r="272" spans="1:33" x14ac:dyDescent="0.25">
      <c r="A272" s="46" t="str">
        <f>IF(ISBLANK(inbound_data[[#This Row],[Receiving Report ref.'#]]),"",IF(inbound_data[[#This Row],[Ending Quantity]]=0,"ZERO","INV"))</f>
        <v/>
      </c>
      <c r="B272" s="165" t="str">
        <f t="shared" si="33"/>
        <v/>
      </c>
      <c r="C272" s="165" t="str">
        <f>IF(ISBLANK(D272),"",inbound_data[[#This Row],[Pallet_Series]]&amp;inbound_data[[#This Row],[No.]])</f>
        <v/>
      </c>
      <c r="D272" s="54"/>
      <c r="E272" s="55"/>
      <c r="F272" s="56"/>
      <c r="G272" s="57"/>
      <c r="H272" s="53"/>
      <c r="I272" s="53"/>
      <c r="J272" s="55"/>
      <c r="K272" s="58"/>
      <c r="L272" s="59"/>
      <c r="M272" s="55"/>
      <c r="N272" s="60"/>
      <c r="O272" s="60"/>
      <c r="P272" s="165" t="str">
        <f t="shared" ca="1" si="34"/>
        <v/>
      </c>
      <c r="Q272" s="165" t="str">
        <f t="shared" ca="1" si="35"/>
        <v/>
      </c>
      <c r="R272" s="79"/>
      <c r="S272" s="80"/>
      <c r="T272" s="61">
        <f t="shared" si="36"/>
        <v>0</v>
      </c>
      <c r="U272" s="61">
        <f t="shared" si="37"/>
        <v>0</v>
      </c>
      <c r="V272" s="61">
        <f t="shared" si="38"/>
        <v>0</v>
      </c>
      <c r="W272" s="58"/>
      <c r="X272" s="58"/>
      <c r="Y272" s="53"/>
      <c r="Z272" s="57"/>
      <c r="AA272" s="62"/>
      <c r="AB272" s="62"/>
      <c r="AC272" s="62"/>
      <c r="AD272" s="62"/>
      <c r="AE272" s="62"/>
      <c r="AF272" s="63"/>
      <c r="AG272" s="64" t="str">
        <f t="shared" si="39"/>
        <v/>
      </c>
    </row>
    <row r="273" spans="1:33" x14ac:dyDescent="0.25">
      <c r="A273" s="46" t="str">
        <f>IF(ISBLANK(inbound_data[[#This Row],[Receiving Report ref.'#]]),"",IF(inbound_data[[#This Row],[Ending Quantity]]=0,"ZERO","INV"))</f>
        <v/>
      </c>
      <c r="B273" s="165" t="str">
        <f t="shared" si="33"/>
        <v/>
      </c>
      <c r="C273" s="165" t="str">
        <f>IF(ISBLANK(D273),"",inbound_data[[#This Row],[Pallet_Series]]&amp;inbound_data[[#This Row],[No.]])</f>
        <v/>
      </c>
      <c r="D273" s="54"/>
      <c r="E273" s="55"/>
      <c r="F273" s="56"/>
      <c r="G273" s="57"/>
      <c r="H273" s="53"/>
      <c r="I273" s="53"/>
      <c r="J273" s="55"/>
      <c r="K273" s="58"/>
      <c r="L273" s="59"/>
      <c r="M273" s="55"/>
      <c r="N273" s="60"/>
      <c r="O273" s="60"/>
      <c r="P273" s="165" t="str">
        <f t="shared" ca="1" si="34"/>
        <v/>
      </c>
      <c r="Q273" s="165" t="str">
        <f t="shared" ca="1" si="35"/>
        <v/>
      </c>
      <c r="R273" s="79"/>
      <c r="S273" s="80"/>
      <c r="T273" s="61">
        <f t="shared" si="36"/>
        <v>0</v>
      </c>
      <c r="U273" s="61">
        <f t="shared" si="37"/>
        <v>0</v>
      </c>
      <c r="V273" s="61">
        <f t="shared" si="38"/>
        <v>0</v>
      </c>
      <c r="W273" s="58"/>
      <c r="X273" s="58"/>
      <c r="Y273" s="53"/>
      <c r="Z273" s="57"/>
      <c r="AA273" s="62"/>
      <c r="AB273" s="62"/>
      <c r="AC273" s="62"/>
      <c r="AD273" s="62"/>
      <c r="AE273" s="62"/>
      <c r="AF273" s="63"/>
      <c r="AG273" s="64" t="str">
        <f t="shared" si="39"/>
        <v/>
      </c>
    </row>
    <row r="274" spans="1:33" x14ac:dyDescent="0.25">
      <c r="A274" s="46" t="str">
        <f>IF(ISBLANK(inbound_data[[#This Row],[Receiving Report ref.'#]]),"",IF(inbound_data[[#This Row],[Ending Quantity]]=0,"ZERO","INV"))</f>
        <v/>
      </c>
      <c r="B274" s="165" t="str">
        <f t="shared" si="33"/>
        <v/>
      </c>
      <c r="C274" s="165" t="str">
        <f>IF(ISBLANK(D274),"",inbound_data[[#This Row],[Pallet_Series]]&amp;inbound_data[[#This Row],[No.]])</f>
        <v/>
      </c>
      <c r="D274" s="54"/>
      <c r="E274" s="55"/>
      <c r="F274" s="56"/>
      <c r="G274" s="57"/>
      <c r="H274" s="53"/>
      <c r="I274" s="53"/>
      <c r="J274" s="55"/>
      <c r="K274" s="58"/>
      <c r="L274" s="59"/>
      <c r="M274" s="55"/>
      <c r="N274" s="60"/>
      <c r="O274" s="60"/>
      <c r="P274" s="165" t="str">
        <f t="shared" ca="1" si="34"/>
        <v/>
      </c>
      <c r="Q274" s="165" t="str">
        <f t="shared" ca="1" si="35"/>
        <v/>
      </c>
      <c r="R274" s="79"/>
      <c r="S274" s="80"/>
      <c r="T274" s="61">
        <f t="shared" si="36"/>
        <v>0</v>
      </c>
      <c r="U274" s="61">
        <f t="shared" si="37"/>
        <v>0</v>
      </c>
      <c r="V274" s="61">
        <f t="shared" si="38"/>
        <v>0</v>
      </c>
      <c r="W274" s="58"/>
      <c r="X274" s="58"/>
      <c r="Y274" s="53"/>
      <c r="Z274" s="57"/>
      <c r="AA274" s="62"/>
      <c r="AB274" s="62"/>
      <c r="AC274" s="62"/>
      <c r="AD274" s="62"/>
      <c r="AE274" s="62"/>
      <c r="AF274" s="63"/>
      <c r="AG274" s="64" t="str">
        <f t="shared" si="39"/>
        <v/>
      </c>
    </row>
    <row r="275" spans="1:33" x14ac:dyDescent="0.25">
      <c r="A275" s="46" t="str">
        <f>IF(ISBLANK(inbound_data[[#This Row],[Receiving Report ref.'#]]),"",IF(inbound_data[[#This Row],[Ending Quantity]]=0,"ZERO","INV"))</f>
        <v/>
      </c>
      <c r="B275" s="165" t="str">
        <f t="shared" si="33"/>
        <v/>
      </c>
      <c r="C275" s="165" t="str">
        <f>IF(ISBLANK(D275),"",inbound_data[[#This Row],[Pallet_Series]]&amp;inbound_data[[#This Row],[No.]])</f>
        <v/>
      </c>
      <c r="D275" s="54"/>
      <c r="E275" s="55"/>
      <c r="F275" s="56"/>
      <c r="G275" s="57"/>
      <c r="H275" s="53"/>
      <c r="I275" s="53"/>
      <c r="J275" s="55"/>
      <c r="K275" s="58"/>
      <c r="L275" s="59"/>
      <c r="M275" s="55"/>
      <c r="N275" s="60"/>
      <c r="O275" s="60"/>
      <c r="P275" s="165" t="str">
        <f t="shared" ca="1" si="34"/>
        <v/>
      </c>
      <c r="Q275" s="165" t="str">
        <f t="shared" ca="1" si="35"/>
        <v/>
      </c>
      <c r="R275" s="79"/>
      <c r="S275" s="80"/>
      <c r="T275" s="61">
        <f t="shared" si="36"/>
        <v>0</v>
      </c>
      <c r="U275" s="61">
        <f t="shared" si="37"/>
        <v>0</v>
      </c>
      <c r="V275" s="61">
        <f t="shared" si="38"/>
        <v>0</v>
      </c>
      <c r="W275" s="58"/>
      <c r="X275" s="58"/>
      <c r="Y275" s="53"/>
      <c r="Z275" s="57"/>
      <c r="AA275" s="62"/>
      <c r="AB275" s="62"/>
      <c r="AC275" s="62"/>
      <c r="AD275" s="62"/>
      <c r="AE275" s="62"/>
      <c r="AF275" s="63"/>
      <c r="AG275" s="64" t="str">
        <f t="shared" si="39"/>
        <v/>
      </c>
    </row>
    <row r="276" spans="1:33" x14ac:dyDescent="0.25">
      <c r="A276" s="46" t="str">
        <f>IF(ISBLANK(inbound_data[[#This Row],[Receiving Report ref.'#]]),"",IF(inbound_data[[#This Row],[Ending Quantity]]=0,"ZERO","INV"))</f>
        <v/>
      </c>
      <c r="B276" s="165" t="str">
        <f t="shared" si="33"/>
        <v/>
      </c>
      <c r="C276" s="165" t="str">
        <f>IF(ISBLANK(D276),"",inbound_data[[#This Row],[Pallet_Series]]&amp;inbound_data[[#This Row],[No.]])</f>
        <v/>
      </c>
      <c r="D276" s="54"/>
      <c r="E276" s="55"/>
      <c r="F276" s="56"/>
      <c r="G276" s="57"/>
      <c r="H276" s="53"/>
      <c r="I276" s="53"/>
      <c r="J276" s="55"/>
      <c r="K276" s="58"/>
      <c r="L276" s="59"/>
      <c r="M276" s="55"/>
      <c r="N276" s="60"/>
      <c r="O276" s="60"/>
      <c r="P276" s="165" t="str">
        <f t="shared" ca="1" si="34"/>
        <v/>
      </c>
      <c r="Q276" s="165" t="str">
        <f t="shared" ca="1" si="35"/>
        <v/>
      </c>
      <c r="R276" s="79"/>
      <c r="S276" s="80"/>
      <c r="T276" s="61">
        <f t="shared" si="36"/>
        <v>0</v>
      </c>
      <c r="U276" s="61">
        <f t="shared" si="37"/>
        <v>0</v>
      </c>
      <c r="V276" s="61">
        <f t="shared" si="38"/>
        <v>0</v>
      </c>
      <c r="W276" s="58"/>
      <c r="X276" s="58"/>
      <c r="Y276" s="53"/>
      <c r="Z276" s="57"/>
      <c r="AA276" s="62"/>
      <c r="AB276" s="62"/>
      <c r="AC276" s="62"/>
      <c r="AD276" s="62"/>
      <c r="AE276" s="62"/>
      <c r="AF276" s="63"/>
      <c r="AG276" s="64" t="str">
        <f t="shared" si="39"/>
        <v/>
      </c>
    </row>
    <row r="277" spans="1:33" x14ac:dyDescent="0.25">
      <c r="A277" s="46" t="str">
        <f>IF(ISBLANK(inbound_data[[#This Row],[Receiving Report ref.'#]]),"",IF(inbound_data[[#This Row],[Ending Quantity]]=0,"ZERO","INV"))</f>
        <v/>
      </c>
      <c r="B277" s="165" t="str">
        <f t="shared" si="33"/>
        <v/>
      </c>
      <c r="C277" s="165" t="str">
        <f>IF(ISBLANK(D277),"",inbound_data[[#This Row],[Pallet_Series]]&amp;inbound_data[[#This Row],[No.]])</f>
        <v/>
      </c>
      <c r="D277" s="54"/>
      <c r="E277" s="55"/>
      <c r="F277" s="56"/>
      <c r="G277" s="57"/>
      <c r="H277" s="53"/>
      <c r="I277" s="53"/>
      <c r="J277" s="55"/>
      <c r="K277" s="58"/>
      <c r="L277" s="59"/>
      <c r="M277" s="55"/>
      <c r="N277" s="60"/>
      <c r="O277" s="60"/>
      <c r="P277" s="165" t="str">
        <f t="shared" ca="1" si="34"/>
        <v/>
      </c>
      <c r="Q277" s="165" t="str">
        <f t="shared" ca="1" si="35"/>
        <v/>
      </c>
      <c r="R277" s="79"/>
      <c r="S277" s="80"/>
      <c r="T277" s="61">
        <f t="shared" si="36"/>
        <v>0</v>
      </c>
      <c r="U277" s="61">
        <f t="shared" si="37"/>
        <v>0</v>
      </c>
      <c r="V277" s="61">
        <f t="shared" si="38"/>
        <v>0</v>
      </c>
      <c r="W277" s="58"/>
      <c r="X277" s="58"/>
      <c r="Y277" s="53"/>
      <c r="Z277" s="57"/>
      <c r="AA277" s="62"/>
      <c r="AB277" s="62"/>
      <c r="AC277" s="62"/>
      <c r="AD277" s="62"/>
      <c r="AE277" s="62"/>
      <c r="AF277" s="63"/>
      <c r="AG277" s="64" t="str">
        <f t="shared" si="39"/>
        <v/>
      </c>
    </row>
    <row r="278" spans="1:33" x14ac:dyDescent="0.25">
      <c r="A278" s="46" t="str">
        <f>IF(ISBLANK(inbound_data[[#This Row],[Receiving Report ref.'#]]),"",IF(inbound_data[[#This Row],[Ending Quantity]]=0,"ZERO","INV"))</f>
        <v/>
      </c>
      <c r="B278" s="165" t="str">
        <f t="shared" si="33"/>
        <v/>
      </c>
      <c r="C278" s="165" t="str">
        <f>IF(ISBLANK(D278),"",inbound_data[[#This Row],[Pallet_Series]]&amp;inbound_data[[#This Row],[No.]])</f>
        <v/>
      </c>
      <c r="D278" s="54"/>
      <c r="E278" s="55"/>
      <c r="F278" s="56"/>
      <c r="G278" s="57"/>
      <c r="H278" s="53"/>
      <c r="I278" s="53"/>
      <c r="J278" s="55"/>
      <c r="K278" s="58"/>
      <c r="L278" s="59"/>
      <c r="M278" s="55"/>
      <c r="N278" s="60"/>
      <c r="O278" s="60"/>
      <c r="P278" s="165" t="str">
        <f t="shared" ca="1" si="34"/>
        <v/>
      </c>
      <c r="Q278" s="165" t="str">
        <f t="shared" ca="1" si="35"/>
        <v/>
      </c>
      <c r="R278" s="79"/>
      <c r="S278" s="80"/>
      <c r="T278" s="61">
        <f t="shared" si="36"/>
        <v>0</v>
      </c>
      <c r="U278" s="61">
        <f t="shared" si="37"/>
        <v>0</v>
      </c>
      <c r="V278" s="61">
        <f t="shared" si="38"/>
        <v>0</v>
      </c>
      <c r="W278" s="58"/>
      <c r="X278" s="58"/>
      <c r="Y278" s="53"/>
      <c r="Z278" s="57"/>
      <c r="AA278" s="62"/>
      <c r="AB278" s="62"/>
      <c r="AC278" s="62"/>
      <c r="AD278" s="62"/>
      <c r="AE278" s="62"/>
      <c r="AF278" s="63"/>
      <c r="AG278" s="64" t="str">
        <f t="shared" si="39"/>
        <v/>
      </c>
    </row>
    <row r="279" spans="1:33" x14ac:dyDescent="0.25">
      <c r="A279" s="46" t="str">
        <f>IF(ISBLANK(inbound_data[[#This Row],[Receiving Report ref.'#]]),"",IF(inbound_data[[#This Row],[Ending Quantity]]=0,"ZERO","INV"))</f>
        <v/>
      </c>
      <c r="B279" s="165" t="str">
        <f t="shared" si="33"/>
        <v/>
      </c>
      <c r="C279" s="165" t="str">
        <f>IF(ISBLANK(D279),"",inbound_data[[#This Row],[Pallet_Series]]&amp;inbound_data[[#This Row],[No.]])</f>
        <v/>
      </c>
      <c r="D279" s="54"/>
      <c r="E279" s="55"/>
      <c r="F279" s="56"/>
      <c r="G279" s="57"/>
      <c r="H279" s="53"/>
      <c r="I279" s="53"/>
      <c r="J279" s="55"/>
      <c r="K279" s="58"/>
      <c r="L279" s="59"/>
      <c r="M279" s="55"/>
      <c r="N279" s="60"/>
      <c r="O279" s="60"/>
      <c r="P279" s="165" t="str">
        <f t="shared" ca="1" si="34"/>
        <v/>
      </c>
      <c r="Q279" s="165" t="str">
        <f t="shared" ca="1" si="35"/>
        <v/>
      </c>
      <c r="R279" s="79"/>
      <c r="S279" s="80"/>
      <c r="T279" s="61">
        <f t="shared" si="36"/>
        <v>0</v>
      </c>
      <c r="U279" s="61">
        <f t="shared" si="37"/>
        <v>0</v>
      </c>
      <c r="V279" s="61">
        <f t="shared" si="38"/>
        <v>0</v>
      </c>
      <c r="W279" s="58"/>
      <c r="X279" s="58"/>
      <c r="Y279" s="53"/>
      <c r="Z279" s="57"/>
      <c r="AA279" s="62"/>
      <c r="AB279" s="62"/>
      <c r="AC279" s="62"/>
      <c r="AD279" s="62"/>
      <c r="AE279" s="62"/>
      <c r="AF279" s="63"/>
      <c r="AG279" s="64" t="str">
        <f t="shared" si="39"/>
        <v/>
      </c>
    </row>
    <row r="280" spans="1:33" x14ac:dyDescent="0.25">
      <c r="A280" s="46" t="str">
        <f>IF(ISBLANK(inbound_data[[#This Row],[Receiving Report ref.'#]]),"",IF(inbound_data[[#This Row],[Ending Quantity]]=0,"ZERO","INV"))</f>
        <v/>
      </c>
      <c r="B280" s="165" t="str">
        <f t="shared" si="33"/>
        <v/>
      </c>
      <c r="C280" s="165" t="str">
        <f>IF(ISBLANK(D280),"",inbound_data[[#This Row],[Pallet_Series]]&amp;inbound_data[[#This Row],[No.]])</f>
        <v/>
      </c>
      <c r="D280" s="54"/>
      <c r="E280" s="55"/>
      <c r="F280" s="56"/>
      <c r="G280" s="57"/>
      <c r="H280" s="53"/>
      <c r="I280" s="53"/>
      <c r="J280" s="55"/>
      <c r="K280" s="58"/>
      <c r="L280" s="59"/>
      <c r="M280" s="55"/>
      <c r="N280" s="60"/>
      <c r="O280" s="60"/>
      <c r="P280" s="165" t="str">
        <f t="shared" ca="1" si="34"/>
        <v/>
      </c>
      <c r="Q280" s="165" t="str">
        <f t="shared" ca="1" si="35"/>
        <v/>
      </c>
      <c r="R280" s="79"/>
      <c r="S280" s="80"/>
      <c r="T280" s="61">
        <f t="shared" si="36"/>
        <v>0</v>
      </c>
      <c r="U280" s="61">
        <f t="shared" si="37"/>
        <v>0</v>
      </c>
      <c r="V280" s="61">
        <f t="shared" si="38"/>
        <v>0</v>
      </c>
      <c r="W280" s="58"/>
      <c r="X280" s="58"/>
      <c r="Y280" s="53"/>
      <c r="Z280" s="57"/>
      <c r="AA280" s="62"/>
      <c r="AB280" s="62"/>
      <c r="AC280" s="62"/>
      <c r="AD280" s="62"/>
      <c r="AE280" s="62"/>
      <c r="AF280" s="63"/>
      <c r="AG280" s="64" t="str">
        <f t="shared" si="39"/>
        <v/>
      </c>
    </row>
    <row r="281" spans="1:33" x14ac:dyDescent="0.25">
      <c r="A281" s="46" t="str">
        <f>IF(ISBLANK(inbound_data[[#This Row],[Receiving Report ref.'#]]),"",IF(inbound_data[[#This Row],[Ending Quantity]]=0,"ZERO","INV"))</f>
        <v/>
      </c>
      <c r="B281" s="165" t="str">
        <f t="shared" si="33"/>
        <v/>
      </c>
      <c r="C281" s="165" t="str">
        <f>IF(ISBLANK(D281),"",inbound_data[[#This Row],[Pallet_Series]]&amp;inbound_data[[#This Row],[No.]])</f>
        <v/>
      </c>
      <c r="D281" s="54"/>
      <c r="E281" s="55"/>
      <c r="F281" s="56"/>
      <c r="G281" s="57"/>
      <c r="H281" s="53"/>
      <c r="I281" s="53"/>
      <c r="J281" s="55"/>
      <c r="K281" s="58"/>
      <c r="L281" s="59"/>
      <c r="M281" s="55"/>
      <c r="N281" s="60"/>
      <c r="O281" s="60"/>
      <c r="P281" s="165" t="str">
        <f t="shared" ca="1" si="34"/>
        <v/>
      </c>
      <c r="Q281" s="165" t="str">
        <f t="shared" ca="1" si="35"/>
        <v/>
      </c>
      <c r="R281" s="79"/>
      <c r="S281" s="80"/>
      <c r="T281" s="61">
        <f t="shared" si="36"/>
        <v>0</v>
      </c>
      <c r="U281" s="61">
        <f t="shared" si="37"/>
        <v>0</v>
      </c>
      <c r="V281" s="61">
        <f t="shared" si="38"/>
        <v>0</v>
      </c>
      <c r="W281" s="58"/>
      <c r="X281" s="58"/>
      <c r="Y281" s="53"/>
      <c r="Z281" s="57"/>
      <c r="AA281" s="62"/>
      <c r="AB281" s="62"/>
      <c r="AC281" s="62"/>
      <c r="AD281" s="62"/>
      <c r="AE281" s="62"/>
      <c r="AF281" s="63"/>
      <c r="AG281" s="64" t="str">
        <f t="shared" si="39"/>
        <v/>
      </c>
    </row>
    <row r="282" spans="1:33" x14ac:dyDescent="0.25">
      <c r="A282" s="46" t="str">
        <f>IF(ISBLANK(inbound_data[[#This Row],[Receiving Report ref.'#]]),"",IF(inbound_data[[#This Row],[Ending Quantity]]=0,"ZERO","INV"))</f>
        <v/>
      </c>
      <c r="B282" s="165" t="str">
        <f t="shared" si="33"/>
        <v/>
      </c>
      <c r="C282" s="165" t="str">
        <f>IF(ISBLANK(D282),"",inbound_data[[#This Row],[Pallet_Series]]&amp;inbound_data[[#This Row],[No.]])</f>
        <v/>
      </c>
      <c r="D282" s="54"/>
      <c r="E282" s="55"/>
      <c r="F282" s="56"/>
      <c r="G282" s="57"/>
      <c r="H282" s="53"/>
      <c r="I282" s="53"/>
      <c r="J282" s="55"/>
      <c r="K282" s="58"/>
      <c r="L282" s="59"/>
      <c r="M282" s="55"/>
      <c r="N282" s="60"/>
      <c r="O282" s="60"/>
      <c r="P282" s="165" t="str">
        <f t="shared" ca="1" si="34"/>
        <v/>
      </c>
      <c r="Q282" s="165" t="str">
        <f t="shared" ca="1" si="35"/>
        <v/>
      </c>
      <c r="R282" s="79"/>
      <c r="S282" s="80"/>
      <c r="T282" s="61">
        <f t="shared" si="36"/>
        <v>0</v>
      </c>
      <c r="U282" s="61">
        <f t="shared" si="37"/>
        <v>0</v>
      </c>
      <c r="V282" s="61">
        <f t="shared" si="38"/>
        <v>0</v>
      </c>
      <c r="W282" s="58"/>
      <c r="X282" s="58"/>
      <c r="Y282" s="53"/>
      <c r="Z282" s="57"/>
      <c r="AA282" s="62"/>
      <c r="AB282" s="62"/>
      <c r="AC282" s="62"/>
      <c r="AD282" s="62"/>
      <c r="AE282" s="62"/>
      <c r="AF282" s="63"/>
      <c r="AG282" s="64" t="str">
        <f t="shared" si="39"/>
        <v/>
      </c>
    </row>
    <row r="283" spans="1:33" x14ac:dyDescent="0.25">
      <c r="A283" s="46" t="str">
        <f>IF(ISBLANK(inbound_data[[#This Row],[Receiving Report ref.'#]]),"",IF(inbound_data[[#This Row],[Ending Quantity]]=0,"ZERO","INV"))</f>
        <v/>
      </c>
      <c r="B283" s="165" t="str">
        <f t="shared" si="33"/>
        <v/>
      </c>
      <c r="C283" s="165" t="str">
        <f>IF(ISBLANK(D283),"",inbound_data[[#This Row],[Pallet_Series]]&amp;inbound_data[[#This Row],[No.]])</f>
        <v/>
      </c>
      <c r="D283" s="54"/>
      <c r="E283" s="55"/>
      <c r="F283" s="56"/>
      <c r="G283" s="57"/>
      <c r="H283" s="53"/>
      <c r="I283" s="53"/>
      <c r="J283" s="55"/>
      <c r="K283" s="58"/>
      <c r="L283" s="59"/>
      <c r="M283" s="55"/>
      <c r="N283" s="60"/>
      <c r="O283" s="60"/>
      <c r="P283" s="165" t="str">
        <f t="shared" ca="1" si="34"/>
        <v/>
      </c>
      <c r="Q283" s="165" t="str">
        <f t="shared" ca="1" si="35"/>
        <v/>
      </c>
      <c r="R283" s="79"/>
      <c r="S283" s="80"/>
      <c r="T283" s="61">
        <f t="shared" si="36"/>
        <v>0</v>
      </c>
      <c r="U283" s="61">
        <f t="shared" si="37"/>
        <v>0</v>
      </c>
      <c r="V283" s="61">
        <f t="shared" si="38"/>
        <v>0</v>
      </c>
      <c r="W283" s="58"/>
      <c r="X283" s="58"/>
      <c r="Y283" s="53"/>
      <c r="Z283" s="57"/>
      <c r="AA283" s="62"/>
      <c r="AB283" s="62"/>
      <c r="AC283" s="62"/>
      <c r="AD283" s="62"/>
      <c r="AE283" s="62"/>
      <c r="AF283" s="63"/>
      <c r="AG283" s="64" t="str">
        <f t="shared" si="39"/>
        <v/>
      </c>
    </row>
    <row r="284" spans="1:33" x14ac:dyDescent="0.25">
      <c r="A284" s="46" t="str">
        <f>IF(ISBLANK(inbound_data[[#This Row],[Receiving Report ref.'#]]),"",IF(inbound_data[[#This Row],[Ending Quantity]]=0,"ZERO","INV"))</f>
        <v/>
      </c>
      <c r="B284" s="165" t="str">
        <f t="shared" si="33"/>
        <v/>
      </c>
      <c r="C284" s="165" t="str">
        <f>IF(ISBLANK(D284),"",inbound_data[[#This Row],[Pallet_Series]]&amp;inbound_data[[#This Row],[No.]])</f>
        <v/>
      </c>
      <c r="D284" s="54"/>
      <c r="E284" s="55"/>
      <c r="F284" s="56"/>
      <c r="G284" s="57"/>
      <c r="H284" s="53"/>
      <c r="I284" s="53"/>
      <c r="J284" s="55"/>
      <c r="K284" s="58"/>
      <c r="L284" s="59"/>
      <c r="M284" s="55"/>
      <c r="N284" s="60"/>
      <c r="O284" s="60"/>
      <c r="P284" s="165" t="str">
        <f t="shared" ca="1" si="34"/>
        <v/>
      </c>
      <c r="Q284" s="165" t="str">
        <f t="shared" ca="1" si="35"/>
        <v/>
      </c>
      <c r="R284" s="79"/>
      <c r="S284" s="80"/>
      <c r="T284" s="61">
        <f t="shared" si="36"/>
        <v>0</v>
      </c>
      <c r="U284" s="61">
        <f t="shared" si="37"/>
        <v>0</v>
      </c>
      <c r="V284" s="61">
        <f t="shared" si="38"/>
        <v>0</v>
      </c>
      <c r="W284" s="58"/>
      <c r="X284" s="58"/>
      <c r="Y284" s="53"/>
      <c r="Z284" s="57"/>
      <c r="AA284" s="62"/>
      <c r="AB284" s="62"/>
      <c r="AC284" s="62"/>
      <c r="AD284" s="62"/>
      <c r="AE284" s="62"/>
      <c r="AF284" s="63"/>
      <c r="AG284" s="64" t="str">
        <f t="shared" si="39"/>
        <v/>
      </c>
    </row>
    <row r="285" spans="1:33" x14ac:dyDescent="0.25">
      <c r="A285" s="46" t="str">
        <f>IF(ISBLANK(inbound_data[[#This Row],[Receiving Report ref.'#]]),"",IF(inbound_data[[#This Row],[Ending Quantity]]=0,"ZERO","INV"))</f>
        <v/>
      </c>
      <c r="B285" s="165" t="str">
        <f t="shared" si="33"/>
        <v/>
      </c>
      <c r="C285" s="165" t="str">
        <f>IF(ISBLANK(D285),"",inbound_data[[#This Row],[Pallet_Series]]&amp;inbound_data[[#This Row],[No.]])</f>
        <v/>
      </c>
      <c r="D285" s="54"/>
      <c r="E285" s="55"/>
      <c r="F285" s="56"/>
      <c r="G285" s="57"/>
      <c r="H285" s="53"/>
      <c r="I285" s="53"/>
      <c r="J285" s="55"/>
      <c r="K285" s="58"/>
      <c r="L285" s="59"/>
      <c r="M285" s="55"/>
      <c r="N285" s="60"/>
      <c r="O285" s="60"/>
      <c r="P285" s="165" t="str">
        <f t="shared" ca="1" si="34"/>
        <v/>
      </c>
      <c r="Q285" s="165" t="str">
        <f t="shared" ca="1" si="35"/>
        <v/>
      </c>
      <c r="R285" s="79"/>
      <c r="S285" s="80"/>
      <c r="T285" s="61">
        <f t="shared" si="36"/>
        <v>0</v>
      </c>
      <c r="U285" s="61">
        <f t="shared" si="37"/>
        <v>0</v>
      </c>
      <c r="V285" s="61">
        <f t="shared" si="38"/>
        <v>0</v>
      </c>
      <c r="W285" s="58"/>
      <c r="X285" s="58"/>
      <c r="Y285" s="53"/>
      <c r="Z285" s="57"/>
      <c r="AA285" s="62"/>
      <c r="AB285" s="62"/>
      <c r="AC285" s="62"/>
      <c r="AD285" s="62"/>
      <c r="AE285" s="62"/>
      <c r="AF285" s="63"/>
      <c r="AG285" s="64" t="str">
        <f t="shared" si="39"/>
        <v/>
      </c>
    </row>
    <row r="286" spans="1:33" x14ac:dyDescent="0.25">
      <c r="A286" s="46" t="str">
        <f>IF(ISBLANK(inbound_data[[#This Row],[Receiving Report ref.'#]]),"",IF(inbound_data[[#This Row],[Ending Quantity]]=0,"ZERO","INV"))</f>
        <v/>
      </c>
      <c r="B286" s="165" t="str">
        <f t="shared" si="33"/>
        <v/>
      </c>
      <c r="C286" s="165" t="str">
        <f>IF(ISBLANK(D286),"",inbound_data[[#This Row],[Pallet_Series]]&amp;inbound_data[[#This Row],[No.]])</f>
        <v/>
      </c>
      <c r="D286" s="54"/>
      <c r="E286" s="55"/>
      <c r="F286" s="56"/>
      <c r="G286" s="57"/>
      <c r="H286" s="53"/>
      <c r="I286" s="53"/>
      <c r="J286" s="55"/>
      <c r="K286" s="58"/>
      <c r="L286" s="59"/>
      <c r="M286" s="55"/>
      <c r="N286" s="60"/>
      <c r="O286" s="60"/>
      <c r="P286" s="165" t="str">
        <f t="shared" ca="1" si="34"/>
        <v/>
      </c>
      <c r="Q286" s="165" t="str">
        <f t="shared" ca="1" si="35"/>
        <v/>
      </c>
      <c r="R286" s="79"/>
      <c r="S286" s="80"/>
      <c r="T286" s="61">
        <f t="shared" si="36"/>
        <v>0</v>
      </c>
      <c r="U286" s="61">
        <f t="shared" si="37"/>
        <v>0</v>
      </c>
      <c r="V286" s="61">
        <f t="shared" si="38"/>
        <v>0</v>
      </c>
      <c r="W286" s="58"/>
      <c r="X286" s="58"/>
      <c r="Y286" s="53"/>
      <c r="Z286" s="57"/>
      <c r="AA286" s="62"/>
      <c r="AB286" s="62"/>
      <c r="AC286" s="62"/>
      <c r="AD286" s="62"/>
      <c r="AE286" s="62"/>
      <c r="AF286" s="63"/>
      <c r="AG286" s="64" t="str">
        <f t="shared" si="39"/>
        <v/>
      </c>
    </row>
    <row r="287" spans="1:33" x14ac:dyDescent="0.25">
      <c r="A287" s="46" t="str">
        <f>IF(ISBLANK(inbound_data[[#This Row],[Receiving Report ref.'#]]),"",IF(inbound_data[[#This Row],[Ending Quantity]]=0,"ZERO","INV"))</f>
        <v/>
      </c>
      <c r="B287" s="165" t="str">
        <f t="shared" si="33"/>
        <v/>
      </c>
      <c r="C287" s="165" t="str">
        <f>IF(ISBLANK(D287),"",inbound_data[[#This Row],[Pallet_Series]]&amp;inbound_data[[#This Row],[No.]])</f>
        <v/>
      </c>
      <c r="D287" s="54"/>
      <c r="E287" s="55"/>
      <c r="F287" s="56"/>
      <c r="G287" s="57"/>
      <c r="H287" s="53"/>
      <c r="I287" s="53"/>
      <c r="J287" s="55"/>
      <c r="K287" s="58"/>
      <c r="L287" s="59"/>
      <c r="M287" s="55"/>
      <c r="N287" s="60"/>
      <c r="O287" s="60"/>
      <c r="P287" s="165" t="str">
        <f t="shared" ca="1" si="34"/>
        <v/>
      </c>
      <c r="Q287" s="165" t="str">
        <f t="shared" ca="1" si="35"/>
        <v/>
      </c>
      <c r="R287" s="79"/>
      <c r="S287" s="80"/>
      <c r="T287" s="61">
        <f t="shared" si="36"/>
        <v>0</v>
      </c>
      <c r="U287" s="61">
        <f t="shared" si="37"/>
        <v>0</v>
      </c>
      <c r="V287" s="61">
        <f t="shared" si="38"/>
        <v>0</v>
      </c>
      <c r="W287" s="58"/>
      <c r="X287" s="58"/>
      <c r="Y287" s="53"/>
      <c r="Z287" s="57"/>
      <c r="AA287" s="62"/>
      <c r="AB287" s="62"/>
      <c r="AC287" s="62"/>
      <c r="AD287" s="62"/>
      <c r="AE287" s="62"/>
      <c r="AF287" s="63"/>
      <c r="AG287" s="64" t="str">
        <f t="shared" si="39"/>
        <v/>
      </c>
    </row>
    <row r="288" spans="1:33" x14ac:dyDescent="0.25">
      <c r="A288" s="46" t="str">
        <f>IF(ISBLANK(inbound_data[[#This Row],[Receiving Report ref.'#]]),"",IF(inbound_data[[#This Row],[Ending Quantity]]=0,"ZERO","INV"))</f>
        <v/>
      </c>
      <c r="B288" s="165" t="str">
        <f t="shared" si="33"/>
        <v/>
      </c>
      <c r="C288" s="165" t="str">
        <f>IF(ISBLANK(D288),"",inbound_data[[#This Row],[Pallet_Series]]&amp;inbound_data[[#This Row],[No.]])</f>
        <v/>
      </c>
      <c r="D288" s="54"/>
      <c r="E288" s="55"/>
      <c r="F288" s="56"/>
      <c r="G288" s="57"/>
      <c r="H288" s="53"/>
      <c r="I288" s="53"/>
      <c r="J288" s="55"/>
      <c r="K288" s="58"/>
      <c r="L288" s="59"/>
      <c r="M288" s="55"/>
      <c r="N288" s="60"/>
      <c r="O288" s="60"/>
      <c r="P288" s="165" t="str">
        <f t="shared" ca="1" si="34"/>
        <v/>
      </c>
      <c r="Q288" s="165" t="str">
        <f t="shared" ca="1" si="35"/>
        <v/>
      </c>
      <c r="R288" s="79"/>
      <c r="S288" s="80"/>
      <c r="T288" s="61">
        <f t="shared" si="36"/>
        <v>0</v>
      </c>
      <c r="U288" s="61">
        <f t="shared" si="37"/>
        <v>0</v>
      </c>
      <c r="V288" s="61">
        <f t="shared" si="38"/>
        <v>0</v>
      </c>
      <c r="W288" s="58"/>
      <c r="X288" s="58"/>
      <c r="Y288" s="53"/>
      <c r="Z288" s="57"/>
      <c r="AA288" s="62"/>
      <c r="AB288" s="62"/>
      <c r="AC288" s="62"/>
      <c r="AD288" s="62"/>
      <c r="AE288" s="62"/>
      <c r="AF288" s="63"/>
      <c r="AG288" s="64" t="str">
        <f t="shared" si="39"/>
        <v/>
      </c>
    </row>
    <row r="289" spans="1:33" x14ac:dyDescent="0.25">
      <c r="A289" s="46" t="str">
        <f>IF(ISBLANK(inbound_data[[#This Row],[Receiving Report ref.'#]]),"",IF(inbound_data[[#This Row],[Ending Quantity]]=0,"ZERO","INV"))</f>
        <v/>
      </c>
      <c r="B289" s="165" t="str">
        <f t="shared" si="33"/>
        <v/>
      </c>
      <c r="C289" s="165" t="str">
        <f>IF(ISBLANK(D289),"",inbound_data[[#This Row],[Pallet_Series]]&amp;inbound_data[[#This Row],[No.]])</f>
        <v/>
      </c>
      <c r="D289" s="54"/>
      <c r="E289" s="55"/>
      <c r="F289" s="56"/>
      <c r="G289" s="57"/>
      <c r="H289" s="53"/>
      <c r="I289" s="53"/>
      <c r="J289" s="55"/>
      <c r="K289" s="58"/>
      <c r="L289" s="59"/>
      <c r="M289" s="55"/>
      <c r="N289" s="60"/>
      <c r="O289" s="60"/>
      <c r="P289" s="165" t="str">
        <f t="shared" ca="1" si="34"/>
        <v/>
      </c>
      <c r="Q289" s="165" t="str">
        <f t="shared" ca="1" si="35"/>
        <v/>
      </c>
      <c r="R289" s="79"/>
      <c r="S289" s="80"/>
      <c r="T289" s="61">
        <f t="shared" si="36"/>
        <v>0</v>
      </c>
      <c r="U289" s="61">
        <f t="shared" si="37"/>
        <v>0</v>
      </c>
      <c r="V289" s="61">
        <f t="shared" si="38"/>
        <v>0</v>
      </c>
      <c r="W289" s="58"/>
      <c r="X289" s="58"/>
      <c r="Y289" s="53"/>
      <c r="Z289" s="57"/>
      <c r="AA289" s="62"/>
      <c r="AB289" s="62"/>
      <c r="AC289" s="62"/>
      <c r="AD289" s="62"/>
      <c r="AE289" s="62"/>
      <c r="AF289" s="63"/>
      <c r="AG289" s="64" t="str">
        <f t="shared" si="39"/>
        <v/>
      </c>
    </row>
    <row r="290" spans="1:33" x14ac:dyDescent="0.25">
      <c r="A290" s="46" t="str">
        <f>IF(ISBLANK(inbound_data[[#This Row],[Receiving Report ref.'#]]),"",IF(inbound_data[[#This Row],[Ending Quantity]]=0,"ZERO","INV"))</f>
        <v/>
      </c>
      <c r="B290" s="165" t="str">
        <f t="shared" si="33"/>
        <v/>
      </c>
      <c r="C290" s="165" t="str">
        <f>IF(ISBLANK(D290),"",inbound_data[[#This Row],[Pallet_Series]]&amp;inbound_data[[#This Row],[No.]])</f>
        <v/>
      </c>
      <c r="D290" s="54"/>
      <c r="E290" s="55"/>
      <c r="F290" s="56"/>
      <c r="G290" s="57"/>
      <c r="H290" s="53"/>
      <c r="I290" s="53"/>
      <c r="J290" s="55"/>
      <c r="K290" s="58"/>
      <c r="L290" s="59"/>
      <c r="M290" s="55"/>
      <c r="N290" s="60"/>
      <c r="O290" s="60"/>
      <c r="P290" s="165" t="str">
        <f t="shared" ca="1" si="34"/>
        <v/>
      </c>
      <c r="Q290" s="165" t="str">
        <f t="shared" ca="1" si="35"/>
        <v/>
      </c>
      <c r="R290" s="79"/>
      <c r="S290" s="80"/>
      <c r="T290" s="61">
        <f t="shared" si="36"/>
        <v>0</v>
      </c>
      <c r="U290" s="61">
        <f t="shared" si="37"/>
        <v>0</v>
      </c>
      <c r="V290" s="61">
        <f t="shared" si="38"/>
        <v>0</v>
      </c>
      <c r="W290" s="58"/>
      <c r="X290" s="58"/>
      <c r="Y290" s="53"/>
      <c r="Z290" s="57"/>
      <c r="AA290" s="62"/>
      <c r="AB290" s="62"/>
      <c r="AC290" s="62"/>
      <c r="AD290" s="62"/>
      <c r="AE290" s="62"/>
      <c r="AF290" s="63"/>
      <c r="AG290" s="64" t="str">
        <f t="shared" si="39"/>
        <v/>
      </c>
    </row>
    <row r="291" spans="1:33" x14ac:dyDescent="0.25">
      <c r="A291" s="46" t="str">
        <f>IF(ISBLANK(inbound_data[[#This Row],[Receiving Report ref.'#]]),"",IF(inbound_data[[#This Row],[Ending Quantity]]=0,"ZERO","INV"))</f>
        <v/>
      </c>
      <c r="B291" s="165" t="str">
        <f t="shared" si="33"/>
        <v/>
      </c>
      <c r="C291" s="165" t="str">
        <f>IF(ISBLANK(D291),"",inbound_data[[#This Row],[Pallet_Series]]&amp;inbound_data[[#This Row],[No.]])</f>
        <v/>
      </c>
      <c r="D291" s="54"/>
      <c r="E291" s="55"/>
      <c r="F291" s="56"/>
      <c r="G291" s="57"/>
      <c r="H291" s="53"/>
      <c r="I291" s="53"/>
      <c r="J291" s="55"/>
      <c r="K291" s="58"/>
      <c r="L291" s="59"/>
      <c r="M291" s="55"/>
      <c r="N291" s="60"/>
      <c r="O291" s="60"/>
      <c r="P291" s="165" t="str">
        <f t="shared" ca="1" si="34"/>
        <v/>
      </c>
      <c r="Q291" s="165" t="str">
        <f t="shared" ca="1" si="35"/>
        <v/>
      </c>
      <c r="R291" s="79"/>
      <c r="S291" s="80"/>
      <c r="T291" s="61">
        <f t="shared" si="36"/>
        <v>0</v>
      </c>
      <c r="U291" s="61">
        <f t="shared" si="37"/>
        <v>0</v>
      </c>
      <c r="V291" s="61">
        <f t="shared" si="38"/>
        <v>0</v>
      </c>
      <c r="W291" s="58"/>
      <c r="X291" s="58"/>
      <c r="Y291" s="53"/>
      <c r="Z291" s="57"/>
      <c r="AA291" s="62"/>
      <c r="AB291" s="62"/>
      <c r="AC291" s="62"/>
      <c r="AD291" s="62"/>
      <c r="AE291" s="62"/>
      <c r="AF291" s="63"/>
      <c r="AG291" s="64" t="str">
        <f t="shared" si="39"/>
        <v/>
      </c>
    </row>
    <row r="292" spans="1:33" x14ac:dyDescent="0.25">
      <c r="A292" s="46" t="str">
        <f>IF(ISBLANK(inbound_data[[#This Row],[Receiving Report ref.'#]]),"",IF(inbound_data[[#This Row],[Ending Quantity]]=0,"ZERO","INV"))</f>
        <v/>
      </c>
      <c r="B292" s="165" t="str">
        <f t="shared" si="33"/>
        <v/>
      </c>
      <c r="C292" s="165" t="str">
        <f>IF(ISBLANK(D292),"",inbound_data[[#This Row],[Pallet_Series]]&amp;inbound_data[[#This Row],[No.]])</f>
        <v/>
      </c>
      <c r="D292" s="54"/>
      <c r="E292" s="55"/>
      <c r="F292" s="56"/>
      <c r="G292" s="57"/>
      <c r="H292" s="53"/>
      <c r="I292" s="53"/>
      <c r="J292" s="55"/>
      <c r="K292" s="58"/>
      <c r="L292" s="59"/>
      <c r="M292" s="55"/>
      <c r="N292" s="60"/>
      <c r="O292" s="60"/>
      <c r="P292" s="165" t="str">
        <f t="shared" ca="1" si="34"/>
        <v/>
      </c>
      <c r="Q292" s="165" t="str">
        <f t="shared" ca="1" si="35"/>
        <v/>
      </c>
      <c r="R292" s="79"/>
      <c r="S292" s="80"/>
      <c r="T292" s="61">
        <f t="shared" si="36"/>
        <v>0</v>
      </c>
      <c r="U292" s="61">
        <f t="shared" si="37"/>
        <v>0</v>
      </c>
      <c r="V292" s="61">
        <f t="shared" si="38"/>
        <v>0</v>
      </c>
      <c r="W292" s="58"/>
      <c r="X292" s="58"/>
      <c r="Y292" s="53"/>
      <c r="Z292" s="57"/>
      <c r="AA292" s="62"/>
      <c r="AB292" s="62"/>
      <c r="AC292" s="62"/>
      <c r="AD292" s="62"/>
      <c r="AE292" s="62"/>
      <c r="AF292" s="63"/>
      <c r="AG292" s="64" t="str">
        <f t="shared" si="39"/>
        <v/>
      </c>
    </row>
    <row r="293" spans="1:33" x14ac:dyDescent="0.25">
      <c r="A293" s="46" t="str">
        <f>IF(ISBLANK(inbound_data[[#This Row],[Receiving Report ref.'#]]),"",IF(inbound_data[[#This Row],[Ending Quantity]]=0,"ZERO","INV"))</f>
        <v/>
      </c>
      <c r="B293" s="165" t="str">
        <f t="shared" si="33"/>
        <v/>
      </c>
      <c r="C293" s="165" t="str">
        <f>IF(ISBLANK(D293),"",inbound_data[[#This Row],[Pallet_Series]]&amp;inbound_data[[#This Row],[No.]])</f>
        <v/>
      </c>
      <c r="D293" s="54"/>
      <c r="E293" s="55"/>
      <c r="F293" s="56"/>
      <c r="G293" s="57"/>
      <c r="H293" s="53"/>
      <c r="I293" s="53"/>
      <c r="J293" s="55"/>
      <c r="K293" s="58"/>
      <c r="L293" s="59"/>
      <c r="M293" s="55"/>
      <c r="N293" s="60"/>
      <c r="O293" s="60"/>
      <c r="P293" s="165" t="str">
        <f t="shared" ca="1" si="34"/>
        <v/>
      </c>
      <c r="Q293" s="165" t="str">
        <f t="shared" ca="1" si="35"/>
        <v/>
      </c>
      <c r="R293" s="79"/>
      <c r="S293" s="80"/>
      <c r="T293" s="61">
        <f t="shared" si="36"/>
        <v>0</v>
      </c>
      <c r="U293" s="61">
        <f t="shared" si="37"/>
        <v>0</v>
      </c>
      <c r="V293" s="61">
        <f t="shared" si="38"/>
        <v>0</v>
      </c>
      <c r="W293" s="58"/>
      <c r="X293" s="58"/>
      <c r="Y293" s="53"/>
      <c r="Z293" s="57"/>
      <c r="AA293" s="62"/>
      <c r="AB293" s="62"/>
      <c r="AC293" s="62"/>
      <c r="AD293" s="62"/>
      <c r="AE293" s="62"/>
      <c r="AF293" s="63"/>
      <c r="AG293" s="64" t="str">
        <f t="shared" si="39"/>
        <v/>
      </c>
    </row>
    <row r="294" spans="1:33" x14ac:dyDescent="0.25">
      <c r="A294" s="46" t="str">
        <f>IF(ISBLANK(inbound_data[[#This Row],[Receiving Report ref.'#]]),"",IF(inbound_data[[#This Row],[Ending Quantity]]=0,"ZERO","INV"))</f>
        <v/>
      </c>
      <c r="B294" s="165" t="str">
        <f t="shared" si="33"/>
        <v/>
      </c>
      <c r="C294" s="165" t="str">
        <f>IF(ISBLANK(D294),"",inbound_data[[#This Row],[Pallet_Series]]&amp;inbound_data[[#This Row],[No.]])</f>
        <v/>
      </c>
      <c r="D294" s="54"/>
      <c r="E294" s="55"/>
      <c r="F294" s="56"/>
      <c r="G294" s="57"/>
      <c r="H294" s="53"/>
      <c r="I294" s="53"/>
      <c r="J294" s="55"/>
      <c r="K294" s="58"/>
      <c r="L294" s="59"/>
      <c r="M294" s="55"/>
      <c r="N294" s="60"/>
      <c r="O294" s="60"/>
      <c r="P294" s="165" t="str">
        <f t="shared" ca="1" si="34"/>
        <v/>
      </c>
      <c r="Q294" s="165" t="str">
        <f t="shared" ca="1" si="35"/>
        <v/>
      </c>
      <c r="R294" s="79"/>
      <c r="S294" s="80"/>
      <c r="T294" s="61">
        <f t="shared" si="36"/>
        <v>0</v>
      </c>
      <c r="U294" s="61">
        <f t="shared" si="37"/>
        <v>0</v>
      </c>
      <c r="V294" s="61">
        <f t="shared" si="38"/>
        <v>0</v>
      </c>
      <c r="W294" s="58"/>
      <c r="X294" s="58"/>
      <c r="Y294" s="53"/>
      <c r="Z294" s="57"/>
      <c r="AA294" s="62"/>
      <c r="AB294" s="62"/>
      <c r="AC294" s="62"/>
      <c r="AD294" s="62"/>
      <c r="AE294" s="62"/>
      <c r="AF294" s="63"/>
      <c r="AG294" s="64" t="str">
        <f t="shared" si="39"/>
        <v/>
      </c>
    </row>
    <row r="295" spans="1:33" x14ac:dyDescent="0.25">
      <c r="A295" s="46" t="str">
        <f>IF(ISBLANK(inbound_data[[#This Row],[Receiving Report ref.'#]]),"",IF(inbound_data[[#This Row],[Ending Quantity]]=0,"ZERO","INV"))</f>
        <v/>
      </c>
      <c r="B295" s="165" t="str">
        <f t="shared" si="33"/>
        <v/>
      </c>
      <c r="C295" s="165" t="str">
        <f>IF(ISBLANK(D295),"",inbound_data[[#This Row],[Pallet_Series]]&amp;inbound_data[[#This Row],[No.]])</f>
        <v/>
      </c>
      <c r="D295" s="54"/>
      <c r="E295" s="55"/>
      <c r="F295" s="56"/>
      <c r="G295" s="57"/>
      <c r="H295" s="53"/>
      <c r="I295" s="53"/>
      <c r="J295" s="55"/>
      <c r="K295" s="58"/>
      <c r="L295" s="59"/>
      <c r="M295" s="55"/>
      <c r="N295" s="60"/>
      <c r="O295" s="60"/>
      <c r="P295" s="165" t="str">
        <f t="shared" ca="1" si="34"/>
        <v/>
      </c>
      <c r="Q295" s="165" t="str">
        <f t="shared" ca="1" si="35"/>
        <v/>
      </c>
      <c r="R295" s="79"/>
      <c r="S295" s="80"/>
      <c r="T295" s="61">
        <f t="shared" si="36"/>
        <v>0</v>
      </c>
      <c r="U295" s="61">
        <f t="shared" si="37"/>
        <v>0</v>
      </c>
      <c r="V295" s="61">
        <f t="shared" si="38"/>
        <v>0</v>
      </c>
      <c r="W295" s="58"/>
      <c r="X295" s="58"/>
      <c r="Y295" s="53"/>
      <c r="Z295" s="57"/>
      <c r="AA295" s="62"/>
      <c r="AB295" s="62"/>
      <c r="AC295" s="62"/>
      <c r="AD295" s="62"/>
      <c r="AE295" s="62"/>
      <c r="AF295" s="63"/>
      <c r="AG295" s="64" t="str">
        <f t="shared" si="39"/>
        <v/>
      </c>
    </row>
    <row r="296" spans="1:33" x14ac:dyDescent="0.25">
      <c r="A296" s="46" t="str">
        <f>IF(ISBLANK(inbound_data[[#This Row],[Receiving Report ref.'#]]),"",IF(inbound_data[[#This Row],[Ending Quantity]]=0,"ZERO","INV"))</f>
        <v/>
      </c>
      <c r="B296" s="165" t="str">
        <f t="shared" si="33"/>
        <v/>
      </c>
      <c r="C296" s="165" t="str">
        <f>IF(ISBLANK(D296),"",inbound_data[[#This Row],[Pallet_Series]]&amp;inbound_data[[#This Row],[No.]])</f>
        <v/>
      </c>
      <c r="D296" s="54"/>
      <c r="E296" s="55"/>
      <c r="F296" s="56"/>
      <c r="G296" s="57"/>
      <c r="H296" s="53"/>
      <c r="I296" s="53"/>
      <c r="J296" s="55"/>
      <c r="K296" s="58"/>
      <c r="L296" s="59"/>
      <c r="M296" s="55"/>
      <c r="N296" s="60"/>
      <c r="O296" s="60"/>
      <c r="P296" s="165" t="str">
        <f t="shared" ca="1" si="34"/>
        <v/>
      </c>
      <c r="Q296" s="165" t="str">
        <f t="shared" ca="1" si="35"/>
        <v/>
      </c>
      <c r="R296" s="79"/>
      <c r="S296" s="80"/>
      <c r="T296" s="61">
        <f t="shared" si="36"/>
        <v>0</v>
      </c>
      <c r="U296" s="61">
        <f t="shared" si="37"/>
        <v>0</v>
      </c>
      <c r="V296" s="61">
        <f t="shared" si="38"/>
        <v>0</v>
      </c>
      <c r="W296" s="58"/>
      <c r="X296" s="58"/>
      <c r="Y296" s="53"/>
      <c r="Z296" s="57"/>
      <c r="AA296" s="62"/>
      <c r="AB296" s="62"/>
      <c r="AC296" s="62"/>
      <c r="AD296" s="62"/>
      <c r="AE296" s="62"/>
      <c r="AF296" s="63"/>
      <c r="AG296" s="64" t="str">
        <f t="shared" si="39"/>
        <v/>
      </c>
    </row>
    <row r="297" spans="1:33" x14ac:dyDescent="0.25">
      <c r="A297" s="46" t="str">
        <f>IF(ISBLANK(inbound_data[[#This Row],[Receiving Report ref.'#]]),"",IF(inbound_data[[#This Row],[Ending Quantity]]=0,"ZERO","INV"))</f>
        <v/>
      </c>
      <c r="B297" s="165" t="str">
        <f t="shared" si="33"/>
        <v/>
      </c>
      <c r="C297" s="165" t="str">
        <f>IF(ISBLANK(D297),"",inbound_data[[#This Row],[Pallet_Series]]&amp;inbound_data[[#This Row],[No.]])</f>
        <v/>
      </c>
      <c r="D297" s="54"/>
      <c r="E297" s="55"/>
      <c r="F297" s="56"/>
      <c r="G297" s="57"/>
      <c r="H297" s="53"/>
      <c r="I297" s="53"/>
      <c r="J297" s="55"/>
      <c r="K297" s="58"/>
      <c r="L297" s="59"/>
      <c r="M297" s="55"/>
      <c r="N297" s="60"/>
      <c r="O297" s="60"/>
      <c r="P297" s="165" t="str">
        <f t="shared" ca="1" si="34"/>
        <v/>
      </c>
      <c r="Q297" s="165" t="str">
        <f t="shared" ca="1" si="35"/>
        <v/>
      </c>
      <c r="R297" s="79"/>
      <c r="S297" s="80"/>
      <c r="T297" s="61">
        <f t="shared" si="36"/>
        <v>0</v>
      </c>
      <c r="U297" s="61">
        <f t="shared" si="37"/>
        <v>0</v>
      </c>
      <c r="V297" s="61">
        <f t="shared" si="38"/>
        <v>0</v>
      </c>
      <c r="W297" s="58"/>
      <c r="X297" s="58"/>
      <c r="Y297" s="53"/>
      <c r="Z297" s="57"/>
      <c r="AA297" s="62"/>
      <c r="AB297" s="62"/>
      <c r="AC297" s="62"/>
      <c r="AD297" s="62"/>
      <c r="AE297" s="62"/>
      <c r="AF297" s="63"/>
      <c r="AG297" s="64" t="str">
        <f t="shared" si="39"/>
        <v/>
      </c>
    </row>
    <row r="298" spans="1:33" x14ac:dyDescent="0.25">
      <c r="A298" s="46" t="str">
        <f>IF(ISBLANK(inbound_data[[#This Row],[Receiving Report ref.'#]]),"",IF(inbound_data[[#This Row],[Ending Quantity]]=0,"ZERO","INV"))</f>
        <v/>
      </c>
      <c r="B298" s="165" t="str">
        <f t="shared" si="33"/>
        <v/>
      </c>
      <c r="C298" s="165" t="str">
        <f>IF(ISBLANK(D298),"",inbound_data[[#This Row],[Pallet_Series]]&amp;inbound_data[[#This Row],[No.]])</f>
        <v/>
      </c>
      <c r="D298" s="54"/>
      <c r="E298" s="55"/>
      <c r="F298" s="56"/>
      <c r="G298" s="57"/>
      <c r="H298" s="53"/>
      <c r="I298" s="53"/>
      <c r="J298" s="55"/>
      <c r="K298" s="58"/>
      <c r="L298" s="59"/>
      <c r="M298" s="55"/>
      <c r="N298" s="60"/>
      <c r="O298" s="60"/>
      <c r="P298" s="165" t="str">
        <f t="shared" ca="1" si="34"/>
        <v/>
      </c>
      <c r="Q298" s="165" t="str">
        <f t="shared" ca="1" si="35"/>
        <v/>
      </c>
      <c r="R298" s="79"/>
      <c r="S298" s="80"/>
      <c r="T298" s="61">
        <f t="shared" si="36"/>
        <v>0</v>
      </c>
      <c r="U298" s="61">
        <f t="shared" si="37"/>
        <v>0</v>
      </c>
      <c r="V298" s="61">
        <f t="shared" si="38"/>
        <v>0</v>
      </c>
      <c r="W298" s="58"/>
      <c r="X298" s="58"/>
      <c r="Y298" s="53"/>
      <c r="Z298" s="57"/>
      <c r="AA298" s="62"/>
      <c r="AB298" s="62"/>
      <c r="AC298" s="62"/>
      <c r="AD298" s="62"/>
      <c r="AE298" s="62"/>
      <c r="AF298" s="63"/>
      <c r="AG298" s="64" t="str">
        <f t="shared" si="39"/>
        <v/>
      </c>
    </row>
    <row r="299" spans="1:33" x14ac:dyDescent="0.25">
      <c r="A299" s="46" t="str">
        <f>IF(ISBLANK(inbound_data[[#This Row],[Receiving Report ref.'#]]),"",IF(inbound_data[[#This Row],[Ending Quantity]]=0,"ZERO","INV"))</f>
        <v/>
      </c>
      <c r="B299" s="165" t="str">
        <f t="shared" si="33"/>
        <v/>
      </c>
      <c r="C299" s="165" t="str">
        <f>IF(ISBLANK(D299),"",inbound_data[[#This Row],[Pallet_Series]]&amp;inbound_data[[#This Row],[No.]])</f>
        <v/>
      </c>
      <c r="D299" s="54"/>
      <c r="E299" s="55"/>
      <c r="F299" s="56"/>
      <c r="G299" s="57"/>
      <c r="H299" s="53"/>
      <c r="I299" s="53"/>
      <c r="J299" s="55"/>
      <c r="K299" s="58"/>
      <c r="L299" s="59"/>
      <c r="M299" s="55"/>
      <c r="N299" s="60"/>
      <c r="O299" s="60"/>
      <c r="P299" s="165" t="str">
        <f t="shared" ca="1" si="34"/>
        <v/>
      </c>
      <c r="Q299" s="165" t="str">
        <f t="shared" ca="1" si="35"/>
        <v/>
      </c>
      <c r="R299" s="79"/>
      <c r="S299" s="80"/>
      <c r="T299" s="61">
        <f t="shared" si="36"/>
        <v>0</v>
      </c>
      <c r="U299" s="61">
        <f t="shared" si="37"/>
        <v>0</v>
      </c>
      <c r="V299" s="61">
        <f t="shared" si="38"/>
        <v>0</v>
      </c>
      <c r="W299" s="58"/>
      <c r="X299" s="58"/>
      <c r="Y299" s="53"/>
      <c r="Z299" s="57"/>
      <c r="AA299" s="62"/>
      <c r="AB299" s="62"/>
      <c r="AC299" s="62"/>
      <c r="AD299" s="62"/>
      <c r="AE299" s="62"/>
      <c r="AF299" s="63"/>
      <c r="AG299" s="64" t="str">
        <f t="shared" si="39"/>
        <v/>
      </c>
    </row>
    <row r="300" spans="1:33" x14ac:dyDescent="0.25">
      <c r="A300" s="46" t="str">
        <f>IF(ISBLANK(inbound_data[[#This Row],[Receiving Report ref.'#]]),"",IF(inbound_data[[#This Row],[Ending Quantity]]=0,"ZERO","INV"))</f>
        <v/>
      </c>
      <c r="B300" s="165" t="str">
        <f t="shared" si="33"/>
        <v/>
      </c>
      <c r="C300" s="165" t="str">
        <f>IF(ISBLANK(D300),"",inbound_data[[#This Row],[Pallet_Series]]&amp;inbound_data[[#This Row],[No.]])</f>
        <v/>
      </c>
      <c r="D300" s="54"/>
      <c r="E300" s="55"/>
      <c r="F300" s="56"/>
      <c r="G300" s="57"/>
      <c r="H300" s="53"/>
      <c r="I300" s="53"/>
      <c r="J300" s="55"/>
      <c r="K300" s="58"/>
      <c r="L300" s="59"/>
      <c r="M300" s="55"/>
      <c r="N300" s="60"/>
      <c r="O300" s="60"/>
      <c r="P300" s="165" t="str">
        <f t="shared" ca="1" si="34"/>
        <v/>
      </c>
      <c r="Q300" s="165" t="str">
        <f t="shared" ca="1" si="35"/>
        <v/>
      </c>
      <c r="R300" s="79"/>
      <c r="S300" s="80"/>
      <c r="T300" s="61">
        <f t="shared" si="36"/>
        <v>0</v>
      </c>
      <c r="U300" s="61">
        <f t="shared" si="37"/>
        <v>0</v>
      </c>
      <c r="V300" s="61">
        <f t="shared" si="38"/>
        <v>0</v>
      </c>
      <c r="W300" s="58"/>
      <c r="X300" s="58"/>
      <c r="Y300" s="53"/>
      <c r="Z300" s="57"/>
      <c r="AA300" s="62"/>
      <c r="AB300" s="62"/>
      <c r="AC300" s="62"/>
      <c r="AD300" s="62"/>
      <c r="AE300" s="62"/>
      <c r="AF300" s="63"/>
      <c r="AG300" s="64" t="str">
        <f t="shared" si="39"/>
        <v/>
      </c>
    </row>
    <row r="301" spans="1:33" x14ac:dyDescent="0.25">
      <c r="A301" s="46" t="str">
        <f>IF(ISBLANK(inbound_data[[#This Row],[Receiving Report ref.'#]]),"",IF(inbound_data[[#This Row],[Ending Quantity]]=0,"ZERO","INV"))</f>
        <v/>
      </c>
      <c r="B301" s="165" t="str">
        <f t="shared" si="33"/>
        <v/>
      </c>
      <c r="C301" s="165" t="str">
        <f>IF(ISBLANK(D301),"",inbound_data[[#This Row],[Pallet_Series]]&amp;inbound_data[[#This Row],[No.]])</f>
        <v/>
      </c>
      <c r="D301" s="54"/>
      <c r="E301" s="55"/>
      <c r="F301" s="56"/>
      <c r="G301" s="57"/>
      <c r="H301" s="53"/>
      <c r="I301" s="53"/>
      <c r="J301" s="55"/>
      <c r="K301" s="58"/>
      <c r="L301" s="59"/>
      <c r="M301" s="55"/>
      <c r="N301" s="60"/>
      <c r="O301" s="60"/>
      <c r="P301" s="165" t="str">
        <f t="shared" ca="1" si="34"/>
        <v/>
      </c>
      <c r="Q301" s="165" t="str">
        <f t="shared" ca="1" si="35"/>
        <v/>
      </c>
      <c r="R301" s="79"/>
      <c r="S301" s="80"/>
      <c r="T301" s="61">
        <f t="shared" si="36"/>
        <v>0</v>
      </c>
      <c r="U301" s="61">
        <f t="shared" si="37"/>
        <v>0</v>
      </c>
      <c r="V301" s="61">
        <f t="shared" si="38"/>
        <v>0</v>
      </c>
      <c r="W301" s="58"/>
      <c r="X301" s="58"/>
      <c r="Y301" s="53"/>
      <c r="Z301" s="57"/>
      <c r="AA301" s="62"/>
      <c r="AB301" s="62"/>
      <c r="AC301" s="62"/>
      <c r="AD301" s="62"/>
      <c r="AE301" s="62"/>
      <c r="AF301" s="63"/>
      <c r="AG301" s="64" t="str">
        <f t="shared" si="39"/>
        <v/>
      </c>
    </row>
    <row r="302" spans="1:33" x14ac:dyDescent="0.25">
      <c r="A302" s="46" t="str">
        <f>IF(ISBLANK(inbound_data[[#This Row],[Receiving Report ref.'#]]),"",IF(inbound_data[[#This Row],[Ending Quantity]]=0,"ZERO","INV"))</f>
        <v/>
      </c>
      <c r="B302" s="165" t="str">
        <f t="shared" si="33"/>
        <v/>
      </c>
      <c r="C302" s="165" t="str">
        <f>IF(ISBLANK(D302),"",inbound_data[[#This Row],[Pallet_Series]]&amp;inbound_data[[#This Row],[No.]])</f>
        <v/>
      </c>
      <c r="D302" s="54"/>
      <c r="E302" s="55"/>
      <c r="F302" s="56"/>
      <c r="G302" s="57"/>
      <c r="H302" s="53"/>
      <c r="I302" s="53"/>
      <c r="J302" s="55"/>
      <c r="K302" s="58"/>
      <c r="L302" s="59"/>
      <c r="M302" s="55"/>
      <c r="N302" s="60"/>
      <c r="O302" s="60"/>
      <c r="P302" s="165" t="str">
        <f t="shared" ca="1" si="34"/>
        <v/>
      </c>
      <c r="Q302" s="165" t="str">
        <f t="shared" ca="1" si="35"/>
        <v/>
      </c>
      <c r="R302" s="79"/>
      <c r="S302" s="80"/>
      <c r="T302" s="61">
        <f t="shared" si="36"/>
        <v>0</v>
      </c>
      <c r="U302" s="61">
        <f t="shared" si="37"/>
        <v>0</v>
      </c>
      <c r="V302" s="61">
        <f t="shared" si="38"/>
        <v>0</v>
      </c>
      <c r="W302" s="58"/>
      <c r="X302" s="58"/>
      <c r="Y302" s="53"/>
      <c r="Z302" s="57"/>
      <c r="AA302" s="62"/>
      <c r="AB302" s="62"/>
      <c r="AC302" s="62"/>
      <c r="AD302" s="62"/>
      <c r="AE302" s="62"/>
      <c r="AF302" s="63"/>
      <c r="AG302" s="64" t="str">
        <f t="shared" si="39"/>
        <v/>
      </c>
    </row>
    <row r="303" spans="1:33" x14ac:dyDescent="0.25">
      <c r="A303" s="46" t="str">
        <f>IF(ISBLANK(inbound_data[[#This Row],[Receiving Report ref.'#]]),"",IF(inbound_data[[#This Row],[Ending Quantity]]=0,"ZERO","INV"))</f>
        <v/>
      </c>
      <c r="B303" s="165" t="str">
        <f t="shared" si="33"/>
        <v/>
      </c>
      <c r="C303" s="165" t="str">
        <f>IF(ISBLANK(D303),"",inbound_data[[#This Row],[Pallet_Series]]&amp;inbound_data[[#This Row],[No.]])</f>
        <v/>
      </c>
      <c r="D303" s="54"/>
      <c r="E303" s="55"/>
      <c r="F303" s="56"/>
      <c r="G303" s="57"/>
      <c r="H303" s="53"/>
      <c r="I303" s="53"/>
      <c r="J303" s="55"/>
      <c r="K303" s="58"/>
      <c r="L303" s="59"/>
      <c r="M303" s="55"/>
      <c r="N303" s="60"/>
      <c r="O303" s="60"/>
      <c r="P303" s="165" t="str">
        <f t="shared" ca="1" si="34"/>
        <v/>
      </c>
      <c r="Q303" s="165" t="str">
        <f t="shared" ca="1" si="35"/>
        <v/>
      </c>
      <c r="R303" s="79"/>
      <c r="S303" s="80"/>
      <c r="T303" s="61">
        <f t="shared" si="36"/>
        <v>0</v>
      </c>
      <c r="U303" s="61">
        <f t="shared" si="37"/>
        <v>0</v>
      </c>
      <c r="V303" s="61">
        <f t="shared" si="38"/>
        <v>0</v>
      </c>
      <c r="W303" s="58"/>
      <c r="X303" s="58"/>
      <c r="Y303" s="53"/>
      <c r="Z303" s="57"/>
      <c r="AA303" s="62"/>
      <c r="AB303" s="62"/>
      <c r="AC303" s="62"/>
      <c r="AD303" s="62"/>
      <c r="AE303" s="62"/>
      <c r="AF303" s="63"/>
      <c r="AG303" s="64" t="str">
        <f t="shared" si="39"/>
        <v/>
      </c>
    </row>
    <row r="304" spans="1:33" x14ac:dyDescent="0.25">
      <c r="A304" s="46" t="str">
        <f>IF(ISBLANK(inbound_data[[#This Row],[Receiving Report ref.'#]]),"",IF(inbound_data[[#This Row],[Ending Quantity]]=0,"ZERO","INV"))</f>
        <v/>
      </c>
      <c r="B304" s="165" t="str">
        <f t="shared" si="33"/>
        <v/>
      </c>
      <c r="C304" s="165" t="str">
        <f>IF(ISBLANK(D304),"",inbound_data[[#This Row],[Pallet_Series]]&amp;inbound_data[[#This Row],[No.]])</f>
        <v/>
      </c>
      <c r="D304" s="54"/>
      <c r="E304" s="55"/>
      <c r="F304" s="56"/>
      <c r="G304" s="57"/>
      <c r="H304" s="53"/>
      <c r="I304" s="53"/>
      <c r="J304" s="55"/>
      <c r="K304" s="58"/>
      <c r="L304" s="59"/>
      <c r="M304" s="55"/>
      <c r="N304" s="60"/>
      <c r="O304" s="60"/>
      <c r="P304" s="165" t="str">
        <f t="shared" ca="1" si="34"/>
        <v/>
      </c>
      <c r="Q304" s="165" t="str">
        <f t="shared" ca="1" si="35"/>
        <v/>
      </c>
      <c r="R304" s="79"/>
      <c r="S304" s="80"/>
      <c r="T304" s="61">
        <f t="shared" si="36"/>
        <v>0</v>
      </c>
      <c r="U304" s="61">
        <f t="shared" si="37"/>
        <v>0</v>
      </c>
      <c r="V304" s="61">
        <f t="shared" si="38"/>
        <v>0</v>
      </c>
      <c r="W304" s="58"/>
      <c r="X304" s="58"/>
      <c r="Y304" s="53"/>
      <c r="Z304" s="57"/>
      <c r="AA304" s="62"/>
      <c r="AB304" s="62"/>
      <c r="AC304" s="62"/>
      <c r="AD304" s="62"/>
      <c r="AE304" s="62"/>
      <c r="AF304" s="63"/>
      <c r="AG304" s="64" t="str">
        <f t="shared" si="39"/>
        <v/>
      </c>
    </row>
    <row r="305" spans="1:33" x14ac:dyDescent="0.25">
      <c r="A305" s="46" t="str">
        <f>IF(ISBLANK(inbound_data[[#This Row],[Receiving Report ref.'#]]),"",IF(inbound_data[[#This Row],[Ending Quantity]]=0,"ZERO","INV"))</f>
        <v/>
      </c>
      <c r="B305" s="165" t="str">
        <f t="shared" si="33"/>
        <v/>
      </c>
      <c r="C305" s="165" t="str">
        <f>IF(ISBLANK(D305),"",inbound_data[[#This Row],[Pallet_Series]]&amp;inbound_data[[#This Row],[No.]])</f>
        <v/>
      </c>
      <c r="D305" s="54"/>
      <c r="E305" s="55"/>
      <c r="F305" s="56"/>
      <c r="G305" s="57"/>
      <c r="H305" s="53"/>
      <c r="I305" s="53"/>
      <c r="J305" s="55"/>
      <c r="K305" s="58"/>
      <c r="L305" s="59"/>
      <c r="M305" s="55"/>
      <c r="N305" s="60"/>
      <c r="O305" s="60"/>
      <c r="P305" s="165" t="str">
        <f t="shared" ca="1" si="34"/>
        <v/>
      </c>
      <c r="Q305" s="165" t="str">
        <f t="shared" ca="1" si="35"/>
        <v/>
      </c>
      <c r="R305" s="79"/>
      <c r="S305" s="80"/>
      <c r="T305" s="61">
        <f t="shared" si="36"/>
        <v>0</v>
      </c>
      <c r="U305" s="61">
        <f t="shared" si="37"/>
        <v>0</v>
      </c>
      <c r="V305" s="61">
        <f t="shared" si="38"/>
        <v>0</v>
      </c>
      <c r="W305" s="58"/>
      <c r="X305" s="58"/>
      <c r="Y305" s="53"/>
      <c r="Z305" s="57"/>
      <c r="AA305" s="62"/>
      <c r="AB305" s="62"/>
      <c r="AC305" s="62"/>
      <c r="AD305" s="62"/>
      <c r="AE305" s="62"/>
      <c r="AF305" s="63"/>
      <c r="AG305" s="64" t="str">
        <f t="shared" si="39"/>
        <v/>
      </c>
    </row>
    <row r="306" spans="1:33" x14ac:dyDescent="0.25">
      <c r="A306" s="46" t="str">
        <f>IF(ISBLANK(inbound_data[[#This Row],[Receiving Report ref.'#]]),"",IF(inbound_data[[#This Row],[Ending Quantity]]=0,"ZERO","INV"))</f>
        <v/>
      </c>
      <c r="B306" s="165" t="str">
        <f t="shared" si="33"/>
        <v/>
      </c>
      <c r="C306" s="165" t="str">
        <f>IF(ISBLANK(D306),"",inbound_data[[#This Row],[Pallet_Series]]&amp;inbound_data[[#This Row],[No.]])</f>
        <v/>
      </c>
      <c r="D306" s="54"/>
      <c r="E306" s="55"/>
      <c r="F306" s="56"/>
      <c r="G306" s="57"/>
      <c r="H306" s="53"/>
      <c r="I306" s="53"/>
      <c r="J306" s="55"/>
      <c r="K306" s="58"/>
      <c r="L306" s="59"/>
      <c r="M306" s="55"/>
      <c r="N306" s="60"/>
      <c r="O306" s="60"/>
      <c r="P306" s="165" t="str">
        <f t="shared" ca="1" si="34"/>
        <v/>
      </c>
      <c r="Q306" s="165" t="str">
        <f t="shared" ca="1" si="35"/>
        <v/>
      </c>
      <c r="R306" s="79"/>
      <c r="S306" s="80"/>
      <c r="T306" s="61">
        <f t="shared" si="36"/>
        <v>0</v>
      </c>
      <c r="U306" s="61">
        <f t="shared" si="37"/>
        <v>0</v>
      </c>
      <c r="V306" s="61">
        <f t="shared" si="38"/>
        <v>0</v>
      </c>
      <c r="W306" s="58"/>
      <c r="X306" s="58"/>
      <c r="Y306" s="53"/>
      <c r="Z306" s="57"/>
      <c r="AA306" s="62"/>
      <c r="AB306" s="62"/>
      <c r="AC306" s="62"/>
      <c r="AD306" s="62"/>
      <c r="AE306" s="62"/>
      <c r="AF306" s="63"/>
      <c r="AG306" s="64" t="str">
        <f t="shared" si="39"/>
        <v/>
      </c>
    </row>
    <row r="307" spans="1:33" x14ac:dyDescent="0.25">
      <c r="A307" s="46" t="str">
        <f>IF(ISBLANK(inbound_data[[#This Row],[Receiving Report ref.'#]]),"",IF(inbound_data[[#This Row],[Ending Quantity]]=0,"ZERO","INV"))</f>
        <v/>
      </c>
      <c r="B307" s="165" t="str">
        <f t="shared" si="33"/>
        <v/>
      </c>
      <c r="C307" s="165" t="str">
        <f>IF(ISBLANK(D307),"",inbound_data[[#This Row],[Pallet_Series]]&amp;inbound_data[[#This Row],[No.]])</f>
        <v/>
      </c>
      <c r="D307" s="54"/>
      <c r="E307" s="55"/>
      <c r="F307" s="56"/>
      <c r="G307" s="57"/>
      <c r="H307" s="53"/>
      <c r="I307" s="53"/>
      <c r="J307" s="55"/>
      <c r="K307" s="58"/>
      <c r="L307" s="59"/>
      <c r="M307" s="55"/>
      <c r="N307" s="60"/>
      <c r="O307" s="60"/>
      <c r="P307" s="165" t="str">
        <f t="shared" ca="1" si="34"/>
        <v/>
      </c>
      <c r="Q307" s="165" t="str">
        <f t="shared" ca="1" si="35"/>
        <v/>
      </c>
      <c r="R307" s="79"/>
      <c r="S307" s="80"/>
      <c r="T307" s="61">
        <f t="shared" si="36"/>
        <v>0</v>
      </c>
      <c r="U307" s="61">
        <f t="shared" si="37"/>
        <v>0</v>
      </c>
      <c r="V307" s="61">
        <f t="shared" si="38"/>
        <v>0</v>
      </c>
      <c r="W307" s="58"/>
      <c r="X307" s="58"/>
      <c r="Y307" s="53"/>
      <c r="Z307" s="57"/>
      <c r="AA307" s="62"/>
      <c r="AB307" s="62"/>
      <c r="AC307" s="62"/>
      <c r="AD307" s="62"/>
      <c r="AE307" s="62"/>
      <c r="AF307" s="63"/>
      <c r="AG307" s="64" t="str">
        <f t="shared" si="39"/>
        <v/>
      </c>
    </row>
    <row r="308" spans="1:33" x14ac:dyDescent="0.25">
      <c r="A308" s="46" t="str">
        <f>IF(ISBLANK(inbound_data[[#This Row],[Receiving Report ref.'#]]),"",IF(inbound_data[[#This Row],[Ending Quantity]]=0,"ZERO","INV"))</f>
        <v/>
      </c>
      <c r="B308" s="165" t="str">
        <f t="shared" si="33"/>
        <v/>
      </c>
      <c r="C308" s="165" t="str">
        <f>IF(ISBLANK(D308),"",inbound_data[[#This Row],[Pallet_Series]]&amp;inbound_data[[#This Row],[No.]])</f>
        <v/>
      </c>
      <c r="D308" s="54"/>
      <c r="E308" s="55"/>
      <c r="F308" s="56"/>
      <c r="G308" s="57"/>
      <c r="H308" s="53"/>
      <c r="I308" s="53"/>
      <c r="J308" s="55"/>
      <c r="K308" s="58"/>
      <c r="L308" s="59"/>
      <c r="M308" s="55"/>
      <c r="N308" s="60"/>
      <c r="O308" s="60"/>
      <c r="P308" s="165" t="str">
        <f t="shared" ca="1" si="34"/>
        <v/>
      </c>
      <c r="Q308" s="165" t="str">
        <f t="shared" ca="1" si="35"/>
        <v/>
      </c>
      <c r="R308" s="79"/>
      <c r="S308" s="80"/>
      <c r="T308" s="61">
        <f t="shared" si="36"/>
        <v>0</v>
      </c>
      <c r="U308" s="61">
        <f t="shared" si="37"/>
        <v>0</v>
      </c>
      <c r="V308" s="61">
        <f t="shared" si="38"/>
        <v>0</v>
      </c>
      <c r="W308" s="58"/>
      <c r="X308" s="58"/>
      <c r="Y308" s="53"/>
      <c r="Z308" s="57"/>
      <c r="AA308" s="62"/>
      <c r="AB308" s="62"/>
      <c r="AC308" s="62"/>
      <c r="AD308" s="62"/>
      <c r="AE308" s="62"/>
      <c r="AF308" s="63"/>
      <c r="AG308" s="64" t="str">
        <f t="shared" si="39"/>
        <v/>
      </c>
    </row>
    <row r="309" spans="1:33" x14ac:dyDescent="0.25">
      <c r="A309" s="46" t="str">
        <f>IF(ISBLANK(inbound_data[[#This Row],[Receiving Report ref.'#]]),"",IF(inbound_data[[#This Row],[Ending Quantity]]=0,"ZERO","INV"))</f>
        <v/>
      </c>
      <c r="B309" s="165" t="str">
        <f t="shared" si="33"/>
        <v/>
      </c>
      <c r="C309" s="165" t="str">
        <f>IF(ISBLANK(D309),"",inbound_data[[#This Row],[Pallet_Series]]&amp;inbound_data[[#This Row],[No.]])</f>
        <v/>
      </c>
      <c r="D309" s="54"/>
      <c r="E309" s="55"/>
      <c r="F309" s="56"/>
      <c r="G309" s="57"/>
      <c r="H309" s="53"/>
      <c r="I309" s="53"/>
      <c r="J309" s="55"/>
      <c r="K309" s="58"/>
      <c r="L309" s="59"/>
      <c r="M309" s="55"/>
      <c r="N309" s="60"/>
      <c r="O309" s="60"/>
      <c r="P309" s="165" t="str">
        <f t="shared" ca="1" si="34"/>
        <v/>
      </c>
      <c r="Q309" s="165" t="str">
        <f t="shared" ca="1" si="35"/>
        <v/>
      </c>
      <c r="R309" s="79"/>
      <c r="S309" s="80"/>
      <c r="T309" s="61">
        <f t="shared" si="36"/>
        <v>0</v>
      </c>
      <c r="U309" s="61">
        <f t="shared" si="37"/>
        <v>0</v>
      </c>
      <c r="V309" s="61">
        <f t="shared" si="38"/>
        <v>0</v>
      </c>
      <c r="W309" s="58"/>
      <c r="X309" s="58"/>
      <c r="Y309" s="53"/>
      <c r="Z309" s="57"/>
      <c r="AA309" s="62"/>
      <c r="AB309" s="62"/>
      <c r="AC309" s="62"/>
      <c r="AD309" s="62"/>
      <c r="AE309" s="62"/>
      <c r="AF309" s="63"/>
      <c r="AG309" s="64" t="str">
        <f t="shared" si="39"/>
        <v/>
      </c>
    </row>
    <row r="310" spans="1:33" x14ac:dyDescent="0.25">
      <c r="A310" s="46" t="str">
        <f>IF(ISBLANK(inbound_data[[#This Row],[Receiving Report ref.'#]]),"",IF(inbound_data[[#This Row],[Ending Quantity]]=0,"ZERO","INV"))</f>
        <v/>
      </c>
      <c r="B310" s="165" t="str">
        <f t="shared" si="33"/>
        <v/>
      </c>
      <c r="C310" s="165" t="str">
        <f>IF(ISBLANK(D310),"",inbound_data[[#This Row],[Pallet_Series]]&amp;inbound_data[[#This Row],[No.]])</f>
        <v/>
      </c>
      <c r="D310" s="54"/>
      <c r="E310" s="55"/>
      <c r="F310" s="56"/>
      <c r="G310" s="57"/>
      <c r="H310" s="53"/>
      <c r="I310" s="53"/>
      <c r="J310" s="55"/>
      <c r="K310" s="58"/>
      <c r="L310" s="59"/>
      <c r="M310" s="55"/>
      <c r="N310" s="60"/>
      <c r="O310" s="60"/>
      <c r="P310" s="165" t="str">
        <f t="shared" ca="1" si="34"/>
        <v/>
      </c>
      <c r="Q310" s="165" t="str">
        <f t="shared" ca="1" si="35"/>
        <v/>
      </c>
      <c r="R310" s="79"/>
      <c r="S310" s="80"/>
      <c r="T310" s="61">
        <f t="shared" si="36"/>
        <v>0</v>
      </c>
      <c r="U310" s="61">
        <f t="shared" si="37"/>
        <v>0</v>
      </c>
      <c r="V310" s="61">
        <f t="shared" si="38"/>
        <v>0</v>
      </c>
      <c r="W310" s="58"/>
      <c r="X310" s="58"/>
      <c r="Y310" s="53"/>
      <c r="Z310" s="57"/>
      <c r="AA310" s="62"/>
      <c r="AB310" s="62"/>
      <c r="AC310" s="62"/>
      <c r="AD310" s="62"/>
      <c r="AE310" s="62"/>
      <c r="AF310" s="63"/>
      <c r="AG310" s="64" t="str">
        <f t="shared" si="39"/>
        <v/>
      </c>
    </row>
    <row r="311" spans="1:33" x14ac:dyDescent="0.25">
      <c r="A311" s="46" t="str">
        <f>IF(ISBLANK(inbound_data[[#This Row],[Receiving Report ref.'#]]),"",IF(inbound_data[[#This Row],[Ending Quantity]]=0,"ZERO","INV"))</f>
        <v/>
      </c>
      <c r="B311" s="165" t="str">
        <f t="shared" si="33"/>
        <v/>
      </c>
      <c r="C311" s="165" t="str">
        <f>IF(ISBLANK(D311),"",inbound_data[[#This Row],[Pallet_Series]]&amp;inbound_data[[#This Row],[No.]])</f>
        <v/>
      </c>
      <c r="D311" s="54"/>
      <c r="E311" s="55"/>
      <c r="F311" s="56"/>
      <c r="G311" s="57"/>
      <c r="H311" s="53"/>
      <c r="I311" s="53"/>
      <c r="J311" s="55"/>
      <c r="K311" s="58"/>
      <c r="L311" s="59"/>
      <c r="M311" s="55"/>
      <c r="N311" s="60"/>
      <c r="O311" s="60"/>
      <c r="P311" s="165" t="str">
        <f t="shared" ca="1" si="34"/>
        <v/>
      </c>
      <c r="Q311" s="165" t="str">
        <f t="shared" ca="1" si="35"/>
        <v/>
      </c>
      <c r="R311" s="79"/>
      <c r="S311" s="80"/>
      <c r="T311" s="61">
        <f t="shared" si="36"/>
        <v>0</v>
      </c>
      <c r="U311" s="61">
        <f t="shared" si="37"/>
        <v>0</v>
      </c>
      <c r="V311" s="61">
        <f t="shared" si="38"/>
        <v>0</v>
      </c>
      <c r="W311" s="58"/>
      <c r="X311" s="58"/>
      <c r="Y311" s="53"/>
      <c r="Z311" s="57"/>
      <c r="AA311" s="62"/>
      <c r="AB311" s="62"/>
      <c r="AC311" s="62"/>
      <c r="AD311" s="62"/>
      <c r="AE311" s="62"/>
      <c r="AF311" s="63"/>
      <c r="AG311" s="64" t="str">
        <f t="shared" si="39"/>
        <v/>
      </c>
    </row>
    <row r="312" spans="1:33" x14ac:dyDescent="0.25">
      <c r="A312" s="46" t="str">
        <f>IF(ISBLANK(inbound_data[[#This Row],[Receiving Report ref.'#]]),"",IF(inbound_data[[#This Row],[Ending Quantity]]=0,"ZERO","INV"))</f>
        <v/>
      </c>
      <c r="B312" s="165" t="str">
        <f t="shared" si="33"/>
        <v/>
      </c>
      <c r="C312" s="165" t="str">
        <f>IF(ISBLANK(D312),"",inbound_data[[#This Row],[Pallet_Series]]&amp;inbound_data[[#This Row],[No.]])</f>
        <v/>
      </c>
      <c r="D312" s="54"/>
      <c r="E312" s="55"/>
      <c r="F312" s="56"/>
      <c r="G312" s="57"/>
      <c r="H312" s="53"/>
      <c r="I312" s="53"/>
      <c r="J312" s="55"/>
      <c r="K312" s="58"/>
      <c r="L312" s="59"/>
      <c r="M312" s="55"/>
      <c r="N312" s="60"/>
      <c r="O312" s="60"/>
      <c r="P312" s="165" t="str">
        <f t="shared" ca="1" si="34"/>
        <v/>
      </c>
      <c r="Q312" s="165" t="str">
        <f t="shared" ca="1" si="35"/>
        <v/>
      </c>
      <c r="R312" s="79"/>
      <c r="S312" s="80"/>
      <c r="T312" s="61">
        <f t="shared" si="36"/>
        <v>0</v>
      </c>
      <c r="U312" s="61">
        <f t="shared" si="37"/>
        <v>0</v>
      </c>
      <c r="V312" s="61">
        <f t="shared" si="38"/>
        <v>0</v>
      </c>
      <c r="W312" s="58"/>
      <c r="X312" s="58"/>
      <c r="Y312" s="53"/>
      <c r="Z312" s="57"/>
      <c r="AA312" s="62"/>
      <c r="AB312" s="62"/>
      <c r="AC312" s="62"/>
      <c r="AD312" s="62"/>
      <c r="AE312" s="62"/>
      <c r="AF312" s="63"/>
      <c r="AG312" s="64" t="str">
        <f t="shared" si="39"/>
        <v/>
      </c>
    </row>
    <row r="313" spans="1:33" x14ac:dyDescent="0.25">
      <c r="A313" s="46" t="str">
        <f>IF(ISBLANK(inbound_data[[#This Row],[Receiving Report ref.'#]]),"",IF(inbound_data[[#This Row],[Ending Quantity]]=0,"ZERO","INV"))</f>
        <v/>
      </c>
      <c r="B313" s="165" t="str">
        <f t="shared" si="33"/>
        <v/>
      </c>
      <c r="C313" s="165" t="str">
        <f>IF(ISBLANK(D313),"",inbound_data[[#This Row],[Pallet_Series]]&amp;inbound_data[[#This Row],[No.]])</f>
        <v/>
      </c>
      <c r="D313" s="54"/>
      <c r="E313" s="55"/>
      <c r="F313" s="56"/>
      <c r="G313" s="57"/>
      <c r="H313" s="53"/>
      <c r="I313" s="53"/>
      <c r="J313" s="55"/>
      <c r="K313" s="58"/>
      <c r="L313" s="59"/>
      <c r="M313" s="55"/>
      <c r="N313" s="60"/>
      <c r="O313" s="60"/>
      <c r="P313" s="165" t="str">
        <f t="shared" ca="1" si="34"/>
        <v/>
      </c>
      <c r="Q313" s="165" t="str">
        <f t="shared" ca="1" si="35"/>
        <v/>
      </c>
      <c r="R313" s="79"/>
      <c r="S313" s="80"/>
      <c r="T313" s="61">
        <f t="shared" si="36"/>
        <v>0</v>
      </c>
      <c r="U313" s="61">
        <f t="shared" si="37"/>
        <v>0</v>
      </c>
      <c r="V313" s="61">
        <f t="shared" si="38"/>
        <v>0</v>
      </c>
      <c r="W313" s="58"/>
      <c r="X313" s="58"/>
      <c r="Y313" s="53"/>
      <c r="Z313" s="57"/>
      <c r="AA313" s="62"/>
      <c r="AB313" s="62"/>
      <c r="AC313" s="62"/>
      <c r="AD313" s="62"/>
      <c r="AE313" s="62"/>
      <c r="AF313" s="63"/>
      <c r="AG313" s="64" t="str">
        <f t="shared" si="39"/>
        <v/>
      </c>
    </row>
    <row r="314" spans="1:33" x14ac:dyDescent="0.25">
      <c r="A314" s="46" t="str">
        <f>IF(ISBLANK(inbound_data[[#This Row],[Receiving Report ref.'#]]),"",IF(inbound_data[[#This Row],[Ending Quantity]]=0,"ZERO","INV"))</f>
        <v/>
      </c>
      <c r="B314" s="165" t="str">
        <f t="shared" si="33"/>
        <v/>
      </c>
      <c r="C314" s="165" t="str">
        <f>IF(ISBLANK(D314),"",inbound_data[[#This Row],[Pallet_Series]]&amp;inbound_data[[#This Row],[No.]])</f>
        <v/>
      </c>
      <c r="D314" s="54"/>
      <c r="E314" s="55"/>
      <c r="F314" s="56"/>
      <c r="G314" s="57"/>
      <c r="H314" s="53"/>
      <c r="I314" s="53"/>
      <c r="J314" s="55"/>
      <c r="K314" s="58"/>
      <c r="L314" s="59"/>
      <c r="M314" s="55"/>
      <c r="N314" s="60"/>
      <c r="O314" s="60"/>
      <c r="P314" s="165" t="str">
        <f t="shared" ca="1" si="34"/>
        <v/>
      </c>
      <c r="Q314" s="165" t="str">
        <f t="shared" ca="1" si="35"/>
        <v/>
      </c>
      <c r="R314" s="79"/>
      <c r="S314" s="80"/>
      <c r="T314" s="61">
        <f t="shared" si="36"/>
        <v>0</v>
      </c>
      <c r="U314" s="61">
        <f t="shared" si="37"/>
        <v>0</v>
      </c>
      <c r="V314" s="61">
        <f t="shared" si="38"/>
        <v>0</v>
      </c>
      <c r="W314" s="58"/>
      <c r="X314" s="58"/>
      <c r="Y314" s="53"/>
      <c r="Z314" s="57"/>
      <c r="AA314" s="62"/>
      <c r="AB314" s="62"/>
      <c r="AC314" s="62"/>
      <c r="AD314" s="62"/>
      <c r="AE314" s="62"/>
      <c r="AF314" s="63"/>
      <c r="AG314" s="64" t="str">
        <f t="shared" si="39"/>
        <v/>
      </c>
    </row>
    <row r="315" spans="1:33" x14ac:dyDescent="0.25">
      <c r="A315" s="46" t="str">
        <f>IF(ISBLANK(inbound_data[[#This Row],[Receiving Report ref.'#]]),"",IF(inbound_data[[#This Row],[Ending Quantity]]=0,"ZERO","INV"))</f>
        <v/>
      </c>
      <c r="B315" s="165" t="str">
        <f t="shared" si="33"/>
        <v/>
      </c>
      <c r="C315" s="165" t="str">
        <f>IF(ISBLANK(D315),"",inbound_data[[#This Row],[Pallet_Series]]&amp;inbound_data[[#This Row],[No.]])</f>
        <v/>
      </c>
      <c r="D315" s="54"/>
      <c r="E315" s="55"/>
      <c r="F315" s="56"/>
      <c r="G315" s="57"/>
      <c r="H315" s="53"/>
      <c r="I315" s="53"/>
      <c r="J315" s="55"/>
      <c r="K315" s="58"/>
      <c r="L315" s="59"/>
      <c r="M315" s="55"/>
      <c r="N315" s="60"/>
      <c r="O315" s="60"/>
      <c r="P315" s="165" t="str">
        <f t="shared" ca="1" si="34"/>
        <v/>
      </c>
      <c r="Q315" s="165" t="str">
        <f t="shared" ca="1" si="35"/>
        <v/>
      </c>
      <c r="R315" s="79"/>
      <c r="S315" s="80"/>
      <c r="T315" s="61">
        <f t="shared" si="36"/>
        <v>0</v>
      </c>
      <c r="U315" s="61">
        <f t="shared" si="37"/>
        <v>0</v>
      </c>
      <c r="V315" s="61">
        <f t="shared" si="38"/>
        <v>0</v>
      </c>
      <c r="W315" s="58"/>
      <c r="X315" s="58"/>
      <c r="Y315" s="53"/>
      <c r="Z315" s="57"/>
      <c r="AA315" s="62"/>
      <c r="AB315" s="62"/>
      <c r="AC315" s="62"/>
      <c r="AD315" s="62"/>
      <c r="AE315" s="62"/>
      <c r="AF315" s="63"/>
      <c r="AG315" s="64" t="str">
        <f t="shared" si="39"/>
        <v/>
      </c>
    </row>
    <row r="316" spans="1:33" x14ac:dyDescent="0.25">
      <c r="A316" s="46" t="str">
        <f>IF(ISBLANK(inbound_data[[#This Row],[Receiving Report ref.'#]]),"",IF(inbound_data[[#This Row],[Ending Quantity]]=0,"ZERO","INV"))</f>
        <v/>
      </c>
      <c r="B316" s="165" t="str">
        <f t="shared" si="33"/>
        <v/>
      </c>
      <c r="C316" s="165" t="str">
        <f>IF(ISBLANK(D316),"",inbound_data[[#This Row],[Pallet_Series]]&amp;inbound_data[[#This Row],[No.]])</f>
        <v/>
      </c>
      <c r="D316" s="54"/>
      <c r="E316" s="55"/>
      <c r="F316" s="56"/>
      <c r="G316" s="57"/>
      <c r="H316" s="53"/>
      <c r="I316" s="53"/>
      <c r="J316" s="55"/>
      <c r="K316" s="58"/>
      <c r="L316" s="59"/>
      <c r="M316" s="55"/>
      <c r="N316" s="60"/>
      <c r="O316" s="60"/>
      <c r="P316" s="165" t="str">
        <f t="shared" ca="1" si="34"/>
        <v/>
      </c>
      <c r="Q316" s="165" t="str">
        <f t="shared" ca="1" si="35"/>
        <v/>
      </c>
      <c r="R316" s="79"/>
      <c r="S316" s="80"/>
      <c r="T316" s="61">
        <f t="shared" si="36"/>
        <v>0</v>
      </c>
      <c r="U316" s="61">
        <f t="shared" si="37"/>
        <v>0</v>
      </c>
      <c r="V316" s="61">
        <f t="shared" si="38"/>
        <v>0</v>
      </c>
      <c r="W316" s="58"/>
      <c r="X316" s="58"/>
      <c r="Y316" s="53"/>
      <c r="Z316" s="57"/>
      <c r="AA316" s="62"/>
      <c r="AB316" s="62"/>
      <c r="AC316" s="62"/>
      <c r="AD316" s="62"/>
      <c r="AE316" s="62"/>
      <c r="AF316" s="63"/>
      <c r="AG316" s="64" t="str">
        <f t="shared" si="39"/>
        <v/>
      </c>
    </row>
    <row r="317" spans="1:33" x14ac:dyDescent="0.25">
      <c r="A317" s="46" t="str">
        <f>IF(ISBLANK(inbound_data[[#This Row],[Receiving Report ref.'#]]),"",IF(inbound_data[[#This Row],[Ending Quantity]]=0,"ZERO","INV"))</f>
        <v/>
      </c>
      <c r="B317" s="165" t="str">
        <f t="shared" si="33"/>
        <v/>
      </c>
      <c r="C317" s="165" t="str">
        <f>IF(ISBLANK(D317),"",inbound_data[[#This Row],[Pallet_Series]]&amp;inbound_data[[#This Row],[No.]])</f>
        <v/>
      </c>
      <c r="D317" s="54"/>
      <c r="E317" s="55"/>
      <c r="F317" s="56"/>
      <c r="G317" s="57"/>
      <c r="H317" s="53"/>
      <c r="I317" s="53"/>
      <c r="J317" s="55"/>
      <c r="K317" s="58"/>
      <c r="L317" s="59"/>
      <c r="M317" s="55"/>
      <c r="N317" s="60"/>
      <c r="O317" s="60"/>
      <c r="P317" s="165" t="str">
        <f t="shared" ca="1" si="34"/>
        <v/>
      </c>
      <c r="Q317" s="165" t="str">
        <f t="shared" ca="1" si="35"/>
        <v/>
      </c>
      <c r="R317" s="79"/>
      <c r="S317" s="80"/>
      <c r="T317" s="61">
        <f t="shared" si="36"/>
        <v>0</v>
      </c>
      <c r="U317" s="61">
        <f t="shared" si="37"/>
        <v>0</v>
      </c>
      <c r="V317" s="61">
        <f t="shared" si="38"/>
        <v>0</v>
      </c>
      <c r="W317" s="58"/>
      <c r="X317" s="58"/>
      <c r="Y317" s="53"/>
      <c r="Z317" s="57"/>
      <c r="AA317" s="62"/>
      <c r="AB317" s="62"/>
      <c r="AC317" s="62"/>
      <c r="AD317" s="62"/>
      <c r="AE317" s="62"/>
      <c r="AF317" s="63"/>
      <c r="AG317" s="64" t="str">
        <f t="shared" si="39"/>
        <v/>
      </c>
    </row>
    <row r="318" spans="1:33" x14ac:dyDescent="0.25">
      <c r="A318" s="46" t="str">
        <f>IF(ISBLANK(inbound_data[[#This Row],[Receiving Report ref.'#]]),"",IF(inbound_data[[#This Row],[Ending Quantity]]=0,"ZERO","INV"))</f>
        <v/>
      </c>
      <c r="B318" s="165" t="str">
        <f t="shared" si="33"/>
        <v/>
      </c>
      <c r="C318" s="165" t="str">
        <f>IF(ISBLANK(D318),"",inbound_data[[#This Row],[Pallet_Series]]&amp;inbound_data[[#This Row],[No.]])</f>
        <v/>
      </c>
      <c r="D318" s="54"/>
      <c r="E318" s="55"/>
      <c r="F318" s="56"/>
      <c r="G318" s="57"/>
      <c r="H318" s="53"/>
      <c r="I318" s="53"/>
      <c r="J318" s="55"/>
      <c r="K318" s="58"/>
      <c r="L318" s="59"/>
      <c r="M318" s="55"/>
      <c r="N318" s="60"/>
      <c r="O318" s="60"/>
      <c r="P318" s="165" t="str">
        <f t="shared" ca="1" si="34"/>
        <v/>
      </c>
      <c r="Q318" s="165" t="str">
        <f t="shared" ca="1" si="35"/>
        <v/>
      </c>
      <c r="R318" s="79"/>
      <c r="S318" s="80"/>
      <c r="T318" s="61">
        <f t="shared" si="36"/>
        <v>0</v>
      </c>
      <c r="U318" s="61">
        <f t="shared" si="37"/>
        <v>0</v>
      </c>
      <c r="V318" s="61">
        <f t="shared" si="38"/>
        <v>0</v>
      </c>
      <c r="W318" s="58"/>
      <c r="X318" s="58"/>
      <c r="Y318" s="53"/>
      <c r="Z318" s="57"/>
      <c r="AA318" s="62"/>
      <c r="AB318" s="62"/>
      <c r="AC318" s="62"/>
      <c r="AD318" s="62"/>
      <c r="AE318" s="62"/>
      <c r="AF318" s="63"/>
      <c r="AG318" s="64" t="str">
        <f t="shared" si="39"/>
        <v/>
      </c>
    </row>
    <row r="319" spans="1:33" x14ac:dyDescent="0.25">
      <c r="A319" s="46" t="str">
        <f>IF(ISBLANK(inbound_data[[#This Row],[Receiving Report ref.'#]]),"",IF(inbound_data[[#This Row],[Ending Quantity]]=0,"ZERO","INV"))</f>
        <v/>
      </c>
      <c r="B319" s="165" t="str">
        <f t="shared" si="33"/>
        <v/>
      </c>
      <c r="C319" s="165" t="str">
        <f>IF(ISBLANK(D319),"",inbound_data[[#This Row],[Pallet_Series]]&amp;inbound_data[[#This Row],[No.]])</f>
        <v/>
      </c>
      <c r="D319" s="54"/>
      <c r="E319" s="55"/>
      <c r="F319" s="56"/>
      <c r="G319" s="57"/>
      <c r="H319" s="53"/>
      <c r="I319" s="53"/>
      <c r="J319" s="55"/>
      <c r="K319" s="58"/>
      <c r="L319" s="59"/>
      <c r="M319" s="55"/>
      <c r="N319" s="60"/>
      <c r="O319" s="60"/>
      <c r="P319" s="165" t="str">
        <f t="shared" ca="1" si="34"/>
        <v/>
      </c>
      <c r="Q319" s="165" t="str">
        <f t="shared" ca="1" si="35"/>
        <v/>
      </c>
      <c r="R319" s="79"/>
      <c r="S319" s="80"/>
      <c r="T319" s="61">
        <f t="shared" si="36"/>
        <v>0</v>
      </c>
      <c r="U319" s="61">
        <f t="shared" si="37"/>
        <v>0</v>
      </c>
      <c r="V319" s="61">
        <f t="shared" si="38"/>
        <v>0</v>
      </c>
      <c r="W319" s="58"/>
      <c r="X319" s="58"/>
      <c r="Y319" s="53"/>
      <c r="Z319" s="57"/>
      <c r="AA319" s="62"/>
      <c r="AB319" s="62"/>
      <c r="AC319" s="62"/>
      <c r="AD319" s="62"/>
      <c r="AE319" s="62"/>
      <c r="AF319" s="63"/>
      <c r="AG319" s="64" t="str">
        <f t="shared" si="39"/>
        <v/>
      </c>
    </row>
    <row r="320" spans="1:33" x14ac:dyDescent="0.25">
      <c r="A320" s="46" t="str">
        <f>IF(ISBLANK(inbound_data[[#This Row],[Receiving Report ref.'#]]),"",IF(inbound_data[[#This Row],[Ending Quantity]]=0,"ZERO","INV"))</f>
        <v/>
      </c>
      <c r="B320" s="165" t="str">
        <f t="shared" si="33"/>
        <v/>
      </c>
      <c r="C320" s="165" t="str">
        <f>IF(ISBLANK(D320),"",inbound_data[[#This Row],[Pallet_Series]]&amp;inbound_data[[#This Row],[No.]])</f>
        <v/>
      </c>
      <c r="D320" s="54"/>
      <c r="E320" s="55"/>
      <c r="F320" s="56"/>
      <c r="G320" s="57"/>
      <c r="H320" s="53"/>
      <c r="I320" s="53"/>
      <c r="J320" s="55"/>
      <c r="K320" s="58"/>
      <c r="L320" s="59"/>
      <c r="M320" s="55"/>
      <c r="N320" s="60"/>
      <c r="O320" s="60"/>
      <c r="P320" s="165" t="str">
        <f t="shared" ca="1" si="34"/>
        <v/>
      </c>
      <c r="Q320" s="165" t="str">
        <f t="shared" ca="1" si="35"/>
        <v/>
      </c>
      <c r="R320" s="79"/>
      <c r="S320" s="80"/>
      <c r="T320" s="61">
        <f t="shared" si="36"/>
        <v>0</v>
      </c>
      <c r="U320" s="61">
        <f t="shared" si="37"/>
        <v>0</v>
      </c>
      <c r="V320" s="61">
        <f t="shared" si="38"/>
        <v>0</v>
      </c>
      <c r="W320" s="58"/>
      <c r="X320" s="58"/>
      <c r="Y320" s="53"/>
      <c r="Z320" s="57"/>
      <c r="AA320" s="62"/>
      <c r="AB320" s="62"/>
      <c r="AC320" s="62"/>
      <c r="AD320" s="62"/>
      <c r="AE320" s="62"/>
      <c r="AF320" s="63"/>
      <c r="AG320" s="64" t="str">
        <f t="shared" si="39"/>
        <v/>
      </c>
    </row>
    <row r="321" spans="1:33" x14ac:dyDescent="0.25">
      <c r="A321" s="46" t="str">
        <f>IF(ISBLANK(inbound_data[[#This Row],[Receiving Report ref.'#]]),"",IF(inbound_data[[#This Row],[Ending Quantity]]=0,"ZERO","INV"))</f>
        <v/>
      </c>
      <c r="B321" s="165" t="str">
        <f t="shared" si="33"/>
        <v/>
      </c>
      <c r="C321" s="165" t="str">
        <f>IF(ISBLANK(D321),"",inbound_data[[#This Row],[Pallet_Series]]&amp;inbound_data[[#This Row],[No.]])</f>
        <v/>
      </c>
      <c r="D321" s="54"/>
      <c r="E321" s="55"/>
      <c r="F321" s="56"/>
      <c r="G321" s="57"/>
      <c r="H321" s="53"/>
      <c r="I321" s="53"/>
      <c r="J321" s="55"/>
      <c r="K321" s="58"/>
      <c r="L321" s="59"/>
      <c r="M321" s="55"/>
      <c r="N321" s="60"/>
      <c r="O321" s="60"/>
      <c r="P321" s="165" t="str">
        <f t="shared" ca="1" si="34"/>
        <v/>
      </c>
      <c r="Q321" s="165" t="str">
        <f t="shared" ca="1" si="35"/>
        <v/>
      </c>
      <c r="R321" s="79"/>
      <c r="S321" s="80"/>
      <c r="T321" s="61">
        <f t="shared" si="36"/>
        <v>0</v>
      </c>
      <c r="U321" s="61">
        <f t="shared" si="37"/>
        <v>0</v>
      </c>
      <c r="V321" s="61">
        <f t="shared" si="38"/>
        <v>0</v>
      </c>
      <c r="W321" s="58"/>
      <c r="X321" s="58"/>
      <c r="Y321" s="53"/>
      <c r="Z321" s="57"/>
      <c r="AA321" s="62"/>
      <c r="AB321" s="62"/>
      <c r="AC321" s="62"/>
      <c r="AD321" s="62"/>
      <c r="AE321" s="62"/>
      <c r="AF321" s="63"/>
      <c r="AG321" s="64" t="str">
        <f t="shared" si="39"/>
        <v/>
      </c>
    </row>
    <row r="322" spans="1:33" x14ac:dyDescent="0.25">
      <c r="A322" s="46" t="str">
        <f>IF(ISBLANK(inbound_data[[#This Row],[Receiving Report ref.'#]]),"",IF(inbound_data[[#This Row],[Ending Quantity]]=0,"ZERO","INV"))</f>
        <v/>
      </c>
      <c r="B322" s="165" t="str">
        <f t="shared" si="33"/>
        <v/>
      </c>
      <c r="C322" s="165" t="str">
        <f>IF(ISBLANK(D322),"",inbound_data[[#This Row],[Pallet_Series]]&amp;inbound_data[[#This Row],[No.]])</f>
        <v/>
      </c>
      <c r="D322" s="54"/>
      <c r="E322" s="55"/>
      <c r="F322" s="56"/>
      <c r="G322" s="57"/>
      <c r="H322" s="53"/>
      <c r="I322" s="53"/>
      <c r="J322" s="55"/>
      <c r="K322" s="58"/>
      <c r="L322" s="59"/>
      <c r="M322" s="55"/>
      <c r="N322" s="60"/>
      <c r="O322" s="60"/>
      <c r="P322" s="165" t="str">
        <f t="shared" ca="1" si="34"/>
        <v/>
      </c>
      <c r="Q322" s="165" t="str">
        <f t="shared" ca="1" si="35"/>
        <v/>
      </c>
      <c r="R322" s="79"/>
      <c r="S322" s="80"/>
      <c r="T322" s="61">
        <f t="shared" si="36"/>
        <v>0</v>
      </c>
      <c r="U322" s="61">
        <f t="shared" si="37"/>
        <v>0</v>
      </c>
      <c r="V322" s="61">
        <f t="shared" si="38"/>
        <v>0</v>
      </c>
      <c r="W322" s="58"/>
      <c r="X322" s="58"/>
      <c r="Y322" s="53"/>
      <c r="Z322" s="57"/>
      <c r="AA322" s="62"/>
      <c r="AB322" s="62"/>
      <c r="AC322" s="62"/>
      <c r="AD322" s="62"/>
      <c r="AE322" s="62"/>
      <c r="AF322" s="63"/>
      <c r="AG322" s="64" t="str">
        <f t="shared" si="39"/>
        <v/>
      </c>
    </row>
    <row r="323" spans="1:33" x14ac:dyDescent="0.25">
      <c r="A323" s="46" t="str">
        <f>IF(ISBLANK(inbound_data[[#This Row],[Receiving Report ref.'#]]),"",IF(inbound_data[[#This Row],[Ending Quantity]]=0,"ZERO","INV"))</f>
        <v/>
      </c>
      <c r="B323" s="165" t="str">
        <f t="shared" si="33"/>
        <v/>
      </c>
      <c r="C323" s="165" t="str">
        <f>IF(ISBLANK(D323),"",inbound_data[[#This Row],[Pallet_Series]]&amp;inbound_data[[#This Row],[No.]])</f>
        <v/>
      </c>
      <c r="D323" s="54"/>
      <c r="E323" s="55"/>
      <c r="F323" s="56"/>
      <c r="G323" s="57"/>
      <c r="H323" s="53"/>
      <c r="I323" s="53"/>
      <c r="J323" s="55"/>
      <c r="K323" s="58"/>
      <c r="L323" s="59"/>
      <c r="M323" s="55"/>
      <c r="N323" s="60"/>
      <c r="O323" s="60"/>
      <c r="P323" s="165" t="str">
        <f t="shared" ca="1" si="34"/>
        <v/>
      </c>
      <c r="Q323" s="165" t="str">
        <f t="shared" ca="1" si="35"/>
        <v/>
      </c>
      <c r="R323" s="79"/>
      <c r="S323" s="80"/>
      <c r="T323" s="61">
        <f t="shared" si="36"/>
        <v>0</v>
      </c>
      <c r="U323" s="61">
        <f t="shared" si="37"/>
        <v>0</v>
      </c>
      <c r="V323" s="61">
        <f t="shared" si="38"/>
        <v>0</v>
      </c>
      <c r="W323" s="58"/>
      <c r="X323" s="58"/>
      <c r="Y323" s="53"/>
      <c r="Z323" s="57"/>
      <c r="AA323" s="62"/>
      <c r="AB323" s="62"/>
      <c r="AC323" s="62"/>
      <c r="AD323" s="62"/>
      <c r="AE323" s="62"/>
      <c r="AF323" s="63"/>
      <c r="AG323" s="64" t="str">
        <f t="shared" si="39"/>
        <v/>
      </c>
    </row>
    <row r="324" spans="1:33" x14ac:dyDescent="0.25">
      <c r="A324" s="46" t="str">
        <f>IF(ISBLANK(inbound_data[[#This Row],[Receiving Report ref.'#]]),"",IF(inbound_data[[#This Row],[Ending Quantity]]=0,"ZERO","INV"))</f>
        <v/>
      </c>
      <c r="B324" s="165" t="str">
        <f t="shared" si="33"/>
        <v/>
      </c>
      <c r="C324" s="165" t="str">
        <f>IF(ISBLANK(D324),"",inbound_data[[#This Row],[Pallet_Series]]&amp;inbound_data[[#This Row],[No.]])</f>
        <v/>
      </c>
      <c r="D324" s="54"/>
      <c r="E324" s="55"/>
      <c r="F324" s="56"/>
      <c r="G324" s="57"/>
      <c r="H324" s="53"/>
      <c r="I324" s="53"/>
      <c r="J324" s="55"/>
      <c r="K324" s="58"/>
      <c r="L324" s="59"/>
      <c r="M324" s="55"/>
      <c r="N324" s="60"/>
      <c r="O324" s="60"/>
      <c r="P324" s="165" t="str">
        <f t="shared" ca="1" si="34"/>
        <v/>
      </c>
      <c r="Q324" s="165" t="str">
        <f t="shared" ca="1" si="35"/>
        <v/>
      </c>
      <c r="R324" s="79"/>
      <c r="S324" s="80"/>
      <c r="T324" s="61">
        <f t="shared" si="36"/>
        <v>0</v>
      </c>
      <c r="U324" s="61">
        <f t="shared" si="37"/>
        <v>0</v>
      </c>
      <c r="V324" s="61">
        <f t="shared" si="38"/>
        <v>0</v>
      </c>
      <c r="W324" s="58"/>
      <c r="X324" s="58"/>
      <c r="Y324" s="53"/>
      <c r="Z324" s="57"/>
      <c r="AA324" s="62"/>
      <c r="AB324" s="62"/>
      <c r="AC324" s="62"/>
      <c r="AD324" s="62"/>
      <c r="AE324" s="62"/>
      <c r="AF324" s="63"/>
      <c r="AG324" s="64" t="str">
        <f t="shared" si="39"/>
        <v/>
      </c>
    </row>
    <row r="325" spans="1:33" x14ac:dyDescent="0.25">
      <c r="A325" s="46" t="str">
        <f>IF(ISBLANK(inbound_data[[#This Row],[Receiving Report ref.'#]]),"",IF(inbound_data[[#This Row],[Ending Quantity]]=0,"ZERO","INV"))</f>
        <v/>
      </c>
      <c r="B325" s="165" t="str">
        <f t="shared" si="33"/>
        <v/>
      </c>
      <c r="C325" s="165" t="str">
        <f>IF(ISBLANK(D325),"",inbound_data[[#This Row],[Pallet_Series]]&amp;inbound_data[[#This Row],[No.]])</f>
        <v/>
      </c>
      <c r="D325" s="54"/>
      <c r="E325" s="55"/>
      <c r="F325" s="56"/>
      <c r="G325" s="57"/>
      <c r="H325" s="53"/>
      <c r="I325" s="53"/>
      <c r="J325" s="55"/>
      <c r="K325" s="58"/>
      <c r="L325" s="59"/>
      <c r="M325" s="55"/>
      <c r="N325" s="60"/>
      <c r="O325" s="60"/>
      <c r="P325" s="165" t="str">
        <f t="shared" ca="1" si="34"/>
        <v/>
      </c>
      <c r="Q325" s="165" t="str">
        <f t="shared" ca="1" si="35"/>
        <v/>
      </c>
      <c r="R325" s="79"/>
      <c r="S325" s="80"/>
      <c r="T325" s="61">
        <f t="shared" si="36"/>
        <v>0</v>
      </c>
      <c r="U325" s="61">
        <f t="shared" si="37"/>
        <v>0</v>
      </c>
      <c r="V325" s="61">
        <f t="shared" si="38"/>
        <v>0</v>
      </c>
      <c r="W325" s="58"/>
      <c r="X325" s="58"/>
      <c r="Y325" s="53"/>
      <c r="Z325" s="57"/>
      <c r="AA325" s="62"/>
      <c r="AB325" s="62"/>
      <c r="AC325" s="62"/>
      <c r="AD325" s="62"/>
      <c r="AE325" s="62"/>
      <c r="AF325" s="63"/>
      <c r="AG325" s="64" t="str">
        <f t="shared" si="39"/>
        <v/>
      </c>
    </row>
    <row r="326" spans="1:33" x14ac:dyDescent="0.25">
      <c r="A326" s="46" t="str">
        <f>IF(ISBLANK(inbound_data[[#This Row],[Receiving Report ref.'#]]),"",IF(inbound_data[[#This Row],[Ending Quantity]]=0,"ZERO","INV"))</f>
        <v/>
      </c>
      <c r="B326" s="165" t="str">
        <f t="shared" si="33"/>
        <v/>
      </c>
      <c r="C326" s="165" t="str">
        <f>IF(ISBLANK(D326),"",inbound_data[[#This Row],[Pallet_Series]]&amp;inbound_data[[#This Row],[No.]])</f>
        <v/>
      </c>
      <c r="D326" s="54"/>
      <c r="E326" s="55"/>
      <c r="F326" s="56"/>
      <c r="G326" s="57"/>
      <c r="H326" s="53"/>
      <c r="I326" s="53"/>
      <c r="J326" s="55"/>
      <c r="K326" s="58"/>
      <c r="L326" s="59"/>
      <c r="M326" s="55"/>
      <c r="N326" s="60"/>
      <c r="O326" s="60"/>
      <c r="P326" s="165" t="str">
        <f t="shared" ca="1" si="34"/>
        <v/>
      </c>
      <c r="Q326" s="165" t="str">
        <f t="shared" ca="1" si="35"/>
        <v/>
      </c>
      <c r="R326" s="79"/>
      <c r="S326" s="80"/>
      <c r="T326" s="61">
        <f t="shared" si="36"/>
        <v>0</v>
      </c>
      <c r="U326" s="61">
        <f t="shared" si="37"/>
        <v>0</v>
      </c>
      <c r="V326" s="61">
        <f t="shared" si="38"/>
        <v>0</v>
      </c>
      <c r="W326" s="58"/>
      <c r="X326" s="58"/>
      <c r="Y326" s="53"/>
      <c r="Z326" s="57"/>
      <c r="AA326" s="62"/>
      <c r="AB326" s="62"/>
      <c r="AC326" s="62"/>
      <c r="AD326" s="62"/>
      <c r="AE326" s="62"/>
      <c r="AF326" s="63"/>
      <c r="AG326" s="64" t="str">
        <f t="shared" si="39"/>
        <v/>
      </c>
    </row>
    <row r="327" spans="1:33" x14ac:dyDescent="0.25">
      <c r="A327" s="46" t="str">
        <f>IF(ISBLANK(inbound_data[[#This Row],[Receiving Report ref.'#]]),"",IF(inbound_data[[#This Row],[Ending Quantity]]=0,"ZERO","INV"))</f>
        <v/>
      </c>
      <c r="B327" s="165" t="str">
        <f t="shared" si="33"/>
        <v/>
      </c>
      <c r="C327" s="165" t="str">
        <f>IF(ISBLANK(D327),"",inbound_data[[#This Row],[Pallet_Series]]&amp;inbound_data[[#This Row],[No.]])</f>
        <v/>
      </c>
      <c r="D327" s="54"/>
      <c r="E327" s="55"/>
      <c r="F327" s="56"/>
      <c r="G327" s="57"/>
      <c r="H327" s="53"/>
      <c r="I327" s="53"/>
      <c r="J327" s="55"/>
      <c r="K327" s="58"/>
      <c r="L327" s="59"/>
      <c r="M327" s="55"/>
      <c r="N327" s="60"/>
      <c r="O327" s="60"/>
      <c r="P327" s="165" t="str">
        <f t="shared" ca="1" si="34"/>
        <v/>
      </c>
      <c r="Q327" s="165" t="str">
        <f t="shared" ca="1" si="35"/>
        <v/>
      </c>
      <c r="R327" s="79"/>
      <c r="S327" s="80"/>
      <c r="T327" s="61">
        <f t="shared" si="36"/>
        <v>0</v>
      </c>
      <c r="U327" s="61">
        <f t="shared" si="37"/>
        <v>0</v>
      </c>
      <c r="V327" s="61">
        <f t="shared" si="38"/>
        <v>0</v>
      </c>
      <c r="W327" s="58"/>
      <c r="X327" s="58"/>
      <c r="Y327" s="53"/>
      <c r="Z327" s="57"/>
      <c r="AA327" s="62"/>
      <c r="AB327" s="62"/>
      <c r="AC327" s="62"/>
      <c r="AD327" s="62"/>
      <c r="AE327" s="62"/>
      <c r="AF327" s="63"/>
      <c r="AG327" s="64" t="str">
        <f t="shared" si="39"/>
        <v/>
      </c>
    </row>
    <row r="328" spans="1:33" x14ac:dyDescent="0.25">
      <c r="A328" s="46" t="str">
        <f>IF(ISBLANK(inbound_data[[#This Row],[Receiving Report ref.'#]]),"",IF(inbound_data[[#This Row],[Ending Quantity]]=0,"ZERO","INV"))</f>
        <v/>
      </c>
      <c r="B328" s="165" t="str">
        <f t="shared" si="33"/>
        <v/>
      </c>
      <c r="C328" s="165" t="str">
        <f>IF(ISBLANK(D328),"",inbound_data[[#This Row],[Pallet_Series]]&amp;inbound_data[[#This Row],[No.]])</f>
        <v/>
      </c>
      <c r="D328" s="54"/>
      <c r="E328" s="55"/>
      <c r="F328" s="56"/>
      <c r="G328" s="57"/>
      <c r="H328" s="53"/>
      <c r="I328" s="53"/>
      <c r="J328" s="55"/>
      <c r="K328" s="58"/>
      <c r="L328" s="59"/>
      <c r="M328" s="55"/>
      <c r="N328" s="60"/>
      <c r="O328" s="60"/>
      <c r="P328" s="165" t="str">
        <f t="shared" ca="1" si="34"/>
        <v/>
      </c>
      <c r="Q328" s="165" t="str">
        <f t="shared" ca="1" si="35"/>
        <v/>
      </c>
      <c r="R328" s="79"/>
      <c r="S328" s="80"/>
      <c r="T328" s="61">
        <f t="shared" si="36"/>
        <v>0</v>
      </c>
      <c r="U328" s="61">
        <f t="shared" si="37"/>
        <v>0</v>
      </c>
      <c r="V328" s="61">
        <f t="shared" si="38"/>
        <v>0</v>
      </c>
      <c r="W328" s="58"/>
      <c r="X328" s="58"/>
      <c r="Y328" s="53"/>
      <c r="Z328" s="57"/>
      <c r="AA328" s="62"/>
      <c r="AB328" s="62"/>
      <c r="AC328" s="62"/>
      <c r="AD328" s="62"/>
      <c r="AE328" s="62"/>
      <c r="AF328" s="63"/>
      <c r="AG328" s="64" t="str">
        <f t="shared" si="39"/>
        <v/>
      </c>
    </row>
    <row r="329" spans="1:33" x14ac:dyDescent="0.25">
      <c r="A329" s="46" t="str">
        <f>IF(ISBLANK(inbound_data[[#This Row],[Receiving Report ref.'#]]),"",IF(inbound_data[[#This Row],[Ending Quantity]]=0,"ZERO","INV"))</f>
        <v/>
      </c>
      <c r="B329" s="165" t="str">
        <f t="shared" ref="B329:B392" si="40">IF(ISBLANK(D329),"",TEXT(ROW(),"00000"))</f>
        <v/>
      </c>
      <c r="C329" s="165" t="str">
        <f>IF(ISBLANK(D329),"",inbound_data[[#This Row],[Pallet_Series]]&amp;inbound_data[[#This Row],[No.]])</f>
        <v/>
      </c>
      <c r="D329" s="54"/>
      <c r="E329" s="55"/>
      <c r="F329" s="56"/>
      <c r="G329" s="57"/>
      <c r="H329" s="53"/>
      <c r="I329" s="53"/>
      <c r="J329" s="55"/>
      <c r="K329" s="58"/>
      <c r="L329" s="59"/>
      <c r="M329" s="55"/>
      <c r="N329" s="60"/>
      <c r="O329" s="60"/>
      <c r="P329" s="165" t="str">
        <f t="shared" ref="P329:P392" ca="1" si="41">IF(A329="ZERO","",IF(O329="","",O329-TODAY()))</f>
        <v/>
      </c>
      <c r="Q329" s="165" t="str">
        <f t="shared" ref="Q329:Q392" ca="1" si="42">IF(A329="ZERO","",IF(P329&lt;0,"ALREADY EXPIRED",IF(P329&lt;60,"NEARLY EXPIRED","")))</f>
        <v/>
      </c>
      <c r="R329" s="79"/>
      <c r="S329" s="80"/>
      <c r="T329" s="61">
        <f t="shared" ref="T329:T392" si="43">IF(ISBLANK(R329),0,R329-SUMIF(STOCK_CODE_OUT,$C329,QTY_OUT))</f>
        <v>0</v>
      </c>
      <c r="U329" s="61">
        <f t="shared" ref="U329:U392" si="44">IF(ISBLANK(S329),0,S329-SUMIF(STOCK_CODE_OUT,$C329,KILOS_OUT))</f>
        <v>0</v>
      </c>
      <c r="V329" s="61">
        <f t="shared" ref="V329:V392" si="45">IF(ISBLANK(K329),0,K329-SUMIF(STOCK_CODE_OUT,$C329,PALLET_OUT))</f>
        <v>0</v>
      </c>
      <c r="W329" s="58"/>
      <c r="X329" s="58"/>
      <c r="Y329" s="53"/>
      <c r="Z329" s="57"/>
      <c r="AA329" s="62"/>
      <c r="AB329" s="62"/>
      <c r="AC329" s="62"/>
      <c r="AD329" s="62"/>
      <c r="AE329" s="62"/>
      <c r="AF329" s="63"/>
      <c r="AG329" s="64" t="str">
        <f t="shared" ref="AG329:AG392" si="46">IF(T329&gt;0,CONCATENATE(AA329,AB329,TEXT(AC329,"R00"),TEXT(AD329,"L0."),TEXT(AE329,"0")),"")</f>
        <v/>
      </c>
    </row>
    <row r="330" spans="1:33" x14ac:dyDescent="0.25">
      <c r="A330" s="46" t="str">
        <f>IF(ISBLANK(inbound_data[[#This Row],[Receiving Report ref.'#]]),"",IF(inbound_data[[#This Row],[Ending Quantity]]=0,"ZERO","INV"))</f>
        <v/>
      </c>
      <c r="B330" s="165" t="str">
        <f t="shared" si="40"/>
        <v/>
      </c>
      <c r="C330" s="165" t="str">
        <f>IF(ISBLANK(D330),"",inbound_data[[#This Row],[Pallet_Series]]&amp;inbound_data[[#This Row],[No.]])</f>
        <v/>
      </c>
      <c r="D330" s="54"/>
      <c r="E330" s="55"/>
      <c r="F330" s="56"/>
      <c r="G330" s="57"/>
      <c r="H330" s="53"/>
      <c r="I330" s="53"/>
      <c r="J330" s="55"/>
      <c r="K330" s="58"/>
      <c r="L330" s="59"/>
      <c r="M330" s="55"/>
      <c r="N330" s="60"/>
      <c r="O330" s="60"/>
      <c r="P330" s="165" t="str">
        <f t="shared" ca="1" si="41"/>
        <v/>
      </c>
      <c r="Q330" s="165" t="str">
        <f t="shared" ca="1" si="42"/>
        <v/>
      </c>
      <c r="R330" s="79"/>
      <c r="S330" s="80"/>
      <c r="T330" s="61">
        <f t="shared" si="43"/>
        <v>0</v>
      </c>
      <c r="U330" s="61">
        <f t="shared" si="44"/>
        <v>0</v>
      </c>
      <c r="V330" s="61">
        <f t="shared" si="45"/>
        <v>0</v>
      </c>
      <c r="W330" s="58"/>
      <c r="X330" s="58"/>
      <c r="Y330" s="53"/>
      <c r="Z330" s="57"/>
      <c r="AA330" s="62"/>
      <c r="AB330" s="62"/>
      <c r="AC330" s="62"/>
      <c r="AD330" s="62"/>
      <c r="AE330" s="62"/>
      <c r="AF330" s="63"/>
      <c r="AG330" s="64" t="str">
        <f t="shared" si="46"/>
        <v/>
      </c>
    </row>
    <row r="331" spans="1:33" x14ac:dyDescent="0.25">
      <c r="A331" s="46" t="str">
        <f>IF(ISBLANK(inbound_data[[#This Row],[Receiving Report ref.'#]]),"",IF(inbound_data[[#This Row],[Ending Quantity]]=0,"ZERO","INV"))</f>
        <v/>
      </c>
      <c r="B331" s="165" t="str">
        <f t="shared" si="40"/>
        <v/>
      </c>
      <c r="C331" s="165" t="str">
        <f>IF(ISBLANK(D331),"",inbound_data[[#This Row],[Pallet_Series]]&amp;inbound_data[[#This Row],[No.]])</f>
        <v/>
      </c>
      <c r="D331" s="54"/>
      <c r="E331" s="55"/>
      <c r="F331" s="56"/>
      <c r="G331" s="57"/>
      <c r="H331" s="53"/>
      <c r="I331" s="53"/>
      <c r="J331" s="55"/>
      <c r="K331" s="58"/>
      <c r="L331" s="59"/>
      <c r="M331" s="55"/>
      <c r="N331" s="60"/>
      <c r="O331" s="60"/>
      <c r="P331" s="165" t="str">
        <f t="shared" ca="1" si="41"/>
        <v/>
      </c>
      <c r="Q331" s="165" t="str">
        <f t="shared" ca="1" si="42"/>
        <v/>
      </c>
      <c r="R331" s="79"/>
      <c r="S331" s="80"/>
      <c r="T331" s="61">
        <f t="shared" si="43"/>
        <v>0</v>
      </c>
      <c r="U331" s="61">
        <f t="shared" si="44"/>
        <v>0</v>
      </c>
      <c r="V331" s="61">
        <f t="shared" si="45"/>
        <v>0</v>
      </c>
      <c r="W331" s="58"/>
      <c r="X331" s="58"/>
      <c r="Y331" s="53"/>
      <c r="Z331" s="57"/>
      <c r="AA331" s="62"/>
      <c r="AB331" s="62"/>
      <c r="AC331" s="62"/>
      <c r="AD331" s="62"/>
      <c r="AE331" s="62"/>
      <c r="AF331" s="63"/>
      <c r="AG331" s="64" t="str">
        <f t="shared" si="46"/>
        <v/>
      </c>
    </row>
    <row r="332" spans="1:33" x14ac:dyDescent="0.25">
      <c r="A332" s="46" t="str">
        <f>IF(ISBLANK(inbound_data[[#This Row],[Receiving Report ref.'#]]),"",IF(inbound_data[[#This Row],[Ending Quantity]]=0,"ZERO","INV"))</f>
        <v/>
      </c>
      <c r="B332" s="165" t="str">
        <f t="shared" si="40"/>
        <v/>
      </c>
      <c r="C332" s="165" t="str">
        <f>IF(ISBLANK(D332),"",inbound_data[[#This Row],[Pallet_Series]]&amp;inbound_data[[#This Row],[No.]])</f>
        <v/>
      </c>
      <c r="D332" s="54"/>
      <c r="E332" s="55"/>
      <c r="F332" s="56"/>
      <c r="G332" s="57"/>
      <c r="H332" s="53"/>
      <c r="I332" s="53"/>
      <c r="J332" s="55"/>
      <c r="K332" s="58"/>
      <c r="L332" s="59"/>
      <c r="M332" s="55"/>
      <c r="N332" s="60"/>
      <c r="O332" s="60"/>
      <c r="P332" s="165" t="str">
        <f t="shared" ca="1" si="41"/>
        <v/>
      </c>
      <c r="Q332" s="165" t="str">
        <f t="shared" ca="1" si="42"/>
        <v/>
      </c>
      <c r="R332" s="79"/>
      <c r="S332" s="80"/>
      <c r="T332" s="61">
        <f t="shared" si="43"/>
        <v>0</v>
      </c>
      <c r="U332" s="61">
        <f t="shared" si="44"/>
        <v>0</v>
      </c>
      <c r="V332" s="61">
        <f t="shared" si="45"/>
        <v>0</v>
      </c>
      <c r="W332" s="58"/>
      <c r="X332" s="58"/>
      <c r="Y332" s="53"/>
      <c r="Z332" s="57"/>
      <c r="AA332" s="62"/>
      <c r="AB332" s="62"/>
      <c r="AC332" s="62"/>
      <c r="AD332" s="62"/>
      <c r="AE332" s="62"/>
      <c r="AF332" s="63"/>
      <c r="AG332" s="64" t="str">
        <f t="shared" si="46"/>
        <v/>
      </c>
    </row>
    <row r="333" spans="1:33" x14ac:dyDescent="0.25">
      <c r="A333" s="46" t="str">
        <f>IF(ISBLANK(inbound_data[[#This Row],[Receiving Report ref.'#]]),"",IF(inbound_data[[#This Row],[Ending Quantity]]=0,"ZERO","INV"))</f>
        <v/>
      </c>
      <c r="B333" s="165" t="str">
        <f t="shared" si="40"/>
        <v/>
      </c>
      <c r="C333" s="165" t="str">
        <f>IF(ISBLANK(D333),"",inbound_data[[#This Row],[Pallet_Series]]&amp;inbound_data[[#This Row],[No.]])</f>
        <v/>
      </c>
      <c r="D333" s="54"/>
      <c r="E333" s="55"/>
      <c r="F333" s="56"/>
      <c r="G333" s="57"/>
      <c r="H333" s="53"/>
      <c r="I333" s="53"/>
      <c r="J333" s="55"/>
      <c r="K333" s="58"/>
      <c r="L333" s="59"/>
      <c r="M333" s="55"/>
      <c r="N333" s="60"/>
      <c r="O333" s="60"/>
      <c r="P333" s="165" t="str">
        <f t="shared" ca="1" si="41"/>
        <v/>
      </c>
      <c r="Q333" s="165" t="str">
        <f t="shared" ca="1" si="42"/>
        <v/>
      </c>
      <c r="R333" s="79"/>
      <c r="S333" s="80"/>
      <c r="T333" s="61">
        <f t="shared" si="43"/>
        <v>0</v>
      </c>
      <c r="U333" s="61">
        <f t="shared" si="44"/>
        <v>0</v>
      </c>
      <c r="V333" s="61">
        <f t="shared" si="45"/>
        <v>0</v>
      </c>
      <c r="W333" s="58"/>
      <c r="X333" s="58"/>
      <c r="Y333" s="53"/>
      <c r="Z333" s="57"/>
      <c r="AA333" s="62"/>
      <c r="AB333" s="62"/>
      <c r="AC333" s="62"/>
      <c r="AD333" s="62"/>
      <c r="AE333" s="62"/>
      <c r="AF333" s="63"/>
      <c r="AG333" s="64" t="str">
        <f t="shared" si="46"/>
        <v/>
      </c>
    </row>
    <row r="334" spans="1:33" x14ac:dyDescent="0.25">
      <c r="A334" s="46" t="str">
        <f>IF(ISBLANK(inbound_data[[#This Row],[Receiving Report ref.'#]]),"",IF(inbound_data[[#This Row],[Ending Quantity]]=0,"ZERO","INV"))</f>
        <v/>
      </c>
      <c r="B334" s="165" t="str">
        <f t="shared" si="40"/>
        <v/>
      </c>
      <c r="C334" s="165" t="str">
        <f>IF(ISBLANK(D334),"",inbound_data[[#This Row],[Pallet_Series]]&amp;inbound_data[[#This Row],[No.]])</f>
        <v/>
      </c>
      <c r="D334" s="54"/>
      <c r="E334" s="55"/>
      <c r="F334" s="56"/>
      <c r="G334" s="57"/>
      <c r="H334" s="53"/>
      <c r="I334" s="53"/>
      <c r="J334" s="55"/>
      <c r="K334" s="58"/>
      <c r="L334" s="59"/>
      <c r="M334" s="55"/>
      <c r="N334" s="60"/>
      <c r="O334" s="60"/>
      <c r="P334" s="165" t="str">
        <f t="shared" ca="1" si="41"/>
        <v/>
      </c>
      <c r="Q334" s="165" t="str">
        <f t="shared" ca="1" si="42"/>
        <v/>
      </c>
      <c r="R334" s="79"/>
      <c r="S334" s="80"/>
      <c r="T334" s="61">
        <f t="shared" si="43"/>
        <v>0</v>
      </c>
      <c r="U334" s="61">
        <f t="shared" si="44"/>
        <v>0</v>
      </c>
      <c r="V334" s="61">
        <f t="shared" si="45"/>
        <v>0</v>
      </c>
      <c r="W334" s="58"/>
      <c r="X334" s="58"/>
      <c r="Y334" s="53"/>
      <c r="Z334" s="57"/>
      <c r="AA334" s="62"/>
      <c r="AB334" s="62"/>
      <c r="AC334" s="62"/>
      <c r="AD334" s="62"/>
      <c r="AE334" s="62"/>
      <c r="AF334" s="63"/>
      <c r="AG334" s="64" t="str">
        <f t="shared" si="46"/>
        <v/>
      </c>
    </row>
    <row r="335" spans="1:33" x14ac:dyDescent="0.25">
      <c r="A335" s="46" t="str">
        <f>IF(ISBLANK(inbound_data[[#This Row],[Receiving Report ref.'#]]),"",IF(inbound_data[[#This Row],[Ending Quantity]]=0,"ZERO","INV"))</f>
        <v/>
      </c>
      <c r="B335" s="165" t="str">
        <f t="shared" si="40"/>
        <v/>
      </c>
      <c r="C335" s="165" t="str">
        <f>IF(ISBLANK(D335),"",inbound_data[[#This Row],[Pallet_Series]]&amp;inbound_data[[#This Row],[No.]])</f>
        <v/>
      </c>
      <c r="D335" s="54"/>
      <c r="E335" s="55"/>
      <c r="F335" s="56"/>
      <c r="G335" s="57"/>
      <c r="H335" s="53"/>
      <c r="I335" s="53"/>
      <c r="J335" s="55"/>
      <c r="K335" s="58"/>
      <c r="L335" s="59"/>
      <c r="M335" s="55"/>
      <c r="N335" s="60"/>
      <c r="O335" s="60"/>
      <c r="P335" s="165" t="str">
        <f t="shared" ca="1" si="41"/>
        <v/>
      </c>
      <c r="Q335" s="165" t="str">
        <f t="shared" ca="1" si="42"/>
        <v/>
      </c>
      <c r="R335" s="79"/>
      <c r="S335" s="80"/>
      <c r="T335" s="61">
        <f t="shared" si="43"/>
        <v>0</v>
      </c>
      <c r="U335" s="61">
        <f t="shared" si="44"/>
        <v>0</v>
      </c>
      <c r="V335" s="61">
        <f t="shared" si="45"/>
        <v>0</v>
      </c>
      <c r="W335" s="58"/>
      <c r="X335" s="58"/>
      <c r="Y335" s="53"/>
      <c r="Z335" s="57"/>
      <c r="AA335" s="62"/>
      <c r="AB335" s="62"/>
      <c r="AC335" s="62"/>
      <c r="AD335" s="62"/>
      <c r="AE335" s="62"/>
      <c r="AF335" s="63"/>
      <c r="AG335" s="64" t="str">
        <f t="shared" si="46"/>
        <v/>
      </c>
    </row>
    <row r="336" spans="1:33" x14ac:dyDescent="0.25">
      <c r="A336" s="46" t="str">
        <f>IF(ISBLANK(inbound_data[[#This Row],[Receiving Report ref.'#]]),"",IF(inbound_data[[#This Row],[Ending Quantity]]=0,"ZERO","INV"))</f>
        <v/>
      </c>
      <c r="B336" s="165" t="str">
        <f t="shared" si="40"/>
        <v/>
      </c>
      <c r="C336" s="165" t="str">
        <f>IF(ISBLANK(D336),"",inbound_data[[#This Row],[Pallet_Series]]&amp;inbound_data[[#This Row],[No.]])</f>
        <v/>
      </c>
      <c r="D336" s="54"/>
      <c r="E336" s="55"/>
      <c r="F336" s="56"/>
      <c r="G336" s="57"/>
      <c r="H336" s="53"/>
      <c r="I336" s="53"/>
      <c r="J336" s="55"/>
      <c r="K336" s="58"/>
      <c r="L336" s="59"/>
      <c r="M336" s="55"/>
      <c r="N336" s="60"/>
      <c r="O336" s="60"/>
      <c r="P336" s="165" t="str">
        <f t="shared" ca="1" si="41"/>
        <v/>
      </c>
      <c r="Q336" s="165" t="str">
        <f t="shared" ca="1" si="42"/>
        <v/>
      </c>
      <c r="R336" s="79"/>
      <c r="S336" s="80"/>
      <c r="T336" s="61">
        <f t="shared" si="43"/>
        <v>0</v>
      </c>
      <c r="U336" s="61">
        <f t="shared" si="44"/>
        <v>0</v>
      </c>
      <c r="V336" s="61">
        <f t="shared" si="45"/>
        <v>0</v>
      </c>
      <c r="W336" s="58"/>
      <c r="X336" s="58"/>
      <c r="Y336" s="53"/>
      <c r="Z336" s="57"/>
      <c r="AA336" s="62"/>
      <c r="AB336" s="62"/>
      <c r="AC336" s="62"/>
      <c r="AD336" s="62"/>
      <c r="AE336" s="62"/>
      <c r="AF336" s="63"/>
      <c r="AG336" s="64" t="str">
        <f t="shared" si="46"/>
        <v/>
      </c>
    </row>
    <row r="337" spans="1:33" x14ac:dyDescent="0.25">
      <c r="A337" s="46" t="str">
        <f>IF(ISBLANK(inbound_data[[#This Row],[Receiving Report ref.'#]]),"",IF(inbound_data[[#This Row],[Ending Quantity]]=0,"ZERO","INV"))</f>
        <v/>
      </c>
      <c r="B337" s="165" t="str">
        <f t="shared" si="40"/>
        <v/>
      </c>
      <c r="C337" s="165" t="str">
        <f>IF(ISBLANK(D337),"",inbound_data[[#This Row],[Pallet_Series]]&amp;inbound_data[[#This Row],[No.]])</f>
        <v/>
      </c>
      <c r="D337" s="54"/>
      <c r="E337" s="55"/>
      <c r="F337" s="56"/>
      <c r="G337" s="57"/>
      <c r="H337" s="53"/>
      <c r="I337" s="53"/>
      <c r="J337" s="55"/>
      <c r="K337" s="58"/>
      <c r="L337" s="59"/>
      <c r="M337" s="55"/>
      <c r="N337" s="60"/>
      <c r="O337" s="60"/>
      <c r="P337" s="165" t="str">
        <f t="shared" ca="1" si="41"/>
        <v/>
      </c>
      <c r="Q337" s="165" t="str">
        <f t="shared" ca="1" si="42"/>
        <v/>
      </c>
      <c r="R337" s="79"/>
      <c r="S337" s="80"/>
      <c r="T337" s="61">
        <f t="shared" si="43"/>
        <v>0</v>
      </c>
      <c r="U337" s="61">
        <f t="shared" si="44"/>
        <v>0</v>
      </c>
      <c r="V337" s="61">
        <f t="shared" si="45"/>
        <v>0</v>
      </c>
      <c r="W337" s="58"/>
      <c r="X337" s="58"/>
      <c r="Y337" s="53"/>
      <c r="Z337" s="57"/>
      <c r="AA337" s="62"/>
      <c r="AB337" s="62"/>
      <c r="AC337" s="62"/>
      <c r="AD337" s="62"/>
      <c r="AE337" s="62"/>
      <c r="AF337" s="63"/>
      <c r="AG337" s="64" t="str">
        <f t="shared" si="46"/>
        <v/>
      </c>
    </row>
    <row r="338" spans="1:33" x14ac:dyDescent="0.25">
      <c r="A338" s="46" t="str">
        <f>IF(ISBLANK(inbound_data[[#This Row],[Receiving Report ref.'#]]),"",IF(inbound_data[[#This Row],[Ending Quantity]]=0,"ZERO","INV"))</f>
        <v/>
      </c>
      <c r="B338" s="165" t="str">
        <f t="shared" si="40"/>
        <v/>
      </c>
      <c r="C338" s="165" t="str">
        <f>IF(ISBLANK(D338),"",inbound_data[[#This Row],[Pallet_Series]]&amp;inbound_data[[#This Row],[No.]])</f>
        <v/>
      </c>
      <c r="D338" s="54"/>
      <c r="E338" s="55"/>
      <c r="F338" s="56"/>
      <c r="G338" s="57"/>
      <c r="H338" s="53"/>
      <c r="I338" s="53"/>
      <c r="J338" s="55"/>
      <c r="K338" s="58"/>
      <c r="L338" s="59"/>
      <c r="M338" s="55"/>
      <c r="N338" s="60"/>
      <c r="O338" s="60"/>
      <c r="P338" s="165" t="str">
        <f t="shared" ca="1" si="41"/>
        <v/>
      </c>
      <c r="Q338" s="165" t="str">
        <f t="shared" ca="1" si="42"/>
        <v/>
      </c>
      <c r="R338" s="79"/>
      <c r="S338" s="80"/>
      <c r="T338" s="61">
        <f t="shared" si="43"/>
        <v>0</v>
      </c>
      <c r="U338" s="61">
        <f t="shared" si="44"/>
        <v>0</v>
      </c>
      <c r="V338" s="61">
        <f t="shared" si="45"/>
        <v>0</v>
      </c>
      <c r="W338" s="58"/>
      <c r="X338" s="58"/>
      <c r="Y338" s="53"/>
      <c r="Z338" s="57"/>
      <c r="AA338" s="62"/>
      <c r="AB338" s="62"/>
      <c r="AC338" s="62"/>
      <c r="AD338" s="62"/>
      <c r="AE338" s="62"/>
      <c r="AF338" s="63"/>
      <c r="AG338" s="64" t="str">
        <f t="shared" si="46"/>
        <v/>
      </c>
    </row>
    <row r="339" spans="1:33" x14ac:dyDescent="0.25">
      <c r="A339" s="46" t="str">
        <f>IF(ISBLANK(inbound_data[[#This Row],[Receiving Report ref.'#]]),"",IF(inbound_data[[#This Row],[Ending Quantity]]=0,"ZERO","INV"))</f>
        <v/>
      </c>
      <c r="B339" s="165" t="str">
        <f t="shared" si="40"/>
        <v/>
      </c>
      <c r="C339" s="165" t="str">
        <f>IF(ISBLANK(D339),"",inbound_data[[#This Row],[Pallet_Series]]&amp;inbound_data[[#This Row],[No.]])</f>
        <v/>
      </c>
      <c r="D339" s="54"/>
      <c r="E339" s="55"/>
      <c r="F339" s="56"/>
      <c r="G339" s="57"/>
      <c r="H339" s="53"/>
      <c r="I339" s="53"/>
      <c r="J339" s="55"/>
      <c r="K339" s="58"/>
      <c r="L339" s="59"/>
      <c r="M339" s="55"/>
      <c r="N339" s="60"/>
      <c r="O339" s="60"/>
      <c r="P339" s="165" t="str">
        <f t="shared" ca="1" si="41"/>
        <v/>
      </c>
      <c r="Q339" s="165" t="str">
        <f t="shared" ca="1" si="42"/>
        <v/>
      </c>
      <c r="R339" s="79"/>
      <c r="S339" s="80"/>
      <c r="T339" s="61">
        <f t="shared" si="43"/>
        <v>0</v>
      </c>
      <c r="U339" s="61">
        <f t="shared" si="44"/>
        <v>0</v>
      </c>
      <c r="V339" s="61">
        <f t="shared" si="45"/>
        <v>0</v>
      </c>
      <c r="W339" s="58"/>
      <c r="X339" s="58"/>
      <c r="Y339" s="53"/>
      <c r="Z339" s="57"/>
      <c r="AA339" s="62"/>
      <c r="AB339" s="62"/>
      <c r="AC339" s="62"/>
      <c r="AD339" s="62"/>
      <c r="AE339" s="62"/>
      <c r="AF339" s="63"/>
      <c r="AG339" s="64" t="str">
        <f t="shared" si="46"/>
        <v/>
      </c>
    </row>
    <row r="340" spans="1:33" x14ac:dyDescent="0.25">
      <c r="A340" s="46" t="str">
        <f>IF(ISBLANK(inbound_data[[#This Row],[Receiving Report ref.'#]]),"",IF(inbound_data[[#This Row],[Ending Quantity]]=0,"ZERO","INV"))</f>
        <v/>
      </c>
      <c r="B340" s="165" t="str">
        <f t="shared" si="40"/>
        <v/>
      </c>
      <c r="C340" s="165" t="str">
        <f>IF(ISBLANK(D340),"",inbound_data[[#This Row],[Pallet_Series]]&amp;inbound_data[[#This Row],[No.]])</f>
        <v/>
      </c>
      <c r="D340" s="54"/>
      <c r="E340" s="55"/>
      <c r="F340" s="56"/>
      <c r="G340" s="57"/>
      <c r="H340" s="53"/>
      <c r="I340" s="53"/>
      <c r="J340" s="55"/>
      <c r="K340" s="58"/>
      <c r="L340" s="59"/>
      <c r="M340" s="55"/>
      <c r="N340" s="60"/>
      <c r="O340" s="60"/>
      <c r="P340" s="165" t="str">
        <f t="shared" ca="1" si="41"/>
        <v/>
      </c>
      <c r="Q340" s="165" t="str">
        <f t="shared" ca="1" si="42"/>
        <v/>
      </c>
      <c r="R340" s="79"/>
      <c r="S340" s="80"/>
      <c r="T340" s="61">
        <f t="shared" si="43"/>
        <v>0</v>
      </c>
      <c r="U340" s="61">
        <f t="shared" si="44"/>
        <v>0</v>
      </c>
      <c r="V340" s="61">
        <f t="shared" si="45"/>
        <v>0</v>
      </c>
      <c r="W340" s="58"/>
      <c r="X340" s="58"/>
      <c r="Y340" s="53"/>
      <c r="Z340" s="57"/>
      <c r="AA340" s="62"/>
      <c r="AB340" s="62"/>
      <c r="AC340" s="62"/>
      <c r="AD340" s="62"/>
      <c r="AE340" s="62"/>
      <c r="AF340" s="63"/>
      <c r="AG340" s="64" t="str">
        <f t="shared" si="46"/>
        <v/>
      </c>
    </row>
    <row r="341" spans="1:33" x14ac:dyDescent="0.25">
      <c r="A341" s="46" t="str">
        <f>IF(ISBLANK(inbound_data[[#This Row],[Receiving Report ref.'#]]),"",IF(inbound_data[[#This Row],[Ending Quantity]]=0,"ZERO","INV"))</f>
        <v/>
      </c>
      <c r="B341" s="165" t="str">
        <f t="shared" si="40"/>
        <v/>
      </c>
      <c r="C341" s="165" t="str">
        <f>IF(ISBLANK(D341),"",inbound_data[[#This Row],[Pallet_Series]]&amp;inbound_data[[#This Row],[No.]])</f>
        <v/>
      </c>
      <c r="D341" s="54"/>
      <c r="E341" s="55"/>
      <c r="F341" s="56"/>
      <c r="G341" s="57"/>
      <c r="H341" s="53"/>
      <c r="I341" s="53"/>
      <c r="J341" s="55"/>
      <c r="K341" s="58"/>
      <c r="L341" s="59"/>
      <c r="M341" s="55"/>
      <c r="N341" s="60"/>
      <c r="O341" s="60"/>
      <c r="P341" s="165" t="str">
        <f t="shared" ca="1" si="41"/>
        <v/>
      </c>
      <c r="Q341" s="165" t="str">
        <f t="shared" ca="1" si="42"/>
        <v/>
      </c>
      <c r="R341" s="79"/>
      <c r="S341" s="80"/>
      <c r="T341" s="61">
        <f t="shared" si="43"/>
        <v>0</v>
      </c>
      <c r="U341" s="61">
        <f t="shared" si="44"/>
        <v>0</v>
      </c>
      <c r="V341" s="61">
        <f t="shared" si="45"/>
        <v>0</v>
      </c>
      <c r="W341" s="58"/>
      <c r="X341" s="58"/>
      <c r="Y341" s="53"/>
      <c r="Z341" s="57"/>
      <c r="AA341" s="62"/>
      <c r="AB341" s="62"/>
      <c r="AC341" s="62"/>
      <c r="AD341" s="62"/>
      <c r="AE341" s="62"/>
      <c r="AF341" s="63"/>
      <c r="AG341" s="64" t="str">
        <f t="shared" si="46"/>
        <v/>
      </c>
    </row>
    <row r="342" spans="1:33" x14ac:dyDescent="0.25">
      <c r="A342" s="46" t="str">
        <f>IF(ISBLANK(inbound_data[[#This Row],[Receiving Report ref.'#]]),"",IF(inbound_data[[#This Row],[Ending Quantity]]=0,"ZERO","INV"))</f>
        <v/>
      </c>
      <c r="B342" s="165" t="str">
        <f t="shared" si="40"/>
        <v/>
      </c>
      <c r="C342" s="165" t="str">
        <f>IF(ISBLANK(D342),"",inbound_data[[#This Row],[Pallet_Series]]&amp;inbound_data[[#This Row],[No.]])</f>
        <v/>
      </c>
      <c r="D342" s="54"/>
      <c r="E342" s="55"/>
      <c r="F342" s="56"/>
      <c r="G342" s="57"/>
      <c r="H342" s="53"/>
      <c r="I342" s="53"/>
      <c r="J342" s="55"/>
      <c r="K342" s="58"/>
      <c r="L342" s="59"/>
      <c r="M342" s="55"/>
      <c r="N342" s="60"/>
      <c r="O342" s="60"/>
      <c r="P342" s="165" t="str">
        <f t="shared" ca="1" si="41"/>
        <v/>
      </c>
      <c r="Q342" s="165" t="str">
        <f t="shared" ca="1" si="42"/>
        <v/>
      </c>
      <c r="R342" s="79"/>
      <c r="S342" s="80"/>
      <c r="T342" s="61">
        <f t="shared" si="43"/>
        <v>0</v>
      </c>
      <c r="U342" s="61">
        <f t="shared" si="44"/>
        <v>0</v>
      </c>
      <c r="V342" s="61">
        <f t="shared" si="45"/>
        <v>0</v>
      </c>
      <c r="W342" s="58"/>
      <c r="X342" s="58"/>
      <c r="Y342" s="53"/>
      <c r="Z342" s="57"/>
      <c r="AA342" s="62"/>
      <c r="AB342" s="62"/>
      <c r="AC342" s="62"/>
      <c r="AD342" s="62"/>
      <c r="AE342" s="62"/>
      <c r="AF342" s="63"/>
      <c r="AG342" s="64" t="str">
        <f t="shared" si="46"/>
        <v/>
      </c>
    </row>
    <row r="343" spans="1:33" x14ac:dyDescent="0.25">
      <c r="A343" s="46" t="str">
        <f>IF(ISBLANK(inbound_data[[#This Row],[Receiving Report ref.'#]]),"",IF(inbound_data[[#This Row],[Ending Quantity]]=0,"ZERO","INV"))</f>
        <v/>
      </c>
      <c r="B343" s="165" t="str">
        <f t="shared" si="40"/>
        <v/>
      </c>
      <c r="C343" s="165" t="str">
        <f>IF(ISBLANK(D343),"",inbound_data[[#This Row],[Pallet_Series]]&amp;inbound_data[[#This Row],[No.]])</f>
        <v/>
      </c>
      <c r="D343" s="54"/>
      <c r="E343" s="55"/>
      <c r="F343" s="56"/>
      <c r="G343" s="57"/>
      <c r="H343" s="53"/>
      <c r="I343" s="53"/>
      <c r="J343" s="55"/>
      <c r="K343" s="58"/>
      <c r="L343" s="59"/>
      <c r="M343" s="55"/>
      <c r="N343" s="60"/>
      <c r="O343" s="60"/>
      <c r="P343" s="165" t="str">
        <f t="shared" ca="1" si="41"/>
        <v/>
      </c>
      <c r="Q343" s="165" t="str">
        <f t="shared" ca="1" si="42"/>
        <v/>
      </c>
      <c r="R343" s="79"/>
      <c r="S343" s="80"/>
      <c r="T343" s="61">
        <f t="shared" si="43"/>
        <v>0</v>
      </c>
      <c r="U343" s="61">
        <f t="shared" si="44"/>
        <v>0</v>
      </c>
      <c r="V343" s="61">
        <f t="shared" si="45"/>
        <v>0</v>
      </c>
      <c r="W343" s="58"/>
      <c r="X343" s="58"/>
      <c r="Y343" s="53"/>
      <c r="Z343" s="57"/>
      <c r="AA343" s="62"/>
      <c r="AB343" s="62"/>
      <c r="AC343" s="62"/>
      <c r="AD343" s="62"/>
      <c r="AE343" s="62"/>
      <c r="AF343" s="63"/>
      <c r="AG343" s="64" t="str">
        <f t="shared" si="46"/>
        <v/>
      </c>
    </row>
    <row r="344" spans="1:33" x14ac:dyDescent="0.25">
      <c r="A344" s="46" t="str">
        <f>IF(ISBLANK(inbound_data[[#This Row],[Receiving Report ref.'#]]),"",IF(inbound_data[[#This Row],[Ending Quantity]]=0,"ZERO","INV"))</f>
        <v/>
      </c>
      <c r="B344" s="165" t="str">
        <f t="shared" si="40"/>
        <v/>
      </c>
      <c r="C344" s="165" t="str">
        <f>IF(ISBLANK(D344),"",inbound_data[[#This Row],[Pallet_Series]]&amp;inbound_data[[#This Row],[No.]])</f>
        <v/>
      </c>
      <c r="D344" s="54"/>
      <c r="E344" s="55"/>
      <c r="F344" s="56"/>
      <c r="G344" s="57"/>
      <c r="H344" s="53"/>
      <c r="I344" s="53"/>
      <c r="J344" s="55"/>
      <c r="K344" s="58"/>
      <c r="L344" s="59"/>
      <c r="M344" s="55"/>
      <c r="N344" s="60"/>
      <c r="O344" s="60"/>
      <c r="P344" s="165" t="str">
        <f t="shared" ca="1" si="41"/>
        <v/>
      </c>
      <c r="Q344" s="165" t="str">
        <f t="shared" ca="1" si="42"/>
        <v/>
      </c>
      <c r="R344" s="79"/>
      <c r="S344" s="80"/>
      <c r="T344" s="61">
        <f t="shared" si="43"/>
        <v>0</v>
      </c>
      <c r="U344" s="61">
        <f t="shared" si="44"/>
        <v>0</v>
      </c>
      <c r="V344" s="61">
        <f t="shared" si="45"/>
        <v>0</v>
      </c>
      <c r="W344" s="58"/>
      <c r="X344" s="58"/>
      <c r="Y344" s="53"/>
      <c r="Z344" s="57"/>
      <c r="AA344" s="62"/>
      <c r="AB344" s="62"/>
      <c r="AC344" s="62"/>
      <c r="AD344" s="62"/>
      <c r="AE344" s="62"/>
      <c r="AF344" s="63"/>
      <c r="AG344" s="64" t="str">
        <f t="shared" si="46"/>
        <v/>
      </c>
    </row>
    <row r="345" spans="1:33" x14ac:dyDescent="0.25">
      <c r="A345" s="46" t="str">
        <f>IF(ISBLANK(inbound_data[[#This Row],[Receiving Report ref.'#]]),"",IF(inbound_data[[#This Row],[Ending Quantity]]=0,"ZERO","INV"))</f>
        <v/>
      </c>
      <c r="B345" s="165" t="str">
        <f t="shared" si="40"/>
        <v/>
      </c>
      <c r="C345" s="165" t="str">
        <f>IF(ISBLANK(D345),"",inbound_data[[#This Row],[Pallet_Series]]&amp;inbound_data[[#This Row],[No.]])</f>
        <v/>
      </c>
      <c r="D345" s="54"/>
      <c r="E345" s="55"/>
      <c r="F345" s="56"/>
      <c r="G345" s="57"/>
      <c r="H345" s="53"/>
      <c r="I345" s="53"/>
      <c r="J345" s="55"/>
      <c r="K345" s="58"/>
      <c r="L345" s="59"/>
      <c r="M345" s="55"/>
      <c r="N345" s="60"/>
      <c r="O345" s="60"/>
      <c r="P345" s="165" t="str">
        <f t="shared" ca="1" si="41"/>
        <v/>
      </c>
      <c r="Q345" s="165" t="str">
        <f t="shared" ca="1" si="42"/>
        <v/>
      </c>
      <c r="R345" s="79"/>
      <c r="S345" s="80"/>
      <c r="T345" s="61">
        <f t="shared" si="43"/>
        <v>0</v>
      </c>
      <c r="U345" s="61">
        <f t="shared" si="44"/>
        <v>0</v>
      </c>
      <c r="V345" s="61">
        <f t="shared" si="45"/>
        <v>0</v>
      </c>
      <c r="W345" s="58"/>
      <c r="X345" s="58"/>
      <c r="Y345" s="53"/>
      <c r="Z345" s="57"/>
      <c r="AA345" s="62"/>
      <c r="AB345" s="62"/>
      <c r="AC345" s="62"/>
      <c r="AD345" s="62"/>
      <c r="AE345" s="62"/>
      <c r="AF345" s="63"/>
      <c r="AG345" s="64" t="str">
        <f t="shared" si="46"/>
        <v/>
      </c>
    </row>
    <row r="346" spans="1:33" x14ac:dyDescent="0.25">
      <c r="A346" s="46" t="str">
        <f>IF(ISBLANK(inbound_data[[#This Row],[Receiving Report ref.'#]]),"",IF(inbound_data[[#This Row],[Ending Quantity]]=0,"ZERO","INV"))</f>
        <v/>
      </c>
      <c r="B346" s="165" t="str">
        <f t="shared" si="40"/>
        <v/>
      </c>
      <c r="C346" s="165" t="str">
        <f>IF(ISBLANK(D346),"",inbound_data[[#This Row],[Pallet_Series]]&amp;inbound_data[[#This Row],[No.]])</f>
        <v/>
      </c>
      <c r="D346" s="54"/>
      <c r="E346" s="55"/>
      <c r="F346" s="56"/>
      <c r="G346" s="57"/>
      <c r="H346" s="53"/>
      <c r="I346" s="53"/>
      <c r="J346" s="55"/>
      <c r="K346" s="58"/>
      <c r="L346" s="59"/>
      <c r="M346" s="55"/>
      <c r="N346" s="60"/>
      <c r="O346" s="60"/>
      <c r="P346" s="165" t="str">
        <f t="shared" ca="1" si="41"/>
        <v/>
      </c>
      <c r="Q346" s="165" t="str">
        <f t="shared" ca="1" si="42"/>
        <v/>
      </c>
      <c r="R346" s="79"/>
      <c r="S346" s="80"/>
      <c r="T346" s="61">
        <f t="shared" si="43"/>
        <v>0</v>
      </c>
      <c r="U346" s="61">
        <f t="shared" si="44"/>
        <v>0</v>
      </c>
      <c r="V346" s="61">
        <f t="shared" si="45"/>
        <v>0</v>
      </c>
      <c r="W346" s="58"/>
      <c r="X346" s="58"/>
      <c r="Y346" s="53"/>
      <c r="Z346" s="57"/>
      <c r="AA346" s="62"/>
      <c r="AB346" s="62"/>
      <c r="AC346" s="62"/>
      <c r="AD346" s="62"/>
      <c r="AE346" s="62"/>
      <c r="AF346" s="63"/>
      <c r="AG346" s="64" t="str">
        <f t="shared" si="46"/>
        <v/>
      </c>
    </row>
    <row r="347" spans="1:33" x14ac:dyDescent="0.25">
      <c r="A347" s="46" t="str">
        <f>IF(ISBLANK(inbound_data[[#This Row],[Receiving Report ref.'#]]),"",IF(inbound_data[[#This Row],[Ending Quantity]]=0,"ZERO","INV"))</f>
        <v/>
      </c>
      <c r="B347" s="165" t="str">
        <f t="shared" si="40"/>
        <v/>
      </c>
      <c r="C347" s="165" t="str">
        <f>IF(ISBLANK(D347),"",inbound_data[[#This Row],[Pallet_Series]]&amp;inbound_data[[#This Row],[No.]])</f>
        <v/>
      </c>
      <c r="D347" s="54"/>
      <c r="E347" s="55"/>
      <c r="F347" s="56"/>
      <c r="G347" s="57"/>
      <c r="H347" s="53"/>
      <c r="I347" s="53"/>
      <c r="J347" s="55"/>
      <c r="K347" s="58"/>
      <c r="L347" s="59"/>
      <c r="M347" s="55"/>
      <c r="N347" s="60"/>
      <c r="O347" s="60"/>
      <c r="P347" s="165" t="str">
        <f t="shared" ca="1" si="41"/>
        <v/>
      </c>
      <c r="Q347" s="165" t="str">
        <f t="shared" ca="1" si="42"/>
        <v/>
      </c>
      <c r="R347" s="79"/>
      <c r="S347" s="80"/>
      <c r="T347" s="61">
        <f t="shared" si="43"/>
        <v>0</v>
      </c>
      <c r="U347" s="61">
        <f t="shared" si="44"/>
        <v>0</v>
      </c>
      <c r="V347" s="61">
        <f t="shared" si="45"/>
        <v>0</v>
      </c>
      <c r="W347" s="58"/>
      <c r="X347" s="58"/>
      <c r="Y347" s="53"/>
      <c r="Z347" s="57"/>
      <c r="AA347" s="62"/>
      <c r="AB347" s="62"/>
      <c r="AC347" s="62"/>
      <c r="AD347" s="62"/>
      <c r="AE347" s="62"/>
      <c r="AF347" s="63"/>
      <c r="AG347" s="64" t="str">
        <f t="shared" si="46"/>
        <v/>
      </c>
    </row>
    <row r="348" spans="1:33" x14ac:dyDescent="0.25">
      <c r="A348" s="46" t="str">
        <f>IF(ISBLANK(inbound_data[[#This Row],[Receiving Report ref.'#]]),"",IF(inbound_data[[#This Row],[Ending Quantity]]=0,"ZERO","INV"))</f>
        <v/>
      </c>
      <c r="B348" s="165" t="str">
        <f t="shared" si="40"/>
        <v/>
      </c>
      <c r="C348" s="165" t="str">
        <f>IF(ISBLANK(D348),"",inbound_data[[#This Row],[Pallet_Series]]&amp;inbound_data[[#This Row],[No.]])</f>
        <v/>
      </c>
      <c r="D348" s="54"/>
      <c r="E348" s="55"/>
      <c r="F348" s="56"/>
      <c r="G348" s="57"/>
      <c r="H348" s="53"/>
      <c r="I348" s="53"/>
      <c r="J348" s="55"/>
      <c r="K348" s="58"/>
      <c r="L348" s="59"/>
      <c r="M348" s="55"/>
      <c r="N348" s="60"/>
      <c r="O348" s="60"/>
      <c r="P348" s="165" t="str">
        <f t="shared" ca="1" si="41"/>
        <v/>
      </c>
      <c r="Q348" s="165" t="str">
        <f t="shared" ca="1" si="42"/>
        <v/>
      </c>
      <c r="R348" s="79"/>
      <c r="S348" s="80"/>
      <c r="T348" s="61">
        <f t="shared" si="43"/>
        <v>0</v>
      </c>
      <c r="U348" s="61">
        <f t="shared" si="44"/>
        <v>0</v>
      </c>
      <c r="V348" s="61">
        <f t="shared" si="45"/>
        <v>0</v>
      </c>
      <c r="W348" s="58"/>
      <c r="X348" s="58"/>
      <c r="Y348" s="53"/>
      <c r="Z348" s="57"/>
      <c r="AA348" s="62"/>
      <c r="AB348" s="62"/>
      <c r="AC348" s="62"/>
      <c r="AD348" s="62"/>
      <c r="AE348" s="62"/>
      <c r="AF348" s="63"/>
      <c r="AG348" s="64" t="str">
        <f t="shared" si="46"/>
        <v/>
      </c>
    </row>
    <row r="349" spans="1:33" x14ac:dyDescent="0.25">
      <c r="A349" s="46" t="str">
        <f>IF(ISBLANK(inbound_data[[#This Row],[Receiving Report ref.'#]]),"",IF(inbound_data[[#This Row],[Ending Quantity]]=0,"ZERO","INV"))</f>
        <v/>
      </c>
      <c r="B349" s="165" t="str">
        <f t="shared" si="40"/>
        <v/>
      </c>
      <c r="C349" s="165" t="str">
        <f>IF(ISBLANK(D349),"",inbound_data[[#This Row],[Pallet_Series]]&amp;inbound_data[[#This Row],[No.]])</f>
        <v/>
      </c>
      <c r="D349" s="54"/>
      <c r="E349" s="55"/>
      <c r="F349" s="56"/>
      <c r="G349" s="57"/>
      <c r="H349" s="53"/>
      <c r="I349" s="53"/>
      <c r="J349" s="55"/>
      <c r="K349" s="58"/>
      <c r="L349" s="59"/>
      <c r="M349" s="55"/>
      <c r="N349" s="60"/>
      <c r="O349" s="60"/>
      <c r="P349" s="165" t="str">
        <f t="shared" ca="1" si="41"/>
        <v/>
      </c>
      <c r="Q349" s="165" t="str">
        <f t="shared" ca="1" si="42"/>
        <v/>
      </c>
      <c r="R349" s="79"/>
      <c r="S349" s="80"/>
      <c r="T349" s="61">
        <f t="shared" si="43"/>
        <v>0</v>
      </c>
      <c r="U349" s="61">
        <f t="shared" si="44"/>
        <v>0</v>
      </c>
      <c r="V349" s="61">
        <f t="shared" si="45"/>
        <v>0</v>
      </c>
      <c r="W349" s="58"/>
      <c r="X349" s="58"/>
      <c r="Y349" s="53"/>
      <c r="Z349" s="57"/>
      <c r="AA349" s="62"/>
      <c r="AB349" s="62"/>
      <c r="AC349" s="62"/>
      <c r="AD349" s="62"/>
      <c r="AE349" s="62"/>
      <c r="AF349" s="63"/>
      <c r="AG349" s="64" t="str">
        <f t="shared" si="46"/>
        <v/>
      </c>
    </row>
    <row r="350" spans="1:33" x14ac:dyDescent="0.25">
      <c r="A350" s="46" t="str">
        <f>IF(ISBLANK(inbound_data[[#This Row],[Receiving Report ref.'#]]),"",IF(inbound_data[[#This Row],[Ending Quantity]]=0,"ZERO","INV"))</f>
        <v/>
      </c>
      <c r="B350" s="165" t="str">
        <f t="shared" si="40"/>
        <v/>
      </c>
      <c r="C350" s="165" t="str">
        <f>IF(ISBLANK(D350),"",inbound_data[[#This Row],[Pallet_Series]]&amp;inbound_data[[#This Row],[No.]])</f>
        <v/>
      </c>
      <c r="D350" s="54"/>
      <c r="E350" s="55"/>
      <c r="F350" s="56"/>
      <c r="G350" s="57"/>
      <c r="H350" s="53"/>
      <c r="I350" s="53"/>
      <c r="J350" s="55"/>
      <c r="K350" s="58"/>
      <c r="L350" s="59"/>
      <c r="M350" s="55"/>
      <c r="N350" s="60"/>
      <c r="O350" s="60"/>
      <c r="P350" s="165" t="str">
        <f t="shared" ca="1" si="41"/>
        <v/>
      </c>
      <c r="Q350" s="165" t="str">
        <f t="shared" ca="1" si="42"/>
        <v/>
      </c>
      <c r="R350" s="79"/>
      <c r="S350" s="80"/>
      <c r="T350" s="61">
        <f t="shared" si="43"/>
        <v>0</v>
      </c>
      <c r="U350" s="61">
        <f t="shared" si="44"/>
        <v>0</v>
      </c>
      <c r="V350" s="61">
        <f t="shared" si="45"/>
        <v>0</v>
      </c>
      <c r="W350" s="58"/>
      <c r="X350" s="58"/>
      <c r="Y350" s="53"/>
      <c r="Z350" s="57"/>
      <c r="AA350" s="62"/>
      <c r="AB350" s="62"/>
      <c r="AC350" s="62"/>
      <c r="AD350" s="62"/>
      <c r="AE350" s="62"/>
      <c r="AF350" s="63"/>
      <c r="AG350" s="64" t="str">
        <f t="shared" si="46"/>
        <v/>
      </c>
    </row>
    <row r="351" spans="1:33" x14ac:dyDescent="0.25">
      <c r="A351" s="46" t="str">
        <f>IF(ISBLANK(inbound_data[[#This Row],[Receiving Report ref.'#]]),"",IF(inbound_data[[#This Row],[Ending Quantity]]=0,"ZERO","INV"))</f>
        <v/>
      </c>
      <c r="B351" s="165" t="str">
        <f t="shared" si="40"/>
        <v/>
      </c>
      <c r="C351" s="165" t="str">
        <f>IF(ISBLANK(D351),"",inbound_data[[#This Row],[Pallet_Series]]&amp;inbound_data[[#This Row],[No.]])</f>
        <v/>
      </c>
      <c r="D351" s="54"/>
      <c r="E351" s="55"/>
      <c r="F351" s="56"/>
      <c r="G351" s="57"/>
      <c r="H351" s="53"/>
      <c r="I351" s="53"/>
      <c r="J351" s="55"/>
      <c r="K351" s="58"/>
      <c r="L351" s="59"/>
      <c r="M351" s="55"/>
      <c r="N351" s="60"/>
      <c r="O351" s="60"/>
      <c r="P351" s="165" t="str">
        <f t="shared" ca="1" si="41"/>
        <v/>
      </c>
      <c r="Q351" s="165" t="str">
        <f t="shared" ca="1" si="42"/>
        <v/>
      </c>
      <c r="R351" s="79"/>
      <c r="S351" s="80"/>
      <c r="T351" s="61">
        <f t="shared" si="43"/>
        <v>0</v>
      </c>
      <c r="U351" s="61">
        <f t="shared" si="44"/>
        <v>0</v>
      </c>
      <c r="V351" s="61">
        <f t="shared" si="45"/>
        <v>0</v>
      </c>
      <c r="W351" s="58"/>
      <c r="X351" s="58"/>
      <c r="Y351" s="53"/>
      <c r="Z351" s="57"/>
      <c r="AA351" s="62"/>
      <c r="AB351" s="62"/>
      <c r="AC351" s="62"/>
      <c r="AD351" s="62"/>
      <c r="AE351" s="62"/>
      <c r="AF351" s="63"/>
      <c r="AG351" s="64" t="str">
        <f t="shared" si="46"/>
        <v/>
      </c>
    </row>
    <row r="352" spans="1:33" x14ac:dyDescent="0.25">
      <c r="A352" s="46" t="str">
        <f>IF(ISBLANK(inbound_data[[#This Row],[Receiving Report ref.'#]]),"",IF(inbound_data[[#This Row],[Ending Quantity]]=0,"ZERO","INV"))</f>
        <v/>
      </c>
      <c r="B352" s="165" t="str">
        <f t="shared" si="40"/>
        <v/>
      </c>
      <c r="C352" s="165" t="str">
        <f>IF(ISBLANK(D352),"",inbound_data[[#This Row],[Pallet_Series]]&amp;inbound_data[[#This Row],[No.]])</f>
        <v/>
      </c>
      <c r="D352" s="54"/>
      <c r="E352" s="55"/>
      <c r="F352" s="56"/>
      <c r="G352" s="57"/>
      <c r="H352" s="53"/>
      <c r="I352" s="53"/>
      <c r="J352" s="55"/>
      <c r="K352" s="58"/>
      <c r="L352" s="59"/>
      <c r="M352" s="55"/>
      <c r="N352" s="60"/>
      <c r="O352" s="60"/>
      <c r="P352" s="165" t="str">
        <f t="shared" ca="1" si="41"/>
        <v/>
      </c>
      <c r="Q352" s="165" t="str">
        <f t="shared" ca="1" si="42"/>
        <v/>
      </c>
      <c r="R352" s="79"/>
      <c r="S352" s="80"/>
      <c r="T352" s="61">
        <f t="shared" si="43"/>
        <v>0</v>
      </c>
      <c r="U352" s="61">
        <f t="shared" si="44"/>
        <v>0</v>
      </c>
      <c r="V352" s="61">
        <f t="shared" si="45"/>
        <v>0</v>
      </c>
      <c r="W352" s="58"/>
      <c r="X352" s="58"/>
      <c r="Y352" s="53"/>
      <c r="Z352" s="57"/>
      <c r="AA352" s="62"/>
      <c r="AB352" s="62"/>
      <c r="AC352" s="62"/>
      <c r="AD352" s="62"/>
      <c r="AE352" s="62"/>
      <c r="AF352" s="63"/>
      <c r="AG352" s="64" t="str">
        <f t="shared" si="46"/>
        <v/>
      </c>
    </row>
    <row r="353" spans="1:33" x14ac:dyDescent="0.25">
      <c r="A353" s="46" t="str">
        <f>IF(ISBLANK(inbound_data[[#This Row],[Receiving Report ref.'#]]),"",IF(inbound_data[[#This Row],[Ending Quantity]]=0,"ZERO","INV"))</f>
        <v/>
      </c>
      <c r="B353" s="165" t="str">
        <f t="shared" si="40"/>
        <v/>
      </c>
      <c r="C353" s="165" t="str">
        <f>IF(ISBLANK(D353),"",inbound_data[[#This Row],[Pallet_Series]]&amp;inbound_data[[#This Row],[No.]])</f>
        <v/>
      </c>
      <c r="D353" s="54"/>
      <c r="E353" s="55"/>
      <c r="F353" s="56"/>
      <c r="G353" s="57"/>
      <c r="H353" s="53"/>
      <c r="I353" s="53"/>
      <c r="J353" s="55"/>
      <c r="K353" s="58"/>
      <c r="L353" s="59"/>
      <c r="M353" s="55"/>
      <c r="N353" s="60"/>
      <c r="O353" s="60"/>
      <c r="P353" s="165" t="str">
        <f t="shared" ca="1" si="41"/>
        <v/>
      </c>
      <c r="Q353" s="165" t="str">
        <f t="shared" ca="1" si="42"/>
        <v/>
      </c>
      <c r="R353" s="79"/>
      <c r="S353" s="80"/>
      <c r="T353" s="61">
        <f t="shared" si="43"/>
        <v>0</v>
      </c>
      <c r="U353" s="61">
        <f t="shared" si="44"/>
        <v>0</v>
      </c>
      <c r="V353" s="61">
        <f t="shared" si="45"/>
        <v>0</v>
      </c>
      <c r="W353" s="58"/>
      <c r="X353" s="58"/>
      <c r="Y353" s="53"/>
      <c r="Z353" s="57"/>
      <c r="AA353" s="62"/>
      <c r="AB353" s="62"/>
      <c r="AC353" s="62"/>
      <c r="AD353" s="62"/>
      <c r="AE353" s="62"/>
      <c r="AF353" s="63"/>
      <c r="AG353" s="64" t="str">
        <f t="shared" si="46"/>
        <v/>
      </c>
    </row>
    <row r="354" spans="1:33" x14ac:dyDescent="0.25">
      <c r="A354" s="46" t="str">
        <f>IF(ISBLANK(inbound_data[[#This Row],[Receiving Report ref.'#]]),"",IF(inbound_data[[#This Row],[Ending Quantity]]=0,"ZERO","INV"))</f>
        <v/>
      </c>
      <c r="B354" s="165" t="str">
        <f t="shared" si="40"/>
        <v/>
      </c>
      <c r="C354" s="165" t="str">
        <f>IF(ISBLANK(D354),"",inbound_data[[#This Row],[Pallet_Series]]&amp;inbound_data[[#This Row],[No.]])</f>
        <v/>
      </c>
      <c r="D354" s="54"/>
      <c r="E354" s="55"/>
      <c r="F354" s="56"/>
      <c r="G354" s="57"/>
      <c r="H354" s="53"/>
      <c r="I354" s="53"/>
      <c r="J354" s="55"/>
      <c r="K354" s="58"/>
      <c r="L354" s="59"/>
      <c r="M354" s="55"/>
      <c r="N354" s="60"/>
      <c r="O354" s="60"/>
      <c r="P354" s="165" t="str">
        <f t="shared" ca="1" si="41"/>
        <v/>
      </c>
      <c r="Q354" s="165" t="str">
        <f t="shared" ca="1" si="42"/>
        <v/>
      </c>
      <c r="R354" s="79"/>
      <c r="S354" s="80"/>
      <c r="T354" s="61">
        <f t="shared" si="43"/>
        <v>0</v>
      </c>
      <c r="U354" s="61">
        <f t="shared" si="44"/>
        <v>0</v>
      </c>
      <c r="V354" s="61">
        <f t="shared" si="45"/>
        <v>0</v>
      </c>
      <c r="W354" s="58"/>
      <c r="X354" s="58"/>
      <c r="Y354" s="53"/>
      <c r="Z354" s="57"/>
      <c r="AA354" s="62"/>
      <c r="AB354" s="62"/>
      <c r="AC354" s="62"/>
      <c r="AD354" s="62"/>
      <c r="AE354" s="62"/>
      <c r="AF354" s="63"/>
      <c r="AG354" s="64" t="str">
        <f t="shared" si="46"/>
        <v/>
      </c>
    </row>
    <row r="355" spans="1:33" x14ac:dyDescent="0.25">
      <c r="A355" s="46" t="str">
        <f>IF(ISBLANK(inbound_data[[#This Row],[Receiving Report ref.'#]]),"",IF(inbound_data[[#This Row],[Ending Quantity]]=0,"ZERO","INV"))</f>
        <v/>
      </c>
      <c r="B355" s="165" t="str">
        <f t="shared" si="40"/>
        <v/>
      </c>
      <c r="C355" s="165" t="str">
        <f>IF(ISBLANK(D355),"",inbound_data[[#This Row],[Pallet_Series]]&amp;inbound_data[[#This Row],[No.]])</f>
        <v/>
      </c>
      <c r="D355" s="54"/>
      <c r="E355" s="55"/>
      <c r="F355" s="56"/>
      <c r="G355" s="57"/>
      <c r="H355" s="53"/>
      <c r="I355" s="53"/>
      <c r="J355" s="55"/>
      <c r="K355" s="58"/>
      <c r="L355" s="59"/>
      <c r="M355" s="55"/>
      <c r="N355" s="60"/>
      <c r="O355" s="60"/>
      <c r="P355" s="165" t="str">
        <f t="shared" ca="1" si="41"/>
        <v/>
      </c>
      <c r="Q355" s="165" t="str">
        <f t="shared" ca="1" si="42"/>
        <v/>
      </c>
      <c r="R355" s="79"/>
      <c r="S355" s="80"/>
      <c r="T355" s="61">
        <f t="shared" si="43"/>
        <v>0</v>
      </c>
      <c r="U355" s="61">
        <f t="shared" si="44"/>
        <v>0</v>
      </c>
      <c r="V355" s="61">
        <f t="shared" si="45"/>
        <v>0</v>
      </c>
      <c r="W355" s="58"/>
      <c r="X355" s="58"/>
      <c r="Y355" s="53"/>
      <c r="Z355" s="57"/>
      <c r="AA355" s="62"/>
      <c r="AB355" s="62"/>
      <c r="AC355" s="62"/>
      <c r="AD355" s="62"/>
      <c r="AE355" s="62"/>
      <c r="AF355" s="63"/>
      <c r="AG355" s="64" t="str">
        <f t="shared" si="46"/>
        <v/>
      </c>
    </row>
    <row r="356" spans="1:33" x14ac:dyDescent="0.25">
      <c r="A356" s="46" t="str">
        <f>IF(ISBLANK(inbound_data[[#This Row],[Receiving Report ref.'#]]),"",IF(inbound_data[[#This Row],[Ending Quantity]]=0,"ZERO","INV"))</f>
        <v/>
      </c>
      <c r="B356" s="165" t="str">
        <f t="shared" si="40"/>
        <v/>
      </c>
      <c r="C356" s="165" t="str">
        <f>IF(ISBLANK(D356),"",inbound_data[[#This Row],[Pallet_Series]]&amp;inbound_data[[#This Row],[No.]])</f>
        <v/>
      </c>
      <c r="D356" s="54"/>
      <c r="E356" s="55"/>
      <c r="F356" s="56"/>
      <c r="G356" s="57"/>
      <c r="H356" s="53"/>
      <c r="I356" s="53"/>
      <c r="J356" s="55"/>
      <c r="K356" s="58"/>
      <c r="L356" s="59"/>
      <c r="M356" s="55"/>
      <c r="N356" s="60"/>
      <c r="O356" s="60"/>
      <c r="P356" s="165" t="str">
        <f t="shared" ca="1" si="41"/>
        <v/>
      </c>
      <c r="Q356" s="165" t="str">
        <f t="shared" ca="1" si="42"/>
        <v/>
      </c>
      <c r="R356" s="79"/>
      <c r="S356" s="80"/>
      <c r="T356" s="61">
        <f t="shared" si="43"/>
        <v>0</v>
      </c>
      <c r="U356" s="61">
        <f t="shared" si="44"/>
        <v>0</v>
      </c>
      <c r="V356" s="61">
        <f t="shared" si="45"/>
        <v>0</v>
      </c>
      <c r="W356" s="58"/>
      <c r="X356" s="58"/>
      <c r="Y356" s="53"/>
      <c r="Z356" s="57"/>
      <c r="AA356" s="62"/>
      <c r="AB356" s="62"/>
      <c r="AC356" s="62"/>
      <c r="AD356" s="62"/>
      <c r="AE356" s="62"/>
      <c r="AF356" s="63"/>
      <c r="AG356" s="64" t="str">
        <f t="shared" si="46"/>
        <v/>
      </c>
    </row>
    <row r="357" spans="1:33" x14ac:dyDescent="0.25">
      <c r="A357" s="46" t="str">
        <f>IF(ISBLANK(inbound_data[[#This Row],[Receiving Report ref.'#]]),"",IF(inbound_data[[#This Row],[Ending Quantity]]=0,"ZERO","INV"))</f>
        <v/>
      </c>
      <c r="B357" s="165" t="str">
        <f t="shared" si="40"/>
        <v/>
      </c>
      <c r="C357" s="165" t="str">
        <f>IF(ISBLANK(D357),"",inbound_data[[#This Row],[Pallet_Series]]&amp;inbound_data[[#This Row],[No.]])</f>
        <v/>
      </c>
      <c r="D357" s="54"/>
      <c r="E357" s="55"/>
      <c r="F357" s="56"/>
      <c r="G357" s="57"/>
      <c r="H357" s="53"/>
      <c r="I357" s="53"/>
      <c r="J357" s="55"/>
      <c r="K357" s="58"/>
      <c r="L357" s="59"/>
      <c r="M357" s="55"/>
      <c r="N357" s="60"/>
      <c r="O357" s="60"/>
      <c r="P357" s="165" t="str">
        <f t="shared" ca="1" si="41"/>
        <v/>
      </c>
      <c r="Q357" s="165" t="str">
        <f t="shared" ca="1" si="42"/>
        <v/>
      </c>
      <c r="R357" s="79"/>
      <c r="S357" s="80"/>
      <c r="T357" s="61">
        <f t="shared" si="43"/>
        <v>0</v>
      </c>
      <c r="U357" s="61">
        <f t="shared" si="44"/>
        <v>0</v>
      </c>
      <c r="V357" s="61">
        <f t="shared" si="45"/>
        <v>0</v>
      </c>
      <c r="W357" s="58"/>
      <c r="X357" s="58"/>
      <c r="Y357" s="53"/>
      <c r="Z357" s="57"/>
      <c r="AA357" s="62"/>
      <c r="AB357" s="62"/>
      <c r="AC357" s="62"/>
      <c r="AD357" s="62"/>
      <c r="AE357" s="62"/>
      <c r="AF357" s="63"/>
      <c r="AG357" s="64" t="str">
        <f t="shared" si="46"/>
        <v/>
      </c>
    </row>
    <row r="358" spans="1:33" x14ac:dyDescent="0.25">
      <c r="A358" s="46" t="str">
        <f>IF(ISBLANK(inbound_data[[#This Row],[Receiving Report ref.'#]]),"",IF(inbound_data[[#This Row],[Ending Quantity]]=0,"ZERO","INV"))</f>
        <v/>
      </c>
      <c r="B358" s="165" t="str">
        <f t="shared" si="40"/>
        <v/>
      </c>
      <c r="C358" s="165" t="str">
        <f>IF(ISBLANK(D358),"",inbound_data[[#This Row],[Pallet_Series]]&amp;inbound_data[[#This Row],[No.]])</f>
        <v/>
      </c>
      <c r="D358" s="54"/>
      <c r="E358" s="55"/>
      <c r="F358" s="56"/>
      <c r="G358" s="57"/>
      <c r="H358" s="53"/>
      <c r="I358" s="53"/>
      <c r="J358" s="55"/>
      <c r="K358" s="58"/>
      <c r="L358" s="59"/>
      <c r="M358" s="55"/>
      <c r="N358" s="60"/>
      <c r="O358" s="60"/>
      <c r="P358" s="165" t="str">
        <f t="shared" ca="1" si="41"/>
        <v/>
      </c>
      <c r="Q358" s="165" t="str">
        <f t="shared" ca="1" si="42"/>
        <v/>
      </c>
      <c r="R358" s="79"/>
      <c r="S358" s="80"/>
      <c r="T358" s="61">
        <f t="shared" si="43"/>
        <v>0</v>
      </c>
      <c r="U358" s="61">
        <f t="shared" si="44"/>
        <v>0</v>
      </c>
      <c r="V358" s="61">
        <f t="shared" si="45"/>
        <v>0</v>
      </c>
      <c r="W358" s="58"/>
      <c r="X358" s="58"/>
      <c r="Y358" s="53"/>
      <c r="Z358" s="57"/>
      <c r="AA358" s="62"/>
      <c r="AB358" s="62"/>
      <c r="AC358" s="62"/>
      <c r="AD358" s="62"/>
      <c r="AE358" s="62"/>
      <c r="AF358" s="63"/>
      <c r="AG358" s="64" t="str">
        <f t="shared" si="46"/>
        <v/>
      </c>
    </row>
    <row r="359" spans="1:33" x14ac:dyDescent="0.25">
      <c r="A359" s="46" t="str">
        <f>IF(ISBLANK(inbound_data[[#This Row],[Receiving Report ref.'#]]),"",IF(inbound_data[[#This Row],[Ending Quantity]]=0,"ZERO","INV"))</f>
        <v/>
      </c>
      <c r="B359" s="165" t="str">
        <f t="shared" si="40"/>
        <v/>
      </c>
      <c r="C359" s="165" t="str">
        <f>IF(ISBLANK(D359),"",inbound_data[[#This Row],[Pallet_Series]]&amp;inbound_data[[#This Row],[No.]])</f>
        <v/>
      </c>
      <c r="D359" s="54"/>
      <c r="E359" s="55"/>
      <c r="F359" s="56"/>
      <c r="G359" s="57"/>
      <c r="H359" s="53"/>
      <c r="I359" s="53"/>
      <c r="J359" s="55"/>
      <c r="K359" s="58"/>
      <c r="L359" s="59"/>
      <c r="M359" s="55"/>
      <c r="N359" s="60"/>
      <c r="O359" s="60"/>
      <c r="P359" s="165" t="str">
        <f t="shared" ca="1" si="41"/>
        <v/>
      </c>
      <c r="Q359" s="165" t="str">
        <f t="shared" ca="1" si="42"/>
        <v/>
      </c>
      <c r="R359" s="79"/>
      <c r="S359" s="80"/>
      <c r="T359" s="61">
        <f t="shared" si="43"/>
        <v>0</v>
      </c>
      <c r="U359" s="61">
        <f t="shared" si="44"/>
        <v>0</v>
      </c>
      <c r="V359" s="61">
        <f t="shared" si="45"/>
        <v>0</v>
      </c>
      <c r="W359" s="58"/>
      <c r="X359" s="58"/>
      <c r="Y359" s="53"/>
      <c r="Z359" s="57"/>
      <c r="AA359" s="62"/>
      <c r="AB359" s="62"/>
      <c r="AC359" s="62"/>
      <c r="AD359" s="62"/>
      <c r="AE359" s="62"/>
      <c r="AF359" s="63"/>
      <c r="AG359" s="64" t="str">
        <f t="shared" si="46"/>
        <v/>
      </c>
    </row>
    <row r="360" spans="1:33" x14ac:dyDescent="0.25">
      <c r="A360" s="46" t="str">
        <f>IF(ISBLANK(inbound_data[[#This Row],[Receiving Report ref.'#]]),"",IF(inbound_data[[#This Row],[Ending Quantity]]=0,"ZERO","INV"))</f>
        <v/>
      </c>
      <c r="B360" s="165" t="str">
        <f t="shared" si="40"/>
        <v/>
      </c>
      <c r="C360" s="165" t="str">
        <f>IF(ISBLANK(D360),"",inbound_data[[#This Row],[Pallet_Series]]&amp;inbound_data[[#This Row],[No.]])</f>
        <v/>
      </c>
      <c r="D360" s="54"/>
      <c r="E360" s="55"/>
      <c r="F360" s="56"/>
      <c r="G360" s="57"/>
      <c r="H360" s="53"/>
      <c r="I360" s="53"/>
      <c r="J360" s="55"/>
      <c r="K360" s="58"/>
      <c r="L360" s="59"/>
      <c r="M360" s="55"/>
      <c r="N360" s="60"/>
      <c r="O360" s="60"/>
      <c r="P360" s="165" t="str">
        <f t="shared" ca="1" si="41"/>
        <v/>
      </c>
      <c r="Q360" s="165" t="str">
        <f t="shared" ca="1" si="42"/>
        <v/>
      </c>
      <c r="R360" s="79"/>
      <c r="S360" s="80"/>
      <c r="T360" s="61">
        <f t="shared" si="43"/>
        <v>0</v>
      </c>
      <c r="U360" s="61">
        <f t="shared" si="44"/>
        <v>0</v>
      </c>
      <c r="V360" s="61">
        <f t="shared" si="45"/>
        <v>0</v>
      </c>
      <c r="W360" s="58"/>
      <c r="X360" s="58"/>
      <c r="Y360" s="53"/>
      <c r="Z360" s="57"/>
      <c r="AA360" s="62"/>
      <c r="AB360" s="62"/>
      <c r="AC360" s="62"/>
      <c r="AD360" s="62"/>
      <c r="AE360" s="62"/>
      <c r="AF360" s="63"/>
      <c r="AG360" s="64" t="str">
        <f t="shared" si="46"/>
        <v/>
      </c>
    </row>
    <row r="361" spans="1:33" x14ac:dyDescent="0.25">
      <c r="A361" s="46" t="str">
        <f>IF(ISBLANK(inbound_data[[#This Row],[Receiving Report ref.'#]]),"",IF(inbound_data[[#This Row],[Ending Quantity]]=0,"ZERO","INV"))</f>
        <v/>
      </c>
      <c r="B361" s="165" t="str">
        <f t="shared" si="40"/>
        <v/>
      </c>
      <c r="C361" s="165" t="str">
        <f>IF(ISBLANK(D361),"",inbound_data[[#This Row],[Pallet_Series]]&amp;inbound_data[[#This Row],[No.]])</f>
        <v/>
      </c>
      <c r="D361" s="54"/>
      <c r="E361" s="55"/>
      <c r="F361" s="56"/>
      <c r="G361" s="57"/>
      <c r="H361" s="53"/>
      <c r="I361" s="53"/>
      <c r="J361" s="55"/>
      <c r="K361" s="58"/>
      <c r="L361" s="59"/>
      <c r="M361" s="55"/>
      <c r="N361" s="60"/>
      <c r="O361" s="60"/>
      <c r="P361" s="165" t="str">
        <f t="shared" ca="1" si="41"/>
        <v/>
      </c>
      <c r="Q361" s="165" t="str">
        <f t="shared" ca="1" si="42"/>
        <v/>
      </c>
      <c r="R361" s="79"/>
      <c r="S361" s="80"/>
      <c r="T361" s="61">
        <f t="shared" si="43"/>
        <v>0</v>
      </c>
      <c r="U361" s="61">
        <f t="shared" si="44"/>
        <v>0</v>
      </c>
      <c r="V361" s="61">
        <f t="shared" si="45"/>
        <v>0</v>
      </c>
      <c r="W361" s="58"/>
      <c r="X361" s="58"/>
      <c r="Y361" s="53"/>
      <c r="Z361" s="57"/>
      <c r="AA361" s="62"/>
      <c r="AB361" s="62"/>
      <c r="AC361" s="62"/>
      <c r="AD361" s="62"/>
      <c r="AE361" s="62"/>
      <c r="AF361" s="63"/>
      <c r="AG361" s="64" t="str">
        <f t="shared" si="46"/>
        <v/>
      </c>
    </row>
    <row r="362" spans="1:33" x14ac:dyDescent="0.25">
      <c r="A362" s="46" t="str">
        <f>IF(ISBLANK(inbound_data[[#This Row],[Receiving Report ref.'#]]),"",IF(inbound_data[[#This Row],[Ending Quantity]]=0,"ZERO","INV"))</f>
        <v/>
      </c>
      <c r="B362" s="165" t="str">
        <f t="shared" si="40"/>
        <v/>
      </c>
      <c r="C362" s="165" t="str">
        <f>IF(ISBLANK(D362),"",inbound_data[[#This Row],[Pallet_Series]]&amp;inbound_data[[#This Row],[No.]])</f>
        <v/>
      </c>
      <c r="D362" s="54"/>
      <c r="E362" s="55"/>
      <c r="F362" s="56"/>
      <c r="G362" s="57"/>
      <c r="H362" s="53"/>
      <c r="I362" s="53"/>
      <c r="J362" s="55"/>
      <c r="K362" s="58"/>
      <c r="L362" s="59"/>
      <c r="M362" s="55"/>
      <c r="N362" s="60"/>
      <c r="O362" s="60"/>
      <c r="P362" s="165" t="str">
        <f t="shared" ca="1" si="41"/>
        <v/>
      </c>
      <c r="Q362" s="165" t="str">
        <f t="shared" ca="1" si="42"/>
        <v/>
      </c>
      <c r="R362" s="79"/>
      <c r="S362" s="80"/>
      <c r="T362" s="61">
        <f t="shared" si="43"/>
        <v>0</v>
      </c>
      <c r="U362" s="61">
        <f t="shared" si="44"/>
        <v>0</v>
      </c>
      <c r="V362" s="61">
        <f t="shared" si="45"/>
        <v>0</v>
      </c>
      <c r="W362" s="58"/>
      <c r="X362" s="58"/>
      <c r="Y362" s="53"/>
      <c r="Z362" s="57"/>
      <c r="AA362" s="62"/>
      <c r="AB362" s="62"/>
      <c r="AC362" s="62"/>
      <c r="AD362" s="62"/>
      <c r="AE362" s="62"/>
      <c r="AF362" s="63"/>
      <c r="AG362" s="64" t="str">
        <f t="shared" si="46"/>
        <v/>
      </c>
    </row>
    <row r="363" spans="1:33" x14ac:dyDescent="0.25">
      <c r="A363" s="46" t="str">
        <f>IF(ISBLANK(inbound_data[[#This Row],[Receiving Report ref.'#]]),"",IF(inbound_data[[#This Row],[Ending Quantity]]=0,"ZERO","INV"))</f>
        <v/>
      </c>
      <c r="B363" s="165" t="str">
        <f t="shared" si="40"/>
        <v/>
      </c>
      <c r="C363" s="165" t="str">
        <f>IF(ISBLANK(D363),"",inbound_data[[#This Row],[Pallet_Series]]&amp;inbound_data[[#This Row],[No.]])</f>
        <v/>
      </c>
      <c r="D363" s="54"/>
      <c r="E363" s="55"/>
      <c r="F363" s="56"/>
      <c r="G363" s="57"/>
      <c r="H363" s="53"/>
      <c r="I363" s="53"/>
      <c r="J363" s="55"/>
      <c r="K363" s="58"/>
      <c r="L363" s="59"/>
      <c r="M363" s="55"/>
      <c r="N363" s="60"/>
      <c r="O363" s="60"/>
      <c r="P363" s="165" t="str">
        <f t="shared" ca="1" si="41"/>
        <v/>
      </c>
      <c r="Q363" s="165" t="str">
        <f t="shared" ca="1" si="42"/>
        <v/>
      </c>
      <c r="R363" s="79"/>
      <c r="S363" s="80"/>
      <c r="T363" s="61">
        <f t="shared" si="43"/>
        <v>0</v>
      </c>
      <c r="U363" s="61">
        <f t="shared" si="44"/>
        <v>0</v>
      </c>
      <c r="V363" s="61">
        <f t="shared" si="45"/>
        <v>0</v>
      </c>
      <c r="W363" s="58"/>
      <c r="X363" s="58"/>
      <c r="Y363" s="53"/>
      <c r="Z363" s="57"/>
      <c r="AA363" s="62"/>
      <c r="AB363" s="62"/>
      <c r="AC363" s="62"/>
      <c r="AD363" s="62"/>
      <c r="AE363" s="62"/>
      <c r="AF363" s="63"/>
      <c r="AG363" s="64" t="str">
        <f t="shared" si="46"/>
        <v/>
      </c>
    </row>
    <row r="364" spans="1:33" x14ac:dyDescent="0.25">
      <c r="A364" s="46" t="str">
        <f>IF(ISBLANK(inbound_data[[#This Row],[Receiving Report ref.'#]]),"",IF(inbound_data[[#This Row],[Ending Quantity]]=0,"ZERO","INV"))</f>
        <v/>
      </c>
      <c r="B364" s="165" t="str">
        <f t="shared" si="40"/>
        <v/>
      </c>
      <c r="C364" s="165" t="str">
        <f>IF(ISBLANK(D364),"",inbound_data[[#This Row],[Pallet_Series]]&amp;inbound_data[[#This Row],[No.]])</f>
        <v/>
      </c>
      <c r="D364" s="54"/>
      <c r="E364" s="55"/>
      <c r="F364" s="56"/>
      <c r="G364" s="57"/>
      <c r="H364" s="53"/>
      <c r="I364" s="53"/>
      <c r="J364" s="55"/>
      <c r="K364" s="58"/>
      <c r="L364" s="59"/>
      <c r="M364" s="55"/>
      <c r="N364" s="60"/>
      <c r="O364" s="60"/>
      <c r="P364" s="165" t="str">
        <f t="shared" ca="1" si="41"/>
        <v/>
      </c>
      <c r="Q364" s="165" t="str">
        <f t="shared" ca="1" si="42"/>
        <v/>
      </c>
      <c r="R364" s="79"/>
      <c r="S364" s="80"/>
      <c r="T364" s="61">
        <f t="shared" si="43"/>
        <v>0</v>
      </c>
      <c r="U364" s="61">
        <f t="shared" si="44"/>
        <v>0</v>
      </c>
      <c r="V364" s="61">
        <f t="shared" si="45"/>
        <v>0</v>
      </c>
      <c r="W364" s="58"/>
      <c r="X364" s="58"/>
      <c r="Y364" s="53"/>
      <c r="Z364" s="57"/>
      <c r="AA364" s="62"/>
      <c r="AB364" s="62"/>
      <c r="AC364" s="62"/>
      <c r="AD364" s="62"/>
      <c r="AE364" s="62"/>
      <c r="AF364" s="63"/>
      <c r="AG364" s="64" t="str">
        <f t="shared" si="46"/>
        <v/>
      </c>
    </row>
    <row r="365" spans="1:33" x14ac:dyDescent="0.25">
      <c r="A365" s="46" t="str">
        <f>IF(ISBLANK(inbound_data[[#This Row],[Receiving Report ref.'#]]),"",IF(inbound_data[[#This Row],[Ending Quantity]]=0,"ZERO","INV"))</f>
        <v/>
      </c>
      <c r="B365" s="165" t="str">
        <f t="shared" si="40"/>
        <v/>
      </c>
      <c r="C365" s="165" t="str">
        <f>IF(ISBLANK(D365),"",inbound_data[[#This Row],[Pallet_Series]]&amp;inbound_data[[#This Row],[No.]])</f>
        <v/>
      </c>
      <c r="D365" s="54"/>
      <c r="E365" s="55"/>
      <c r="F365" s="56"/>
      <c r="G365" s="57"/>
      <c r="H365" s="53"/>
      <c r="I365" s="53"/>
      <c r="J365" s="55"/>
      <c r="K365" s="58"/>
      <c r="L365" s="59"/>
      <c r="M365" s="55"/>
      <c r="N365" s="60"/>
      <c r="O365" s="60"/>
      <c r="P365" s="165" t="str">
        <f t="shared" ca="1" si="41"/>
        <v/>
      </c>
      <c r="Q365" s="165" t="str">
        <f t="shared" ca="1" si="42"/>
        <v/>
      </c>
      <c r="R365" s="79"/>
      <c r="S365" s="80"/>
      <c r="T365" s="61">
        <f t="shared" si="43"/>
        <v>0</v>
      </c>
      <c r="U365" s="61">
        <f t="shared" si="44"/>
        <v>0</v>
      </c>
      <c r="V365" s="61">
        <f t="shared" si="45"/>
        <v>0</v>
      </c>
      <c r="W365" s="58"/>
      <c r="X365" s="58"/>
      <c r="Y365" s="53"/>
      <c r="Z365" s="57"/>
      <c r="AA365" s="62"/>
      <c r="AB365" s="62"/>
      <c r="AC365" s="62"/>
      <c r="AD365" s="62"/>
      <c r="AE365" s="62"/>
      <c r="AF365" s="63"/>
      <c r="AG365" s="64" t="str">
        <f t="shared" si="46"/>
        <v/>
      </c>
    </row>
    <row r="366" spans="1:33" x14ac:dyDescent="0.25">
      <c r="A366" s="46" t="str">
        <f>IF(ISBLANK(inbound_data[[#This Row],[Receiving Report ref.'#]]),"",IF(inbound_data[[#This Row],[Ending Quantity]]=0,"ZERO","INV"))</f>
        <v/>
      </c>
      <c r="B366" s="165" t="str">
        <f t="shared" si="40"/>
        <v/>
      </c>
      <c r="C366" s="165" t="str">
        <f>IF(ISBLANK(D366),"",inbound_data[[#This Row],[Pallet_Series]]&amp;inbound_data[[#This Row],[No.]])</f>
        <v/>
      </c>
      <c r="D366" s="54"/>
      <c r="E366" s="55"/>
      <c r="F366" s="56"/>
      <c r="G366" s="57"/>
      <c r="H366" s="53"/>
      <c r="I366" s="53"/>
      <c r="J366" s="55"/>
      <c r="K366" s="58"/>
      <c r="L366" s="59"/>
      <c r="M366" s="55"/>
      <c r="N366" s="60"/>
      <c r="O366" s="60"/>
      <c r="P366" s="165" t="str">
        <f t="shared" ca="1" si="41"/>
        <v/>
      </c>
      <c r="Q366" s="165" t="str">
        <f t="shared" ca="1" si="42"/>
        <v/>
      </c>
      <c r="R366" s="79"/>
      <c r="S366" s="80"/>
      <c r="T366" s="61">
        <f t="shared" si="43"/>
        <v>0</v>
      </c>
      <c r="U366" s="61">
        <f t="shared" si="44"/>
        <v>0</v>
      </c>
      <c r="V366" s="61">
        <f t="shared" si="45"/>
        <v>0</v>
      </c>
      <c r="W366" s="58"/>
      <c r="X366" s="58"/>
      <c r="Y366" s="53"/>
      <c r="Z366" s="57"/>
      <c r="AA366" s="62"/>
      <c r="AB366" s="62"/>
      <c r="AC366" s="62"/>
      <c r="AD366" s="62"/>
      <c r="AE366" s="62"/>
      <c r="AF366" s="63"/>
      <c r="AG366" s="64" t="str">
        <f t="shared" si="46"/>
        <v/>
      </c>
    </row>
    <row r="367" spans="1:33" x14ac:dyDescent="0.25">
      <c r="A367" s="46" t="str">
        <f>IF(ISBLANK(inbound_data[[#This Row],[Receiving Report ref.'#]]),"",IF(inbound_data[[#This Row],[Ending Quantity]]=0,"ZERO","INV"))</f>
        <v/>
      </c>
      <c r="B367" s="165" t="str">
        <f t="shared" si="40"/>
        <v/>
      </c>
      <c r="C367" s="165" t="str">
        <f>IF(ISBLANK(D367),"",inbound_data[[#This Row],[Pallet_Series]]&amp;inbound_data[[#This Row],[No.]])</f>
        <v/>
      </c>
      <c r="D367" s="54"/>
      <c r="E367" s="55"/>
      <c r="F367" s="56"/>
      <c r="G367" s="57"/>
      <c r="H367" s="53"/>
      <c r="I367" s="53"/>
      <c r="J367" s="55"/>
      <c r="K367" s="58"/>
      <c r="L367" s="59"/>
      <c r="M367" s="55"/>
      <c r="N367" s="60"/>
      <c r="O367" s="60"/>
      <c r="P367" s="165" t="str">
        <f t="shared" ca="1" si="41"/>
        <v/>
      </c>
      <c r="Q367" s="165" t="str">
        <f t="shared" ca="1" si="42"/>
        <v/>
      </c>
      <c r="R367" s="79"/>
      <c r="S367" s="80"/>
      <c r="T367" s="61">
        <f t="shared" si="43"/>
        <v>0</v>
      </c>
      <c r="U367" s="61">
        <f t="shared" si="44"/>
        <v>0</v>
      </c>
      <c r="V367" s="61">
        <f t="shared" si="45"/>
        <v>0</v>
      </c>
      <c r="W367" s="58"/>
      <c r="X367" s="58"/>
      <c r="Y367" s="53"/>
      <c r="Z367" s="57"/>
      <c r="AA367" s="62"/>
      <c r="AB367" s="62"/>
      <c r="AC367" s="62"/>
      <c r="AD367" s="62"/>
      <c r="AE367" s="62"/>
      <c r="AF367" s="63"/>
      <c r="AG367" s="64" t="str">
        <f t="shared" si="46"/>
        <v/>
      </c>
    </row>
    <row r="368" spans="1:33" x14ac:dyDescent="0.25">
      <c r="A368" s="46" t="str">
        <f>IF(ISBLANK(inbound_data[[#This Row],[Receiving Report ref.'#]]),"",IF(inbound_data[[#This Row],[Ending Quantity]]=0,"ZERO","INV"))</f>
        <v/>
      </c>
      <c r="B368" s="165" t="str">
        <f t="shared" si="40"/>
        <v/>
      </c>
      <c r="C368" s="165" t="str">
        <f>IF(ISBLANK(D368),"",inbound_data[[#This Row],[Pallet_Series]]&amp;inbound_data[[#This Row],[No.]])</f>
        <v/>
      </c>
      <c r="D368" s="54"/>
      <c r="E368" s="55"/>
      <c r="F368" s="56"/>
      <c r="G368" s="57"/>
      <c r="H368" s="53"/>
      <c r="I368" s="53"/>
      <c r="J368" s="55"/>
      <c r="K368" s="58"/>
      <c r="L368" s="59"/>
      <c r="M368" s="55"/>
      <c r="N368" s="60"/>
      <c r="O368" s="60"/>
      <c r="P368" s="165" t="str">
        <f t="shared" ca="1" si="41"/>
        <v/>
      </c>
      <c r="Q368" s="165" t="str">
        <f t="shared" ca="1" si="42"/>
        <v/>
      </c>
      <c r="R368" s="79"/>
      <c r="S368" s="80"/>
      <c r="T368" s="61">
        <f t="shared" si="43"/>
        <v>0</v>
      </c>
      <c r="U368" s="61">
        <f t="shared" si="44"/>
        <v>0</v>
      </c>
      <c r="V368" s="61">
        <f t="shared" si="45"/>
        <v>0</v>
      </c>
      <c r="W368" s="58"/>
      <c r="X368" s="58"/>
      <c r="Y368" s="53"/>
      <c r="Z368" s="57"/>
      <c r="AA368" s="62"/>
      <c r="AB368" s="62"/>
      <c r="AC368" s="62"/>
      <c r="AD368" s="62"/>
      <c r="AE368" s="62"/>
      <c r="AF368" s="63"/>
      <c r="AG368" s="64" t="str">
        <f t="shared" si="46"/>
        <v/>
      </c>
    </row>
    <row r="369" spans="1:33" x14ac:dyDescent="0.25">
      <c r="A369" s="46" t="str">
        <f>IF(ISBLANK(inbound_data[[#This Row],[Receiving Report ref.'#]]),"",IF(inbound_data[[#This Row],[Ending Quantity]]=0,"ZERO","INV"))</f>
        <v/>
      </c>
      <c r="B369" s="165" t="str">
        <f t="shared" si="40"/>
        <v/>
      </c>
      <c r="C369" s="165" t="str">
        <f>IF(ISBLANK(D369),"",inbound_data[[#This Row],[Pallet_Series]]&amp;inbound_data[[#This Row],[No.]])</f>
        <v/>
      </c>
      <c r="D369" s="54"/>
      <c r="E369" s="55"/>
      <c r="F369" s="56"/>
      <c r="G369" s="57"/>
      <c r="H369" s="53"/>
      <c r="I369" s="53"/>
      <c r="J369" s="55"/>
      <c r="K369" s="58"/>
      <c r="L369" s="59"/>
      <c r="M369" s="55"/>
      <c r="N369" s="60"/>
      <c r="O369" s="60"/>
      <c r="P369" s="165" t="str">
        <f t="shared" ca="1" si="41"/>
        <v/>
      </c>
      <c r="Q369" s="165" t="str">
        <f t="shared" ca="1" si="42"/>
        <v/>
      </c>
      <c r="R369" s="79"/>
      <c r="S369" s="80"/>
      <c r="T369" s="61">
        <f t="shared" si="43"/>
        <v>0</v>
      </c>
      <c r="U369" s="61">
        <f t="shared" si="44"/>
        <v>0</v>
      </c>
      <c r="V369" s="61">
        <f t="shared" si="45"/>
        <v>0</v>
      </c>
      <c r="W369" s="58"/>
      <c r="X369" s="58"/>
      <c r="Y369" s="53"/>
      <c r="Z369" s="57"/>
      <c r="AA369" s="62"/>
      <c r="AB369" s="62"/>
      <c r="AC369" s="62"/>
      <c r="AD369" s="62"/>
      <c r="AE369" s="62"/>
      <c r="AF369" s="63"/>
      <c r="AG369" s="64" t="str">
        <f t="shared" si="46"/>
        <v/>
      </c>
    </row>
    <row r="370" spans="1:33" x14ac:dyDescent="0.25">
      <c r="A370" s="46" t="str">
        <f>IF(ISBLANK(inbound_data[[#This Row],[Receiving Report ref.'#]]),"",IF(inbound_data[[#This Row],[Ending Quantity]]=0,"ZERO","INV"))</f>
        <v/>
      </c>
      <c r="B370" s="165" t="str">
        <f t="shared" si="40"/>
        <v/>
      </c>
      <c r="C370" s="165" t="str">
        <f>IF(ISBLANK(D370),"",inbound_data[[#This Row],[Pallet_Series]]&amp;inbound_data[[#This Row],[No.]])</f>
        <v/>
      </c>
      <c r="D370" s="54"/>
      <c r="E370" s="55"/>
      <c r="F370" s="56"/>
      <c r="G370" s="57"/>
      <c r="H370" s="53"/>
      <c r="I370" s="53"/>
      <c r="J370" s="55"/>
      <c r="K370" s="58"/>
      <c r="L370" s="59"/>
      <c r="M370" s="55"/>
      <c r="N370" s="60"/>
      <c r="O370" s="60"/>
      <c r="P370" s="165" t="str">
        <f t="shared" ca="1" si="41"/>
        <v/>
      </c>
      <c r="Q370" s="165" t="str">
        <f t="shared" ca="1" si="42"/>
        <v/>
      </c>
      <c r="R370" s="79"/>
      <c r="S370" s="80"/>
      <c r="T370" s="61">
        <f t="shared" si="43"/>
        <v>0</v>
      </c>
      <c r="U370" s="61">
        <f t="shared" si="44"/>
        <v>0</v>
      </c>
      <c r="V370" s="61">
        <f t="shared" si="45"/>
        <v>0</v>
      </c>
      <c r="W370" s="58"/>
      <c r="X370" s="58"/>
      <c r="Y370" s="53"/>
      <c r="Z370" s="57"/>
      <c r="AA370" s="62"/>
      <c r="AB370" s="62"/>
      <c r="AC370" s="62"/>
      <c r="AD370" s="62"/>
      <c r="AE370" s="62"/>
      <c r="AF370" s="63"/>
      <c r="AG370" s="64" t="str">
        <f t="shared" si="46"/>
        <v/>
      </c>
    </row>
    <row r="371" spans="1:33" x14ac:dyDescent="0.25">
      <c r="A371" s="46" t="str">
        <f>IF(ISBLANK(inbound_data[[#This Row],[Receiving Report ref.'#]]),"",IF(inbound_data[[#This Row],[Ending Quantity]]=0,"ZERO","INV"))</f>
        <v/>
      </c>
      <c r="B371" s="165" t="str">
        <f t="shared" si="40"/>
        <v/>
      </c>
      <c r="C371" s="165" t="str">
        <f>IF(ISBLANK(D371),"",inbound_data[[#This Row],[Pallet_Series]]&amp;inbound_data[[#This Row],[No.]])</f>
        <v/>
      </c>
      <c r="D371" s="54"/>
      <c r="E371" s="55"/>
      <c r="F371" s="56"/>
      <c r="G371" s="57"/>
      <c r="H371" s="53"/>
      <c r="I371" s="53"/>
      <c r="J371" s="55"/>
      <c r="K371" s="58"/>
      <c r="L371" s="59"/>
      <c r="M371" s="55"/>
      <c r="N371" s="60"/>
      <c r="O371" s="60"/>
      <c r="P371" s="165" t="str">
        <f t="shared" ca="1" si="41"/>
        <v/>
      </c>
      <c r="Q371" s="165" t="str">
        <f t="shared" ca="1" si="42"/>
        <v/>
      </c>
      <c r="R371" s="79"/>
      <c r="S371" s="80"/>
      <c r="T371" s="61">
        <f t="shared" si="43"/>
        <v>0</v>
      </c>
      <c r="U371" s="61">
        <f t="shared" si="44"/>
        <v>0</v>
      </c>
      <c r="V371" s="61">
        <f t="shared" si="45"/>
        <v>0</v>
      </c>
      <c r="W371" s="58"/>
      <c r="X371" s="58"/>
      <c r="Y371" s="53"/>
      <c r="Z371" s="57"/>
      <c r="AA371" s="62"/>
      <c r="AB371" s="62"/>
      <c r="AC371" s="62"/>
      <c r="AD371" s="62"/>
      <c r="AE371" s="62"/>
      <c r="AF371" s="63"/>
      <c r="AG371" s="64" t="str">
        <f t="shared" si="46"/>
        <v/>
      </c>
    </row>
    <row r="372" spans="1:33" x14ac:dyDescent="0.25">
      <c r="A372" s="46" t="str">
        <f>IF(ISBLANK(inbound_data[[#This Row],[Receiving Report ref.'#]]),"",IF(inbound_data[[#This Row],[Ending Quantity]]=0,"ZERO","INV"))</f>
        <v/>
      </c>
      <c r="B372" s="165" t="str">
        <f t="shared" si="40"/>
        <v/>
      </c>
      <c r="C372" s="165" t="str">
        <f>IF(ISBLANK(D372),"",inbound_data[[#This Row],[Pallet_Series]]&amp;inbound_data[[#This Row],[No.]])</f>
        <v/>
      </c>
      <c r="D372" s="54"/>
      <c r="E372" s="55"/>
      <c r="F372" s="56"/>
      <c r="G372" s="57"/>
      <c r="H372" s="53"/>
      <c r="I372" s="53"/>
      <c r="J372" s="55"/>
      <c r="K372" s="58"/>
      <c r="L372" s="59"/>
      <c r="M372" s="55"/>
      <c r="N372" s="60"/>
      <c r="O372" s="60"/>
      <c r="P372" s="165" t="str">
        <f t="shared" ca="1" si="41"/>
        <v/>
      </c>
      <c r="Q372" s="165" t="str">
        <f t="shared" ca="1" si="42"/>
        <v/>
      </c>
      <c r="R372" s="79"/>
      <c r="S372" s="80"/>
      <c r="T372" s="61">
        <f t="shared" si="43"/>
        <v>0</v>
      </c>
      <c r="U372" s="61">
        <f t="shared" si="44"/>
        <v>0</v>
      </c>
      <c r="V372" s="61">
        <f t="shared" si="45"/>
        <v>0</v>
      </c>
      <c r="W372" s="58"/>
      <c r="X372" s="58"/>
      <c r="Y372" s="53"/>
      <c r="Z372" s="57"/>
      <c r="AA372" s="62"/>
      <c r="AB372" s="62"/>
      <c r="AC372" s="62"/>
      <c r="AD372" s="62"/>
      <c r="AE372" s="62"/>
      <c r="AF372" s="63"/>
      <c r="AG372" s="64" t="str">
        <f t="shared" si="46"/>
        <v/>
      </c>
    </row>
    <row r="373" spans="1:33" x14ac:dyDescent="0.25">
      <c r="A373" s="46" t="str">
        <f>IF(ISBLANK(inbound_data[[#This Row],[Receiving Report ref.'#]]),"",IF(inbound_data[[#This Row],[Ending Quantity]]=0,"ZERO","INV"))</f>
        <v/>
      </c>
      <c r="B373" s="165" t="str">
        <f t="shared" si="40"/>
        <v/>
      </c>
      <c r="C373" s="165" t="str">
        <f>IF(ISBLANK(D373),"",inbound_data[[#This Row],[Pallet_Series]]&amp;inbound_data[[#This Row],[No.]])</f>
        <v/>
      </c>
      <c r="D373" s="54"/>
      <c r="E373" s="55"/>
      <c r="F373" s="56"/>
      <c r="G373" s="57"/>
      <c r="H373" s="53"/>
      <c r="I373" s="53"/>
      <c r="J373" s="55"/>
      <c r="K373" s="58"/>
      <c r="L373" s="59"/>
      <c r="M373" s="55"/>
      <c r="N373" s="60"/>
      <c r="O373" s="60"/>
      <c r="P373" s="165" t="str">
        <f t="shared" ca="1" si="41"/>
        <v/>
      </c>
      <c r="Q373" s="165" t="str">
        <f t="shared" ca="1" si="42"/>
        <v/>
      </c>
      <c r="R373" s="79"/>
      <c r="S373" s="80"/>
      <c r="T373" s="61">
        <f t="shared" si="43"/>
        <v>0</v>
      </c>
      <c r="U373" s="61">
        <f t="shared" si="44"/>
        <v>0</v>
      </c>
      <c r="V373" s="61">
        <f t="shared" si="45"/>
        <v>0</v>
      </c>
      <c r="W373" s="58"/>
      <c r="X373" s="58"/>
      <c r="Y373" s="53"/>
      <c r="Z373" s="57"/>
      <c r="AA373" s="62"/>
      <c r="AB373" s="62"/>
      <c r="AC373" s="62"/>
      <c r="AD373" s="62"/>
      <c r="AE373" s="62"/>
      <c r="AF373" s="63"/>
      <c r="AG373" s="64" t="str">
        <f t="shared" si="46"/>
        <v/>
      </c>
    </row>
    <row r="374" spans="1:33" x14ac:dyDescent="0.25">
      <c r="A374" s="46" t="str">
        <f>IF(ISBLANK(inbound_data[[#This Row],[Receiving Report ref.'#]]),"",IF(inbound_data[[#This Row],[Ending Quantity]]=0,"ZERO","INV"))</f>
        <v/>
      </c>
      <c r="B374" s="165" t="str">
        <f t="shared" si="40"/>
        <v/>
      </c>
      <c r="C374" s="165" t="str">
        <f>IF(ISBLANK(D374),"",inbound_data[[#This Row],[Pallet_Series]]&amp;inbound_data[[#This Row],[No.]])</f>
        <v/>
      </c>
      <c r="D374" s="54"/>
      <c r="E374" s="55"/>
      <c r="F374" s="56"/>
      <c r="G374" s="57"/>
      <c r="H374" s="53"/>
      <c r="I374" s="53"/>
      <c r="J374" s="55"/>
      <c r="K374" s="58"/>
      <c r="L374" s="59"/>
      <c r="M374" s="55"/>
      <c r="N374" s="60"/>
      <c r="O374" s="60"/>
      <c r="P374" s="165" t="str">
        <f t="shared" ca="1" si="41"/>
        <v/>
      </c>
      <c r="Q374" s="165" t="str">
        <f t="shared" ca="1" si="42"/>
        <v/>
      </c>
      <c r="R374" s="79"/>
      <c r="S374" s="80"/>
      <c r="T374" s="61">
        <f t="shared" si="43"/>
        <v>0</v>
      </c>
      <c r="U374" s="61">
        <f t="shared" si="44"/>
        <v>0</v>
      </c>
      <c r="V374" s="61">
        <f t="shared" si="45"/>
        <v>0</v>
      </c>
      <c r="W374" s="58"/>
      <c r="X374" s="58"/>
      <c r="Y374" s="53"/>
      <c r="Z374" s="57"/>
      <c r="AA374" s="62"/>
      <c r="AB374" s="62"/>
      <c r="AC374" s="62"/>
      <c r="AD374" s="62"/>
      <c r="AE374" s="62"/>
      <c r="AF374" s="63"/>
      <c r="AG374" s="64" t="str">
        <f t="shared" si="46"/>
        <v/>
      </c>
    </row>
    <row r="375" spans="1:33" x14ac:dyDescent="0.25">
      <c r="A375" s="46" t="str">
        <f>IF(ISBLANK(inbound_data[[#This Row],[Receiving Report ref.'#]]),"",IF(inbound_data[[#This Row],[Ending Quantity]]=0,"ZERO","INV"))</f>
        <v/>
      </c>
      <c r="B375" s="165" t="str">
        <f t="shared" si="40"/>
        <v/>
      </c>
      <c r="C375" s="165" t="str">
        <f>IF(ISBLANK(D375),"",inbound_data[[#This Row],[Pallet_Series]]&amp;inbound_data[[#This Row],[No.]])</f>
        <v/>
      </c>
      <c r="D375" s="54"/>
      <c r="E375" s="55"/>
      <c r="F375" s="56"/>
      <c r="G375" s="57"/>
      <c r="H375" s="53"/>
      <c r="I375" s="53"/>
      <c r="J375" s="55"/>
      <c r="K375" s="58"/>
      <c r="L375" s="59"/>
      <c r="M375" s="55"/>
      <c r="N375" s="60"/>
      <c r="O375" s="60"/>
      <c r="P375" s="165" t="str">
        <f t="shared" ca="1" si="41"/>
        <v/>
      </c>
      <c r="Q375" s="165" t="str">
        <f t="shared" ca="1" si="42"/>
        <v/>
      </c>
      <c r="R375" s="79"/>
      <c r="S375" s="80"/>
      <c r="T375" s="61">
        <f t="shared" si="43"/>
        <v>0</v>
      </c>
      <c r="U375" s="61">
        <f t="shared" si="44"/>
        <v>0</v>
      </c>
      <c r="V375" s="61">
        <f t="shared" si="45"/>
        <v>0</v>
      </c>
      <c r="W375" s="58"/>
      <c r="X375" s="58"/>
      <c r="Y375" s="53"/>
      <c r="Z375" s="57"/>
      <c r="AA375" s="62"/>
      <c r="AB375" s="62"/>
      <c r="AC375" s="62"/>
      <c r="AD375" s="62"/>
      <c r="AE375" s="62"/>
      <c r="AF375" s="63"/>
      <c r="AG375" s="64" t="str">
        <f t="shared" si="46"/>
        <v/>
      </c>
    </row>
    <row r="376" spans="1:33" x14ac:dyDescent="0.25">
      <c r="A376" s="46" t="str">
        <f>IF(ISBLANK(inbound_data[[#This Row],[Receiving Report ref.'#]]),"",IF(inbound_data[[#This Row],[Ending Quantity]]=0,"ZERO","INV"))</f>
        <v/>
      </c>
      <c r="B376" s="165" t="str">
        <f t="shared" si="40"/>
        <v/>
      </c>
      <c r="C376" s="165" t="str">
        <f>IF(ISBLANK(D376),"",inbound_data[[#This Row],[Pallet_Series]]&amp;inbound_data[[#This Row],[No.]])</f>
        <v/>
      </c>
      <c r="D376" s="54"/>
      <c r="E376" s="55"/>
      <c r="F376" s="56"/>
      <c r="G376" s="57"/>
      <c r="H376" s="53"/>
      <c r="I376" s="53"/>
      <c r="J376" s="55"/>
      <c r="K376" s="58"/>
      <c r="L376" s="59"/>
      <c r="M376" s="55"/>
      <c r="N376" s="60"/>
      <c r="O376" s="60"/>
      <c r="P376" s="165" t="str">
        <f t="shared" ca="1" si="41"/>
        <v/>
      </c>
      <c r="Q376" s="165" t="str">
        <f t="shared" ca="1" si="42"/>
        <v/>
      </c>
      <c r="R376" s="79"/>
      <c r="S376" s="80"/>
      <c r="T376" s="61">
        <f t="shared" si="43"/>
        <v>0</v>
      </c>
      <c r="U376" s="61">
        <f t="shared" si="44"/>
        <v>0</v>
      </c>
      <c r="V376" s="61">
        <f t="shared" si="45"/>
        <v>0</v>
      </c>
      <c r="W376" s="58"/>
      <c r="X376" s="58"/>
      <c r="Y376" s="53"/>
      <c r="Z376" s="57"/>
      <c r="AA376" s="62"/>
      <c r="AB376" s="62"/>
      <c r="AC376" s="62"/>
      <c r="AD376" s="62"/>
      <c r="AE376" s="62"/>
      <c r="AF376" s="63"/>
      <c r="AG376" s="64" t="str">
        <f t="shared" si="46"/>
        <v/>
      </c>
    </row>
    <row r="377" spans="1:33" x14ac:dyDescent="0.25">
      <c r="A377" s="46" t="str">
        <f>IF(ISBLANK(inbound_data[[#This Row],[Receiving Report ref.'#]]),"",IF(inbound_data[[#This Row],[Ending Quantity]]=0,"ZERO","INV"))</f>
        <v/>
      </c>
      <c r="B377" s="165" t="str">
        <f t="shared" si="40"/>
        <v/>
      </c>
      <c r="C377" s="165" t="str">
        <f>IF(ISBLANK(D377),"",inbound_data[[#This Row],[Pallet_Series]]&amp;inbound_data[[#This Row],[No.]])</f>
        <v/>
      </c>
      <c r="D377" s="54"/>
      <c r="E377" s="55"/>
      <c r="F377" s="56"/>
      <c r="G377" s="57"/>
      <c r="H377" s="53"/>
      <c r="I377" s="53"/>
      <c r="J377" s="55"/>
      <c r="K377" s="58"/>
      <c r="L377" s="59"/>
      <c r="M377" s="55"/>
      <c r="N377" s="60"/>
      <c r="O377" s="60"/>
      <c r="P377" s="165" t="str">
        <f t="shared" ca="1" si="41"/>
        <v/>
      </c>
      <c r="Q377" s="165" t="str">
        <f t="shared" ca="1" si="42"/>
        <v/>
      </c>
      <c r="R377" s="79"/>
      <c r="S377" s="80"/>
      <c r="T377" s="61">
        <f t="shared" si="43"/>
        <v>0</v>
      </c>
      <c r="U377" s="61">
        <f t="shared" si="44"/>
        <v>0</v>
      </c>
      <c r="V377" s="61">
        <f t="shared" si="45"/>
        <v>0</v>
      </c>
      <c r="W377" s="58"/>
      <c r="X377" s="58"/>
      <c r="Y377" s="53"/>
      <c r="Z377" s="57"/>
      <c r="AA377" s="62"/>
      <c r="AB377" s="62"/>
      <c r="AC377" s="62"/>
      <c r="AD377" s="62"/>
      <c r="AE377" s="62"/>
      <c r="AF377" s="63"/>
      <c r="AG377" s="64" t="str">
        <f t="shared" si="46"/>
        <v/>
      </c>
    </row>
    <row r="378" spans="1:33" x14ac:dyDescent="0.25">
      <c r="A378" s="46" t="str">
        <f>IF(ISBLANK(inbound_data[[#This Row],[Receiving Report ref.'#]]),"",IF(inbound_data[[#This Row],[Ending Quantity]]=0,"ZERO","INV"))</f>
        <v/>
      </c>
      <c r="B378" s="165" t="str">
        <f t="shared" si="40"/>
        <v/>
      </c>
      <c r="C378" s="165" t="str">
        <f>IF(ISBLANK(D378),"",inbound_data[[#This Row],[Pallet_Series]]&amp;inbound_data[[#This Row],[No.]])</f>
        <v/>
      </c>
      <c r="D378" s="54"/>
      <c r="E378" s="55"/>
      <c r="F378" s="56"/>
      <c r="G378" s="57"/>
      <c r="H378" s="53"/>
      <c r="I378" s="53"/>
      <c r="J378" s="55"/>
      <c r="K378" s="58"/>
      <c r="L378" s="59"/>
      <c r="M378" s="55"/>
      <c r="N378" s="60"/>
      <c r="O378" s="60"/>
      <c r="P378" s="165" t="str">
        <f t="shared" ca="1" si="41"/>
        <v/>
      </c>
      <c r="Q378" s="165" t="str">
        <f t="shared" ca="1" si="42"/>
        <v/>
      </c>
      <c r="R378" s="79"/>
      <c r="S378" s="80"/>
      <c r="T378" s="61">
        <f t="shared" si="43"/>
        <v>0</v>
      </c>
      <c r="U378" s="61">
        <f t="shared" si="44"/>
        <v>0</v>
      </c>
      <c r="V378" s="61">
        <f t="shared" si="45"/>
        <v>0</v>
      </c>
      <c r="W378" s="58"/>
      <c r="X378" s="58"/>
      <c r="Y378" s="53"/>
      <c r="Z378" s="57"/>
      <c r="AA378" s="62"/>
      <c r="AB378" s="62"/>
      <c r="AC378" s="62"/>
      <c r="AD378" s="62"/>
      <c r="AE378" s="62"/>
      <c r="AF378" s="63"/>
      <c r="AG378" s="64" t="str">
        <f t="shared" si="46"/>
        <v/>
      </c>
    </row>
    <row r="379" spans="1:33" x14ac:dyDescent="0.25">
      <c r="A379" s="46" t="str">
        <f>IF(ISBLANK(inbound_data[[#This Row],[Receiving Report ref.'#]]),"",IF(inbound_data[[#This Row],[Ending Quantity]]=0,"ZERO","INV"))</f>
        <v/>
      </c>
      <c r="B379" s="165" t="str">
        <f t="shared" si="40"/>
        <v/>
      </c>
      <c r="C379" s="165" t="str">
        <f>IF(ISBLANK(D379),"",inbound_data[[#This Row],[Pallet_Series]]&amp;inbound_data[[#This Row],[No.]])</f>
        <v/>
      </c>
      <c r="D379" s="54"/>
      <c r="E379" s="55"/>
      <c r="F379" s="56"/>
      <c r="G379" s="57"/>
      <c r="H379" s="53"/>
      <c r="I379" s="53"/>
      <c r="J379" s="55"/>
      <c r="K379" s="58"/>
      <c r="L379" s="59"/>
      <c r="M379" s="55"/>
      <c r="N379" s="60"/>
      <c r="O379" s="60"/>
      <c r="P379" s="165" t="str">
        <f t="shared" ca="1" si="41"/>
        <v/>
      </c>
      <c r="Q379" s="165" t="str">
        <f t="shared" ca="1" si="42"/>
        <v/>
      </c>
      <c r="R379" s="79"/>
      <c r="S379" s="80"/>
      <c r="T379" s="61">
        <f t="shared" si="43"/>
        <v>0</v>
      </c>
      <c r="U379" s="61">
        <f t="shared" si="44"/>
        <v>0</v>
      </c>
      <c r="V379" s="61">
        <f t="shared" si="45"/>
        <v>0</v>
      </c>
      <c r="W379" s="58"/>
      <c r="X379" s="58"/>
      <c r="Y379" s="53"/>
      <c r="Z379" s="57"/>
      <c r="AA379" s="62"/>
      <c r="AB379" s="62"/>
      <c r="AC379" s="62"/>
      <c r="AD379" s="62"/>
      <c r="AE379" s="62"/>
      <c r="AF379" s="63"/>
      <c r="AG379" s="64" t="str">
        <f t="shared" si="46"/>
        <v/>
      </c>
    </row>
    <row r="380" spans="1:33" x14ac:dyDescent="0.25">
      <c r="A380" s="46" t="str">
        <f>IF(ISBLANK(inbound_data[[#This Row],[Receiving Report ref.'#]]),"",IF(inbound_data[[#This Row],[Ending Quantity]]=0,"ZERO","INV"))</f>
        <v/>
      </c>
      <c r="B380" s="165" t="str">
        <f t="shared" si="40"/>
        <v/>
      </c>
      <c r="C380" s="165" t="str">
        <f>IF(ISBLANK(D380),"",inbound_data[[#This Row],[Pallet_Series]]&amp;inbound_data[[#This Row],[No.]])</f>
        <v/>
      </c>
      <c r="D380" s="54"/>
      <c r="E380" s="55"/>
      <c r="F380" s="56"/>
      <c r="G380" s="57"/>
      <c r="H380" s="53"/>
      <c r="I380" s="53"/>
      <c r="J380" s="55"/>
      <c r="K380" s="58"/>
      <c r="L380" s="59"/>
      <c r="M380" s="55"/>
      <c r="N380" s="60"/>
      <c r="O380" s="60"/>
      <c r="P380" s="165" t="str">
        <f t="shared" ca="1" si="41"/>
        <v/>
      </c>
      <c r="Q380" s="165" t="str">
        <f t="shared" ca="1" si="42"/>
        <v/>
      </c>
      <c r="R380" s="79"/>
      <c r="S380" s="80"/>
      <c r="T380" s="61">
        <f t="shared" si="43"/>
        <v>0</v>
      </c>
      <c r="U380" s="61">
        <f t="shared" si="44"/>
        <v>0</v>
      </c>
      <c r="V380" s="61">
        <f t="shared" si="45"/>
        <v>0</v>
      </c>
      <c r="W380" s="58"/>
      <c r="X380" s="58"/>
      <c r="Y380" s="53"/>
      <c r="Z380" s="57"/>
      <c r="AA380" s="62"/>
      <c r="AB380" s="62"/>
      <c r="AC380" s="62"/>
      <c r="AD380" s="62"/>
      <c r="AE380" s="62"/>
      <c r="AF380" s="63"/>
      <c r="AG380" s="64" t="str">
        <f t="shared" si="46"/>
        <v/>
      </c>
    </row>
    <row r="381" spans="1:33" x14ac:dyDescent="0.25">
      <c r="A381" s="46" t="str">
        <f>IF(ISBLANK(inbound_data[[#This Row],[Receiving Report ref.'#]]),"",IF(inbound_data[[#This Row],[Ending Quantity]]=0,"ZERO","INV"))</f>
        <v/>
      </c>
      <c r="B381" s="165" t="str">
        <f t="shared" si="40"/>
        <v/>
      </c>
      <c r="C381" s="165" t="str">
        <f>IF(ISBLANK(D381),"",inbound_data[[#This Row],[Pallet_Series]]&amp;inbound_data[[#This Row],[No.]])</f>
        <v/>
      </c>
      <c r="D381" s="54"/>
      <c r="E381" s="55"/>
      <c r="F381" s="56"/>
      <c r="G381" s="57"/>
      <c r="H381" s="53"/>
      <c r="I381" s="53"/>
      <c r="J381" s="55"/>
      <c r="K381" s="58"/>
      <c r="L381" s="59"/>
      <c r="M381" s="55"/>
      <c r="N381" s="60"/>
      <c r="O381" s="60"/>
      <c r="P381" s="165" t="str">
        <f t="shared" ca="1" si="41"/>
        <v/>
      </c>
      <c r="Q381" s="165" t="str">
        <f t="shared" ca="1" si="42"/>
        <v/>
      </c>
      <c r="R381" s="79"/>
      <c r="S381" s="80"/>
      <c r="T381" s="61">
        <f t="shared" si="43"/>
        <v>0</v>
      </c>
      <c r="U381" s="61">
        <f t="shared" si="44"/>
        <v>0</v>
      </c>
      <c r="V381" s="61">
        <f t="shared" si="45"/>
        <v>0</v>
      </c>
      <c r="W381" s="58"/>
      <c r="X381" s="58"/>
      <c r="Y381" s="53"/>
      <c r="Z381" s="57"/>
      <c r="AA381" s="62"/>
      <c r="AB381" s="62"/>
      <c r="AC381" s="62"/>
      <c r="AD381" s="62"/>
      <c r="AE381" s="62"/>
      <c r="AF381" s="63"/>
      <c r="AG381" s="64" t="str">
        <f t="shared" si="46"/>
        <v/>
      </c>
    </row>
    <row r="382" spans="1:33" x14ac:dyDescent="0.25">
      <c r="A382" s="46" t="str">
        <f>IF(ISBLANK(inbound_data[[#This Row],[Receiving Report ref.'#]]),"",IF(inbound_data[[#This Row],[Ending Quantity]]=0,"ZERO","INV"))</f>
        <v/>
      </c>
      <c r="B382" s="165" t="str">
        <f t="shared" si="40"/>
        <v/>
      </c>
      <c r="C382" s="165" t="str">
        <f>IF(ISBLANK(D382),"",inbound_data[[#This Row],[Pallet_Series]]&amp;inbound_data[[#This Row],[No.]])</f>
        <v/>
      </c>
      <c r="D382" s="54"/>
      <c r="E382" s="55"/>
      <c r="F382" s="56"/>
      <c r="G382" s="57"/>
      <c r="H382" s="53"/>
      <c r="I382" s="53"/>
      <c r="J382" s="55"/>
      <c r="K382" s="58"/>
      <c r="L382" s="59"/>
      <c r="M382" s="55"/>
      <c r="N382" s="60"/>
      <c r="O382" s="60"/>
      <c r="P382" s="165" t="str">
        <f t="shared" ca="1" si="41"/>
        <v/>
      </c>
      <c r="Q382" s="165" t="str">
        <f t="shared" ca="1" si="42"/>
        <v/>
      </c>
      <c r="R382" s="79"/>
      <c r="S382" s="80"/>
      <c r="T382" s="61">
        <f t="shared" si="43"/>
        <v>0</v>
      </c>
      <c r="U382" s="61">
        <f t="shared" si="44"/>
        <v>0</v>
      </c>
      <c r="V382" s="61">
        <f t="shared" si="45"/>
        <v>0</v>
      </c>
      <c r="W382" s="58"/>
      <c r="X382" s="58"/>
      <c r="Y382" s="53"/>
      <c r="Z382" s="57"/>
      <c r="AA382" s="62"/>
      <c r="AB382" s="62"/>
      <c r="AC382" s="62"/>
      <c r="AD382" s="62"/>
      <c r="AE382" s="62"/>
      <c r="AF382" s="63"/>
      <c r="AG382" s="64" t="str">
        <f t="shared" si="46"/>
        <v/>
      </c>
    </row>
    <row r="383" spans="1:33" x14ac:dyDescent="0.25">
      <c r="A383" s="46" t="str">
        <f>IF(ISBLANK(inbound_data[[#This Row],[Receiving Report ref.'#]]),"",IF(inbound_data[[#This Row],[Ending Quantity]]=0,"ZERO","INV"))</f>
        <v/>
      </c>
      <c r="B383" s="165" t="str">
        <f t="shared" si="40"/>
        <v/>
      </c>
      <c r="C383" s="165" t="str">
        <f>IF(ISBLANK(D383),"",inbound_data[[#This Row],[Pallet_Series]]&amp;inbound_data[[#This Row],[No.]])</f>
        <v/>
      </c>
      <c r="D383" s="54"/>
      <c r="E383" s="55"/>
      <c r="F383" s="56"/>
      <c r="G383" s="57"/>
      <c r="H383" s="53"/>
      <c r="I383" s="53"/>
      <c r="J383" s="55"/>
      <c r="K383" s="58"/>
      <c r="L383" s="59"/>
      <c r="M383" s="55"/>
      <c r="N383" s="60"/>
      <c r="O383" s="60"/>
      <c r="P383" s="165" t="str">
        <f t="shared" ca="1" si="41"/>
        <v/>
      </c>
      <c r="Q383" s="165" t="str">
        <f t="shared" ca="1" si="42"/>
        <v/>
      </c>
      <c r="R383" s="79"/>
      <c r="S383" s="80"/>
      <c r="T383" s="61">
        <f t="shared" si="43"/>
        <v>0</v>
      </c>
      <c r="U383" s="61">
        <f t="shared" si="44"/>
        <v>0</v>
      </c>
      <c r="V383" s="61">
        <f t="shared" si="45"/>
        <v>0</v>
      </c>
      <c r="W383" s="58"/>
      <c r="X383" s="58"/>
      <c r="Y383" s="53"/>
      <c r="Z383" s="57"/>
      <c r="AA383" s="62"/>
      <c r="AB383" s="62"/>
      <c r="AC383" s="62"/>
      <c r="AD383" s="62"/>
      <c r="AE383" s="62"/>
      <c r="AF383" s="63"/>
      <c r="AG383" s="64" t="str">
        <f t="shared" si="46"/>
        <v/>
      </c>
    </row>
    <row r="384" spans="1:33" x14ac:dyDescent="0.25">
      <c r="A384" s="46" t="str">
        <f>IF(ISBLANK(inbound_data[[#This Row],[Receiving Report ref.'#]]),"",IF(inbound_data[[#This Row],[Ending Quantity]]=0,"ZERO","INV"))</f>
        <v/>
      </c>
      <c r="B384" s="165" t="str">
        <f t="shared" si="40"/>
        <v/>
      </c>
      <c r="C384" s="165" t="str">
        <f>IF(ISBLANK(D384),"",inbound_data[[#This Row],[Pallet_Series]]&amp;inbound_data[[#This Row],[No.]])</f>
        <v/>
      </c>
      <c r="D384" s="54"/>
      <c r="E384" s="55"/>
      <c r="F384" s="56"/>
      <c r="G384" s="57"/>
      <c r="H384" s="53"/>
      <c r="I384" s="53"/>
      <c r="J384" s="55"/>
      <c r="K384" s="58"/>
      <c r="L384" s="59"/>
      <c r="M384" s="55"/>
      <c r="N384" s="60"/>
      <c r="O384" s="60"/>
      <c r="P384" s="165" t="str">
        <f t="shared" ca="1" si="41"/>
        <v/>
      </c>
      <c r="Q384" s="165" t="str">
        <f t="shared" ca="1" si="42"/>
        <v/>
      </c>
      <c r="R384" s="79"/>
      <c r="S384" s="80"/>
      <c r="T384" s="61">
        <f t="shared" si="43"/>
        <v>0</v>
      </c>
      <c r="U384" s="61">
        <f t="shared" si="44"/>
        <v>0</v>
      </c>
      <c r="V384" s="61">
        <f t="shared" si="45"/>
        <v>0</v>
      </c>
      <c r="W384" s="58"/>
      <c r="X384" s="58"/>
      <c r="Y384" s="53"/>
      <c r="Z384" s="57"/>
      <c r="AA384" s="62"/>
      <c r="AB384" s="62"/>
      <c r="AC384" s="62"/>
      <c r="AD384" s="62"/>
      <c r="AE384" s="62"/>
      <c r="AF384" s="63"/>
      <c r="AG384" s="64" t="str">
        <f t="shared" si="46"/>
        <v/>
      </c>
    </row>
    <row r="385" spans="1:33" x14ac:dyDescent="0.25">
      <c r="A385" s="46" t="str">
        <f>IF(ISBLANK(inbound_data[[#This Row],[Receiving Report ref.'#]]),"",IF(inbound_data[[#This Row],[Ending Quantity]]=0,"ZERO","INV"))</f>
        <v/>
      </c>
      <c r="B385" s="165" t="str">
        <f t="shared" si="40"/>
        <v/>
      </c>
      <c r="C385" s="165" t="str">
        <f>IF(ISBLANK(D385),"",inbound_data[[#This Row],[Pallet_Series]]&amp;inbound_data[[#This Row],[No.]])</f>
        <v/>
      </c>
      <c r="D385" s="54"/>
      <c r="E385" s="55"/>
      <c r="F385" s="56"/>
      <c r="G385" s="57"/>
      <c r="H385" s="53"/>
      <c r="I385" s="53"/>
      <c r="J385" s="55"/>
      <c r="K385" s="58"/>
      <c r="L385" s="59"/>
      <c r="M385" s="55"/>
      <c r="N385" s="60"/>
      <c r="O385" s="60"/>
      <c r="P385" s="165" t="str">
        <f t="shared" ca="1" si="41"/>
        <v/>
      </c>
      <c r="Q385" s="165" t="str">
        <f t="shared" ca="1" si="42"/>
        <v/>
      </c>
      <c r="R385" s="79"/>
      <c r="S385" s="80"/>
      <c r="T385" s="61">
        <f t="shared" si="43"/>
        <v>0</v>
      </c>
      <c r="U385" s="61">
        <f t="shared" si="44"/>
        <v>0</v>
      </c>
      <c r="V385" s="61">
        <f t="shared" si="45"/>
        <v>0</v>
      </c>
      <c r="W385" s="58"/>
      <c r="X385" s="58"/>
      <c r="Y385" s="53"/>
      <c r="Z385" s="57"/>
      <c r="AA385" s="62"/>
      <c r="AB385" s="62"/>
      <c r="AC385" s="62"/>
      <c r="AD385" s="62"/>
      <c r="AE385" s="62"/>
      <c r="AF385" s="63"/>
      <c r="AG385" s="64" t="str">
        <f t="shared" si="46"/>
        <v/>
      </c>
    </row>
    <row r="386" spans="1:33" x14ac:dyDescent="0.25">
      <c r="A386" s="46" t="str">
        <f>IF(ISBLANK(inbound_data[[#This Row],[Receiving Report ref.'#]]),"",IF(inbound_data[[#This Row],[Ending Quantity]]=0,"ZERO","INV"))</f>
        <v/>
      </c>
      <c r="B386" s="165" t="str">
        <f t="shared" si="40"/>
        <v/>
      </c>
      <c r="C386" s="165" t="str">
        <f>IF(ISBLANK(D386),"",inbound_data[[#This Row],[Pallet_Series]]&amp;inbound_data[[#This Row],[No.]])</f>
        <v/>
      </c>
      <c r="D386" s="54"/>
      <c r="E386" s="55"/>
      <c r="F386" s="56"/>
      <c r="G386" s="57"/>
      <c r="H386" s="53"/>
      <c r="I386" s="53"/>
      <c r="J386" s="55"/>
      <c r="K386" s="58"/>
      <c r="L386" s="59"/>
      <c r="M386" s="55"/>
      <c r="N386" s="60"/>
      <c r="O386" s="60"/>
      <c r="P386" s="165" t="str">
        <f t="shared" ca="1" si="41"/>
        <v/>
      </c>
      <c r="Q386" s="165" t="str">
        <f t="shared" ca="1" si="42"/>
        <v/>
      </c>
      <c r="R386" s="79"/>
      <c r="S386" s="80"/>
      <c r="T386" s="61">
        <f t="shared" si="43"/>
        <v>0</v>
      </c>
      <c r="U386" s="61">
        <f t="shared" si="44"/>
        <v>0</v>
      </c>
      <c r="V386" s="61">
        <f t="shared" si="45"/>
        <v>0</v>
      </c>
      <c r="W386" s="58"/>
      <c r="X386" s="58"/>
      <c r="Y386" s="53"/>
      <c r="Z386" s="57"/>
      <c r="AA386" s="62"/>
      <c r="AB386" s="62"/>
      <c r="AC386" s="62"/>
      <c r="AD386" s="62"/>
      <c r="AE386" s="62"/>
      <c r="AF386" s="63"/>
      <c r="AG386" s="64" t="str">
        <f t="shared" si="46"/>
        <v/>
      </c>
    </row>
    <row r="387" spans="1:33" x14ac:dyDescent="0.25">
      <c r="A387" s="46" t="str">
        <f>IF(ISBLANK(inbound_data[[#This Row],[Receiving Report ref.'#]]),"",IF(inbound_data[[#This Row],[Ending Quantity]]=0,"ZERO","INV"))</f>
        <v/>
      </c>
      <c r="B387" s="165" t="str">
        <f t="shared" si="40"/>
        <v/>
      </c>
      <c r="C387" s="165" t="str">
        <f>IF(ISBLANK(D387),"",inbound_data[[#This Row],[Pallet_Series]]&amp;inbound_data[[#This Row],[No.]])</f>
        <v/>
      </c>
      <c r="D387" s="54"/>
      <c r="E387" s="55"/>
      <c r="F387" s="56"/>
      <c r="G387" s="57"/>
      <c r="H387" s="53"/>
      <c r="I387" s="53"/>
      <c r="J387" s="55"/>
      <c r="K387" s="58"/>
      <c r="L387" s="59"/>
      <c r="M387" s="55"/>
      <c r="N387" s="60"/>
      <c r="O387" s="60"/>
      <c r="P387" s="165" t="str">
        <f t="shared" ca="1" si="41"/>
        <v/>
      </c>
      <c r="Q387" s="165" t="str">
        <f t="shared" ca="1" si="42"/>
        <v/>
      </c>
      <c r="R387" s="79"/>
      <c r="S387" s="80"/>
      <c r="T387" s="61">
        <f t="shared" si="43"/>
        <v>0</v>
      </c>
      <c r="U387" s="61">
        <f t="shared" si="44"/>
        <v>0</v>
      </c>
      <c r="V387" s="61">
        <f t="shared" si="45"/>
        <v>0</v>
      </c>
      <c r="W387" s="58"/>
      <c r="X387" s="58"/>
      <c r="Y387" s="53"/>
      <c r="Z387" s="57"/>
      <c r="AA387" s="62"/>
      <c r="AB387" s="62"/>
      <c r="AC387" s="62"/>
      <c r="AD387" s="62"/>
      <c r="AE387" s="62"/>
      <c r="AF387" s="63"/>
      <c r="AG387" s="64" t="str">
        <f t="shared" si="46"/>
        <v/>
      </c>
    </row>
    <row r="388" spans="1:33" x14ac:dyDescent="0.25">
      <c r="A388" s="46" t="str">
        <f>IF(ISBLANK(inbound_data[[#This Row],[Receiving Report ref.'#]]),"",IF(inbound_data[[#This Row],[Ending Quantity]]=0,"ZERO","INV"))</f>
        <v/>
      </c>
      <c r="B388" s="165" t="str">
        <f t="shared" si="40"/>
        <v/>
      </c>
      <c r="C388" s="165" t="str">
        <f>IF(ISBLANK(D388),"",inbound_data[[#This Row],[Pallet_Series]]&amp;inbound_data[[#This Row],[No.]])</f>
        <v/>
      </c>
      <c r="D388" s="54"/>
      <c r="E388" s="55"/>
      <c r="F388" s="56"/>
      <c r="G388" s="57"/>
      <c r="H388" s="53"/>
      <c r="I388" s="53"/>
      <c r="J388" s="55"/>
      <c r="K388" s="58"/>
      <c r="L388" s="59"/>
      <c r="M388" s="55"/>
      <c r="N388" s="60"/>
      <c r="O388" s="60"/>
      <c r="P388" s="165" t="str">
        <f t="shared" ca="1" si="41"/>
        <v/>
      </c>
      <c r="Q388" s="165" t="str">
        <f t="shared" ca="1" si="42"/>
        <v/>
      </c>
      <c r="R388" s="79"/>
      <c r="S388" s="80"/>
      <c r="T388" s="61">
        <f t="shared" si="43"/>
        <v>0</v>
      </c>
      <c r="U388" s="61">
        <f t="shared" si="44"/>
        <v>0</v>
      </c>
      <c r="V388" s="61">
        <f t="shared" si="45"/>
        <v>0</v>
      </c>
      <c r="W388" s="58"/>
      <c r="X388" s="58"/>
      <c r="Y388" s="53"/>
      <c r="Z388" s="57"/>
      <c r="AA388" s="62"/>
      <c r="AB388" s="62"/>
      <c r="AC388" s="62"/>
      <c r="AD388" s="62"/>
      <c r="AE388" s="62"/>
      <c r="AF388" s="63"/>
      <c r="AG388" s="64" t="str">
        <f t="shared" si="46"/>
        <v/>
      </c>
    </row>
    <row r="389" spans="1:33" x14ac:dyDescent="0.25">
      <c r="A389" s="46" t="str">
        <f>IF(ISBLANK(inbound_data[[#This Row],[Receiving Report ref.'#]]),"",IF(inbound_data[[#This Row],[Ending Quantity]]=0,"ZERO","INV"))</f>
        <v/>
      </c>
      <c r="B389" s="165" t="str">
        <f t="shared" si="40"/>
        <v/>
      </c>
      <c r="C389" s="165" t="str">
        <f>IF(ISBLANK(D389),"",inbound_data[[#This Row],[Pallet_Series]]&amp;inbound_data[[#This Row],[No.]])</f>
        <v/>
      </c>
      <c r="D389" s="54"/>
      <c r="E389" s="55"/>
      <c r="F389" s="56"/>
      <c r="G389" s="57"/>
      <c r="H389" s="53"/>
      <c r="I389" s="53"/>
      <c r="J389" s="55"/>
      <c r="K389" s="58"/>
      <c r="L389" s="59"/>
      <c r="M389" s="55"/>
      <c r="N389" s="60"/>
      <c r="O389" s="60"/>
      <c r="P389" s="165" t="str">
        <f t="shared" ca="1" si="41"/>
        <v/>
      </c>
      <c r="Q389" s="165" t="str">
        <f t="shared" ca="1" si="42"/>
        <v/>
      </c>
      <c r="R389" s="79"/>
      <c r="S389" s="80"/>
      <c r="T389" s="61">
        <f t="shared" si="43"/>
        <v>0</v>
      </c>
      <c r="U389" s="61">
        <f t="shared" si="44"/>
        <v>0</v>
      </c>
      <c r="V389" s="61">
        <f t="shared" si="45"/>
        <v>0</v>
      </c>
      <c r="W389" s="58"/>
      <c r="X389" s="58"/>
      <c r="Y389" s="53"/>
      <c r="Z389" s="57"/>
      <c r="AA389" s="62"/>
      <c r="AB389" s="62"/>
      <c r="AC389" s="62"/>
      <c r="AD389" s="62"/>
      <c r="AE389" s="62"/>
      <c r="AF389" s="63"/>
      <c r="AG389" s="64" t="str">
        <f t="shared" si="46"/>
        <v/>
      </c>
    </row>
    <row r="390" spans="1:33" x14ac:dyDescent="0.25">
      <c r="A390" s="46" t="str">
        <f>IF(ISBLANK(inbound_data[[#This Row],[Receiving Report ref.'#]]),"",IF(inbound_data[[#This Row],[Ending Quantity]]=0,"ZERO","INV"))</f>
        <v/>
      </c>
      <c r="B390" s="165" t="str">
        <f t="shared" si="40"/>
        <v/>
      </c>
      <c r="C390" s="165" t="str">
        <f>IF(ISBLANK(D390),"",inbound_data[[#This Row],[Pallet_Series]]&amp;inbound_data[[#This Row],[No.]])</f>
        <v/>
      </c>
      <c r="D390" s="54"/>
      <c r="E390" s="55"/>
      <c r="F390" s="56"/>
      <c r="G390" s="57"/>
      <c r="H390" s="53"/>
      <c r="I390" s="53"/>
      <c r="J390" s="55"/>
      <c r="K390" s="58"/>
      <c r="L390" s="59"/>
      <c r="M390" s="55"/>
      <c r="N390" s="60"/>
      <c r="O390" s="60"/>
      <c r="P390" s="165" t="str">
        <f t="shared" ca="1" si="41"/>
        <v/>
      </c>
      <c r="Q390" s="165" t="str">
        <f t="shared" ca="1" si="42"/>
        <v/>
      </c>
      <c r="R390" s="79"/>
      <c r="S390" s="80"/>
      <c r="T390" s="61">
        <f t="shared" si="43"/>
        <v>0</v>
      </c>
      <c r="U390" s="61">
        <f t="shared" si="44"/>
        <v>0</v>
      </c>
      <c r="V390" s="61">
        <f t="shared" si="45"/>
        <v>0</v>
      </c>
      <c r="W390" s="58"/>
      <c r="X390" s="58"/>
      <c r="Y390" s="53"/>
      <c r="Z390" s="57"/>
      <c r="AA390" s="62"/>
      <c r="AB390" s="62"/>
      <c r="AC390" s="62"/>
      <c r="AD390" s="62"/>
      <c r="AE390" s="62"/>
      <c r="AF390" s="63"/>
      <c r="AG390" s="64" t="str">
        <f t="shared" si="46"/>
        <v/>
      </c>
    </row>
    <row r="391" spans="1:33" x14ac:dyDescent="0.25">
      <c r="A391" s="46" t="str">
        <f>IF(ISBLANK(inbound_data[[#This Row],[Receiving Report ref.'#]]),"",IF(inbound_data[[#This Row],[Ending Quantity]]=0,"ZERO","INV"))</f>
        <v/>
      </c>
      <c r="B391" s="165" t="str">
        <f t="shared" si="40"/>
        <v/>
      </c>
      <c r="C391" s="165" t="str">
        <f>IF(ISBLANK(D391),"",inbound_data[[#This Row],[Pallet_Series]]&amp;inbound_data[[#This Row],[No.]])</f>
        <v/>
      </c>
      <c r="D391" s="54"/>
      <c r="E391" s="55"/>
      <c r="F391" s="56"/>
      <c r="G391" s="57"/>
      <c r="H391" s="53"/>
      <c r="I391" s="53"/>
      <c r="J391" s="55"/>
      <c r="K391" s="58"/>
      <c r="L391" s="59"/>
      <c r="M391" s="55"/>
      <c r="N391" s="60"/>
      <c r="O391" s="60"/>
      <c r="P391" s="165" t="str">
        <f t="shared" ca="1" si="41"/>
        <v/>
      </c>
      <c r="Q391" s="165" t="str">
        <f t="shared" ca="1" si="42"/>
        <v/>
      </c>
      <c r="R391" s="79"/>
      <c r="S391" s="80"/>
      <c r="T391" s="61">
        <f t="shared" si="43"/>
        <v>0</v>
      </c>
      <c r="U391" s="61">
        <f t="shared" si="44"/>
        <v>0</v>
      </c>
      <c r="V391" s="61">
        <f t="shared" si="45"/>
        <v>0</v>
      </c>
      <c r="W391" s="58"/>
      <c r="X391" s="58"/>
      <c r="Y391" s="53"/>
      <c r="Z391" s="57"/>
      <c r="AA391" s="62"/>
      <c r="AB391" s="62"/>
      <c r="AC391" s="62"/>
      <c r="AD391" s="62"/>
      <c r="AE391" s="62"/>
      <c r="AF391" s="63"/>
      <c r="AG391" s="64" t="str">
        <f t="shared" si="46"/>
        <v/>
      </c>
    </row>
    <row r="392" spans="1:33" x14ac:dyDescent="0.25">
      <c r="A392" s="46" t="str">
        <f>IF(ISBLANK(inbound_data[[#This Row],[Receiving Report ref.'#]]),"",IF(inbound_data[[#This Row],[Ending Quantity]]=0,"ZERO","INV"))</f>
        <v/>
      </c>
      <c r="B392" s="165" t="str">
        <f t="shared" si="40"/>
        <v/>
      </c>
      <c r="C392" s="165" t="str">
        <f>IF(ISBLANK(D392),"",inbound_data[[#This Row],[Pallet_Series]]&amp;inbound_data[[#This Row],[No.]])</f>
        <v/>
      </c>
      <c r="D392" s="54"/>
      <c r="E392" s="55"/>
      <c r="F392" s="56"/>
      <c r="G392" s="57"/>
      <c r="H392" s="53"/>
      <c r="I392" s="53"/>
      <c r="J392" s="55"/>
      <c r="K392" s="58"/>
      <c r="L392" s="59"/>
      <c r="M392" s="55"/>
      <c r="N392" s="60"/>
      <c r="O392" s="60"/>
      <c r="P392" s="165" t="str">
        <f t="shared" ca="1" si="41"/>
        <v/>
      </c>
      <c r="Q392" s="165" t="str">
        <f t="shared" ca="1" si="42"/>
        <v/>
      </c>
      <c r="R392" s="79"/>
      <c r="S392" s="80"/>
      <c r="T392" s="61">
        <f t="shared" si="43"/>
        <v>0</v>
      </c>
      <c r="U392" s="61">
        <f t="shared" si="44"/>
        <v>0</v>
      </c>
      <c r="V392" s="61">
        <f t="shared" si="45"/>
        <v>0</v>
      </c>
      <c r="W392" s="58"/>
      <c r="X392" s="58"/>
      <c r="Y392" s="53"/>
      <c r="Z392" s="57"/>
      <c r="AA392" s="62"/>
      <c r="AB392" s="62"/>
      <c r="AC392" s="62"/>
      <c r="AD392" s="62"/>
      <c r="AE392" s="62"/>
      <c r="AF392" s="63"/>
      <c r="AG392" s="64" t="str">
        <f t="shared" si="46"/>
        <v/>
      </c>
    </row>
    <row r="393" spans="1:33" x14ac:dyDescent="0.25">
      <c r="A393" s="46" t="str">
        <f>IF(ISBLANK(inbound_data[[#This Row],[Receiving Report ref.'#]]),"",IF(inbound_data[[#This Row],[Ending Quantity]]=0,"ZERO","INV"))</f>
        <v/>
      </c>
      <c r="B393" s="165" t="str">
        <f t="shared" ref="B393:B456" si="47">IF(ISBLANK(D393),"",TEXT(ROW(),"00000"))</f>
        <v/>
      </c>
      <c r="C393" s="165" t="str">
        <f>IF(ISBLANK(D393),"",inbound_data[[#This Row],[Pallet_Series]]&amp;inbound_data[[#This Row],[No.]])</f>
        <v/>
      </c>
      <c r="D393" s="54"/>
      <c r="E393" s="55"/>
      <c r="F393" s="56"/>
      <c r="G393" s="57"/>
      <c r="H393" s="53"/>
      <c r="I393" s="53"/>
      <c r="J393" s="55"/>
      <c r="K393" s="58"/>
      <c r="L393" s="59"/>
      <c r="M393" s="55"/>
      <c r="N393" s="60"/>
      <c r="O393" s="60"/>
      <c r="P393" s="165" t="str">
        <f t="shared" ref="P393:P456" ca="1" si="48">IF(A393="ZERO","",IF(O393="","",O393-TODAY()))</f>
        <v/>
      </c>
      <c r="Q393" s="165" t="str">
        <f t="shared" ref="Q393:Q456" ca="1" si="49">IF(A393="ZERO","",IF(P393&lt;0,"ALREADY EXPIRED",IF(P393&lt;60,"NEARLY EXPIRED","")))</f>
        <v/>
      </c>
      <c r="R393" s="79"/>
      <c r="S393" s="80"/>
      <c r="T393" s="61">
        <f t="shared" ref="T393:T456" si="50">IF(ISBLANK(R393),0,R393-SUMIF(STOCK_CODE_OUT,$C393,QTY_OUT))</f>
        <v>0</v>
      </c>
      <c r="U393" s="61">
        <f t="shared" ref="U393:U456" si="51">IF(ISBLANK(S393),0,S393-SUMIF(STOCK_CODE_OUT,$C393,KILOS_OUT))</f>
        <v>0</v>
      </c>
      <c r="V393" s="61">
        <f t="shared" ref="V393:V456" si="52">IF(ISBLANK(K393),0,K393-SUMIF(STOCK_CODE_OUT,$C393,PALLET_OUT))</f>
        <v>0</v>
      </c>
      <c r="W393" s="58"/>
      <c r="X393" s="58"/>
      <c r="Y393" s="53"/>
      <c r="Z393" s="57"/>
      <c r="AA393" s="62"/>
      <c r="AB393" s="62"/>
      <c r="AC393" s="62"/>
      <c r="AD393" s="62"/>
      <c r="AE393" s="62"/>
      <c r="AF393" s="63"/>
      <c r="AG393" s="64" t="str">
        <f t="shared" ref="AG393:AG456" si="53">IF(T393&gt;0,CONCATENATE(AA393,AB393,TEXT(AC393,"R00"),TEXT(AD393,"L0."),TEXT(AE393,"0")),"")</f>
        <v/>
      </c>
    </row>
    <row r="394" spans="1:33" x14ac:dyDescent="0.25">
      <c r="A394" s="46" t="str">
        <f>IF(ISBLANK(inbound_data[[#This Row],[Receiving Report ref.'#]]),"",IF(inbound_data[[#This Row],[Ending Quantity]]=0,"ZERO","INV"))</f>
        <v/>
      </c>
      <c r="B394" s="165" t="str">
        <f t="shared" si="47"/>
        <v/>
      </c>
      <c r="C394" s="165" t="str">
        <f>IF(ISBLANK(D394),"",inbound_data[[#This Row],[Pallet_Series]]&amp;inbound_data[[#This Row],[No.]])</f>
        <v/>
      </c>
      <c r="D394" s="54"/>
      <c r="E394" s="55"/>
      <c r="F394" s="56"/>
      <c r="G394" s="57"/>
      <c r="H394" s="53"/>
      <c r="I394" s="53"/>
      <c r="J394" s="55"/>
      <c r="K394" s="58"/>
      <c r="L394" s="59"/>
      <c r="M394" s="55"/>
      <c r="N394" s="60"/>
      <c r="O394" s="60"/>
      <c r="P394" s="165" t="str">
        <f t="shared" ca="1" si="48"/>
        <v/>
      </c>
      <c r="Q394" s="165" t="str">
        <f t="shared" ca="1" si="49"/>
        <v/>
      </c>
      <c r="R394" s="79"/>
      <c r="S394" s="80"/>
      <c r="T394" s="61">
        <f t="shared" si="50"/>
        <v>0</v>
      </c>
      <c r="U394" s="61">
        <f t="shared" si="51"/>
        <v>0</v>
      </c>
      <c r="V394" s="61">
        <f t="shared" si="52"/>
        <v>0</v>
      </c>
      <c r="W394" s="58"/>
      <c r="X394" s="58"/>
      <c r="Y394" s="53"/>
      <c r="Z394" s="57"/>
      <c r="AA394" s="62"/>
      <c r="AB394" s="62"/>
      <c r="AC394" s="62"/>
      <c r="AD394" s="62"/>
      <c r="AE394" s="62"/>
      <c r="AF394" s="63"/>
      <c r="AG394" s="64" t="str">
        <f t="shared" si="53"/>
        <v/>
      </c>
    </row>
    <row r="395" spans="1:33" x14ac:dyDescent="0.25">
      <c r="A395" s="46" t="str">
        <f>IF(ISBLANK(inbound_data[[#This Row],[Receiving Report ref.'#]]),"",IF(inbound_data[[#This Row],[Ending Quantity]]=0,"ZERO","INV"))</f>
        <v/>
      </c>
      <c r="B395" s="165" t="str">
        <f t="shared" si="47"/>
        <v/>
      </c>
      <c r="C395" s="165" t="str">
        <f>IF(ISBLANK(D395),"",inbound_data[[#This Row],[Pallet_Series]]&amp;inbound_data[[#This Row],[No.]])</f>
        <v/>
      </c>
      <c r="D395" s="54"/>
      <c r="E395" s="55"/>
      <c r="F395" s="56"/>
      <c r="G395" s="57"/>
      <c r="H395" s="53"/>
      <c r="I395" s="53"/>
      <c r="J395" s="55"/>
      <c r="K395" s="58"/>
      <c r="L395" s="59"/>
      <c r="M395" s="55"/>
      <c r="N395" s="60"/>
      <c r="O395" s="60"/>
      <c r="P395" s="165" t="str">
        <f t="shared" ca="1" si="48"/>
        <v/>
      </c>
      <c r="Q395" s="165" t="str">
        <f t="shared" ca="1" si="49"/>
        <v/>
      </c>
      <c r="R395" s="79"/>
      <c r="S395" s="80"/>
      <c r="T395" s="61">
        <f t="shared" si="50"/>
        <v>0</v>
      </c>
      <c r="U395" s="61">
        <f t="shared" si="51"/>
        <v>0</v>
      </c>
      <c r="V395" s="61">
        <f t="shared" si="52"/>
        <v>0</v>
      </c>
      <c r="W395" s="58"/>
      <c r="X395" s="58"/>
      <c r="Y395" s="53"/>
      <c r="Z395" s="57"/>
      <c r="AA395" s="62"/>
      <c r="AB395" s="62"/>
      <c r="AC395" s="62"/>
      <c r="AD395" s="62"/>
      <c r="AE395" s="62"/>
      <c r="AF395" s="63"/>
      <c r="AG395" s="64" t="str">
        <f t="shared" si="53"/>
        <v/>
      </c>
    </row>
    <row r="396" spans="1:33" x14ac:dyDescent="0.25">
      <c r="A396" s="46" t="str">
        <f>IF(ISBLANK(inbound_data[[#This Row],[Receiving Report ref.'#]]),"",IF(inbound_data[[#This Row],[Ending Quantity]]=0,"ZERO","INV"))</f>
        <v/>
      </c>
      <c r="B396" s="165" t="str">
        <f t="shared" si="47"/>
        <v/>
      </c>
      <c r="C396" s="165" t="str">
        <f>IF(ISBLANK(D396),"",inbound_data[[#This Row],[Pallet_Series]]&amp;inbound_data[[#This Row],[No.]])</f>
        <v/>
      </c>
      <c r="D396" s="54"/>
      <c r="E396" s="55"/>
      <c r="F396" s="56"/>
      <c r="G396" s="57"/>
      <c r="H396" s="53"/>
      <c r="I396" s="53"/>
      <c r="J396" s="55"/>
      <c r="K396" s="58"/>
      <c r="L396" s="59"/>
      <c r="M396" s="55"/>
      <c r="N396" s="60"/>
      <c r="O396" s="60"/>
      <c r="P396" s="165" t="str">
        <f t="shared" ca="1" si="48"/>
        <v/>
      </c>
      <c r="Q396" s="165" t="str">
        <f t="shared" ca="1" si="49"/>
        <v/>
      </c>
      <c r="R396" s="79"/>
      <c r="S396" s="80"/>
      <c r="T396" s="61">
        <f t="shared" si="50"/>
        <v>0</v>
      </c>
      <c r="U396" s="61">
        <f t="shared" si="51"/>
        <v>0</v>
      </c>
      <c r="V396" s="61">
        <f t="shared" si="52"/>
        <v>0</v>
      </c>
      <c r="W396" s="58"/>
      <c r="X396" s="58"/>
      <c r="Y396" s="53"/>
      <c r="Z396" s="57"/>
      <c r="AA396" s="62"/>
      <c r="AB396" s="62"/>
      <c r="AC396" s="62"/>
      <c r="AD396" s="62"/>
      <c r="AE396" s="62"/>
      <c r="AF396" s="63"/>
      <c r="AG396" s="64" t="str">
        <f t="shared" si="53"/>
        <v/>
      </c>
    </row>
    <row r="397" spans="1:33" x14ac:dyDescent="0.25">
      <c r="A397" s="46" t="str">
        <f>IF(ISBLANK(inbound_data[[#This Row],[Receiving Report ref.'#]]),"",IF(inbound_data[[#This Row],[Ending Quantity]]=0,"ZERO","INV"))</f>
        <v/>
      </c>
      <c r="B397" s="165" t="str">
        <f t="shared" si="47"/>
        <v/>
      </c>
      <c r="C397" s="165" t="str">
        <f>IF(ISBLANK(D397),"",inbound_data[[#This Row],[Pallet_Series]]&amp;inbound_data[[#This Row],[No.]])</f>
        <v/>
      </c>
      <c r="D397" s="54"/>
      <c r="E397" s="55"/>
      <c r="F397" s="56"/>
      <c r="G397" s="57"/>
      <c r="H397" s="53"/>
      <c r="I397" s="53"/>
      <c r="J397" s="55"/>
      <c r="K397" s="58"/>
      <c r="L397" s="59"/>
      <c r="M397" s="55"/>
      <c r="N397" s="60"/>
      <c r="O397" s="60"/>
      <c r="P397" s="165" t="str">
        <f t="shared" ca="1" si="48"/>
        <v/>
      </c>
      <c r="Q397" s="165" t="str">
        <f t="shared" ca="1" si="49"/>
        <v/>
      </c>
      <c r="R397" s="79"/>
      <c r="S397" s="80"/>
      <c r="T397" s="61">
        <f t="shared" si="50"/>
        <v>0</v>
      </c>
      <c r="U397" s="61">
        <f t="shared" si="51"/>
        <v>0</v>
      </c>
      <c r="V397" s="61">
        <f t="shared" si="52"/>
        <v>0</v>
      </c>
      <c r="W397" s="58"/>
      <c r="X397" s="58"/>
      <c r="Y397" s="53"/>
      <c r="Z397" s="57"/>
      <c r="AA397" s="62"/>
      <c r="AB397" s="62"/>
      <c r="AC397" s="62"/>
      <c r="AD397" s="62"/>
      <c r="AE397" s="62"/>
      <c r="AF397" s="63"/>
      <c r="AG397" s="64" t="str">
        <f t="shared" si="53"/>
        <v/>
      </c>
    </row>
    <row r="398" spans="1:33" x14ac:dyDescent="0.25">
      <c r="A398" s="46" t="str">
        <f>IF(ISBLANK(inbound_data[[#This Row],[Receiving Report ref.'#]]),"",IF(inbound_data[[#This Row],[Ending Quantity]]=0,"ZERO","INV"))</f>
        <v/>
      </c>
      <c r="B398" s="165" t="str">
        <f t="shared" si="47"/>
        <v/>
      </c>
      <c r="C398" s="165" t="str">
        <f>IF(ISBLANK(D398),"",inbound_data[[#This Row],[Pallet_Series]]&amp;inbound_data[[#This Row],[No.]])</f>
        <v/>
      </c>
      <c r="D398" s="54"/>
      <c r="E398" s="55"/>
      <c r="F398" s="56"/>
      <c r="G398" s="57"/>
      <c r="H398" s="53"/>
      <c r="I398" s="53"/>
      <c r="J398" s="55"/>
      <c r="K398" s="58"/>
      <c r="L398" s="59"/>
      <c r="M398" s="55"/>
      <c r="N398" s="60"/>
      <c r="O398" s="60"/>
      <c r="P398" s="165" t="str">
        <f t="shared" ca="1" si="48"/>
        <v/>
      </c>
      <c r="Q398" s="165" t="str">
        <f t="shared" ca="1" si="49"/>
        <v/>
      </c>
      <c r="R398" s="79"/>
      <c r="S398" s="80"/>
      <c r="T398" s="61">
        <f t="shared" si="50"/>
        <v>0</v>
      </c>
      <c r="U398" s="61">
        <f t="shared" si="51"/>
        <v>0</v>
      </c>
      <c r="V398" s="61">
        <f t="shared" si="52"/>
        <v>0</v>
      </c>
      <c r="W398" s="58"/>
      <c r="X398" s="58"/>
      <c r="Y398" s="53"/>
      <c r="Z398" s="57"/>
      <c r="AA398" s="62"/>
      <c r="AB398" s="62"/>
      <c r="AC398" s="62"/>
      <c r="AD398" s="62"/>
      <c r="AE398" s="62"/>
      <c r="AF398" s="63"/>
      <c r="AG398" s="64" t="str">
        <f t="shared" si="53"/>
        <v/>
      </c>
    </row>
    <row r="399" spans="1:33" x14ac:dyDescent="0.25">
      <c r="A399" s="46" t="str">
        <f>IF(ISBLANK(inbound_data[[#This Row],[Receiving Report ref.'#]]),"",IF(inbound_data[[#This Row],[Ending Quantity]]=0,"ZERO","INV"))</f>
        <v/>
      </c>
      <c r="B399" s="165" t="str">
        <f t="shared" si="47"/>
        <v/>
      </c>
      <c r="C399" s="165" t="str">
        <f>IF(ISBLANK(D399),"",inbound_data[[#This Row],[Pallet_Series]]&amp;inbound_data[[#This Row],[No.]])</f>
        <v/>
      </c>
      <c r="D399" s="54"/>
      <c r="E399" s="55"/>
      <c r="F399" s="56"/>
      <c r="G399" s="57"/>
      <c r="H399" s="53"/>
      <c r="I399" s="53"/>
      <c r="J399" s="55"/>
      <c r="K399" s="58"/>
      <c r="L399" s="59"/>
      <c r="M399" s="55"/>
      <c r="N399" s="60"/>
      <c r="O399" s="60"/>
      <c r="P399" s="165" t="str">
        <f t="shared" ca="1" si="48"/>
        <v/>
      </c>
      <c r="Q399" s="165" t="str">
        <f t="shared" ca="1" si="49"/>
        <v/>
      </c>
      <c r="R399" s="79"/>
      <c r="S399" s="80"/>
      <c r="T399" s="61">
        <f t="shared" si="50"/>
        <v>0</v>
      </c>
      <c r="U399" s="61">
        <f t="shared" si="51"/>
        <v>0</v>
      </c>
      <c r="V399" s="61">
        <f t="shared" si="52"/>
        <v>0</v>
      </c>
      <c r="W399" s="58"/>
      <c r="X399" s="58"/>
      <c r="Y399" s="53"/>
      <c r="Z399" s="57"/>
      <c r="AA399" s="62"/>
      <c r="AB399" s="62"/>
      <c r="AC399" s="62"/>
      <c r="AD399" s="62"/>
      <c r="AE399" s="62"/>
      <c r="AF399" s="63"/>
      <c r="AG399" s="64" t="str">
        <f t="shared" si="53"/>
        <v/>
      </c>
    </row>
    <row r="400" spans="1:33" x14ac:dyDescent="0.25">
      <c r="A400" s="46" t="str">
        <f>IF(ISBLANK(inbound_data[[#This Row],[Receiving Report ref.'#]]),"",IF(inbound_data[[#This Row],[Ending Quantity]]=0,"ZERO","INV"))</f>
        <v/>
      </c>
      <c r="B400" s="165" t="str">
        <f t="shared" si="47"/>
        <v/>
      </c>
      <c r="C400" s="165" t="str">
        <f>IF(ISBLANK(D400),"",inbound_data[[#This Row],[Pallet_Series]]&amp;inbound_data[[#This Row],[No.]])</f>
        <v/>
      </c>
      <c r="D400" s="54"/>
      <c r="E400" s="55"/>
      <c r="F400" s="56"/>
      <c r="G400" s="57"/>
      <c r="H400" s="53"/>
      <c r="I400" s="53"/>
      <c r="J400" s="55"/>
      <c r="K400" s="58"/>
      <c r="L400" s="59"/>
      <c r="M400" s="55"/>
      <c r="N400" s="60"/>
      <c r="O400" s="60"/>
      <c r="P400" s="165" t="str">
        <f t="shared" ca="1" si="48"/>
        <v/>
      </c>
      <c r="Q400" s="165" t="str">
        <f t="shared" ca="1" si="49"/>
        <v/>
      </c>
      <c r="R400" s="79"/>
      <c r="S400" s="80"/>
      <c r="T400" s="61">
        <f t="shared" si="50"/>
        <v>0</v>
      </c>
      <c r="U400" s="61">
        <f t="shared" si="51"/>
        <v>0</v>
      </c>
      <c r="V400" s="61">
        <f t="shared" si="52"/>
        <v>0</v>
      </c>
      <c r="W400" s="58"/>
      <c r="X400" s="58"/>
      <c r="Y400" s="53"/>
      <c r="Z400" s="57"/>
      <c r="AA400" s="62"/>
      <c r="AB400" s="62"/>
      <c r="AC400" s="62"/>
      <c r="AD400" s="62"/>
      <c r="AE400" s="62"/>
      <c r="AF400" s="63"/>
      <c r="AG400" s="64" t="str">
        <f t="shared" si="53"/>
        <v/>
      </c>
    </row>
    <row r="401" spans="1:33" x14ac:dyDescent="0.25">
      <c r="A401" s="46" t="str">
        <f>IF(ISBLANK(inbound_data[[#This Row],[Receiving Report ref.'#]]),"",IF(inbound_data[[#This Row],[Ending Quantity]]=0,"ZERO","INV"))</f>
        <v/>
      </c>
      <c r="B401" s="165" t="str">
        <f t="shared" si="47"/>
        <v/>
      </c>
      <c r="C401" s="165" t="str">
        <f>IF(ISBLANK(D401),"",inbound_data[[#This Row],[Pallet_Series]]&amp;inbound_data[[#This Row],[No.]])</f>
        <v/>
      </c>
      <c r="D401" s="54"/>
      <c r="E401" s="55"/>
      <c r="F401" s="56"/>
      <c r="G401" s="57"/>
      <c r="H401" s="53"/>
      <c r="I401" s="53"/>
      <c r="J401" s="55"/>
      <c r="K401" s="58"/>
      <c r="L401" s="59"/>
      <c r="M401" s="55"/>
      <c r="N401" s="60"/>
      <c r="O401" s="60"/>
      <c r="P401" s="165" t="str">
        <f t="shared" ca="1" si="48"/>
        <v/>
      </c>
      <c r="Q401" s="165" t="str">
        <f t="shared" ca="1" si="49"/>
        <v/>
      </c>
      <c r="R401" s="79"/>
      <c r="S401" s="80"/>
      <c r="T401" s="61">
        <f t="shared" si="50"/>
        <v>0</v>
      </c>
      <c r="U401" s="61">
        <f t="shared" si="51"/>
        <v>0</v>
      </c>
      <c r="V401" s="61">
        <f t="shared" si="52"/>
        <v>0</v>
      </c>
      <c r="W401" s="58"/>
      <c r="X401" s="58"/>
      <c r="Y401" s="53"/>
      <c r="Z401" s="57"/>
      <c r="AA401" s="62"/>
      <c r="AB401" s="62"/>
      <c r="AC401" s="62"/>
      <c r="AD401" s="62"/>
      <c r="AE401" s="62"/>
      <c r="AF401" s="63"/>
      <c r="AG401" s="64" t="str">
        <f t="shared" si="53"/>
        <v/>
      </c>
    </row>
    <row r="402" spans="1:33" x14ac:dyDescent="0.25">
      <c r="A402" s="46" t="str">
        <f>IF(ISBLANK(inbound_data[[#This Row],[Receiving Report ref.'#]]),"",IF(inbound_data[[#This Row],[Ending Quantity]]=0,"ZERO","INV"))</f>
        <v/>
      </c>
      <c r="B402" s="165" t="str">
        <f t="shared" si="47"/>
        <v/>
      </c>
      <c r="C402" s="165" t="str">
        <f>IF(ISBLANK(D402),"",inbound_data[[#This Row],[Pallet_Series]]&amp;inbound_data[[#This Row],[No.]])</f>
        <v/>
      </c>
      <c r="D402" s="54"/>
      <c r="E402" s="55"/>
      <c r="F402" s="56"/>
      <c r="G402" s="57"/>
      <c r="H402" s="53"/>
      <c r="I402" s="53"/>
      <c r="J402" s="55"/>
      <c r="K402" s="58"/>
      <c r="L402" s="59"/>
      <c r="M402" s="55"/>
      <c r="N402" s="60"/>
      <c r="O402" s="60"/>
      <c r="P402" s="165" t="str">
        <f t="shared" ca="1" si="48"/>
        <v/>
      </c>
      <c r="Q402" s="165" t="str">
        <f t="shared" ca="1" si="49"/>
        <v/>
      </c>
      <c r="R402" s="79"/>
      <c r="S402" s="80"/>
      <c r="T402" s="61">
        <f t="shared" si="50"/>
        <v>0</v>
      </c>
      <c r="U402" s="61">
        <f t="shared" si="51"/>
        <v>0</v>
      </c>
      <c r="V402" s="61">
        <f t="shared" si="52"/>
        <v>0</v>
      </c>
      <c r="W402" s="58"/>
      <c r="X402" s="58"/>
      <c r="Y402" s="53"/>
      <c r="Z402" s="57"/>
      <c r="AA402" s="62"/>
      <c r="AB402" s="62"/>
      <c r="AC402" s="62"/>
      <c r="AD402" s="62"/>
      <c r="AE402" s="62"/>
      <c r="AF402" s="63"/>
      <c r="AG402" s="64" t="str">
        <f t="shared" si="53"/>
        <v/>
      </c>
    </row>
    <row r="403" spans="1:33" x14ac:dyDescent="0.25">
      <c r="A403" s="46" t="str">
        <f>IF(ISBLANK(inbound_data[[#This Row],[Receiving Report ref.'#]]),"",IF(inbound_data[[#This Row],[Ending Quantity]]=0,"ZERO","INV"))</f>
        <v/>
      </c>
      <c r="B403" s="165" t="str">
        <f t="shared" si="47"/>
        <v/>
      </c>
      <c r="C403" s="165" t="str">
        <f>IF(ISBLANK(D403),"",inbound_data[[#This Row],[Pallet_Series]]&amp;inbound_data[[#This Row],[No.]])</f>
        <v/>
      </c>
      <c r="D403" s="54"/>
      <c r="E403" s="55"/>
      <c r="F403" s="56"/>
      <c r="G403" s="57"/>
      <c r="H403" s="53"/>
      <c r="I403" s="53"/>
      <c r="J403" s="55"/>
      <c r="K403" s="58"/>
      <c r="L403" s="59"/>
      <c r="M403" s="55"/>
      <c r="N403" s="60"/>
      <c r="O403" s="60"/>
      <c r="P403" s="165" t="str">
        <f t="shared" ca="1" si="48"/>
        <v/>
      </c>
      <c r="Q403" s="165" t="str">
        <f t="shared" ca="1" si="49"/>
        <v/>
      </c>
      <c r="R403" s="79"/>
      <c r="S403" s="80"/>
      <c r="T403" s="61">
        <f t="shared" si="50"/>
        <v>0</v>
      </c>
      <c r="U403" s="61">
        <f t="shared" si="51"/>
        <v>0</v>
      </c>
      <c r="V403" s="61">
        <f t="shared" si="52"/>
        <v>0</v>
      </c>
      <c r="W403" s="58"/>
      <c r="X403" s="58"/>
      <c r="Y403" s="53"/>
      <c r="Z403" s="57"/>
      <c r="AA403" s="62"/>
      <c r="AB403" s="62"/>
      <c r="AC403" s="62"/>
      <c r="AD403" s="62"/>
      <c r="AE403" s="62"/>
      <c r="AF403" s="63"/>
      <c r="AG403" s="64" t="str">
        <f t="shared" si="53"/>
        <v/>
      </c>
    </row>
    <row r="404" spans="1:33" x14ac:dyDescent="0.25">
      <c r="A404" s="46" t="str">
        <f>IF(ISBLANK(inbound_data[[#This Row],[Receiving Report ref.'#]]),"",IF(inbound_data[[#This Row],[Ending Quantity]]=0,"ZERO","INV"))</f>
        <v/>
      </c>
      <c r="B404" s="165" t="str">
        <f t="shared" si="47"/>
        <v/>
      </c>
      <c r="C404" s="165" t="str">
        <f>IF(ISBLANK(D404),"",inbound_data[[#This Row],[Pallet_Series]]&amp;inbound_data[[#This Row],[No.]])</f>
        <v/>
      </c>
      <c r="D404" s="54"/>
      <c r="E404" s="55"/>
      <c r="F404" s="56"/>
      <c r="G404" s="57"/>
      <c r="H404" s="53"/>
      <c r="I404" s="53"/>
      <c r="J404" s="55"/>
      <c r="K404" s="58"/>
      <c r="L404" s="59"/>
      <c r="M404" s="55"/>
      <c r="N404" s="60"/>
      <c r="O404" s="60"/>
      <c r="P404" s="165" t="str">
        <f t="shared" ca="1" si="48"/>
        <v/>
      </c>
      <c r="Q404" s="165" t="str">
        <f t="shared" ca="1" si="49"/>
        <v/>
      </c>
      <c r="R404" s="79"/>
      <c r="S404" s="80"/>
      <c r="T404" s="61">
        <f t="shared" si="50"/>
        <v>0</v>
      </c>
      <c r="U404" s="61">
        <f t="shared" si="51"/>
        <v>0</v>
      </c>
      <c r="V404" s="61">
        <f t="shared" si="52"/>
        <v>0</v>
      </c>
      <c r="W404" s="58"/>
      <c r="X404" s="58"/>
      <c r="Y404" s="53"/>
      <c r="Z404" s="57"/>
      <c r="AA404" s="62"/>
      <c r="AB404" s="62"/>
      <c r="AC404" s="62"/>
      <c r="AD404" s="62"/>
      <c r="AE404" s="62"/>
      <c r="AF404" s="63"/>
      <c r="AG404" s="64" t="str">
        <f t="shared" si="53"/>
        <v/>
      </c>
    </row>
    <row r="405" spans="1:33" x14ac:dyDescent="0.25">
      <c r="A405" s="46" t="str">
        <f>IF(ISBLANK(inbound_data[[#This Row],[Receiving Report ref.'#]]),"",IF(inbound_data[[#This Row],[Ending Quantity]]=0,"ZERO","INV"))</f>
        <v/>
      </c>
      <c r="B405" s="165" t="str">
        <f t="shared" si="47"/>
        <v/>
      </c>
      <c r="C405" s="165" t="str">
        <f>IF(ISBLANK(D405),"",inbound_data[[#This Row],[Pallet_Series]]&amp;inbound_data[[#This Row],[No.]])</f>
        <v/>
      </c>
      <c r="D405" s="54"/>
      <c r="E405" s="55"/>
      <c r="F405" s="56"/>
      <c r="G405" s="57"/>
      <c r="H405" s="53"/>
      <c r="I405" s="53"/>
      <c r="J405" s="55"/>
      <c r="K405" s="58"/>
      <c r="L405" s="59"/>
      <c r="M405" s="55"/>
      <c r="N405" s="60"/>
      <c r="O405" s="60"/>
      <c r="P405" s="165" t="str">
        <f t="shared" ca="1" si="48"/>
        <v/>
      </c>
      <c r="Q405" s="165" t="str">
        <f t="shared" ca="1" si="49"/>
        <v/>
      </c>
      <c r="R405" s="79"/>
      <c r="S405" s="80"/>
      <c r="T405" s="61">
        <f t="shared" si="50"/>
        <v>0</v>
      </c>
      <c r="U405" s="61">
        <f t="shared" si="51"/>
        <v>0</v>
      </c>
      <c r="V405" s="61">
        <f t="shared" si="52"/>
        <v>0</v>
      </c>
      <c r="W405" s="58"/>
      <c r="X405" s="58"/>
      <c r="Y405" s="53"/>
      <c r="Z405" s="57"/>
      <c r="AA405" s="62"/>
      <c r="AB405" s="62"/>
      <c r="AC405" s="62"/>
      <c r="AD405" s="62"/>
      <c r="AE405" s="62"/>
      <c r="AF405" s="63"/>
      <c r="AG405" s="64" t="str">
        <f t="shared" si="53"/>
        <v/>
      </c>
    </row>
    <row r="406" spans="1:33" x14ac:dyDescent="0.25">
      <c r="A406" s="46" t="str">
        <f>IF(ISBLANK(inbound_data[[#This Row],[Receiving Report ref.'#]]),"",IF(inbound_data[[#This Row],[Ending Quantity]]=0,"ZERO","INV"))</f>
        <v/>
      </c>
      <c r="B406" s="165" t="str">
        <f t="shared" si="47"/>
        <v/>
      </c>
      <c r="C406" s="165" t="str">
        <f>IF(ISBLANK(D406),"",inbound_data[[#This Row],[Pallet_Series]]&amp;inbound_data[[#This Row],[No.]])</f>
        <v/>
      </c>
      <c r="D406" s="54"/>
      <c r="E406" s="55"/>
      <c r="F406" s="56"/>
      <c r="G406" s="57"/>
      <c r="H406" s="53"/>
      <c r="I406" s="53"/>
      <c r="J406" s="55"/>
      <c r="K406" s="58"/>
      <c r="L406" s="59"/>
      <c r="M406" s="55"/>
      <c r="N406" s="60"/>
      <c r="O406" s="60"/>
      <c r="P406" s="165" t="str">
        <f t="shared" ca="1" si="48"/>
        <v/>
      </c>
      <c r="Q406" s="165" t="str">
        <f t="shared" ca="1" si="49"/>
        <v/>
      </c>
      <c r="R406" s="79"/>
      <c r="S406" s="80"/>
      <c r="T406" s="61">
        <f t="shared" si="50"/>
        <v>0</v>
      </c>
      <c r="U406" s="61">
        <f t="shared" si="51"/>
        <v>0</v>
      </c>
      <c r="V406" s="61">
        <f t="shared" si="52"/>
        <v>0</v>
      </c>
      <c r="W406" s="58"/>
      <c r="X406" s="58"/>
      <c r="Y406" s="53"/>
      <c r="Z406" s="57"/>
      <c r="AA406" s="62"/>
      <c r="AB406" s="62"/>
      <c r="AC406" s="62"/>
      <c r="AD406" s="62"/>
      <c r="AE406" s="62"/>
      <c r="AF406" s="63"/>
      <c r="AG406" s="64" t="str">
        <f t="shared" si="53"/>
        <v/>
      </c>
    </row>
    <row r="407" spans="1:33" x14ac:dyDescent="0.25">
      <c r="A407" s="46" t="str">
        <f>IF(ISBLANK(inbound_data[[#This Row],[Receiving Report ref.'#]]),"",IF(inbound_data[[#This Row],[Ending Quantity]]=0,"ZERO","INV"))</f>
        <v/>
      </c>
      <c r="B407" s="165" t="str">
        <f t="shared" si="47"/>
        <v/>
      </c>
      <c r="C407" s="165" t="str">
        <f>IF(ISBLANK(D407),"",inbound_data[[#This Row],[Pallet_Series]]&amp;inbound_data[[#This Row],[No.]])</f>
        <v/>
      </c>
      <c r="D407" s="54"/>
      <c r="E407" s="55"/>
      <c r="F407" s="56"/>
      <c r="G407" s="57"/>
      <c r="H407" s="53"/>
      <c r="I407" s="53"/>
      <c r="J407" s="55"/>
      <c r="K407" s="58"/>
      <c r="L407" s="59"/>
      <c r="M407" s="55"/>
      <c r="N407" s="60"/>
      <c r="O407" s="60"/>
      <c r="P407" s="165" t="str">
        <f t="shared" ca="1" si="48"/>
        <v/>
      </c>
      <c r="Q407" s="165" t="str">
        <f t="shared" ca="1" si="49"/>
        <v/>
      </c>
      <c r="R407" s="79"/>
      <c r="S407" s="80"/>
      <c r="T407" s="61">
        <f t="shared" si="50"/>
        <v>0</v>
      </c>
      <c r="U407" s="61">
        <f t="shared" si="51"/>
        <v>0</v>
      </c>
      <c r="V407" s="61">
        <f t="shared" si="52"/>
        <v>0</v>
      </c>
      <c r="W407" s="58"/>
      <c r="X407" s="58"/>
      <c r="Y407" s="53"/>
      <c r="Z407" s="57"/>
      <c r="AA407" s="62"/>
      <c r="AB407" s="62"/>
      <c r="AC407" s="62"/>
      <c r="AD407" s="62"/>
      <c r="AE407" s="62"/>
      <c r="AF407" s="63"/>
      <c r="AG407" s="64" t="str">
        <f t="shared" si="53"/>
        <v/>
      </c>
    </row>
    <row r="408" spans="1:33" x14ac:dyDescent="0.25">
      <c r="A408" s="46" t="str">
        <f>IF(ISBLANK(inbound_data[[#This Row],[Receiving Report ref.'#]]),"",IF(inbound_data[[#This Row],[Ending Quantity]]=0,"ZERO","INV"))</f>
        <v/>
      </c>
      <c r="B408" s="165" t="str">
        <f t="shared" si="47"/>
        <v/>
      </c>
      <c r="C408" s="165" t="str">
        <f>IF(ISBLANK(D408),"",inbound_data[[#This Row],[Pallet_Series]]&amp;inbound_data[[#This Row],[No.]])</f>
        <v/>
      </c>
      <c r="D408" s="54"/>
      <c r="E408" s="55"/>
      <c r="F408" s="56"/>
      <c r="G408" s="57"/>
      <c r="H408" s="53"/>
      <c r="I408" s="53"/>
      <c r="J408" s="55"/>
      <c r="K408" s="58"/>
      <c r="L408" s="59"/>
      <c r="M408" s="55"/>
      <c r="N408" s="60"/>
      <c r="O408" s="60"/>
      <c r="P408" s="165" t="str">
        <f t="shared" ca="1" si="48"/>
        <v/>
      </c>
      <c r="Q408" s="165" t="str">
        <f t="shared" ca="1" si="49"/>
        <v/>
      </c>
      <c r="R408" s="79"/>
      <c r="S408" s="80"/>
      <c r="T408" s="61">
        <f t="shared" si="50"/>
        <v>0</v>
      </c>
      <c r="U408" s="61">
        <f t="shared" si="51"/>
        <v>0</v>
      </c>
      <c r="V408" s="61">
        <f t="shared" si="52"/>
        <v>0</v>
      </c>
      <c r="W408" s="58"/>
      <c r="X408" s="58"/>
      <c r="Y408" s="53"/>
      <c r="Z408" s="57"/>
      <c r="AA408" s="62"/>
      <c r="AB408" s="62"/>
      <c r="AC408" s="62"/>
      <c r="AD408" s="62"/>
      <c r="AE408" s="62"/>
      <c r="AF408" s="63"/>
      <c r="AG408" s="64" t="str">
        <f t="shared" si="53"/>
        <v/>
      </c>
    </row>
    <row r="409" spans="1:33" x14ac:dyDescent="0.25">
      <c r="A409" s="46" t="str">
        <f>IF(ISBLANK(inbound_data[[#This Row],[Receiving Report ref.'#]]),"",IF(inbound_data[[#This Row],[Ending Quantity]]=0,"ZERO","INV"))</f>
        <v/>
      </c>
      <c r="B409" s="165" t="str">
        <f t="shared" si="47"/>
        <v/>
      </c>
      <c r="C409" s="165" t="str">
        <f>IF(ISBLANK(D409),"",inbound_data[[#This Row],[Pallet_Series]]&amp;inbound_data[[#This Row],[No.]])</f>
        <v/>
      </c>
      <c r="D409" s="54"/>
      <c r="E409" s="55"/>
      <c r="F409" s="56"/>
      <c r="G409" s="57"/>
      <c r="H409" s="53"/>
      <c r="I409" s="53"/>
      <c r="J409" s="55"/>
      <c r="K409" s="58"/>
      <c r="L409" s="59"/>
      <c r="M409" s="55"/>
      <c r="N409" s="60"/>
      <c r="O409" s="60"/>
      <c r="P409" s="165" t="str">
        <f t="shared" ca="1" si="48"/>
        <v/>
      </c>
      <c r="Q409" s="165" t="str">
        <f t="shared" ca="1" si="49"/>
        <v/>
      </c>
      <c r="R409" s="79"/>
      <c r="S409" s="80"/>
      <c r="T409" s="61">
        <f t="shared" si="50"/>
        <v>0</v>
      </c>
      <c r="U409" s="61">
        <f t="shared" si="51"/>
        <v>0</v>
      </c>
      <c r="V409" s="61">
        <f t="shared" si="52"/>
        <v>0</v>
      </c>
      <c r="W409" s="58"/>
      <c r="X409" s="58"/>
      <c r="Y409" s="53"/>
      <c r="Z409" s="57"/>
      <c r="AA409" s="62"/>
      <c r="AB409" s="62"/>
      <c r="AC409" s="62"/>
      <c r="AD409" s="62"/>
      <c r="AE409" s="62"/>
      <c r="AF409" s="63"/>
      <c r="AG409" s="64" t="str">
        <f t="shared" si="53"/>
        <v/>
      </c>
    </row>
    <row r="410" spans="1:33" x14ac:dyDescent="0.25">
      <c r="A410" s="46" t="str">
        <f>IF(ISBLANK(inbound_data[[#This Row],[Receiving Report ref.'#]]),"",IF(inbound_data[[#This Row],[Ending Quantity]]=0,"ZERO","INV"))</f>
        <v/>
      </c>
      <c r="B410" s="165" t="str">
        <f t="shared" si="47"/>
        <v/>
      </c>
      <c r="C410" s="165" t="str">
        <f>IF(ISBLANK(D410),"",inbound_data[[#This Row],[Pallet_Series]]&amp;inbound_data[[#This Row],[No.]])</f>
        <v/>
      </c>
      <c r="D410" s="54"/>
      <c r="E410" s="55"/>
      <c r="F410" s="56"/>
      <c r="G410" s="57"/>
      <c r="H410" s="53"/>
      <c r="I410" s="53"/>
      <c r="J410" s="55"/>
      <c r="K410" s="58"/>
      <c r="L410" s="59"/>
      <c r="M410" s="55"/>
      <c r="N410" s="60"/>
      <c r="O410" s="60"/>
      <c r="P410" s="165" t="str">
        <f t="shared" ca="1" si="48"/>
        <v/>
      </c>
      <c r="Q410" s="165" t="str">
        <f t="shared" ca="1" si="49"/>
        <v/>
      </c>
      <c r="R410" s="79"/>
      <c r="S410" s="80"/>
      <c r="T410" s="61">
        <f t="shared" si="50"/>
        <v>0</v>
      </c>
      <c r="U410" s="61">
        <f t="shared" si="51"/>
        <v>0</v>
      </c>
      <c r="V410" s="61">
        <f t="shared" si="52"/>
        <v>0</v>
      </c>
      <c r="W410" s="58"/>
      <c r="X410" s="58"/>
      <c r="Y410" s="53"/>
      <c r="Z410" s="57"/>
      <c r="AA410" s="62"/>
      <c r="AB410" s="62"/>
      <c r="AC410" s="62"/>
      <c r="AD410" s="62"/>
      <c r="AE410" s="62"/>
      <c r="AF410" s="63"/>
      <c r="AG410" s="64" t="str">
        <f t="shared" si="53"/>
        <v/>
      </c>
    </row>
    <row r="411" spans="1:33" x14ac:dyDescent="0.25">
      <c r="A411" s="46" t="str">
        <f>IF(ISBLANK(inbound_data[[#This Row],[Receiving Report ref.'#]]),"",IF(inbound_data[[#This Row],[Ending Quantity]]=0,"ZERO","INV"))</f>
        <v/>
      </c>
      <c r="B411" s="165" t="str">
        <f t="shared" si="47"/>
        <v/>
      </c>
      <c r="C411" s="165" t="str">
        <f>IF(ISBLANK(D411),"",inbound_data[[#This Row],[Pallet_Series]]&amp;inbound_data[[#This Row],[No.]])</f>
        <v/>
      </c>
      <c r="D411" s="54"/>
      <c r="E411" s="55"/>
      <c r="F411" s="56"/>
      <c r="G411" s="57"/>
      <c r="H411" s="53"/>
      <c r="I411" s="53"/>
      <c r="J411" s="55"/>
      <c r="K411" s="58"/>
      <c r="L411" s="59"/>
      <c r="M411" s="55"/>
      <c r="N411" s="60"/>
      <c r="O411" s="60"/>
      <c r="P411" s="165" t="str">
        <f t="shared" ca="1" si="48"/>
        <v/>
      </c>
      <c r="Q411" s="165" t="str">
        <f t="shared" ca="1" si="49"/>
        <v/>
      </c>
      <c r="R411" s="79"/>
      <c r="S411" s="80"/>
      <c r="T411" s="61">
        <f t="shared" si="50"/>
        <v>0</v>
      </c>
      <c r="U411" s="61">
        <f t="shared" si="51"/>
        <v>0</v>
      </c>
      <c r="V411" s="61">
        <f t="shared" si="52"/>
        <v>0</v>
      </c>
      <c r="W411" s="58"/>
      <c r="X411" s="58"/>
      <c r="Y411" s="53"/>
      <c r="Z411" s="57"/>
      <c r="AA411" s="62"/>
      <c r="AB411" s="62"/>
      <c r="AC411" s="62"/>
      <c r="AD411" s="62"/>
      <c r="AE411" s="62"/>
      <c r="AF411" s="63"/>
      <c r="AG411" s="64" t="str">
        <f t="shared" si="53"/>
        <v/>
      </c>
    </row>
    <row r="412" spans="1:33" x14ac:dyDescent="0.25">
      <c r="A412" s="46" t="str">
        <f>IF(ISBLANK(inbound_data[[#This Row],[Receiving Report ref.'#]]),"",IF(inbound_data[[#This Row],[Ending Quantity]]=0,"ZERO","INV"))</f>
        <v/>
      </c>
      <c r="B412" s="165" t="str">
        <f t="shared" si="47"/>
        <v/>
      </c>
      <c r="C412" s="165" t="str">
        <f>IF(ISBLANK(D412),"",inbound_data[[#This Row],[Pallet_Series]]&amp;inbound_data[[#This Row],[No.]])</f>
        <v/>
      </c>
      <c r="D412" s="54"/>
      <c r="E412" s="55"/>
      <c r="F412" s="56"/>
      <c r="G412" s="57"/>
      <c r="H412" s="53"/>
      <c r="I412" s="53"/>
      <c r="J412" s="55"/>
      <c r="K412" s="58"/>
      <c r="L412" s="59"/>
      <c r="M412" s="55"/>
      <c r="N412" s="60"/>
      <c r="O412" s="60"/>
      <c r="P412" s="165" t="str">
        <f t="shared" ca="1" si="48"/>
        <v/>
      </c>
      <c r="Q412" s="165" t="str">
        <f t="shared" ca="1" si="49"/>
        <v/>
      </c>
      <c r="R412" s="79"/>
      <c r="S412" s="80"/>
      <c r="T412" s="61">
        <f t="shared" si="50"/>
        <v>0</v>
      </c>
      <c r="U412" s="61">
        <f t="shared" si="51"/>
        <v>0</v>
      </c>
      <c r="V412" s="61">
        <f t="shared" si="52"/>
        <v>0</v>
      </c>
      <c r="W412" s="58"/>
      <c r="X412" s="58"/>
      <c r="Y412" s="53"/>
      <c r="Z412" s="57"/>
      <c r="AA412" s="62"/>
      <c r="AB412" s="62"/>
      <c r="AC412" s="62"/>
      <c r="AD412" s="62"/>
      <c r="AE412" s="62"/>
      <c r="AF412" s="63"/>
      <c r="AG412" s="64" t="str">
        <f t="shared" si="53"/>
        <v/>
      </c>
    </row>
    <row r="413" spans="1:33" x14ac:dyDescent="0.25">
      <c r="A413" s="46" t="str">
        <f>IF(ISBLANK(inbound_data[[#This Row],[Receiving Report ref.'#]]),"",IF(inbound_data[[#This Row],[Ending Quantity]]=0,"ZERO","INV"))</f>
        <v/>
      </c>
      <c r="B413" s="165" t="str">
        <f t="shared" si="47"/>
        <v/>
      </c>
      <c r="C413" s="165" t="str">
        <f>IF(ISBLANK(D413),"",inbound_data[[#This Row],[Pallet_Series]]&amp;inbound_data[[#This Row],[No.]])</f>
        <v/>
      </c>
      <c r="D413" s="54"/>
      <c r="E413" s="55"/>
      <c r="F413" s="56"/>
      <c r="G413" s="57"/>
      <c r="H413" s="53"/>
      <c r="I413" s="53"/>
      <c r="J413" s="55"/>
      <c r="K413" s="58"/>
      <c r="L413" s="59"/>
      <c r="M413" s="55"/>
      <c r="N413" s="60"/>
      <c r="O413" s="60"/>
      <c r="P413" s="165" t="str">
        <f t="shared" ca="1" si="48"/>
        <v/>
      </c>
      <c r="Q413" s="165" t="str">
        <f t="shared" ca="1" si="49"/>
        <v/>
      </c>
      <c r="R413" s="79"/>
      <c r="S413" s="80"/>
      <c r="T413" s="61">
        <f t="shared" si="50"/>
        <v>0</v>
      </c>
      <c r="U413" s="61">
        <f t="shared" si="51"/>
        <v>0</v>
      </c>
      <c r="V413" s="61">
        <f t="shared" si="52"/>
        <v>0</v>
      </c>
      <c r="W413" s="58"/>
      <c r="X413" s="58"/>
      <c r="Y413" s="53"/>
      <c r="Z413" s="57"/>
      <c r="AA413" s="62"/>
      <c r="AB413" s="62"/>
      <c r="AC413" s="62"/>
      <c r="AD413" s="62"/>
      <c r="AE413" s="62"/>
      <c r="AF413" s="63"/>
      <c r="AG413" s="64" t="str">
        <f t="shared" si="53"/>
        <v/>
      </c>
    </row>
    <row r="414" spans="1:33" x14ac:dyDescent="0.25">
      <c r="A414" s="46" t="str">
        <f>IF(ISBLANK(inbound_data[[#This Row],[Receiving Report ref.'#]]),"",IF(inbound_data[[#This Row],[Ending Quantity]]=0,"ZERO","INV"))</f>
        <v/>
      </c>
      <c r="B414" s="165" t="str">
        <f t="shared" si="47"/>
        <v/>
      </c>
      <c r="C414" s="165" t="str">
        <f>IF(ISBLANK(D414),"",inbound_data[[#This Row],[Pallet_Series]]&amp;inbound_data[[#This Row],[No.]])</f>
        <v/>
      </c>
      <c r="D414" s="54"/>
      <c r="E414" s="55"/>
      <c r="F414" s="56"/>
      <c r="G414" s="57"/>
      <c r="H414" s="53"/>
      <c r="I414" s="53"/>
      <c r="J414" s="55"/>
      <c r="K414" s="58"/>
      <c r="L414" s="59"/>
      <c r="M414" s="55"/>
      <c r="N414" s="60"/>
      <c r="O414" s="60"/>
      <c r="P414" s="165" t="str">
        <f t="shared" ca="1" si="48"/>
        <v/>
      </c>
      <c r="Q414" s="165" t="str">
        <f t="shared" ca="1" si="49"/>
        <v/>
      </c>
      <c r="R414" s="79"/>
      <c r="S414" s="80"/>
      <c r="T414" s="61">
        <f t="shared" si="50"/>
        <v>0</v>
      </c>
      <c r="U414" s="61">
        <f t="shared" si="51"/>
        <v>0</v>
      </c>
      <c r="V414" s="61">
        <f t="shared" si="52"/>
        <v>0</v>
      </c>
      <c r="W414" s="58"/>
      <c r="X414" s="58"/>
      <c r="Y414" s="53"/>
      <c r="Z414" s="57"/>
      <c r="AA414" s="62"/>
      <c r="AB414" s="62"/>
      <c r="AC414" s="62"/>
      <c r="AD414" s="62"/>
      <c r="AE414" s="62"/>
      <c r="AF414" s="63"/>
      <c r="AG414" s="64" t="str">
        <f t="shared" si="53"/>
        <v/>
      </c>
    </row>
    <row r="415" spans="1:33" x14ac:dyDescent="0.25">
      <c r="A415" s="46" t="str">
        <f>IF(ISBLANK(inbound_data[[#This Row],[Receiving Report ref.'#]]),"",IF(inbound_data[[#This Row],[Ending Quantity]]=0,"ZERO","INV"))</f>
        <v/>
      </c>
      <c r="B415" s="165" t="str">
        <f t="shared" si="47"/>
        <v/>
      </c>
      <c r="C415" s="165" t="str">
        <f>IF(ISBLANK(D415),"",inbound_data[[#This Row],[Pallet_Series]]&amp;inbound_data[[#This Row],[No.]])</f>
        <v/>
      </c>
      <c r="D415" s="54"/>
      <c r="E415" s="55"/>
      <c r="F415" s="56"/>
      <c r="G415" s="57"/>
      <c r="H415" s="53"/>
      <c r="I415" s="53"/>
      <c r="J415" s="55"/>
      <c r="K415" s="58"/>
      <c r="L415" s="59"/>
      <c r="M415" s="55"/>
      <c r="N415" s="60"/>
      <c r="O415" s="60"/>
      <c r="P415" s="165" t="str">
        <f t="shared" ca="1" si="48"/>
        <v/>
      </c>
      <c r="Q415" s="165" t="str">
        <f t="shared" ca="1" si="49"/>
        <v/>
      </c>
      <c r="R415" s="79"/>
      <c r="S415" s="80"/>
      <c r="T415" s="61">
        <f t="shared" si="50"/>
        <v>0</v>
      </c>
      <c r="U415" s="61">
        <f t="shared" si="51"/>
        <v>0</v>
      </c>
      <c r="V415" s="61">
        <f t="shared" si="52"/>
        <v>0</v>
      </c>
      <c r="W415" s="58"/>
      <c r="X415" s="58"/>
      <c r="Y415" s="53"/>
      <c r="Z415" s="57"/>
      <c r="AA415" s="62"/>
      <c r="AB415" s="62"/>
      <c r="AC415" s="62"/>
      <c r="AD415" s="62"/>
      <c r="AE415" s="62"/>
      <c r="AF415" s="63"/>
      <c r="AG415" s="64" t="str">
        <f t="shared" si="53"/>
        <v/>
      </c>
    </row>
    <row r="416" spans="1:33" x14ac:dyDescent="0.25">
      <c r="A416" s="46" t="str">
        <f>IF(ISBLANK(inbound_data[[#This Row],[Receiving Report ref.'#]]),"",IF(inbound_data[[#This Row],[Ending Quantity]]=0,"ZERO","INV"))</f>
        <v/>
      </c>
      <c r="B416" s="165" t="str">
        <f t="shared" si="47"/>
        <v/>
      </c>
      <c r="C416" s="165" t="str">
        <f>IF(ISBLANK(D416),"",inbound_data[[#This Row],[Pallet_Series]]&amp;inbound_data[[#This Row],[No.]])</f>
        <v/>
      </c>
      <c r="D416" s="54"/>
      <c r="E416" s="55"/>
      <c r="F416" s="56"/>
      <c r="G416" s="57"/>
      <c r="H416" s="53"/>
      <c r="I416" s="53"/>
      <c r="J416" s="55"/>
      <c r="K416" s="58"/>
      <c r="L416" s="59"/>
      <c r="M416" s="55"/>
      <c r="N416" s="60"/>
      <c r="O416" s="60"/>
      <c r="P416" s="165" t="str">
        <f t="shared" ca="1" si="48"/>
        <v/>
      </c>
      <c r="Q416" s="165" t="str">
        <f t="shared" ca="1" si="49"/>
        <v/>
      </c>
      <c r="R416" s="79"/>
      <c r="S416" s="80"/>
      <c r="T416" s="61">
        <f t="shared" si="50"/>
        <v>0</v>
      </c>
      <c r="U416" s="61">
        <f t="shared" si="51"/>
        <v>0</v>
      </c>
      <c r="V416" s="61">
        <f t="shared" si="52"/>
        <v>0</v>
      </c>
      <c r="W416" s="58"/>
      <c r="X416" s="58"/>
      <c r="Y416" s="53"/>
      <c r="Z416" s="57"/>
      <c r="AA416" s="62"/>
      <c r="AB416" s="62"/>
      <c r="AC416" s="62"/>
      <c r="AD416" s="62"/>
      <c r="AE416" s="62"/>
      <c r="AF416" s="63"/>
      <c r="AG416" s="64" t="str">
        <f t="shared" si="53"/>
        <v/>
      </c>
    </row>
    <row r="417" spans="1:33" x14ac:dyDescent="0.25">
      <c r="A417" s="46" t="str">
        <f>IF(ISBLANK(inbound_data[[#This Row],[Receiving Report ref.'#]]),"",IF(inbound_data[[#This Row],[Ending Quantity]]=0,"ZERO","INV"))</f>
        <v/>
      </c>
      <c r="B417" s="165" t="str">
        <f t="shared" si="47"/>
        <v/>
      </c>
      <c r="C417" s="165" t="str">
        <f>IF(ISBLANK(D417),"",inbound_data[[#This Row],[Pallet_Series]]&amp;inbound_data[[#This Row],[No.]])</f>
        <v/>
      </c>
      <c r="D417" s="54"/>
      <c r="E417" s="55"/>
      <c r="F417" s="56"/>
      <c r="G417" s="57"/>
      <c r="H417" s="53"/>
      <c r="I417" s="53"/>
      <c r="J417" s="55"/>
      <c r="K417" s="58"/>
      <c r="L417" s="59"/>
      <c r="M417" s="55"/>
      <c r="N417" s="60"/>
      <c r="O417" s="60"/>
      <c r="P417" s="165" t="str">
        <f t="shared" ca="1" si="48"/>
        <v/>
      </c>
      <c r="Q417" s="165" t="str">
        <f t="shared" ca="1" si="49"/>
        <v/>
      </c>
      <c r="R417" s="79"/>
      <c r="S417" s="80"/>
      <c r="T417" s="61">
        <f t="shared" si="50"/>
        <v>0</v>
      </c>
      <c r="U417" s="61">
        <f t="shared" si="51"/>
        <v>0</v>
      </c>
      <c r="V417" s="61">
        <f t="shared" si="52"/>
        <v>0</v>
      </c>
      <c r="W417" s="58"/>
      <c r="X417" s="58"/>
      <c r="Y417" s="53"/>
      <c r="Z417" s="57"/>
      <c r="AA417" s="62"/>
      <c r="AB417" s="62"/>
      <c r="AC417" s="62"/>
      <c r="AD417" s="62"/>
      <c r="AE417" s="62"/>
      <c r="AF417" s="63"/>
      <c r="AG417" s="64" t="str">
        <f t="shared" si="53"/>
        <v/>
      </c>
    </row>
    <row r="418" spans="1:33" x14ac:dyDescent="0.25">
      <c r="A418" s="46" t="str">
        <f>IF(ISBLANK(inbound_data[[#This Row],[Receiving Report ref.'#]]),"",IF(inbound_data[[#This Row],[Ending Quantity]]=0,"ZERO","INV"))</f>
        <v/>
      </c>
      <c r="B418" s="165" t="str">
        <f t="shared" si="47"/>
        <v/>
      </c>
      <c r="C418" s="165" t="str">
        <f>IF(ISBLANK(D418),"",inbound_data[[#This Row],[Pallet_Series]]&amp;inbound_data[[#This Row],[No.]])</f>
        <v/>
      </c>
      <c r="D418" s="54"/>
      <c r="E418" s="55"/>
      <c r="F418" s="56"/>
      <c r="G418" s="57"/>
      <c r="H418" s="53"/>
      <c r="I418" s="53"/>
      <c r="J418" s="55"/>
      <c r="K418" s="58"/>
      <c r="L418" s="59"/>
      <c r="M418" s="55"/>
      <c r="N418" s="60"/>
      <c r="O418" s="60"/>
      <c r="P418" s="165" t="str">
        <f t="shared" ca="1" si="48"/>
        <v/>
      </c>
      <c r="Q418" s="165" t="str">
        <f t="shared" ca="1" si="49"/>
        <v/>
      </c>
      <c r="R418" s="79"/>
      <c r="S418" s="80"/>
      <c r="T418" s="61">
        <f t="shared" si="50"/>
        <v>0</v>
      </c>
      <c r="U418" s="61">
        <f t="shared" si="51"/>
        <v>0</v>
      </c>
      <c r="V418" s="61">
        <f t="shared" si="52"/>
        <v>0</v>
      </c>
      <c r="W418" s="58"/>
      <c r="X418" s="58"/>
      <c r="Y418" s="53"/>
      <c r="Z418" s="57"/>
      <c r="AA418" s="62"/>
      <c r="AB418" s="62"/>
      <c r="AC418" s="62"/>
      <c r="AD418" s="62"/>
      <c r="AE418" s="62"/>
      <c r="AF418" s="63"/>
      <c r="AG418" s="64" t="str">
        <f t="shared" si="53"/>
        <v/>
      </c>
    </row>
    <row r="419" spans="1:33" x14ac:dyDescent="0.25">
      <c r="A419" s="46" t="str">
        <f>IF(ISBLANK(inbound_data[[#This Row],[Receiving Report ref.'#]]),"",IF(inbound_data[[#This Row],[Ending Quantity]]=0,"ZERO","INV"))</f>
        <v/>
      </c>
      <c r="B419" s="165" t="str">
        <f t="shared" si="47"/>
        <v/>
      </c>
      <c r="C419" s="165" t="str">
        <f>IF(ISBLANK(D419),"",inbound_data[[#This Row],[Pallet_Series]]&amp;inbound_data[[#This Row],[No.]])</f>
        <v/>
      </c>
      <c r="D419" s="54"/>
      <c r="E419" s="55"/>
      <c r="F419" s="56"/>
      <c r="G419" s="57"/>
      <c r="H419" s="53"/>
      <c r="I419" s="53"/>
      <c r="J419" s="55"/>
      <c r="K419" s="58"/>
      <c r="L419" s="59"/>
      <c r="M419" s="55"/>
      <c r="N419" s="60"/>
      <c r="O419" s="60"/>
      <c r="P419" s="165" t="str">
        <f t="shared" ca="1" si="48"/>
        <v/>
      </c>
      <c r="Q419" s="165" t="str">
        <f t="shared" ca="1" si="49"/>
        <v/>
      </c>
      <c r="R419" s="79"/>
      <c r="S419" s="80"/>
      <c r="T419" s="61">
        <f t="shared" si="50"/>
        <v>0</v>
      </c>
      <c r="U419" s="61">
        <f t="shared" si="51"/>
        <v>0</v>
      </c>
      <c r="V419" s="61">
        <f t="shared" si="52"/>
        <v>0</v>
      </c>
      <c r="W419" s="58"/>
      <c r="X419" s="58"/>
      <c r="Y419" s="53"/>
      <c r="Z419" s="57"/>
      <c r="AA419" s="62"/>
      <c r="AB419" s="62"/>
      <c r="AC419" s="62"/>
      <c r="AD419" s="62"/>
      <c r="AE419" s="62"/>
      <c r="AF419" s="63"/>
      <c r="AG419" s="64" t="str">
        <f t="shared" si="53"/>
        <v/>
      </c>
    </row>
    <row r="420" spans="1:33" x14ac:dyDescent="0.25">
      <c r="A420" s="46" t="str">
        <f>IF(ISBLANK(inbound_data[[#This Row],[Receiving Report ref.'#]]),"",IF(inbound_data[[#This Row],[Ending Quantity]]=0,"ZERO","INV"))</f>
        <v/>
      </c>
      <c r="B420" s="165" t="str">
        <f t="shared" si="47"/>
        <v/>
      </c>
      <c r="C420" s="165" t="str">
        <f>IF(ISBLANK(D420),"",inbound_data[[#This Row],[Pallet_Series]]&amp;inbound_data[[#This Row],[No.]])</f>
        <v/>
      </c>
      <c r="D420" s="54"/>
      <c r="E420" s="55"/>
      <c r="F420" s="56"/>
      <c r="G420" s="57"/>
      <c r="H420" s="53"/>
      <c r="I420" s="53"/>
      <c r="J420" s="55"/>
      <c r="K420" s="58"/>
      <c r="L420" s="59"/>
      <c r="M420" s="55"/>
      <c r="N420" s="60"/>
      <c r="O420" s="60"/>
      <c r="P420" s="165" t="str">
        <f t="shared" ca="1" si="48"/>
        <v/>
      </c>
      <c r="Q420" s="165" t="str">
        <f t="shared" ca="1" si="49"/>
        <v/>
      </c>
      <c r="R420" s="79"/>
      <c r="S420" s="80"/>
      <c r="T420" s="61">
        <f t="shared" si="50"/>
        <v>0</v>
      </c>
      <c r="U420" s="61">
        <f t="shared" si="51"/>
        <v>0</v>
      </c>
      <c r="V420" s="61">
        <f t="shared" si="52"/>
        <v>0</v>
      </c>
      <c r="W420" s="58"/>
      <c r="X420" s="58"/>
      <c r="Y420" s="53"/>
      <c r="Z420" s="57"/>
      <c r="AA420" s="62"/>
      <c r="AB420" s="62"/>
      <c r="AC420" s="62"/>
      <c r="AD420" s="62"/>
      <c r="AE420" s="62"/>
      <c r="AF420" s="63"/>
      <c r="AG420" s="64" t="str">
        <f t="shared" si="53"/>
        <v/>
      </c>
    </row>
    <row r="421" spans="1:33" x14ac:dyDescent="0.25">
      <c r="A421" s="46" t="str">
        <f>IF(ISBLANK(inbound_data[[#This Row],[Receiving Report ref.'#]]),"",IF(inbound_data[[#This Row],[Ending Quantity]]=0,"ZERO","INV"))</f>
        <v/>
      </c>
      <c r="B421" s="165" t="str">
        <f t="shared" si="47"/>
        <v/>
      </c>
      <c r="C421" s="165" t="str">
        <f>IF(ISBLANK(D421),"",inbound_data[[#This Row],[Pallet_Series]]&amp;inbound_data[[#This Row],[No.]])</f>
        <v/>
      </c>
      <c r="D421" s="54"/>
      <c r="E421" s="55"/>
      <c r="F421" s="56"/>
      <c r="G421" s="57"/>
      <c r="H421" s="53"/>
      <c r="I421" s="53"/>
      <c r="J421" s="55"/>
      <c r="K421" s="58"/>
      <c r="L421" s="59"/>
      <c r="M421" s="55"/>
      <c r="N421" s="60"/>
      <c r="O421" s="60"/>
      <c r="P421" s="165" t="str">
        <f t="shared" ca="1" si="48"/>
        <v/>
      </c>
      <c r="Q421" s="165" t="str">
        <f t="shared" ca="1" si="49"/>
        <v/>
      </c>
      <c r="R421" s="79"/>
      <c r="S421" s="80"/>
      <c r="T421" s="61">
        <f t="shared" si="50"/>
        <v>0</v>
      </c>
      <c r="U421" s="61">
        <f t="shared" si="51"/>
        <v>0</v>
      </c>
      <c r="V421" s="61">
        <f t="shared" si="52"/>
        <v>0</v>
      </c>
      <c r="W421" s="58"/>
      <c r="X421" s="58"/>
      <c r="Y421" s="53"/>
      <c r="Z421" s="57"/>
      <c r="AA421" s="62"/>
      <c r="AB421" s="62"/>
      <c r="AC421" s="62"/>
      <c r="AD421" s="62"/>
      <c r="AE421" s="62"/>
      <c r="AF421" s="63"/>
      <c r="AG421" s="64" t="str">
        <f t="shared" si="53"/>
        <v/>
      </c>
    </row>
    <row r="422" spans="1:33" x14ac:dyDescent="0.25">
      <c r="A422" s="46" t="str">
        <f>IF(ISBLANK(inbound_data[[#This Row],[Receiving Report ref.'#]]),"",IF(inbound_data[[#This Row],[Ending Quantity]]=0,"ZERO","INV"))</f>
        <v/>
      </c>
      <c r="B422" s="165" t="str">
        <f t="shared" si="47"/>
        <v/>
      </c>
      <c r="C422" s="165" t="str">
        <f>IF(ISBLANK(D422),"",inbound_data[[#This Row],[Pallet_Series]]&amp;inbound_data[[#This Row],[No.]])</f>
        <v/>
      </c>
      <c r="D422" s="54"/>
      <c r="E422" s="55"/>
      <c r="F422" s="56"/>
      <c r="G422" s="57"/>
      <c r="H422" s="53"/>
      <c r="I422" s="53"/>
      <c r="J422" s="55"/>
      <c r="K422" s="58"/>
      <c r="L422" s="59"/>
      <c r="M422" s="55"/>
      <c r="N422" s="60"/>
      <c r="O422" s="60"/>
      <c r="P422" s="165" t="str">
        <f t="shared" ca="1" si="48"/>
        <v/>
      </c>
      <c r="Q422" s="165" t="str">
        <f t="shared" ca="1" si="49"/>
        <v/>
      </c>
      <c r="R422" s="79"/>
      <c r="S422" s="80"/>
      <c r="T422" s="61">
        <f t="shared" si="50"/>
        <v>0</v>
      </c>
      <c r="U422" s="61">
        <f t="shared" si="51"/>
        <v>0</v>
      </c>
      <c r="V422" s="61">
        <f t="shared" si="52"/>
        <v>0</v>
      </c>
      <c r="W422" s="58"/>
      <c r="X422" s="58"/>
      <c r="Y422" s="53"/>
      <c r="Z422" s="57"/>
      <c r="AA422" s="62"/>
      <c r="AB422" s="62"/>
      <c r="AC422" s="62"/>
      <c r="AD422" s="62"/>
      <c r="AE422" s="62"/>
      <c r="AF422" s="63"/>
      <c r="AG422" s="64" t="str">
        <f t="shared" si="53"/>
        <v/>
      </c>
    </row>
    <row r="423" spans="1:33" x14ac:dyDescent="0.25">
      <c r="A423" s="46" t="str">
        <f>IF(ISBLANK(inbound_data[[#This Row],[Receiving Report ref.'#]]),"",IF(inbound_data[[#This Row],[Ending Quantity]]=0,"ZERO","INV"))</f>
        <v/>
      </c>
      <c r="B423" s="165" t="str">
        <f t="shared" si="47"/>
        <v/>
      </c>
      <c r="C423" s="165" t="str">
        <f>IF(ISBLANK(D423),"",inbound_data[[#This Row],[Pallet_Series]]&amp;inbound_data[[#This Row],[No.]])</f>
        <v/>
      </c>
      <c r="D423" s="54"/>
      <c r="E423" s="55"/>
      <c r="F423" s="56"/>
      <c r="G423" s="57"/>
      <c r="H423" s="53"/>
      <c r="I423" s="53"/>
      <c r="J423" s="55"/>
      <c r="K423" s="58"/>
      <c r="L423" s="59"/>
      <c r="M423" s="55"/>
      <c r="N423" s="60"/>
      <c r="O423" s="60"/>
      <c r="P423" s="165" t="str">
        <f t="shared" ca="1" si="48"/>
        <v/>
      </c>
      <c r="Q423" s="165" t="str">
        <f t="shared" ca="1" si="49"/>
        <v/>
      </c>
      <c r="R423" s="79"/>
      <c r="S423" s="80"/>
      <c r="T423" s="61">
        <f t="shared" si="50"/>
        <v>0</v>
      </c>
      <c r="U423" s="61">
        <f t="shared" si="51"/>
        <v>0</v>
      </c>
      <c r="V423" s="61">
        <f t="shared" si="52"/>
        <v>0</v>
      </c>
      <c r="W423" s="58"/>
      <c r="X423" s="58"/>
      <c r="Y423" s="53"/>
      <c r="Z423" s="57"/>
      <c r="AA423" s="62"/>
      <c r="AB423" s="62"/>
      <c r="AC423" s="62"/>
      <c r="AD423" s="62"/>
      <c r="AE423" s="62"/>
      <c r="AF423" s="63"/>
      <c r="AG423" s="64" t="str">
        <f t="shared" si="53"/>
        <v/>
      </c>
    </row>
    <row r="424" spans="1:33" x14ac:dyDescent="0.25">
      <c r="A424" s="46" t="str">
        <f>IF(ISBLANK(inbound_data[[#This Row],[Receiving Report ref.'#]]),"",IF(inbound_data[[#This Row],[Ending Quantity]]=0,"ZERO","INV"))</f>
        <v/>
      </c>
      <c r="B424" s="165" t="str">
        <f t="shared" si="47"/>
        <v/>
      </c>
      <c r="C424" s="165" t="str">
        <f>IF(ISBLANK(D424),"",inbound_data[[#This Row],[Pallet_Series]]&amp;inbound_data[[#This Row],[No.]])</f>
        <v/>
      </c>
      <c r="D424" s="54"/>
      <c r="E424" s="55"/>
      <c r="F424" s="56"/>
      <c r="G424" s="57"/>
      <c r="H424" s="53"/>
      <c r="I424" s="53"/>
      <c r="J424" s="55"/>
      <c r="K424" s="58"/>
      <c r="L424" s="59"/>
      <c r="M424" s="55"/>
      <c r="N424" s="60"/>
      <c r="O424" s="60"/>
      <c r="P424" s="165" t="str">
        <f t="shared" ca="1" si="48"/>
        <v/>
      </c>
      <c r="Q424" s="165" t="str">
        <f t="shared" ca="1" si="49"/>
        <v/>
      </c>
      <c r="R424" s="79"/>
      <c r="S424" s="80"/>
      <c r="T424" s="61">
        <f t="shared" si="50"/>
        <v>0</v>
      </c>
      <c r="U424" s="61">
        <f t="shared" si="51"/>
        <v>0</v>
      </c>
      <c r="V424" s="61">
        <f t="shared" si="52"/>
        <v>0</v>
      </c>
      <c r="W424" s="58"/>
      <c r="X424" s="58"/>
      <c r="Y424" s="53"/>
      <c r="Z424" s="57"/>
      <c r="AA424" s="62"/>
      <c r="AB424" s="62"/>
      <c r="AC424" s="62"/>
      <c r="AD424" s="62"/>
      <c r="AE424" s="62"/>
      <c r="AF424" s="63"/>
      <c r="AG424" s="64" t="str">
        <f t="shared" si="53"/>
        <v/>
      </c>
    </row>
    <row r="425" spans="1:33" x14ac:dyDescent="0.25">
      <c r="A425" s="46" t="str">
        <f>IF(ISBLANK(inbound_data[[#This Row],[Receiving Report ref.'#]]),"",IF(inbound_data[[#This Row],[Ending Quantity]]=0,"ZERO","INV"))</f>
        <v/>
      </c>
      <c r="B425" s="165" t="str">
        <f t="shared" si="47"/>
        <v/>
      </c>
      <c r="C425" s="165" t="str">
        <f>IF(ISBLANK(D425),"",inbound_data[[#This Row],[Pallet_Series]]&amp;inbound_data[[#This Row],[No.]])</f>
        <v/>
      </c>
      <c r="D425" s="54"/>
      <c r="E425" s="55"/>
      <c r="F425" s="56"/>
      <c r="G425" s="57"/>
      <c r="H425" s="53"/>
      <c r="I425" s="53"/>
      <c r="J425" s="55"/>
      <c r="K425" s="58"/>
      <c r="L425" s="59"/>
      <c r="M425" s="55"/>
      <c r="N425" s="60"/>
      <c r="O425" s="60"/>
      <c r="P425" s="165" t="str">
        <f t="shared" ca="1" si="48"/>
        <v/>
      </c>
      <c r="Q425" s="165" t="str">
        <f t="shared" ca="1" si="49"/>
        <v/>
      </c>
      <c r="R425" s="79"/>
      <c r="S425" s="80"/>
      <c r="T425" s="61">
        <f t="shared" si="50"/>
        <v>0</v>
      </c>
      <c r="U425" s="61">
        <f t="shared" si="51"/>
        <v>0</v>
      </c>
      <c r="V425" s="61">
        <f t="shared" si="52"/>
        <v>0</v>
      </c>
      <c r="W425" s="58"/>
      <c r="X425" s="58"/>
      <c r="Y425" s="53"/>
      <c r="Z425" s="57"/>
      <c r="AA425" s="62"/>
      <c r="AB425" s="62"/>
      <c r="AC425" s="62"/>
      <c r="AD425" s="62"/>
      <c r="AE425" s="62"/>
      <c r="AF425" s="63"/>
      <c r="AG425" s="64" t="str">
        <f t="shared" si="53"/>
        <v/>
      </c>
    </row>
    <row r="426" spans="1:33" x14ac:dyDescent="0.25">
      <c r="A426" s="46" t="str">
        <f>IF(ISBLANK(inbound_data[[#This Row],[Receiving Report ref.'#]]),"",IF(inbound_data[[#This Row],[Ending Quantity]]=0,"ZERO","INV"))</f>
        <v/>
      </c>
      <c r="B426" s="165" t="str">
        <f t="shared" si="47"/>
        <v/>
      </c>
      <c r="C426" s="165" t="str">
        <f>IF(ISBLANK(D426),"",inbound_data[[#This Row],[Pallet_Series]]&amp;inbound_data[[#This Row],[No.]])</f>
        <v/>
      </c>
      <c r="D426" s="54"/>
      <c r="E426" s="55"/>
      <c r="F426" s="56"/>
      <c r="G426" s="57"/>
      <c r="H426" s="53"/>
      <c r="I426" s="53"/>
      <c r="J426" s="55"/>
      <c r="K426" s="58"/>
      <c r="L426" s="59"/>
      <c r="M426" s="55"/>
      <c r="N426" s="60"/>
      <c r="O426" s="60"/>
      <c r="P426" s="165" t="str">
        <f t="shared" ca="1" si="48"/>
        <v/>
      </c>
      <c r="Q426" s="165" t="str">
        <f t="shared" ca="1" si="49"/>
        <v/>
      </c>
      <c r="R426" s="79"/>
      <c r="S426" s="80"/>
      <c r="T426" s="61">
        <f t="shared" si="50"/>
        <v>0</v>
      </c>
      <c r="U426" s="61">
        <f t="shared" si="51"/>
        <v>0</v>
      </c>
      <c r="V426" s="61">
        <f t="shared" si="52"/>
        <v>0</v>
      </c>
      <c r="W426" s="58"/>
      <c r="X426" s="58"/>
      <c r="Y426" s="53"/>
      <c r="Z426" s="57"/>
      <c r="AA426" s="62"/>
      <c r="AB426" s="62"/>
      <c r="AC426" s="62"/>
      <c r="AD426" s="62"/>
      <c r="AE426" s="62"/>
      <c r="AF426" s="63"/>
      <c r="AG426" s="64" t="str">
        <f t="shared" si="53"/>
        <v/>
      </c>
    </row>
    <row r="427" spans="1:33" x14ac:dyDescent="0.25">
      <c r="A427" s="46" t="str">
        <f>IF(ISBLANK(inbound_data[[#This Row],[Receiving Report ref.'#]]),"",IF(inbound_data[[#This Row],[Ending Quantity]]=0,"ZERO","INV"))</f>
        <v/>
      </c>
      <c r="B427" s="165" t="str">
        <f t="shared" si="47"/>
        <v/>
      </c>
      <c r="C427" s="165" t="str">
        <f>IF(ISBLANK(D427),"",inbound_data[[#This Row],[Pallet_Series]]&amp;inbound_data[[#This Row],[No.]])</f>
        <v/>
      </c>
      <c r="D427" s="54"/>
      <c r="E427" s="55"/>
      <c r="F427" s="56"/>
      <c r="G427" s="57"/>
      <c r="H427" s="53"/>
      <c r="I427" s="53"/>
      <c r="J427" s="55"/>
      <c r="K427" s="58"/>
      <c r="L427" s="59"/>
      <c r="M427" s="55"/>
      <c r="N427" s="60"/>
      <c r="O427" s="60"/>
      <c r="P427" s="165" t="str">
        <f t="shared" ca="1" si="48"/>
        <v/>
      </c>
      <c r="Q427" s="165" t="str">
        <f t="shared" ca="1" si="49"/>
        <v/>
      </c>
      <c r="R427" s="79"/>
      <c r="S427" s="80"/>
      <c r="T427" s="61">
        <f t="shared" si="50"/>
        <v>0</v>
      </c>
      <c r="U427" s="61">
        <f t="shared" si="51"/>
        <v>0</v>
      </c>
      <c r="V427" s="61">
        <f t="shared" si="52"/>
        <v>0</v>
      </c>
      <c r="W427" s="58"/>
      <c r="X427" s="58"/>
      <c r="Y427" s="53"/>
      <c r="Z427" s="57"/>
      <c r="AA427" s="62"/>
      <c r="AB427" s="62"/>
      <c r="AC427" s="62"/>
      <c r="AD427" s="62"/>
      <c r="AE427" s="62"/>
      <c r="AF427" s="63"/>
      <c r="AG427" s="64" t="str">
        <f t="shared" si="53"/>
        <v/>
      </c>
    </row>
    <row r="428" spans="1:33" x14ac:dyDescent="0.25">
      <c r="A428" s="46" t="str">
        <f>IF(ISBLANK(inbound_data[[#This Row],[Receiving Report ref.'#]]),"",IF(inbound_data[[#This Row],[Ending Quantity]]=0,"ZERO","INV"))</f>
        <v/>
      </c>
      <c r="B428" s="165" t="str">
        <f t="shared" si="47"/>
        <v/>
      </c>
      <c r="C428" s="165" t="str">
        <f>IF(ISBLANK(D428),"",inbound_data[[#This Row],[Pallet_Series]]&amp;inbound_data[[#This Row],[No.]])</f>
        <v/>
      </c>
      <c r="D428" s="54"/>
      <c r="E428" s="55"/>
      <c r="F428" s="56"/>
      <c r="G428" s="57"/>
      <c r="H428" s="53"/>
      <c r="I428" s="53"/>
      <c r="J428" s="55"/>
      <c r="K428" s="58"/>
      <c r="L428" s="59"/>
      <c r="M428" s="55"/>
      <c r="N428" s="60"/>
      <c r="O428" s="60"/>
      <c r="P428" s="165" t="str">
        <f t="shared" ca="1" si="48"/>
        <v/>
      </c>
      <c r="Q428" s="165" t="str">
        <f t="shared" ca="1" si="49"/>
        <v/>
      </c>
      <c r="R428" s="79"/>
      <c r="S428" s="80"/>
      <c r="T428" s="61">
        <f t="shared" si="50"/>
        <v>0</v>
      </c>
      <c r="U428" s="61">
        <f t="shared" si="51"/>
        <v>0</v>
      </c>
      <c r="V428" s="61">
        <f t="shared" si="52"/>
        <v>0</v>
      </c>
      <c r="W428" s="58"/>
      <c r="X428" s="58"/>
      <c r="Y428" s="53"/>
      <c r="Z428" s="57"/>
      <c r="AA428" s="62"/>
      <c r="AB428" s="62"/>
      <c r="AC428" s="62"/>
      <c r="AD428" s="62"/>
      <c r="AE428" s="62"/>
      <c r="AF428" s="63"/>
      <c r="AG428" s="64" t="str">
        <f t="shared" si="53"/>
        <v/>
      </c>
    </row>
    <row r="429" spans="1:33" x14ac:dyDescent="0.25">
      <c r="A429" s="46" t="str">
        <f>IF(ISBLANK(inbound_data[[#This Row],[Receiving Report ref.'#]]),"",IF(inbound_data[[#This Row],[Ending Quantity]]=0,"ZERO","INV"))</f>
        <v/>
      </c>
      <c r="B429" s="165" t="str">
        <f t="shared" si="47"/>
        <v/>
      </c>
      <c r="C429" s="165" t="str">
        <f>IF(ISBLANK(D429),"",inbound_data[[#This Row],[Pallet_Series]]&amp;inbound_data[[#This Row],[No.]])</f>
        <v/>
      </c>
      <c r="D429" s="54"/>
      <c r="E429" s="55"/>
      <c r="F429" s="56"/>
      <c r="G429" s="57"/>
      <c r="H429" s="53"/>
      <c r="I429" s="53"/>
      <c r="J429" s="55"/>
      <c r="K429" s="58"/>
      <c r="L429" s="59"/>
      <c r="M429" s="55"/>
      <c r="N429" s="60"/>
      <c r="O429" s="60"/>
      <c r="P429" s="165" t="str">
        <f t="shared" ca="1" si="48"/>
        <v/>
      </c>
      <c r="Q429" s="165" t="str">
        <f t="shared" ca="1" si="49"/>
        <v/>
      </c>
      <c r="R429" s="79"/>
      <c r="S429" s="80"/>
      <c r="T429" s="61">
        <f t="shared" si="50"/>
        <v>0</v>
      </c>
      <c r="U429" s="61">
        <f t="shared" si="51"/>
        <v>0</v>
      </c>
      <c r="V429" s="61">
        <f t="shared" si="52"/>
        <v>0</v>
      </c>
      <c r="W429" s="58"/>
      <c r="X429" s="58"/>
      <c r="Y429" s="53"/>
      <c r="Z429" s="57"/>
      <c r="AA429" s="62"/>
      <c r="AB429" s="62"/>
      <c r="AC429" s="62"/>
      <c r="AD429" s="62"/>
      <c r="AE429" s="62"/>
      <c r="AF429" s="63"/>
      <c r="AG429" s="64" t="str">
        <f t="shared" si="53"/>
        <v/>
      </c>
    </row>
    <row r="430" spans="1:33" x14ac:dyDescent="0.25">
      <c r="A430" s="46" t="str">
        <f>IF(ISBLANK(inbound_data[[#This Row],[Receiving Report ref.'#]]),"",IF(inbound_data[[#This Row],[Ending Quantity]]=0,"ZERO","INV"))</f>
        <v/>
      </c>
      <c r="B430" s="165" t="str">
        <f t="shared" si="47"/>
        <v/>
      </c>
      <c r="C430" s="165" t="str">
        <f>IF(ISBLANK(D430),"",inbound_data[[#This Row],[Pallet_Series]]&amp;inbound_data[[#This Row],[No.]])</f>
        <v/>
      </c>
      <c r="D430" s="54"/>
      <c r="E430" s="55"/>
      <c r="F430" s="56"/>
      <c r="G430" s="57"/>
      <c r="H430" s="53"/>
      <c r="I430" s="53"/>
      <c r="J430" s="55"/>
      <c r="K430" s="58"/>
      <c r="L430" s="59"/>
      <c r="M430" s="55"/>
      <c r="N430" s="60"/>
      <c r="O430" s="60"/>
      <c r="P430" s="165" t="str">
        <f t="shared" ca="1" si="48"/>
        <v/>
      </c>
      <c r="Q430" s="165" t="str">
        <f t="shared" ca="1" si="49"/>
        <v/>
      </c>
      <c r="R430" s="79"/>
      <c r="S430" s="80"/>
      <c r="T430" s="61">
        <f t="shared" si="50"/>
        <v>0</v>
      </c>
      <c r="U430" s="61">
        <f t="shared" si="51"/>
        <v>0</v>
      </c>
      <c r="V430" s="61">
        <f t="shared" si="52"/>
        <v>0</v>
      </c>
      <c r="W430" s="58"/>
      <c r="X430" s="58"/>
      <c r="Y430" s="53"/>
      <c r="Z430" s="57"/>
      <c r="AA430" s="62"/>
      <c r="AB430" s="62"/>
      <c r="AC430" s="62"/>
      <c r="AD430" s="62"/>
      <c r="AE430" s="62"/>
      <c r="AF430" s="63"/>
      <c r="AG430" s="64" t="str">
        <f t="shared" si="53"/>
        <v/>
      </c>
    </row>
    <row r="431" spans="1:33" x14ac:dyDescent="0.25">
      <c r="A431" s="46" t="str">
        <f>IF(ISBLANK(inbound_data[[#This Row],[Receiving Report ref.'#]]),"",IF(inbound_data[[#This Row],[Ending Quantity]]=0,"ZERO","INV"))</f>
        <v/>
      </c>
      <c r="B431" s="165" t="str">
        <f t="shared" si="47"/>
        <v/>
      </c>
      <c r="C431" s="165" t="str">
        <f>IF(ISBLANK(D431),"",inbound_data[[#This Row],[Pallet_Series]]&amp;inbound_data[[#This Row],[No.]])</f>
        <v/>
      </c>
      <c r="D431" s="54"/>
      <c r="E431" s="55"/>
      <c r="F431" s="56"/>
      <c r="G431" s="57"/>
      <c r="H431" s="53"/>
      <c r="I431" s="53"/>
      <c r="J431" s="55"/>
      <c r="K431" s="58"/>
      <c r="L431" s="59"/>
      <c r="M431" s="55"/>
      <c r="N431" s="60"/>
      <c r="O431" s="60"/>
      <c r="P431" s="165" t="str">
        <f t="shared" ca="1" si="48"/>
        <v/>
      </c>
      <c r="Q431" s="165" t="str">
        <f t="shared" ca="1" si="49"/>
        <v/>
      </c>
      <c r="R431" s="79"/>
      <c r="S431" s="80"/>
      <c r="T431" s="61">
        <f t="shared" si="50"/>
        <v>0</v>
      </c>
      <c r="U431" s="61">
        <f t="shared" si="51"/>
        <v>0</v>
      </c>
      <c r="V431" s="61">
        <f t="shared" si="52"/>
        <v>0</v>
      </c>
      <c r="W431" s="58"/>
      <c r="X431" s="58"/>
      <c r="Y431" s="53"/>
      <c r="Z431" s="57"/>
      <c r="AA431" s="62"/>
      <c r="AB431" s="62"/>
      <c r="AC431" s="62"/>
      <c r="AD431" s="62"/>
      <c r="AE431" s="62"/>
      <c r="AF431" s="63"/>
      <c r="AG431" s="64" t="str">
        <f t="shared" si="53"/>
        <v/>
      </c>
    </row>
    <row r="432" spans="1:33" x14ac:dyDescent="0.25">
      <c r="A432" s="46" t="str">
        <f>IF(ISBLANK(inbound_data[[#This Row],[Receiving Report ref.'#]]),"",IF(inbound_data[[#This Row],[Ending Quantity]]=0,"ZERO","INV"))</f>
        <v/>
      </c>
      <c r="B432" s="165" t="str">
        <f t="shared" si="47"/>
        <v/>
      </c>
      <c r="C432" s="165" t="str">
        <f>IF(ISBLANK(D432),"",inbound_data[[#This Row],[Pallet_Series]]&amp;inbound_data[[#This Row],[No.]])</f>
        <v/>
      </c>
      <c r="D432" s="54"/>
      <c r="E432" s="55"/>
      <c r="F432" s="56"/>
      <c r="G432" s="57"/>
      <c r="H432" s="53"/>
      <c r="I432" s="53"/>
      <c r="J432" s="55"/>
      <c r="K432" s="58"/>
      <c r="L432" s="59"/>
      <c r="M432" s="55"/>
      <c r="N432" s="60"/>
      <c r="O432" s="60"/>
      <c r="P432" s="165" t="str">
        <f t="shared" ca="1" si="48"/>
        <v/>
      </c>
      <c r="Q432" s="165" t="str">
        <f t="shared" ca="1" si="49"/>
        <v/>
      </c>
      <c r="R432" s="79"/>
      <c r="S432" s="80"/>
      <c r="T432" s="61">
        <f t="shared" si="50"/>
        <v>0</v>
      </c>
      <c r="U432" s="61">
        <f t="shared" si="51"/>
        <v>0</v>
      </c>
      <c r="V432" s="61">
        <f t="shared" si="52"/>
        <v>0</v>
      </c>
      <c r="W432" s="58"/>
      <c r="X432" s="58"/>
      <c r="Y432" s="53"/>
      <c r="Z432" s="57"/>
      <c r="AA432" s="62"/>
      <c r="AB432" s="62"/>
      <c r="AC432" s="62"/>
      <c r="AD432" s="62"/>
      <c r="AE432" s="62"/>
      <c r="AF432" s="63"/>
      <c r="AG432" s="64" t="str">
        <f t="shared" si="53"/>
        <v/>
      </c>
    </row>
    <row r="433" spans="1:33" x14ac:dyDescent="0.25">
      <c r="A433" s="46" t="str">
        <f>IF(ISBLANK(inbound_data[[#This Row],[Receiving Report ref.'#]]),"",IF(inbound_data[[#This Row],[Ending Quantity]]=0,"ZERO","INV"))</f>
        <v/>
      </c>
      <c r="B433" s="165" t="str">
        <f t="shared" si="47"/>
        <v/>
      </c>
      <c r="C433" s="165" t="str">
        <f>IF(ISBLANK(D433),"",inbound_data[[#This Row],[Pallet_Series]]&amp;inbound_data[[#This Row],[No.]])</f>
        <v/>
      </c>
      <c r="D433" s="54"/>
      <c r="E433" s="55"/>
      <c r="F433" s="56"/>
      <c r="G433" s="57"/>
      <c r="H433" s="53"/>
      <c r="I433" s="53"/>
      <c r="J433" s="55"/>
      <c r="K433" s="58"/>
      <c r="L433" s="59"/>
      <c r="M433" s="55"/>
      <c r="N433" s="60"/>
      <c r="O433" s="60"/>
      <c r="P433" s="165" t="str">
        <f t="shared" ca="1" si="48"/>
        <v/>
      </c>
      <c r="Q433" s="165" t="str">
        <f t="shared" ca="1" si="49"/>
        <v/>
      </c>
      <c r="R433" s="79"/>
      <c r="S433" s="80"/>
      <c r="T433" s="61">
        <f t="shared" si="50"/>
        <v>0</v>
      </c>
      <c r="U433" s="61">
        <f t="shared" si="51"/>
        <v>0</v>
      </c>
      <c r="V433" s="61">
        <f t="shared" si="52"/>
        <v>0</v>
      </c>
      <c r="W433" s="58"/>
      <c r="X433" s="58"/>
      <c r="Y433" s="53"/>
      <c r="Z433" s="57"/>
      <c r="AA433" s="62"/>
      <c r="AB433" s="62"/>
      <c r="AC433" s="62"/>
      <c r="AD433" s="62"/>
      <c r="AE433" s="62"/>
      <c r="AF433" s="63"/>
      <c r="AG433" s="64" t="str">
        <f t="shared" si="53"/>
        <v/>
      </c>
    </row>
    <row r="434" spans="1:33" x14ac:dyDescent="0.25">
      <c r="A434" s="46" t="str">
        <f>IF(ISBLANK(inbound_data[[#This Row],[Receiving Report ref.'#]]),"",IF(inbound_data[[#This Row],[Ending Quantity]]=0,"ZERO","INV"))</f>
        <v/>
      </c>
      <c r="B434" s="165" t="str">
        <f t="shared" si="47"/>
        <v/>
      </c>
      <c r="C434" s="165" t="str">
        <f>IF(ISBLANK(D434),"",inbound_data[[#This Row],[Pallet_Series]]&amp;inbound_data[[#This Row],[No.]])</f>
        <v/>
      </c>
      <c r="D434" s="54"/>
      <c r="E434" s="55"/>
      <c r="F434" s="56"/>
      <c r="G434" s="57"/>
      <c r="H434" s="53"/>
      <c r="I434" s="53"/>
      <c r="J434" s="55"/>
      <c r="K434" s="58"/>
      <c r="L434" s="59"/>
      <c r="M434" s="55"/>
      <c r="N434" s="60"/>
      <c r="O434" s="60"/>
      <c r="P434" s="165" t="str">
        <f t="shared" ca="1" si="48"/>
        <v/>
      </c>
      <c r="Q434" s="165" t="str">
        <f t="shared" ca="1" si="49"/>
        <v/>
      </c>
      <c r="R434" s="79"/>
      <c r="S434" s="80"/>
      <c r="T434" s="61">
        <f t="shared" si="50"/>
        <v>0</v>
      </c>
      <c r="U434" s="61">
        <f t="shared" si="51"/>
        <v>0</v>
      </c>
      <c r="V434" s="61">
        <f t="shared" si="52"/>
        <v>0</v>
      </c>
      <c r="W434" s="58"/>
      <c r="X434" s="58"/>
      <c r="Y434" s="53"/>
      <c r="Z434" s="57"/>
      <c r="AA434" s="62"/>
      <c r="AB434" s="62"/>
      <c r="AC434" s="62"/>
      <c r="AD434" s="62"/>
      <c r="AE434" s="62"/>
      <c r="AF434" s="63"/>
      <c r="AG434" s="64" t="str">
        <f t="shared" si="53"/>
        <v/>
      </c>
    </row>
    <row r="435" spans="1:33" x14ac:dyDescent="0.25">
      <c r="A435" s="46" t="str">
        <f>IF(ISBLANK(inbound_data[[#This Row],[Receiving Report ref.'#]]),"",IF(inbound_data[[#This Row],[Ending Quantity]]=0,"ZERO","INV"))</f>
        <v/>
      </c>
      <c r="B435" s="165" t="str">
        <f t="shared" si="47"/>
        <v/>
      </c>
      <c r="C435" s="165" t="str">
        <f>IF(ISBLANK(D435),"",inbound_data[[#This Row],[Pallet_Series]]&amp;inbound_data[[#This Row],[No.]])</f>
        <v/>
      </c>
      <c r="D435" s="54"/>
      <c r="E435" s="55"/>
      <c r="F435" s="56"/>
      <c r="G435" s="57"/>
      <c r="H435" s="53"/>
      <c r="I435" s="53"/>
      <c r="J435" s="55"/>
      <c r="K435" s="58"/>
      <c r="L435" s="59"/>
      <c r="M435" s="55"/>
      <c r="N435" s="60"/>
      <c r="O435" s="60"/>
      <c r="P435" s="165" t="str">
        <f t="shared" ca="1" si="48"/>
        <v/>
      </c>
      <c r="Q435" s="165" t="str">
        <f t="shared" ca="1" si="49"/>
        <v/>
      </c>
      <c r="R435" s="79"/>
      <c r="S435" s="80"/>
      <c r="T435" s="61">
        <f t="shared" si="50"/>
        <v>0</v>
      </c>
      <c r="U435" s="61">
        <f t="shared" si="51"/>
        <v>0</v>
      </c>
      <c r="V435" s="61">
        <f t="shared" si="52"/>
        <v>0</v>
      </c>
      <c r="W435" s="58"/>
      <c r="X435" s="58"/>
      <c r="Y435" s="53"/>
      <c r="Z435" s="57"/>
      <c r="AA435" s="62"/>
      <c r="AB435" s="62"/>
      <c r="AC435" s="62"/>
      <c r="AD435" s="62"/>
      <c r="AE435" s="62"/>
      <c r="AF435" s="63"/>
      <c r="AG435" s="64" t="str">
        <f t="shared" si="53"/>
        <v/>
      </c>
    </row>
    <row r="436" spans="1:33" x14ac:dyDescent="0.25">
      <c r="A436" s="46" t="str">
        <f>IF(ISBLANK(inbound_data[[#This Row],[Receiving Report ref.'#]]),"",IF(inbound_data[[#This Row],[Ending Quantity]]=0,"ZERO","INV"))</f>
        <v/>
      </c>
      <c r="B436" s="165" t="str">
        <f t="shared" si="47"/>
        <v/>
      </c>
      <c r="C436" s="165" t="str">
        <f>IF(ISBLANK(D436),"",inbound_data[[#This Row],[Pallet_Series]]&amp;inbound_data[[#This Row],[No.]])</f>
        <v/>
      </c>
      <c r="D436" s="54"/>
      <c r="E436" s="55"/>
      <c r="F436" s="56"/>
      <c r="G436" s="57"/>
      <c r="H436" s="53"/>
      <c r="I436" s="53"/>
      <c r="J436" s="55"/>
      <c r="K436" s="58"/>
      <c r="L436" s="59"/>
      <c r="M436" s="55"/>
      <c r="N436" s="60"/>
      <c r="O436" s="60"/>
      <c r="P436" s="165" t="str">
        <f t="shared" ca="1" si="48"/>
        <v/>
      </c>
      <c r="Q436" s="165" t="str">
        <f t="shared" ca="1" si="49"/>
        <v/>
      </c>
      <c r="R436" s="79"/>
      <c r="S436" s="80"/>
      <c r="T436" s="61">
        <f t="shared" si="50"/>
        <v>0</v>
      </c>
      <c r="U436" s="61">
        <f t="shared" si="51"/>
        <v>0</v>
      </c>
      <c r="V436" s="61">
        <f t="shared" si="52"/>
        <v>0</v>
      </c>
      <c r="W436" s="58"/>
      <c r="X436" s="58"/>
      <c r="Y436" s="53"/>
      <c r="Z436" s="57"/>
      <c r="AA436" s="62"/>
      <c r="AB436" s="62"/>
      <c r="AC436" s="62"/>
      <c r="AD436" s="62"/>
      <c r="AE436" s="62"/>
      <c r="AF436" s="63"/>
      <c r="AG436" s="64" t="str">
        <f t="shared" si="53"/>
        <v/>
      </c>
    </row>
    <row r="437" spans="1:33" x14ac:dyDescent="0.25">
      <c r="A437" s="46" t="str">
        <f>IF(ISBLANK(inbound_data[[#This Row],[Receiving Report ref.'#]]),"",IF(inbound_data[[#This Row],[Ending Quantity]]=0,"ZERO","INV"))</f>
        <v/>
      </c>
      <c r="B437" s="165" t="str">
        <f t="shared" si="47"/>
        <v/>
      </c>
      <c r="C437" s="165" t="str">
        <f>IF(ISBLANK(D437),"",inbound_data[[#This Row],[Pallet_Series]]&amp;inbound_data[[#This Row],[No.]])</f>
        <v/>
      </c>
      <c r="D437" s="54"/>
      <c r="E437" s="55"/>
      <c r="F437" s="56"/>
      <c r="G437" s="57"/>
      <c r="H437" s="53"/>
      <c r="I437" s="53"/>
      <c r="J437" s="55"/>
      <c r="K437" s="58"/>
      <c r="L437" s="59"/>
      <c r="M437" s="55"/>
      <c r="N437" s="60"/>
      <c r="O437" s="60"/>
      <c r="P437" s="165" t="str">
        <f t="shared" ca="1" si="48"/>
        <v/>
      </c>
      <c r="Q437" s="165" t="str">
        <f t="shared" ca="1" si="49"/>
        <v/>
      </c>
      <c r="R437" s="79"/>
      <c r="S437" s="80"/>
      <c r="T437" s="61">
        <f t="shared" si="50"/>
        <v>0</v>
      </c>
      <c r="U437" s="61">
        <f t="shared" si="51"/>
        <v>0</v>
      </c>
      <c r="V437" s="61">
        <f t="shared" si="52"/>
        <v>0</v>
      </c>
      <c r="W437" s="58"/>
      <c r="X437" s="58"/>
      <c r="Y437" s="53"/>
      <c r="Z437" s="57"/>
      <c r="AA437" s="62"/>
      <c r="AB437" s="62"/>
      <c r="AC437" s="62"/>
      <c r="AD437" s="62"/>
      <c r="AE437" s="62"/>
      <c r="AF437" s="63"/>
      <c r="AG437" s="64" t="str">
        <f t="shared" si="53"/>
        <v/>
      </c>
    </row>
    <row r="438" spans="1:33" x14ac:dyDescent="0.25">
      <c r="A438" s="46" t="str">
        <f>IF(ISBLANK(inbound_data[[#This Row],[Receiving Report ref.'#]]),"",IF(inbound_data[[#This Row],[Ending Quantity]]=0,"ZERO","INV"))</f>
        <v/>
      </c>
      <c r="B438" s="165" t="str">
        <f t="shared" si="47"/>
        <v/>
      </c>
      <c r="C438" s="165" t="str">
        <f>IF(ISBLANK(D438),"",inbound_data[[#This Row],[Pallet_Series]]&amp;inbound_data[[#This Row],[No.]])</f>
        <v/>
      </c>
      <c r="D438" s="54"/>
      <c r="E438" s="55"/>
      <c r="F438" s="56"/>
      <c r="G438" s="57"/>
      <c r="H438" s="53"/>
      <c r="I438" s="53"/>
      <c r="J438" s="55"/>
      <c r="K438" s="58"/>
      <c r="L438" s="59"/>
      <c r="M438" s="55"/>
      <c r="N438" s="60"/>
      <c r="O438" s="60"/>
      <c r="P438" s="165" t="str">
        <f t="shared" ca="1" si="48"/>
        <v/>
      </c>
      <c r="Q438" s="165" t="str">
        <f t="shared" ca="1" si="49"/>
        <v/>
      </c>
      <c r="R438" s="79"/>
      <c r="S438" s="80"/>
      <c r="T438" s="61">
        <f t="shared" si="50"/>
        <v>0</v>
      </c>
      <c r="U438" s="61">
        <f t="shared" si="51"/>
        <v>0</v>
      </c>
      <c r="V438" s="61">
        <f t="shared" si="52"/>
        <v>0</v>
      </c>
      <c r="W438" s="58"/>
      <c r="X438" s="58"/>
      <c r="Y438" s="53"/>
      <c r="Z438" s="57"/>
      <c r="AA438" s="62"/>
      <c r="AB438" s="62"/>
      <c r="AC438" s="62"/>
      <c r="AD438" s="62"/>
      <c r="AE438" s="62"/>
      <c r="AF438" s="63"/>
      <c r="AG438" s="64" t="str">
        <f t="shared" si="53"/>
        <v/>
      </c>
    </row>
    <row r="439" spans="1:33" x14ac:dyDescent="0.25">
      <c r="A439" s="46" t="str">
        <f>IF(ISBLANK(inbound_data[[#This Row],[Receiving Report ref.'#]]),"",IF(inbound_data[[#This Row],[Ending Quantity]]=0,"ZERO","INV"))</f>
        <v/>
      </c>
      <c r="B439" s="165" t="str">
        <f t="shared" si="47"/>
        <v/>
      </c>
      <c r="C439" s="165" t="str">
        <f>IF(ISBLANK(D439),"",inbound_data[[#This Row],[Pallet_Series]]&amp;inbound_data[[#This Row],[No.]])</f>
        <v/>
      </c>
      <c r="D439" s="54"/>
      <c r="E439" s="55"/>
      <c r="F439" s="56"/>
      <c r="G439" s="57"/>
      <c r="H439" s="53"/>
      <c r="I439" s="53"/>
      <c r="J439" s="55"/>
      <c r="K439" s="58"/>
      <c r="L439" s="59"/>
      <c r="M439" s="55"/>
      <c r="N439" s="60"/>
      <c r="O439" s="60"/>
      <c r="P439" s="165" t="str">
        <f t="shared" ca="1" si="48"/>
        <v/>
      </c>
      <c r="Q439" s="165" t="str">
        <f t="shared" ca="1" si="49"/>
        <v/>
      </c>
      <c r="R439" s="79"/>
      <c r="S439" s="80"/>
      <c r="T439" s="61">
        <f t="shared" si="50"/>
        <v>0</v>
      </c>
      <c r="U439" s="61">
        <f t="shared" si="51"/>
        <v>0</v>
      </c>
      <c r="V439" s="61">
        <f t="shared" si="52"/>
        <v>0</v>
      </c>
      <c r="W439" s="58"/>
      <c r="X439" s="58"/>
      <c r="Y439" s="53"/>
      <c r="Z439" s="57"/>
      <c r="AA439" s="62"/>
      <c r="AB439" s="62"/>
      <c r="AC439" s="62"/>
      <c r="AD439" s="62"/>
      <c r="AE439" s="62"/>
      <c r="AF439" s="63"/>
      <c r="AG439" s="64" t="str">
        <f t="shared" si="53"/>
        <v/>
      </c>
    </row>
    <row r="440" spans="1:33" x14ac:dyDescent="0.25">
      <c r="A440" s="46" t="str">
        <f>IF(ISBLANK(inbound_data[[#This Row],[Receiving Report ref.'#]]),"",IF(inbound_data[[#This Row],[Ending Quantity]]=0,"ZERO","INV"))</f>
        <v/>
      </c>
      <c r="B440" s="165" t="str">
        <f t="shared" si="47"/>
        <v/>
      </c>
      <c r="C440" s="165" t="str">
        <f>IF(ISBLANK(D440),"",inbound_data[[#This Row],[Pallet_Series]]&amp;inbound_data[[#This Row],[No.]])</f>
        <v/>
      </c>
      <c r="D440" s="54"/>
      <c r="E440" s="55"/>
      <c r="F440" s="56"/>
      <c r="G440" s="57"/>
      <c r="H440" s="53"/>
      <c r="I440" s="53"/>
      <c r="J440" s="55"/>
      <c r="K440" s="58"/>
      <c r="L440" s="59"/>
      <c r="M440" s="55"/>
      <c r="N440" s="60"/>
      <c r="O440" s="60"/>
      <c r="P440" s="165" t="str">
        <f t="shared" ca="1" si="48"/>
        <v/>
      </c>
      <c r="Q440" s="165" t="str">
        <f t="shared" ca="1" si="49"/>
        <v/>
      </c>
      <c r="R440" s="79"/>
      <c r="S440" s="80"/>
      <c r="T440" s="61">
        <f t="shared" si="50"/>
        <v>0</v>
      </c>
      <c r="U440" s="61">
        <f t="shared" si="51"/>
        <v>0</v>
      </c>
      <c r="V440" s="61">
        <f t="shared" si="52"/>
        <v>0</v>
      </c>
      <c r="W440" s="58"/>
      <c r="X440" s="58"/>
      <c r="Y440" s="53"/>
      <c r="Z440" s="57"/>
      <c r="AA440" s="62"/>
      <c r="AB440" s="62"/>
      <c r="AC440" s="62"/>
      <c r="AD440" s="62"/>
      <c r="AE440" s="62"/>
      <c r="AF440" s="63"/>
      <c r="AG440" s="64" t="str">
        <f t="shared" si="53"/>
        <v/>
      </c>
    </row>
    <row r="441" spans="1:33" x14ac:dyDescent="0.25">
      <c r="A441" s="46" t="str">
        <f>IF(ISBLANK(inbound_data[[#This Row],[Receiving Report ref.'#]]),"",IF(inbound_data[[#This Row],[Ending Quantity]]=0,"ZERO","INV"))</f>
        <v/>
      </c>
      <c r="B441" s="165" t="str">
        <f t="shared" si="47"/>
        <v/>
      </c>
      <c r="C441" s="165" t="str">
        <f>IF(ISBLANK(D441),"",inbound_data[[#This Row],[Pallet_Series]]&amp;inbound_data[[#This Row],[No.]])</f>
        <v/>
      </c>
      <c r="D441" s="54"/>
      <c r="E441" s="55"/>
      <c r="F441" s="56"/>
      <c r="G441" s="57"/>
      <c r="H441" s="53"/>
      <c r="I441" s="53"/>
      <c r="J441" s="55"/>
      <c r="K441" s="58"/>
      <c r="L441" s="59"/>
      <c r="M441" s="55"/>
      <c r="N441" s="60"/>
      <c r="O441" s="60"/>
      <c r="P441" s="165" t="str">
        <f t="shared" ca="1" si="48"/>
        <v/>
      </c>
      <c r="Q441" s="165" t="str">
        <f t="shared" ca="1" si="49"/>
        <v/>
      </c>
      <c r="R441" s="79"/>
      <c r="S441" s="80"/>
      <c r="T441" s="61">
        <f t="shared" si="50"/>
        <v>0</v>
      </c>
      <c r="U441" s="61">
        <f t="shared" si="51"/>
        <v>0</v>
      </c>
      <c r="V441" s="61">
        <f t="shared" si="52"/>
        <v>0</v>
      </c>
      <c r="W441" s="58"/>
      <c r="X441" s="58"/>
      <c r="Y441" s="53"/>
      <c r="Z441" s="57"/>
      <c r="AA441" s="62"/>
      <c r="AB441" s="62"/>
      <c r="AC441" s="62"/>
      <c r="AD441" s="62"/>
      <c r="AE441" s="62"/>
      <c r="AF441" s="63"/>
      <c r="AG441" s="64" t="str">
        <f t="shared" si="53"/>
        <v/>
      </c>
    </row>
    <row r="442" spans="1:33" x14ac:dyDescent="0.25">
      <c r="A442" s="46" t="str">
        <f>IF(ISBLANK(inbound_data[[#This Row],[Receiving Report ref.'#]]),"",IF(inbound_data[[#This Row],[Ending Quantity]]=0,"ZERO","INV"))</f>
        <v/>
      </c>
      <c r="B442" s="165" t="str">
        <f t="shared" si="47"/>
        <v/>
      </c>
      <c r="C442" s="165" t="str">
        <f>IF(ISBLANK(D442),"",inbound_data[[#This Row],[Pallet_Series]]&amp;inbound_data[[#This Row],[No.]])</f>
        <v/>
      </c>
      <c r="D442" s="54"/>
      <c r="E442" s="55"/>
      <c r="F442" s="56"/>
      <c r="G442" s="57"/>
      <c r="H442" s="53"/>
      <c r="I442" s="53"/>
      <c r="J442" s="55"/>
      <c r="K442" s="58"/>
      <c r="L442" s="59"/>
      <c r="M442" s="55"/>
      <c r="N442" s="60"/>
      <c r="O442" s="60"/>
      <c r="P442" s="165" t="str">
        <f t="shared" ca="1" si="48"/>
        <v/>
      </c>
      <c r="Q442" s="165" t="str">
        <f t="shared" ca="1" si="49"/>
        <v/>
      </c>
      <c r="R442" s="79"/>
      <c r="S442" s="80"/>
      <c r="T442" s="61">
        <f t="shared" si="50"/>
        <v>0</v>
      </c>
      <c r="U442" s="61">
        <f t="shared" si="51"/>
        <v>0</v>
      </c>
      <c r="V442" s="61">
        <f t="shared" si="52"/>
        <v>0</v>
      </c>
      <c r="W442" s="58"/>
      <c r="X442" s="58"/>
      <c r="Y442" s="53"/>
      <c r="Z442" s="57"/>
      <c r="AA442" s="62"/>
      <c r="AB442" s="62"/>
      <c r="AC442" s="62"/>
      <c r="AD442" s="62"/>
      <c r="AE442" s="62"/>
      <c r="AF442" s="63"/>
      <c r="AG442" s="64" t="str">
        <f t="shared" si="53"/>
        <v/>
      </c>
    </row>
    <row r="443" spans="1:33" x14ac:dyDescent="0.25">
      <c r="A443" s="46" t="str">
        <f>IF(ISBLANK(inbound_data[[#This Row],[Receiving Report ref.'#]]),"",IF(inbound_data[[#This Row],[Ending Quantity]]=0,"ZERO","INV"))</f>
        <v/>
      </c>
      <c r="B443" s="165" t="str">
        <f t="shared" si="47"/>
        <v/>
      </c>
      <c r="C443" s="165" t="str">
        <f>IF(ISBLANK(D443),"",inbound_data[[#This Row],[Pallet_Series]]&amp;inbound_data[[#This Row],[No.]])</f>
        <v/>
      </c>
      <c r="D443" s="54"/>
      <c r="E443" s="55"/>
      <c r="F443" s="56"/>
      <c r="G443" s="57"/>
      <c r="H443" s="53"/>
      <c r="I443" s="53"/>
      <c r="J443" s="55"/>
      <c r="K443" s="58"/>
      <c r="L443" s="59"/>
      <c r="M443" s="55"/>
      <c r="N443" s="60"/>
      <c r="O443" s="60"/>
      <c r="P443" s="165" t="str">
        <f t="shared" ca="1" si="48"/>
        <v/>
      </c>
      <c r="Q443" s="165" t="str">
        <f t="shared" ca="1" si="49"/>
        <v/>
      </c>
      <c r="R443" s="79"/>
      <c r="S443" s="80"/>
      <c r="T443" s="61">
        <f t="shared" si="50"/>
        <v>0</v>
      </c>
      <c r="U443" s="61">
        <f t="shared" si="51"/>
        <v>0</v>
      </c>
      <c r="V443" s="61">
        <f t="shared" si="52"/>
        <v>0</v>
      </c>
      <c r="W443" s="58"/>
      <c r="X443" s="58"/>
      <c r="Y443" s="53"/>
      <c r="Z443" s="57"/>
      <c r="AA443" s="62"/>
      <c r="AB443" s="62"/>
      <c r="AC443" s="62"/>
      <c r="AD443" s="62"/>
      <c r="AE443" s="62"/>
      <c r="AF443" s="63"/>
      <c r="AG443" s="64" t="str">
        <f t="shared" si="53"/>
        <v/>
      </c>
    </row>
    <row r="444" spans="1:33" x14ac:dyDescent="0.25">
      <c r="A444" s="46" t="str">
        <f>IF(ISBLANK(inbound_data[[#This Row],[Receiving Report ref.'#]]),"",IF(inbound_data[[#This Row],[Ending Quantity]]=0,"ZERO","INV"))</f>
        <v/>
      </c>
      <c r="B444" s="165" t="str">
        <f t="shared" si="47"/>
        <v/>
      </c>
      <c r="C444" s="165" t="str">
        <f>IF(ISBLANK(D444),"",inbound_data[[#This Row],[Pallet_Series]]&amp;inbound_data[[#This Row],[No.]])</f>
        <v/>
      </c>
      <c r="D444" s="54"/>
      <c r="E444" s="55"/>
      <c r="F444" s="56"/>
      <c r="G444" s="57"/>
      <c r="H444" s="53"/>
      <c r="I444" s="53"/>
      <c r="J444" s="55"/>
      <c r="K444" s="58"/>
      <c r="L444" s="59"/>
      <c r="M444" s="55"/>
      <c r="N444" s="60"/>
      <c r="O444" s="60"/>
      <c r="P444" s="165" t="str">
        <f t="shared" ca="1" si="48"/>
        <v/>
      </c>
      <c r="Q444" s="165" t="str">
        <f t="shared" ca="1" si="49"/>
        <v/>
      </c>
      <c r="R444" s="79"/>
      <c r="S444" s="80"/>
      <c r="T444" s="61">
        <f t="shared" si="50"/>
        <v>0</v>
      </c>
      <c r="U444" s="61">
        <f t="shared" si="51"/>
        <v>0</v>
      </c>
      <c r="V444" s="61">
        <f t="shared" si="52"/>
        <v>0</v>
      </c>
      <c r="W444" s="58"/>
      <c r="X444" s="58"/>
      <c r="Y444" s="53"/>
      <c r="Z444" s="57"/>
      <c r="AA444" s="62"/>
      <c r="AB444" s="62"/>
      <c r="AC444" s="62"/>
      <c r="AD444" s="62"/>
      <c r="AE444" s="62"/>
      <c r="AF444" s="63"/>
      <c r="AG444" s="64" t="str">
        <f t="shared" si="53"/>
        <v/>
      </c>
    </row>
    <row r="445" spans="1:33" x14ac:dyDescent="0.25">
      <c r="A445" s="46" t="str">
        <f>IF(ISBLANK(inbound_data[[#This Row],[Receiving Report ref.'#]]),"",IF(inbound_data[[#This Row],[Ending Quantity]]=0,"ZERO","INV"))</f>
        <v/>
      </c>
      <c r="B445" s="165" t="str">
        <f t="shared" si="47"/>
        <v/>
      </c>
      <c r="C445" s="165" t="str">
        <f>IF(ISBLANK(D445),"",inbound_data[[#This Row],[Pallet_Series]]&amp;inbound_data[[#This Row],[No.]])</f>
        <v/>
      </c>
      <c r="D445" s="54"/>
      <c r="E445" s="55"/>
      <c r="F445" s="56"/>
      <c r="G445" s="57"/>
      <c r="H445" s="53"/>
      <c r="I445" s="53"/>
      <c r="J445" s="55"/>
      <c r="K445" s="58"/>
      <c r="L445" s="59"/>
      <c r="M445" s="55"/>
      <c r="N445" s="60"/>
      <c r="O445" s="60"/>
      <c r="P445" s="165" t="str">
        <f t="shared" ca="1" si="48"/>
        <v/>
      </c>
      <c r="Q445" s="165" t="str">
        <f t="shared" ca="1" si="49"/>
        <v/>
      </c>
      <c r="R445" s="79"/>
      <c r="S445" s="80"/>
      <c r="T445" s="61">
        <f t="shared" si="50"/>
        <v>0</v>
      </c>
      <c r="U445" s="61">
        <f t="shared" si="51"/>
        <v>0</v>
      </c>
      <c r="V445" s="61">
        <f t="shared" si="52"/>
        <v>0</v>
      </c>
      <c r="W445" s="58"/>
      <c r="X445" s="58"/>
      <c r="Y445" s="53"/>
      <c r="Z445" s="57"/>
      <c r="AA445" s="62"/>
      <c r="AB445" s="62"/>
      <c r="AC445" s="62"/>
      <c r="AD445" s="62"/>
      <c r="AE445" s="62"/>
      <c r="AF445" s="63"/>
      <c r="AG445" s="64" t="str">
        <f t="shared" si="53"/>
        <v/>
      </c>
    </row>
    <row r="446" spans="1:33" x14ac:dyDescent="0.25">
      <c r="A446" s="46" t="str">
        <f>IF(ISBLANK(inbound_data[[#This Row],[Receiving Report ref.'#]]),"",IF(inbound_data[[#This Row],[Ending Quantity]]=0,"ZERO","INV"))</f>
        <v/>
      </c>
      <c r="B446" s="165" t="str">
        <f t="shared" si="47"/>
        <v/>
      </c>
      <c r="C446" s="165" t="str">
        <f>IF(ISBLANK(D446),"",inbound_data[[#This Row],[Pallet_Series]]&amp;inbound_data[[#This Row],[No.]])</f>
        <v/>
      </c>
      <c r="D446" s="54"/>
      <c r="E446" s="55"/>
      <c r="F446" s="56"/>
      <c r="G446" s="57"/>
      <c r="H446" s="53"/>
      <c r="I446" s="53"/>
      <c r="J446" s="55"/>
      <c r="K446" s="58"/>
      <c r="L446" s="59"/>
      <c r="M446" s="55"/>
      <c r="N446" s="60"/>
      <c r="O446" s="60"/>
      <c r="P446" s="165" t="str">
        <f t="shared" ca="1" si="48"/>
        <v/>
      </c>
      <c r="Q446" s="165" t="str">
        <f t="shared" ca="1" si="49"/>
        <v/>
      </c>
      <c r="R446" s="79"/>
      <c r="S446" s="80"/>
      <c r="T446" s="61">
        <f t="shared" si="50"/>
        <v>0</v>
      </c>
      <c r="U446" s="61">
        <f t="shared" si="51"/>
        <v>0</v>
      </c>
      <c r="V446" s="61">
        <f t="shared" si="52"/>
        <v>0</v>
      </c>
      <c r="W446" s="58"/>
      <c r="X446" s="58"/>
      <c r="Y446" s="53"/>
      <c r="Z446" s="57"/>
      <c r="AA446" s="62"/>
      <c r="AB446" s="62"/>
      <c r="AC446" s="62"/>
      <c r="AD446" s="62"/>
      <c r="AE446" s="62"/>
      <c r="AF446" s="63"/>
      <c r="AG446" s="64" t="str">
        <f t="shared" si="53"/>
        <v/>
      </c>
    </row>
    <row r="447" spans="1:33" x14ac:dyDescent="0.25">
      <c r="A447" s="46" t="str">
        <f>IF(ISBLANK(inbound_data[[#This Row],[Receiving Report ref.'#]]),"",IF(inbound_data[[#This Row],[Ending Quantity]]=0,"ZERO","INV"))</f>
        <v/>
      </c>
      <c r="B447" s="165" t="str">
        <f t="shared" si="47"/>
        <v/>
      </c>
      <c r="C447" s="165" t="str">
        <f>IF(ISBLANK(D447),"",inbound_data[[#This Row],[Pallet_Series]]&amp;inbound_data[[#This Row],[No.]])</f>
        <v/>
      </c>
      <c r="D447" s="54"/>
      <c r="E447" s="55"/>
      <c r="F447" s="56"/>
      <c r="G447" s="57"/>
      <c r="H447" s="53"/>
      <c r="I447" s="53"/>
      <c r="J447" s="55"/>
      <c r="K447" s="58"/>
      <c r="L447" s="59"/>
      <c r="M447" s="55"/>
      <c r="N447" s="60"/>
      <c r="O447" s="60"/>
      <c r="P447" s="165" t="str">
        <f t="shared" ca="1" si="48"/>
        <v/>
      </c>
      <c r="Q447" s="165" t="str">
        <f t="shared" ca="1" si="49"/>
        <v/>
      </c>
      <c r="R447" s="79"/>
      <c r="S447" s="80"/>
      <c r="T447" s="61">
        <f t="shared" si="50"/>
        <v>0</v>
      </c>
      <c r="U447" s="61">
        <f t="shared" si="51"/>
        <v>0</v>
      </c>
      <c r="V447" s="61">
        <f t="shared" si="52"/>
        <v>0</v>
      </c>
      <c r="W447" s="58"/>
      <c r="X447" s="58"/>
      <c r="Y447" s="53"/>
      <c r="Z447" s="57"/>
      <c r="AA447" s="62"/>
      <c r="AB447" s="62"/>
      <c r="AC447" s="62"/>
      <c r="AD447" s="62"/>
      <c r="AE447" s="62"/>
      <c r="AF447" s="63"/>
      <c r="AG447" s="64" t="str">
        <f t="shared" si="53"/>
        <v/>
      </c>
    </row>
    <row r="448" spans="1:33" x14ac:dyDescent="0.25">
      <c r="A448" s="46" t="str">
        <f>IF(ISBLANK(inbound_data[[#This Row],[Receiving Report ref.'#]]),"",IF(inbound_data[[#This Row],[Ending Quantity]]=0,"ZERO","INV"))</f>
        <v/>
      </c>
      <c r="B448" s="165" t="str">
        <f t="shared" si="47"/>
        <v/>
      </c>
      <c r="C448" s="165" t="str">
        <f>IF(ISBLANK(D448),"",inbound_data[[#This Row],[Pallet_Series]]&amp;inbound_data[[#This Row],[No.]])</f>
        <v/>
      </c>
      <c r="D448" s="54"/>
      <c r="E448" s="55"/>
      <c r="F448" s="56"/>
      <c r="G448" s="57"/>
      <c r="H448" s="53"/>
      <c r="I448" s="53"/>
      <c r="J448" s="55"/>
      <c r="K448" s="58"/>
      <c r="L448" s="59"/>
      <c r="M448" s="55"/>
      <c r="N448" s="60"/>
      <c r="O448" s="60"/>
      <c r="P448" s="165" t="str">
        <f t="shared" ca="1" si="48"/>
        <v/>
      </c>
      <c r="Q448" s="165" t="str">
        <f t="shared" ca="1" si="49"/>
        <v/>
      </c>
      <c r="R448" s="79"/>
      <c r="S448" s="80"/>
      <c r="T448" s="61">
        <f t="shared" si="50"/>
        <v>0</v>
      </c>
      <c r="U448" s="61">
        <f t="shared" si="51"/>
        <v>0</v>
      </c>
      <c r="V448" s="61">
        <f t="shared" si="52"/>
        <v>0</v>
      </c>
      <c r="W448" s="58"/>
      <c r="X448" s="58"/>
      <c r="Y448" s="53"/>
      <c r="Z448" s="57"/>
      <c r="AA448" s="62"/>
      <c r="AB448" s="62"/>
      <c r="AC448" s="62"/>
      <c r="AD448" s="62"/>
      <c r="AE448" s="62"/>
      <c r="AF448" s="63"/>
      <c r="AG448" s="64" t="str">
        <f t="shared" si="53"/>
        <v/>
      </c>
    </row>
    <row r="449" spans="1:33" x14ac:dyDescent="0.25">
      <c r="A449" s="46" t="str">
        <f>IF(ISBLANK(inbound_data[[#This Row],[Receiving Report ref.'#]]),"",IF(inbound_data[[#This Row],[Ending Quantity]]=0,"ZERO","INV"))</f>
        <v/>
      </c>
      <c r="B449" s="165" t="str">
        <f t="shared" si="47"/>
        <v/>
      </c>
      <c r="C449" s="165" t="str">
        <f>IF(ISBLANK(D449),"",inbound_data[[#This Row],[Pallet_Series]]&amp;inbound_data[[#This Row],[No.]])</f>
        <v/>
      </c>
      <c r="D449" s="54"/>
      <c r="E449" s="55"/>
      <c r="F449" s="56"/>
      <c r="G449" s="57"/>
      <c r="H449" s="53"/>
      <c r="I449" s="53"/>
      <c r="J449" s="55"/>
      <c r="K449" s="58"/>
      <c r="L449" s="59"/>
      <c r="M449" s="55"/>
      <c r="N449" s="60"/>
      <c r="O449" s="60"/>
      <c r="P449" s="165" t="str">
        <f t="shared" ca="1" si="48"/>
        <v/>
      </c>
      <c r="Q449" s="165" t="str">
        <f t="shared" ca="1" si="49"/>
        <v/>
      </c>
      <c r="R449" s="79"/>
      <c r="S449" s="80"/>
      <c r="T449" s="61">
        <f t="shared" si="50"/>
        <v>0</v>
      </c>
      <c r="U449" s="61">
        <f t="shared" si="51"/>
        <v>0</v>
      </c>
      <c r="V449" s="61">
        <f t="shared" si="52"/>
        <v>0</v>
      </c>
      <c r="W449" s="58"/>
      <c r="X449" s="58"/>
      <c r="Y449" s="53"/>
      <c r="Z449" s="57"/>
      <c r="AA449" s="62"/>
      <c r="AB449" s="62"/>
      <c r="AC449" s="62"/>
      <c r="AD449" s="62"/>
      <c r="AE449" s="62"/>
      <c r="AF449" s="63"/>
      <c r="AG449" s="64" t="str">
        <f t="shared" si="53"/>
        <v/>
      </c>
    </row>
    <row r="450" spans="1:33" x14ac:dyDescent="0.25">
      <c r="A450" s="46" t="str">
        <f>IF(ISBLANK(inbound_data[[#This Row],[Receiving Report ref.'#]]),"",IF(inbound_data[[#This Row],[Ending Quantity]]=0,"ZERO","INV"))</f>
        <v/>
      </c>
      <c r="B450" s="165" t="str">
        <f t="shared" si="47"/>
        <v/>
      </c>
      <c r="C450" s="165" t="str">
        <f>IF(ISBLANK(D450),"",inbound_data[[#This Row],[Pallet_Series]]&amp;inbound_data[[#This Row],[No.]])</f>
        <v/>
      </c>
      <c r="D450" s="54"/>
      <c r="E450" s="55"/>
      <c r="F450" s="56"/>
      <c r="G450" s="57"/>
      <c r="H450" s="53"/>
      <c r="I450" s="53"/>
      <c r="J450" s="55"/>
      <c r="K450" s="58"/>
      <c r="L450" s="59"/>
      <c r="M450" s="55"/>
      <c r="N450" s="60"/>
      <c r="O450" s="60"/>
      <c r="P450" s="165" t="str">
        <f t="shared" ca="1" si="48"/>
        <v/>
      </c>
      <c r="Q450" s="165" t="str">
        <f t="shared" ca="1" si="49"/>
        <v/>
      </c>
      <c r="R450" s="79"/>
      <c r="S450" s="80"/>
      <c r="T450" s="61">
        <f t="shared" si="50"/>
        <v>0</v>
      </c>
      <c r="U450" s="61">
        <f t="shared" si="51"/>
        <v>0</v>
      </c>
      <c r="V450" s="61">
        <f t="shared" si="52"/>
        <v>0</v>
      </c>
      <c r="W450" s="58"/>
      <c r="X450" s="58"/>
      <c r="Y450" s="53"/>
      <c r="Z450" s="57"/>
      <c r="AA450" s="62"/>
      <c r="AB450" s="62"/>
      <c r="AC450" s="62"/>
      <c r="AD450" s="62"/>
      <c r="AE450" s="62"/>
      <c r="AF450" s="63"/>
      <c r="AG450" s="64" t="str">
        <f t="shared" si="53"/>
        <v/>
      </c>
    </row>
    <row r="451" spans="1:33" x14ac:dyDescent="0.25">
      <c r="A451" s="46" t="str">
        <f>IF(ISBLANK(inbound_data[[#This Row],[Receiving Report ref.'#]]),"",IF(inbound_data[[#This Row],[Ending Quantity]]=0,"ZERO","INV"))</f>
        <v/>
      </c>
      <c r="B451" s="165" t="str">
        <f t="shared" si="47"/>
        <v/>
      </c>
      <c r="C451" s="165" t="str">
        <f>IF(ISBLANK(D451),"",inbound_data[[#This Row],[Pallet_Series]]&amp;inbound_data[[#This Row],[No.]])</f>
        <v/>
      </c>
      <c r="D451" s="54"/>
      <c r="E451" s="55"/>
      <c r="F451" s="56"/>
      <c r="G451" s="57"/>
      <c r="H451" s="53"/>
      <c r="I451" s="53"/>
      <c r="J451" s="55"/>
      <c r="K451" s="58"/>
      <c r="L451" s="59"/>
      <c r="M451" s="55"/>
      <c r="N451" s="60"/>
      <c r="O451" s="60"/>
      <c r="P451" s="165" t="str">
        <f t="shared" ca="1" si="48"/>
        <v/>
      </c>
      <c r="Q451" s="165" t="str">
        <f t="shared" ca="1" si="49"/>
        <v/>
      </c>
      <c r="R451" s="79"/>
      <c r="S451" s="80"/>
      <c r="T451" s="61">
        <f t="shared" si="50"/>
        <v>0</v>
      </c>
      <c r="U451" s="61">
        <f t="shared" si="51"/>
        <v>0</v>
      </c>
      <c r="V451" s="61">
        <f t="shared" si="52"/>
        <v>0</v>
      </c>
      <c r="W451" s="58"/>
      <c r="X451" s="58"/>
      <c r="Y451" s="53"/>
      <c r="Z451" s="57"/>
      <c r="AA451" s="62"/>
      <c r="AB451" s="62"/>
      <c r="AC451" s="62"/>
      <c r="AD451" s="62"/>
      <c r="AE451" s="62"/>
      <c r="AF451" s="63"/>
      <c r="AG451" s="64" t="str">
        <f t="shared" si="53"/>
        <v/>
      </c>
    </row>
    <row r="452" spans="1:33" x14ac:dyDescent="0.25">
      <c r="A452" s="46" t="str">
        <f>IF(ISBLANK(inbound_data[[#This Row],[Receiving Report ref.'#]]),"",IF(inbound_data[[#This Row],[Ending Quantity]]=0,"ZERO","INV"))</f>
        <v/>
      </c>
      <c r="B452" s="165" t="str">
        <f t="shared" si="47"/>
        <v/>
      </c>
      <c r="C452" s="165" t="str">
        <f>IF(ISBLANK(D452),"",inbound_data[[#This Row],[Pallet_Series]]&amp;inbound_data[[#This Row],[No.]])</f>
        <v/>
      </c>
      <c r="D452" s="54"/>
      <c r="E452" s="55"/>
      <c r="F452" s="56"/>
      <c r="G452" s="57"/>
      <c r="H452" s="53"/>
      <c r="I452" s="53"/>
      <c r="J452" s="55"/>
      <c r="K452" s="58"/>
      <c r="L452" s="59"/>
      <c r="M452" s="55"/>
      <c r="N452" s="60"/>
      <c r="O452" s="60"/>
      <c r="P452" s="165" t="str">
        <f t="shared" ca="1" si="48"/>
        <v/>
      </c>
      <c r="Q452" s="165" t="str">
        <f t="shared" ca="1" si="49"/>
        <v/>
      </c>
      <c r="R452" s="79"/>
      <c r="S452" s="80"/>
      <c r="T452" s="61">
        <f t="shared" si="50"/>
        <v>0</v>
      </c>
      <c r="U452" s="61">
        <f t="shared" si="51"/>
        <v>0</v>
      </c>
      <c r="V452" s="61">
        <f t="shared" si="52"/>
        <v>0</v>
      </c>
      <c r="W452" s="58"/>
      <c r="X452" s="58"/>
      <c r="Y452" s="53"/>
      <c r="Z452" s="57"/>
      <c r="AA452" s="62"/>
      <c r="AB452" s="62"/>
      <c r="AC452" s="62"/>
      <c r="AD452" s="62"/>
      <c r="AE452" s="62"/>
      <c r="AF452" s="63"/>
      <c r="AG452" s="64" t="str">
        <f t="shared" si="53"/>
        <v/>
      </c>
    </row>
    <row r="453" spans="1:33" x14ac:dyDescent="0.25">
      <c r="A453" s="46" t="str">
        <f>IF(ISBLANK(inbound_data[[#This Row],[Receiving Report ref.'#]]),"",IF(inbound_data[[#This Row],[Ending Quantity]]=0,"ZERO","INV"))</f>
        <v/>
      </c>
      <c r="B453" s="165" t="str">
        <f t="shared" si="47"/>
        <v/>
      </c>
      <c r="C453" s="165" t="str">
        <f>IF(ISBLANK(D453),"",inbound_data[[#This Row],[Pallet_Series]]&amp;inbound_data[[#This Row],[No.]])</f>
        <v/>
      </c>
      <c r="D453" s="54"/>
      <c r="E453" s="55"/>
      <c r="F453" s="56"/>
      <c r="G453" s="57"/>
      <c r="H453" s="53"/>
      <c r="I453" s="53"/>
      <c r="J453" s="55"/>
      <c r="K453" s="58"/>
      <c r="L453" s="59"/>
      <c r="M453" s="55"/>
      <c r="N453" s="60"/>
      <c r="O453" s="60"/>
      <c r="P453" s="165" t="str">
        <f t="shared" ca="1" si="48"/>
        <v/>
      </c>
      <c r="Q453" s="165" t="str">
        <f t="shared" ca="1" si="49"/>
        <v/>
      </c>
      <c r="R453" s="79"/>
      <c r="S453" s="80"/>
      <c r="T453" s="61">
        <f t="shared" si="50"/>
        <v>0</v>
      </c>
      <c r="U453" s="61">
        <f t="shared" si="51"/>
        <v>0</v>
      </c>
      <c r="V453" s="61">
        <f t="shared" si="52"/>
        <v>0</v>
      </c>
      <c r="W453" s="58"/>
      <c r="X453" s="58"/>
      <c r="Y453" s="53"/>
      <c r="Z453" s="57"/>
      <c r="AA453" s="62"/>
      <c r="AB453" s="62"/>
      <c r="AC453" s="62"/>
      <c r="AD453" s="62"/>
      <c r="AE453" s="62"/>
      <c r="AF453" s="63"/>
      <c r="AG453" s="64" t="str">
        <f t="shared" si="53"/>
        <v/>
      </c>
    </row>
    <row r="454" spans="1:33" x14ac:dyDescent="0.25">
      <c r="A454" s="46" t="str">
        <f>IF(ISBLANK(inbound_data[[#This Row],[Receiving Report ref.'#]]),"",IF(inbound_data[[#This Row],[Ending Quantity]]=0,"ZERO","INV"))</f>
        <v/>
      </c>
      <c r="B454" s="165" t="str">
        <f t="shared" si="47"/>
        <v/>
      </c>
      <c r="C454" s="165" t="str">
        <f>IF(ISBLANK(D454),"",inbound_data[[#This Row],[Pallet_Series]]&amp;inbound_data[[#This Row],[No.]])</f>
        <v/>
      </c>
      <c r="D454" s="54"/>
      <c r="E454" s="55"/>
      <c r="F454" s="56"/>
      <c r="G454" s="57"/>
      <c r="H454" s="53"/>
      <c r="I454" s="53"/>
      <c r="J454" s="55"/>
      <c r="K454" s="58"/>
      <c r="L454" s="59"/>
      <c r="M454" s="55"/>
      <c r="N454" s="60"/>
      <c r="O454" s="60"/>
      <c r="P454" s="165" t="str">
        <f t="shared" ca="1" si="48"/>
        <v/>
      </c>
      <c r="Q454" s="165" t="str">
        <f t="shared" ca="1" si="49"/>
        <v/>
      </c>
      <c r="R454" s="79"/>
      <c r="S454" s="80"/>
      <c r="T454" s="61">
        <f t="shared" si="50"/>
        <v>0</v>
      </c>
      <c r="U454" s="61">
        <f t="shared" si="51"/>
        <v>0</v>
      </c>
      <c r="V454" s="61">
        <f t="shared" si="52"/>
        <v>0</v>
      </c>
      <c r="W454" s="58"/>
      <c r="X454" s="58"/>
      <c r="Y454" s="53"/>
      <c r="Z454" s="57"/>
      <c r="AA454" s="62"/>
      <c r="AB454" s="62"/>
      <c r="AC454" s="62"/>
      <c r="AD454" s="62"/>
      <c r="AE454" s="62"/>
      <c r="AF454" s="63"/>
      <c r="AG454" s="64" t="str">
        <f t="shared" si="53"/>
        <v/>
      </c>
    </row>
    <row r="455" spans="1:33" x14ac:dyDescent="0.25">
      <c r="A455" s="46" t="str">
        <f>IF(ISBLANK(inbound_data[[#This Row],[Receiving Report ref.'#]]),"",IF(inbound_data[[#This Row],[Ending Quantity]]=0,"ZERO","INV"))</f>
        <v/>
      </c>
      <c r="B455" s="165" t="str">
        <f t="shared" si="47"/>
        <v/>
      </c>
      <c r="C455" s="165" t="str">
        <f>IF(ISBLANK(D455),"",inbound_data[[#This Row],[Pallet_Series]]&amp;inbound_data[[#This Row],[No.]])</f>
        <v/>
      </c>
      <c r="D455" s="54"/>
      <c r="E455" s="55"/>
      <c r="F455" s="56"/>
      <c r="G455" s="57"/>
      <c r="H455" s="53"/>
      <c r="I455" s="53"/>
      <c r="J455" s="55"/>
      <c r="K455" s="58"/>
      <c r="L455" s="59"/>
      <c r="M455" s="55"/>
      <c r="N455" s="60"/>
      <c r="O455" s="60"/>
      <c r="P455" s="165" t="str">
        <f t="shared" ca="1" si="48"/>
        <v/>
      </c>
      <c r="Q455" s="165" t="str">
        <f t="shared" ca="1" si="49"/>
        <v/>
      </c>
      <c r="R455" s="79"/>
      <c r="S455" s="80"/>
      <c r="T455" s="61">
        <f t="shared" si="50"/>
        <v>0</v>
      </c>
      <c r="U455" s="61">
        <f t="shared" si="51"/>
        <v>0</v>
      </c>
      <c r="V455" s="61">
        <f t="shared" si="52"/>
        <v>0</v>
      </c>
      <c r="W455" s="58"/>
      <c r="X455" s="58"/>
      <c r="Y455" s="53"/>
      <c r="Z455" s="57"/>
      <c r="AA455" s="62"/>
      <c r="AB455" s="62"/>
      <c r="AC455" s="62"/>
      <c r="AD455" s="62"/>
      <c r="AE455" s="62"/>
      <c r="AF455" s="63"/>
      <c r="AG455" s="64" t="str">
        <f t="shared" si="53"/>
        <v/>
      </c>
    </row>
    <row r="456" spans="1:33" x14ac:dyDescent="0.25">
      <c r="A456" s="46" t="str">
        <f>IF(ISBLANK(inbound_data[[#This Row],[Receiving Report ref.'#]]),"",IF(inbound_data[[#This Row],[Ending Quantity]]=0,"ZERO","INV"))</f>
        <v/>
      </c>
      <c r="B456" s="165" t="str">
        <f t="shared" si="47"/>
        <v/>
      </c>
      <c r="C456" s="165" t="str">
        <f>IF(ISBLANK(D456),"",inbound_data[[#This Row],[Pallet_Series]]&amp;inbound_data[[#This Row],[No.]])</f>
        <v/>
      </c>
      <c r="D456" s="54"/>
      <c r="E456" s="55"/>
      <c r="F456" s="56"/>
      <c r="G456" s="57"/>
      <c r="H456" s="53"/>
      <c r="I456" s="53"/>
      <c r="J456" s="55"/>
      <c r="K456" s="58"/>
      <c r="L456" s="59"/>
      <c r="M456" s="55"/>
      <c r="N456" s="60"/>
      <c r="O456" s="60"/>
      <c r="P456" s="165" t="str">
        <f t="shared" ca="1" si="48"/>
        <v/>
      </c>
      <c r="Q456" s="165" t="str">
        <f t="shared" ca="1" si="49"/>
        <v/>
      </c>
      <c r="R456" s="79"/>
      <c r="S456" s="80"/>
      <c r="T456" s="61">
        <f t="shared" si="50"/>
        <v>0</v>
      </c>
      <c r="U456" s="61">
        <f t="shared" si="51"/>
        <v>0</v>
      </c>
      <c r="V456" s="61">
        <f t="shared" si="52"/>
        <v>0</v>
      </c>
      <c r="W456" s="58"/>
      <c r="X456" s="58"/>
      <c r="Y456" s="53"/>
      <c r="Z456" s="57"/>
      <c r="AA456" s="62"/>
      <c r="AB456" s="62"/>
      <c r="AC456" s="62"/>
      <c r="AD456" s="62"/>
      <c r="AE456" s="62"/>
      <c r="AF456" s="63"/>
      <c r="AG456" s="64" t="str">
        <f t="shared" si="53"/>
        <v/>
      </c>
    </row>
    <row r="457" spans="1:33" x14ac:dyDescent="0.25">
      <c r="A457" s="46" t="str">
        <f>IF(ISBLANK(inbound_data[[#This Row],[Receiving Report ref.'#]]),"",IF(inbound_data[[#This Row],[Ending Quantity]]=0,"ZERO","INV"))</f>
        <v/>
      </c>
      <c r="B457" s="165" t="str">
        <f t="shared" ref="B457:B520" si="54">IF(ISBLANK(D457),"",TEXT(ROW(),"00000"))</f>
        <v/>
      </c>
      <c r="C457" s="165" t="str">
        <f>IF(ISBLANK(D457),"",inbound_data[[#This Row],[Pallet_Series]]&amp;inbound_data[[#This Row],[No.]])</f>
        <v/>
      </c>
      <c r="D457" s="54"/>
      <c r="E457" s="55"/>
      <c r="F457" s="56"/>
      <c r="G457" s="57"/>
      <c r="H457" s="53"/>
      <c r="I457" s="53"/>
      <c r="J457" s="55"/>
      <c r="K457" s="58"/>
      <c r="L457" s="59"/>
      <c r="M457" s="55"/>
      <c r="N457" s="60"/>
      <c r="O457" s="60"/>
      <c r="P457" s="165" t="str">
        <f t="shared" ref="P457:P520" ca="1" si="55">IF(A457="ZERO","",IF(O457="","",O457-TODAY()))</f>
        <v/>
      </c>
      <c r="Q457" s="165" t="str">
        <f t="shared" ref="Q457:Q520" ca="1" si="56">IF(A457="ZERO","",IF(P457&lt;0,"ALREADY EXPIRED",IF(P457&lt;60,"NEARLY EXPIRED","")))</f>
        <v/>
      </c>
      <c r="R457" s="79"/>
      <c r="S457" s="80"/>
      <c r="T457" s="61">
        <f t="shared" ref="T457:T520" si="57">IF(ISBLANK(R457),0,R457-SUMIF(STOCK_CODE_OUT,$C457,QTY_OUT))</f>
        <v>0</v>
      </c>
      <c r="U457" s="61">
        <f t="shared" ref="U457:U520" si="58">IF(ISBLANK(S457),0,S457-SUMIF(STOCK_CODE_OUT,$C457,KILOS_OUT))</f>
        <v>0</v>
      </c>
      <c r="V457" s="61">
        <f t="shared" ref="V457:V520" si="59">IF(ISBLANK(K457),0,K457-SUMIF(STOCK_CODE_OUT,$C457,PALLET_OUT))</f>
        <v>0</v>
      </c>
      <c r="W457" s="58"/>
      <c r="X457" s="58"/>
      <c r="Y457" s="53"/>
      <c r="Z457" s="57"/>
      <c r="AA457" s="62"/>
      <c r="AB457" s="62"/>
      <c r="AC457" s="62"/>
      <c r="AD457" s="62"/>
      <c r="AE457" s="62"/>
      <c r="AF457" s="63"/>
      <c r="AG457" s="64" t="str">
        <f t="shared" ref="AG457:AG520" si="60">IF(T457&gt;0,CONCATENATE(AA457,AB457,TEXT(AC457,"R00"),TEXT(AD457,"L0."),TEXT(AE457,"0")),"")</f>
        <v/>
      </c>
    </row>
    <row r="458" spans="1:33" x14ac:dyDescent="0.25">
      <c r="A458" s="46" t="str">
        <f>IF(ISBLANK(inbound_data[[#This Row],[Receiving Report ref.'#]]),"",IF(inbound_data[[#This Row],[Ending Quantity]]=0,"ZERO","INV"))</f>
        <v/>
      </c>
      <c r="B458" s="165" t="str">
        <f t="shared" si="54"/>
        <v/>
      </c>
      <c r="C458" s="165" t="str">
        <f>IF(ISBLANK(D458),"",inbound_data[[#This Row],[Pallet_Series]]&amp;inbound_data[[#This Row],[No.]])</f>
        <v/>
      </c>
      <c r="D458" s="54"/>
      <c r="E458" s="55"/>
      <c r="F458" s="56"/>
      <c r="G458" s="57"/>
      <c r="H458" s="53"/>
      <c r="I458" s="53"/>
      <c r="J458" s="55"/>
      <c r="K458" s="58"/>
      <c r="L458" s="59"/>
      <c r="M458" s="55"/>
      <c r="N458" s="60"/>
      <c r="O458" s="60"/>
      <c r="P458" s="165" t="str">
        <f t="shared" ca="1" si="55"/>
        <v/>
      </c>
      <c r="Q458" s="165" t="str">
        <f t="shared" ca="1" si="56"/>
        <v/>
      </c>
      <c r="R458" s="79"/>
      <c r="S458" s="80"/>
      <c r="T458" s="61">
        <f t="shared" si="57"/>
        <v>0</v>
      </c>
      <c r="U458" s="61">
        <f t="shared" si="58"/>
        <v>0</v>
      </c>
      <c r="V458" s="61">
        <f t="shared" si="59"/>
        <v>0</v>
      </c>
      <c r="W458" s="58"/>
      <c r="X458" s="58"/>
      <c r="Y458" s="53"/>
      <c r="Z458" s="57"/>
      <c r="AA458" s="62"/>
      <c r="AB458" s="62"/>
      <c r="AC458" s="62"/>
      <c r="AD458" s="62"/>
      <c r="AE458" s="62"/>
      <c r="AF458" s="63"/>
      <c r="AG458" s="64" t="str">
        <f t="shared" si="60"/>
        <v/>
      </c>
    </row>
    <row r="459" spans="1:33" x14ac:dyDescent="0.25">
      <c r="A459" s="46" t="str">
        <f>IF(ISBLANK(inbound_data[[#This Row],[Receiving Report ref.'#]]),"",IF(inbound_data[[#This Row],[Ending Quantity]]=0,"ZERO","INV"))</f>
        <v/>
      </c>
      <c r="B459" s="165" t="str">
        <f t="shared" si="54"/>
        <v/>
      </c>
      <c r="C459" s="165" t="str">
        <f>IF(ISBLANK(D459),"",inbound_data[[#This Row],[Pallet_Series]]&amp;inbound_data[[#This Row],[No.]])</f>
        <v/>
      </c>
      <c r="D459" s="54"/>
      <c r="E459" s="55"/>
      <c r="F459" s="56"/>
      <c r="G459" s="57"/>
      <c r="H459" s="53"/>
      <c r="I459" s="53"/>
      <c r="J459" s="55"/>
      <c r="K459" s="58"/>
      <c r="L459" s="59"/>
      <c r="M459" s="55"/>
      <c r="N459" s="60"/>
      <c r="O459" s="60"/>
      <c r="P459" s="165" t="str">
        <f t="shared" ca="1" si="55"/>
        <v/>
      </c>
      <c r="Q459" s="165" t="str">
        <f t="shared" ca="1" si="56"/>
        <v/>
      </c>
      <c r="R459" s="79"/>
      <c r="S459" s="80"/>
      <c r="T459" s="61">
        <f t="shared" si="57"/>
        <v>0</v>
      </c>
      <c r="U459" s="61">
        <f t="shared" si="58"/>
        <v>0</v>
      </c>
      <c r="V459" s="61">
        <f t="shared" si="59"/>
        <v>0</v>
      </c>
      <c r="W459" s="58"/>
      <c r="X459" s="58"/>
      <c r="Y459" s="53"/>
      <c r="Z459" s="57"/>
      <c r="AA459" s="62"/>
      <c r="AB459" s="62"/>
      <c r="AC459" s="62"/>
      <c r="AD459" s="62"/>
      <c r="AE459" s="62"/>
      <c r="AF459" s="63"/>
      <c r="AG459" s="64" t="str">
        <f t="shared" si="60"/>
        <v/>
      </c>
    </row>
    <row r="460" spans="1:33" x14ac:dyDescent="0.25">
      <c r="A460" s="46" t="str">
        <f>IF(ISBLANK(inbound_data[[#This Row],[Receiving Report ref.'#]]),"",IF(inbound_data[[#This Row],[Ending Quantity]]=0,"ZERO","INV"))</f>
        <v/>
      </c>
      <c r="B460" s="165" t="str">
        <f t="shared" si="54"/>
        <v/>
      </c>
      <c r="C460" s="165" t="str">
        <f>IF(ISBLANK(D460),"",inbound_data[[#This Row],[Pallet_Series]]&amp;inbound_data[[#This Row],[No.]])</f>
        <v/>
      </c>
      <c r="D460" s="54"/>
      <c r="E460" s="55"/>
      <c r="F460" s="56"/>
      <c r="G460" s="57"/>
      <c r="H460" s="53"/>
      <c r="I460" s="53"/>
      <c r="J460" s="55"/>
      <c r="K460" s="58"/>
      <c r="L460" s="59"/>
      <c r="M460" s="55"/>
      <c r="N460" s="60"/>
      <c r="O460" s="60"/>
      <c r="P460" s="165" t="str">
        <f t="shared" ca="1" si="55"/>
        <v/>
      </c>
      <c r="Q460" s="165" t="str">
        <f t="shared" ca="1" si="56"/>
        <v/>
      </c>
      <c r="R460" s="79"/>
      <c r="S460" s="80"/>
      <c r="T460" s="61">
        <f t="shared" si="57"/>
        <v>0</v>
      </c>
      <c r="U460" s="61">
        <f t="shared" si="58"/>
        <v>0</v>
      </c>
      <c r="V460" s="61">
        <f t="shared" si="59"/>
        <v>0</v>
      </c>
      <c r="W460" s="58"/>
      <c r="X460" s="58"/>
      <c r="Y460" s="53"/>
      <c r="Z460" s="57"/>
      <c r="AA460" s="62"/>
      <c r="AB460" s="62"/>
      <c r="AC460" s="62"/>
      <c r="AD460" s="62"/>
      <c r="AE460" s="62"/>
      <c r="AF460" s="63"/>
      <c r="AG460" s="64" t="str">
        <f t="shared" si="60"/>
        <v/>
      </c>
    </row>
    <row r="461" spans="1:33" x14ac:dyDescent="0.25">
      <c r="A461" s="46" t="str">
        <f>IF(ISBLANK(inbound_data[[#This Row],[Receiving Report ref.'#]]),"",IF(inbound_data[[#This Row],[Ending Quantity]]=0,"ZERO","INV"))</f>
        <v/>
      </c>
      <c r="B461" s="165" t="str">
        <f t="shared" si="54"/>
        <v/>
      </c>
      <c r="C461" s="165" t="str">
        <f>IF(ISBLANK(D461),"",inbound_data[[#This Row],[Pallet_Series]]&amp;inbound_data[[#This Row],[No.]])</f>
        <v/>
      </c>
      <c r="D461" s="54"/>
      <c r="E461" s="55"/>
      <c r="F461" s="56"/>
      <c r="G461" s="57"/>
      <c r="H461" s="53"/>
      <c r="I461" s="53"/>
      <c r="J461" s="55"/>
      <c r="K461" s="58"/>
      <c r="L461" s="59"/>
      <c r="M461" s="55"/>
      <c r="N461" s="60"/>
      <c r="O461" s="60"/>
      <c r="P461" s="165" t="str">
        <f t="shared" ca="1" si="55"/>
        <v/>
      </c>
      <c r="Q461" s="165" t="str">
        <f t="shared" ca="1" si="56"/>
        <v/>
      </c>
      <c r="R461" s="79"/>
      <c r="S461" s="80"/>
      <c r="T461" s="61">
        <f t="shared" si="57"/>
        <v>0</v>
      </c>
      <c r="U461" s="61">
        <f t="shared" si="58"/>
        <v>0</v>
      </c>
      <c r="V461" s="61">
        <f t="shared" si="59"/>
        <v>0</v>
      </c>
      <c r="W461" s="58"/>
      <c r="X461" s="58"/>
      <c r="Y461" s="53"/>
      <c r="Z461" s="57"/>
      <c r="AA461" s="62"/>
      <c r="AB461" s="62"/>
      <c r="AC461" s="62"/>
      <c r="AD461" s="62"/>
      <c r="AE461" s="62"/>
      <c r="AF461" s="63"/>
      <c r="AG461" s="64" t="str">
        <f t="shared" si="60"/>
        <v/>
      </c>
    </row>
    <row r="462" spans="1:33" x14ac:dyDescent="0.25">
      <c r="A462" s="46" t="str">
        <f>IF(ISBLANK(inbound_data[[#This Row],[Receiving Report ref.'#]]),"",IF(inbound_data[[#This Row],[Ending Quantity]]=0,"ZERO","INV"))</f>
        <v/>
      </c>
      <c r="B462" s="165" t="str">
        <f t="shared" si="54"/>
        <v/>
      </c>
      <c r="C462" s="165" t="str">
        <f>IF(ISBLANK(D462),"",inbound_data[[#This Row],[Pallet_Series]]&amp;inbound_data[[#This Row],[No.]])</f>
        <v/>
      </c>
      <c r="D462" s="54"/>
      <c r="E462" s="55"/>
      <c r="F462" s="56"/>
      <c r="G462" s="57"/>
      <c r="H462" s="53"/>
      <c r="I462" s="53"/>
      <c r="J462" s="55"/>
      <c r="K462" s="58"/>
      <c r="L462" s="59"/>
      <c r="M462" s="55"/>
      <c r="N462" s="60"/>
      <c r="O462" s="60"/>
      <c r="P462" s="165" t="str">
        <f t="shared" ca="1" si="55"/>
        <v/>
      </c>
      <c r="Q462" s="165" t="str">
        <f t="shared" ca="1" si="56"/>
        <v/>
      </c>
      <c r="R462" s="79"/>
      <c r="S462" s="80"/>
      <c r="T462" s="61">
        <f t="shared" si="57"/>
        <v>0</v>
      </c>
      <c r="U462" s="61">
        <f t="shared" si="58"/>
        <v>0</v>
      </c>
      <c r="V462" s="61">
        <f t="shared" si="59"/>
        <v>0</v>
      </c>
      <c r="W462" s="58"/>
      <c r="X462" s="58"/>
      <c r="Y462" s="53"/>
      <c r="Z462" s="57"/>
      <c r="AA462" s="62"/>
      <c r="AB462" s="62"/>
      <c r="AC462" s="62"/>
      <c r="AD462" s="62"/>
      <c r="AE462" s="62"/>
      <c r="AF462" s="63"/>
      <c r="AG462" s="64" t="str">
        <f t="shared" si="60"/>
        <v/>
      </c>
    </row>
    <row r="463" spans="1:33" x14ac:dyDescent="0.25">
      <c r="A463" s="46" t="str">
        <f>IF(ISBLANK(inbound_data[[#This Row],[Receiving Report ref.'#]]),"",IF(inbound_data[[#This Row],[Ending Quantity]]=0,"ZERO","INV"))</f>
        <v/>
      </c>
      <c r="B463" s="165" t="str">
        <f t="shared" si="54"/>
        <v/>
      </c>
      <c r="C463" s="165" t="str">
        <f>IF(ISBLANK(D463),"",inbound_data[[#This Row],[Pallet_Series]]&amp;inbound_data[[#This Row],[No.]])</f>
        <v/>
      </c>
      <c r="D463" s="54"/>
      <c r="E463" s="55"/>
      <c r="F463" s="56"/>
      <c r="G463" s="57"/>
      <c r="H463" s="53"/>
      <c r="I463" s="53"/>
      <c r="J463" s="55"/>
      <c r="K463" s="58"/>
      <c r="L463" s="59"/>
      <c r="M463" s="55"/>
      <c r="N463" s="60"/>
      <c r="O463" s="60"/>
      <c r="P463" s="165" t="str">
        <f t="shared" ca="1" si="55"/>
        <v/>
      </c>
      <c r="Q463" s="165" t="str">
        <f t="shared" ca="1" si="56"/>
        <v/>
      </c>
      <c r="R463" s="79"/>
      <c r="S463" s="80"/>
      <c r="T463" s="61">
        <f t="shared" si="57"/>
        <v>0</v>
      </c>
      <c r="U463" s="61">
        <f t="shared" si="58"/>
        <v>0</v>
      </c>
      <c r="V463" s="61">
        <f t="shared" si="59"/>
        <v>0</v>
      </c>
      <c r="W463" s="58"/>
      <c r="X463" s="58"/>
      <c r="Y463" s="53"/>
      <c r="Z463" s="57"/>
      <c r="AA463" s="62"/>
      <c r="AB463" s="62"/>
      <c r="AC463" s="62"/>
      <c r="AD463" s="62"/>
      <c r="AE463" s="62"/>
      <c r="AF463" s="63"/>
      <c r="AG463" s="64" t="str">
        <f t="shared" si="60"/>
        <v/>
      </c>
    </row>
    <row r="464" spans="1:33" x14ac:dyDescent="0.25">
      <c r="A464" s="46" t="str">
        <f>IF(ISBLANK(inbound_data[[#This Row],[Receiving Report ref.'#]]),"",IF(inbound_data[[#This Row],[Ending Quantity]]=0,"ZERO","INV"))</f>
        <v/>
      </c>
      <c r="B464" s="165" t="str">
        <f t="shared" si="54"/>
        <v/>
      </c>
      <c r="C464" s="165" t="str">
        <f>IF(ISBLANK(D464),"",inbound_data[[#This Row],[Pallet_Series]]&amp;inbound_data[[#This Row],[No.]])</f>
        <v/>
      </c>
      <c r="D464" s="54"/>
      <c r="E464" s="55"/>
      <c r="F464" s="56"/>
      <c r="G464" s="57"/>
      <c r="H464" s="53"/>
      <c r="I464" s="53"/>
      <c r="J464" s="55"/>
      <c r="K464" s="58"/>
      <c r="L464" s="59"/>
      <c r="M464" s="55"/>
      <c r="N464" s="60"/>
      <c r="O464" s="60"/>
      <c r="P464" s="165" t="str">
        <f t="shared" ca="1" si="55"/>
        <v/>
      </c>
      <c r="Q464" s="165" t="str">
        <f t="shared" ca="1" si="56"/>
        <v/>
      </c>
      <c r="R464" s="79"/>
      <c r="S464" s="80"/>
      <c r="T464" s="61">
        <f t="shared" si="57"/>
        <v>0</v>
      </c>
      <c r="U464" s="61">
        <f t="shared" si="58"/>
        <v>0</v>
      </c>
      <c r="V464" s="61">
        <f t="shared" si="59"/>
        <v>0</v>
      </c>
      <c r="W464" s="58"/>
      <c r="X464" s="58"/>
      <c r="Y464" s="53"/>
      <c r="Z464" s="57"/>
      <c r="AA464" s="62"/>
      <c r="AB464" s="62"/>
      <c r="AC464" s="62"/>
      <c r="AD464" s="62"/>
      <c r="AE464" s="62"/>
      <c r="AF464" s="63"/>
      <c r="AG464" s="64" t="str">
        <f t="shared" si="60"/>
        <v/>
      </c>
    </row>
    <row r="465" spans="1:33" x14ac:dyDescent="0.25">
      <c r="A465" s="46" t="str">
        <f>IF(ISBLANK(inbound_data[[#This Row],[Receiving Report ref.'#]]),"",IF(inbound_data[[#This Row],[Ending Quantity]]=0,"ZERO","INV"))</f>
        <v/>
      </c>
      <c r="B465" s="165" t="str">
        <f t="shared" si="54"/>
        <v/>
      </c>
      <c r="C465" s="165" t="str">
        <f>IF(ISBLANK(D465),"",inbound_data[[#This Row],[Pallet_Series]]&amp;inbound_data[[#This Row],[No.]])</f>
        <v/>
      </c>
      <c r="D465" s="54"/>
      <c r="E465" s="55"/>
      <c r="F465" s="56"/>
      <c r="G465" s="57"/>
      <c r="H465" s="53"/>
      <c r="I465" s="53"/>
      <c r="J465" s="55"/>
      <c r="K465" s="58"/>
      <c r="L465" s="59"/>
      <c r="M465" s="55"/>
      <c r="N465" s="60"/>
      <c r="O465" s="60"/>
      <c r="P465" s="165" t="str">
        <f t="shared" ca="1" si="55"/>
        <v/>
      </c>
      <c r="Q465" s="165" t="str">
        <f t="shared" ca="1" si="56"/>
        <v/>
      </c>
      <c r="R465" s="79"/>
      <c r="S465" s="80"/>
      <c r="T465" s="61">
        <f t="shared" si="57"/>
        <v>0</v>
      </c>
      <c r="U465" s="61">
        <f t="shared" si="58"/>
        <v>0</v>
      </c>
      <c r="V465" s="61">
        <f t="shared" si="59"/>
        <v>0</v>
      </c>
      <c r="W465" s="58"/>
      <c r="X465" s="58"/>
      <c r="Y465" s="53"/>
      <c r="Z465" s="57"/>
      <c r="AA465" s="62"/>
      <c r="AB465" s="62"/>
      <c r="AC465" s="62"/>
      <c r="AD465" s="62"/>
      <c r="AE465" s="62"/>
      <c r="AF465" s="63"/>
      <c r="AG465" s="64" t="str">
        <f t="shared" si="60"/>
        <v/>
      </c>
    </row>
    <row r="466" spans="1:33" x14ac:dyDescent="0.25">
      <c r="A466" s="46" t="str">
        <f>IF(ISBLANK(inbound_data[[#This Row],[Receiving Report ref.'#]]),"",IF(inbound_data[[#This Row],[Ending Quantity]]=0,"ZERO","INV"))</f>
        <v/>
      </c>
      <c r="B466" s="165" t="str">
        <f t="shared" si="54"/>
        <v/>
      </c>
      <c r="C466" s="165" t="str">
        <f>IF(ISBLANK(D466),"",inbound_data[[#This Row],[Pallet_Series]]&amp;inbound_data[[#This Row],[No.]])</f>
        <v/>
      </c>
      <c r="D466" s="54"/>
      <c r="E466" s="55"/>
      <c r="F466" s="56"/>
      <c r="G466" s="57"/>
      <c r="H466" s="53"/>
      <c r="I466" s="53"/>
      <c r="J466" s="55"/>
      <c r="K466" s="58"/>
      <c r="L466" s="59"/>
      <c r="M466" s="55"/>
      <c r="N466" s="60"/>
      <c r="O466" s="60"/>
      <c r="P466" s="165" t="str">
        <f t="shared" ca="1" si="55"/>
        <v/>
      </c>
      <c r="Q466" s="165" t="str">
        <f t="shared" ca="1" si="56"/>
        <v/>
      </c>
      <c r="R466" s="79"/>
      <c r="S466" s="80"/>
      <c r="T466" s="61">
        <f t="shared" si="57"/>
        <v>0</v>
      </c>
      <c r="U466" s="61">
        <f t="shared" si="58"/>
        <v>0</v>
      </c>
      <c r="V466" s="61">
        <f t="shared" si="59"/>
        <v>0</v>
      </c>
      <c r="W466" s="58"/>
      <c r="X466" s="58"/>
      <c r="Y466" s="53"/>
      <c r="Z466" s="57"/>
      <c r="AA466" s="62"/>
      <c r="AB466" s="62"/>
      <c r="AC466" s="62"/>
      <c r="AD466" s="62"/>
      <c r="AE466" s="62"/>
      <c r="AF466" s="63"/>
      <c r="AG466" s="64" t="str">
        <f t="shared" si="60"/>
        <v/>
      </c>
    </row>
    <row r="467" spans="1:33" x14ac:dyDescent="0.25">
      <c r="A467" s="46" t="str">
        <f>IF(ISBLANK(inbound_data[[#This Row],[Receiving Report ref.'#]]),"",IF(inbound_data[[#This Row],[Ending Quantity]]=0,"ZERO","INV"))</f>
        <v/>
      </c>
      <c r="B467" s="165" t="str">
        <f t="shared" si="54"/>
        <v/>
      </c>
      <c r="C467" s="165" t="str">
        <f>IF(ISBLANK(D467),"",inbound_data[[#This Row],[Pallet_Series]]&amp;inbound_data[[#This Row],[No.]])</f>
        <v/>
      </c>
      <c r="D467" s="54"/>
      <c r="E467" s="55"/>
      <c r="F467" s="56"/>
      <c r="G467" s="57"/>
      <c r="H467" s="53"/>
      <c r="I467" s="53"/>
      <c r="J467" s="55"/>
      <c r="K467" s="58"/>
      <c r="L467" s="59"/>
      <c r="M467" s="55"/>
      <c r="N467" s="60"/>
      <c r="O467" s="60"/>
      <c r="P467" s="165" t="str">
        <f t="shared" ca="1" si="55"/>
        <v/>
      </c>
      <c r="Q467" s="165" t="str">
        <f t="shared" ca="1" si="56"/>
        <v/>
      </c>
      <c r="R467" s="79"/>
      <c r="S467" s="80"/>
      <c r="T467" s="61">
        <f t="shared" si="57"/>
        <v>0</v>
      </c>
      <c r="U467" s="61">
        <f t="shared" si="58"/>
        <v>0</v>
      </c>
      <c r="V467" s="61">
        <f t="shared" si="59"/>
        <v>0</v>
      </c>
      <c r="W467" s="58"/>
      <c r="X467" s="58"/>
      <c r="Y467" s="53"/>
      <c r="Z467" s="57"/>
      <c r="AA467" s="62"/>
      <c r="AB467" s="62"/>
      <c r="AC467" s="62"/>
      <c r="AD467" s="62"/>
      <c r="AE467" s="62"/>
      <c r="AF467" s="63"/>
      <c r="AG467" s="64" t="str">
        <f t="shared" si="60"/>
        <v/>
      </c>
    </row>
    <row r="468" spans="1:33" x14ac:dyDescent="0.25">
      <c r="A468" s="46" t="str">
        <f>IF(ISBLANK(inbound_data[[#This Row],[Receiving Report ref.'#]]),"",IF(inbound_data[[#This Row],[Ending Quantity]]=0,"ZERO","INV"))</f>
        <v/>
      </c>
      <c r="B468" s="165" t="str">
        <f t="shared" si="54"/>
        <v/>
      </c>
      <c r="C468" s="165" t="str">
        <f>IF(ISBLANK(D468),"",inbound_data[[#This Row],[Pallet_Series]]&amp;inbound_data[[#This Row],[No.]])</f>
        <v/>
      </c>
      <c r="D468" s="54"/>
      <c r="E468" s="55"/>
      <c r="F468" s="56"/>
      <c r="G468" s="57"/>
      <c r="H468" s="53"/>
      <c r="I468" s="53"/>
      <c r="J468" s="55"/>
      <c r="K468" s="58"/>
      <c r="L468" s="59"/>
      <c r="M468" s="55"/>
      <c r="N468" s="60"/>
      <c r="O468" s="60"/>
      <c r="P468" s="165" t="str">
        <f t="shared" ca="1" si="55"/>
        <v/>
      </c>
      <c r="Q468" s="165" t="str">
        <f t="shared" ca="1" si="56"/>
        <v/>
      </c>
      <c r="R468" s="79"/>
      <c r="S468" s="80"/>
      <c r="T468" s="61">
        <f t="shared" si="57"/>
        <v>0</v>
      </c>
      <c r="U468" s="61">
        <f t="shared" si="58"/>
        <v>0</v>
      </c>
      <c r="V468" s="61">
        <f t="shared" si="59"/>
        <v>0</v>
      </c>
      <c r="W468" s="58"/>
      <c r="X468" s="58"/>
      <c r="Y468" s="53"/>
      <c r="Z468" s="57"/>
      <c r="AA468" s="62"/>
      <c r="AB468" s="62"/>
      <c r="AC468" s="62"/>
      <c r="AD468" s="62"/>
      <c r="AE468" s="62"/>
      <c r="AF468" s="63"/>
      <c r="AG468" s="64" t="str">
        <f t="shared" si="60"/>
        <v/>
      </c>
    </row>
    <row r="469" spans="1:33" x14ac:dyDescent="0.25">
      <c r="A469" s="46" t="str">
        <f>IF(ISBLANK(inbound_data[[#This Row],[Receiving Report ref.'#]]),"",IF(inbound_data[[#This Row],[Ending Quantity]]=0,"ZERO","INV"))</f>
        <v/>
      </c>
      <c r="B469" s="165" t="str">
        <f t="shared" si="54"/>
        <v/>
      </c>
      <c r="C469" s="165" t="str">
        <f>IF(ISBLANK(D469),"",inbound_data[[#This Row],[Pallet_Series]]&amp;inbound_data[[#This Row],[No.]])</f>
        <v/>
      </c>
      <c r="D469" s="54"/>
      <c r="E469" s="55"/>
      <c r="F469" s="56"/>
      <c r="G469" s="57"/>
      <c r="H469" s="53"/>
      <c r="I469" s="53"/>
      <c r="J469" s="55"/>
      <c r="K469" s="58"/>
      <c r="L469" s="59"/>
      <c r="M469" s="55"/>
      <c r="N469" s="60"/>
      <c r="O469" s="60"/>
      <c r="P469" s="165" t="str">
        <f t="shared" ca="1" si="55"/>
        <v/>
      </c>
      <c r="Q469" s="165" t="str">
        <f t="shared" ca="1" si="56"/>
        <v/>
      </c>
      <c r="R469" s="79"/>
      <c r="S469" s="80"/>
      <c r="T469" s="61">
        <f t="shared" si="57"/>
        <v>0</v>
      </c>
      <c r="U469" s="61">
        <f t="shared" si="58"/>
        <v>0</v>
      </c>
      <c r="V469" s="61">
        <f t="shared" si="59"/>
        <v>0</v>
      </c>
      <c r="W469" s="58"/>
      <c r="X469" s="58"/>
      <c r="Y469" s="53"/>
      <c r="Z469" s="57"/>
      <c r="AA469" s="62"/>
      <c r="AB469" s="62"/>
      <c r="AC469" s="62"/>
      <c r="AD469" s="62"/>
      <c r="AE469" s="62"/>
      <c r="AF469" s="63"/>
      <c r="AG469" s="64" t="str">
        <f t="shared" si="60"/>
        <v/>
      </c>
    </row>
    <row r="470" spans="1:33" x14ac:dyDescent="0.25">
      <c r="A470" s="46" t="str">
        <f>IF(ISBLANK(inbound_data[[#This Row],[Receiving Report ref.'#]]),"",IF(inbound_data[[#This Row],[Ending Quantity]]=0,"ZERO","INV"))</f>
        <v/>
      </c>
      <c r="B470" s="165" t="str">
        <f t="shared" si="54"/>
        <v/>
      </c>
      <c r="C470" s="165" t="str">
        <f>IF(ISBLANK(D470),"",inbound_data[[#This Row],[Pallet_Series]]&amp;inbound_data[[#This Row],[No.]])</f>
        <v/>
      </c>
      <c r="D470" s="54"/>
      <c r="E470" s="55"/>
      <c r="F470" s="56"/>
      <c r="G470" s="57"/>
      <c r="H470" s="53"/>
      <c r="I470" s="53"/>
      <c r="J470" s="55"/>
      <c r="K470" s="58"/>
      <c r="L470" s="59"/>
      <c r="M470" s="55"/>
      <c r="N470" s="60"/>
      <c r="O470" s="60"/>
      <c r="P470" s="165" t="str">
        <f t="shared" ca="1" si="55"/>
        <v/>
      </c>
      <c r="Q470" s="165" t="str">
        <f t="shared" ca="1" si="56"/>
        <v/>
      </c>
      <c r="R470" s="79"/>
      <c r="S470" s="80"/>
      <c r="T470" s="61">
        <f t="shared" si="57"/>
        <v>0</v>
      </c>
      <c r="U470" s="61">
        <f t="shared" si="58"/>
        <v>0</v>
      </c>
      <c r="V470" s="61">
        <f t="shared" si="59"/>
        <v>0</v>
      </c>
      <c r="W470" s="58"/>
      <c r="X470" s="58"/>
      <c r="Y470" s="53"/>
      <c r="Z470" s="57"/>
      <c r="AA470" s="62"/>
      <c r="AB470" s="62"/>
      <c r="AC470" s="62"/>
      <c r="AD470" s="62"/>
      <c r="AE470" s="62"/>
      <c r="AF470" s="63"/>
      <c r="AG470" s="64" t="str">
        <f t="shared" si="60"/>
        <v/>
      </c>
    </row>
    <row r="471" spans="1:33" x14ac:dyDescent="0.25">
      <c r="A471" s="46" t="str">
        <f>IF(ISBLANK(inbound_data[[#This Row],[Receiving Report ref.'#]]),"",IF(inbound_data[[#This Row],[Ending Quantity]]=0,"ZERO","INV"))</f>
        <v/>
      </c>
      <c r="B471" s="165" t="str">
        <f t="shared" si="54"/>
        <v/>
      </c>
      <c r="C471" s="165" t="str">
        <f>IF(ISBLANK(D471),"",inbound_data[[#This Row],[Pallet_Series]]&amp;inbound_data[[#This Row],[No.]])</f>
        <v/>
      </c>
      <c r="D471" s="54"/>
      <c r="E471" s="55"/>
      <c r="F471" s="56"/>
      <c r="G471" s="57"/>
      <c r="H471" s="53"/>
      <c r="I471" s="53"/>
      <c r="J471" s="55"/>
      <c r="K471" s="58"/>
      <c r="L471" s="59"/>
      <c r="M471" s="55"/>
      <c r="N471" s="60"/>
      <c r="O471" s="60"/>
      <c r="P471" s="165" t="str">
        <f t="shared" ca="1" si="55"/>
        <v/>
      </c>
      <c r="Q471" s="165" t="str">
        <f t="shared" ca="1" si="56"/>
        <v/>
      </c>
      <c r="R471" s="79"/>
      <c r="S471" s="80"/>
      <c r="T471" s="61">
        <f t="shared" si="57"/>
        <v>0</v>
      </c>
      <c r="U471" s="61">
        <f t="shared" si="58"/>
        <v>0</v>
      </c>
      <c r="V471" s="61">
        <f t="shared" si="59"/>
        <v>0</v>
      </c>
      <c r="W471" s="58"/>
      <c r="X471" s="58"/>
      <c r="Y471" s="53"/>
      <c r="Z471" s="57"/>
      <c r="AA471" s="62"/>
      <c r="AB471" s="62"/>
      <c r="AC471" s="62"/>
      <c r="AD471" s="62"/>
      <c r="AE471" s="62"/>
      <c r="AF471" s="63"/>
      <c r="AG471" s="64" t="str">
        <f t="shared" si="60"/>
        <v/>
      </c>
    </row>
    <row r="472" spans="1:33" x14ac:dyDescent="0.25">
      <c r="A472" s="46" t="str">
        <f>IF(ISBLANK(inbound_data[[#This Row],[Receiving Report ref.'#]]),"",IF(inbound_data[[#This Row],[Ending Quantity]]=0,"ZERO","INV"))</f>
        <v/>
      </c>
      <c r="B472" s="165" t="str">
        <f t="shared" si="54"/>
        <v/>
      </c>
      <c r="C472" s="165" t="str">
        <f>IF(ISBLANK(D472),"",inbound_data[[#This Row],[Pallet_Series]]&amp;inbound_data[[#This Row],[No.]])</f>
        <v/>
      </c>
      <c r="D472" s="54"/>
      <c r="E472" s="55"/>
      <c r="F472" s="56"/>
      <c r="G472" s="57"/>
      <c r="H472" s="53"/>
      <c r="I472" s="53"/>
      <c r="J472" s="55"/>
      <c r="K472" s="58"/>
      <c r="L472" s="59"/>
      <c r="M472" s="55"/>
      <c r="N472" s="60"/>
      <c r="O472" s="60"/>
      <c r="P472" s="165" t="str">
        <f t="shared" ca="1" si="55"/>
        <v/>
      </c>
      <c r="Q472" s="165" t="str">
        <f t="shared" ca="1" si="56"/>
        <v/>
      </c>
      <c r="R472" s="79"/>
      <c r="S472" s="80"/>
      <c r="T472" s="61">
        <f t="shared" si="57"/>
        <v>0</v>
      </c>
      <c r="U472" s="61">
        <f t="shared" si="58"/>
        <v>0</v>
      </c>
      <c r="V472" s="61">
        <f t="shared" si="59"/>
        <v>0</v>
      </c>
      <c r="W472" s="58"/>
      <c r="X472" s="58"/>
      <c r="Y472" s="53"/>
      <c r="Z472" s="57"/>
      <c r="AA472" s="62"/>
      <c r="AB472" s="62"/>
      <c r="AC472" s="62"/>
      <c r="AD472" s="62"/>
      <c r="AE472" s="62"/>
      <c r="AF472" s="63"/>
      <c r="AG472" s="64" t="str">
        <f t="shared" si="60"/>
        <v/>
      </c>
    </row>
    <row r="473" spans="1:33" x14ac:dyDescent="0.25">
      <c r="A473" s="46" t="str">
        <f>IF(ISBLANK(inbound_data[[#This Row],[Receiving Report ref.'#]]),"",IF(inbound_data[[#This Row],[Ending Quantity]]=0,"ZERO","INV"))</f>
        <v/>
      </c>
      <c r="B473" s="165" t="str">
        <f t="shared" si="54"/>
        <v/>
      </c>
      <c r="C473" s="165" t="str">
        <f>IF(ISBLANK(D473),"",inbound_data[[#This Row],[Pallet_Series]]&amp;inbound_data[[#This Row],[No.]])</f>
        <v/>
      </c>
      <c r="D473" s="54"/>
      <c r="E473" s="55"/>
      <c r="F473" s="56"/>
      <c r="G473" s="57"/>
      <c r="H473" s="53"/>
      <c r="I473" s="53"/>
      <c r="J473" s="55"/>
      <c r="K473" s="58"/>
      <c r="L473" s="59"/>
      <c r="M473" s="55"/>
      <c r="N473" s="60"/>
      <c r="O473" s="60"/>
      <c r="P473" s="165" t="str">
        <f t="shared" ca="1" si="55"/>
        <v/>
      </c>
      <c r="Q473" s="165" t="str">
        <f t="shared" ca="1" si="56"/>
        <v/>
      </c>
      <c r="R473" s="79"/>
      <c r="S473" s="80"/>
      <c r="T473" s="61">
        <f t="shared" si="57"/>
        <v>0</v>
      </c>
      <c r="U473" s="61">
        <f t="shared" si="58"/>
        <v>0</v>
      </c>
      <c r="V473" s="61">
        <f t="shared" si="59"/>
        <v>0</v>
      </c>
      <c r="W473" s="58"/>
      <c r="X473" s="58"/>
      <c r="Y473" s="53"/>
      <c r="Z473" s="57"/>
      <c r="AA473" s="62"/>
      <c r="AB473" s="62"/>
      <c r="AC473" s="62"/>
      <c r="AD473" s="62"/>
      <c r="AE473" s="62"/>
      <c r="AF473" s="63"/>
      <c r="AG473" s="64" t="str">
        <f t="shared" si="60"/>
        <v/>
      </c>
    </row>
    <row r="474" spans="1:33" x14ac:dyDescent="0.25">
      <c r="A474" s="46" t="str">
        <f>IF(ISBLANK(inbound_data[[#This Row],[Receiving Report ref.'#]]),"",IF(inbound_data[[#This Row],[Ending Quantity]]=0,"ZERO","INV"))</f>
        <v/>
      </c>
      <c r="B474" s="165" t="str">
        <f t="shared" si="54"/>
        <v/>
      </c>
      <c r="C474" s="165" t="str">
        <f>IF(ISBLANK(D474),"",inbound_data[[#This Row],[Pallet_Series]]&amp;inbound_data[[#This Row],[No.]])</f>
        <v/>
      </c>
      <c r="D474" s="54"/>
      <c r="E474" s="55"/>
      <c r="F474" s="56"/>
      <c r="G474" s="57"/>
      <c r="H474" s="53"/>
      <c r="I474" s="53"/>
      <c r="J474" s="55"/>
      <c r="K474" s="58"/>
      <c r="L474" s="59"/>
      <c r="M474" s="55"/>
      <c r="N474" s="60"/>
      <c r="O474" s="60"/>
      <c r="P474" s="165" t="str">
        <f t="shared" ca="1" si="55"/>
        <v/>
      </c>
      <c r="Q474" s="165" t="str">
        <f t="shared" ca="1" si="56"/>
        <v/>
      </c>
      <c r="R474" s="79"/>
      <c r="S474" s="80"/>
      <c r="T474" s="61">
        <f t="shared" si="57"/>
        <v>0</v>
      </c>
      <c r="U474" s="61">
        <f t="shared" si="58"/>
        <v>0</v>
      </c>
      <c r="V474" s="61">
        <f t="shared" si="59"/>
        <v>0</v>
      </c>
      <c r="W474" s="58"/>
      <c r="X474" s="58"/>
      <c r="Y474" s="53"/>
      <c r="Z474" s="57"/>
      <c r="AA474" s="62"/>
      <c r="AB474" s="62"/>
      <c r="AC474" s="62"/>
      <c r="AD474" s="62"/>
      <c r="AE474" s="62"/>
      <c r="AF474" s="63"/>
      <c r="AG474" s="64" t="str">
        <f t="shared" si="60"/>
        <v/>
      </c>
    </row>
    <row r="475" spans="1:33" x14ac:dyDescent="0.25">
      <c r="A475" s="46" t="str">
        <f>IF(ISBLANK(inbound_data[[#This Row],[Receiving Report ref.'#]]),"",IF(inbound_data[[#This Row],[Ending Quantity]]=0,"ZERO","INV"))</f>
        <v/>
      </c>
      <c r="B475" s="165" t="str">
        <f t="shared" si="54"/>
        <v/>
      </c>
      <c r="C475" s="165" t="str">
        <f>IF(ISBLANK(D475),"",inbound_data[[#This Row],[Pallet_Series]]&amp;inbound_data[[#This Row],[No.]])</f>
        <v/>
      </c>
      <c r="D475" s="54"/>
      <c r="E475" s="55"/>
      <c r="F475" s="56"/>
      <c r="G475" s="57"/>
      <c r="H475" s="53"/>
      <c r="I475" s="53"/>
      <c r="J475" s="55"/>
      <c r="K475" s="58"/>
      <c r="L475" s="59"/>
      <c r="M475" s="55"/>
      <c r="N475" s="60"/>
      <c r="O475" s="60"/>
      <c r="P475" s="165" t="str">
        <f t="shared" ca="1" si="55"/>
        <v/>
      </c>
      <c r="Q475" s="165" t="str">
        <f t="shared" ca="1" si="56"/>
        <v/>
      </c>
      <c r="R475" s="79"/>
      <c r="S475" s="80"/>
      <c r="T475" s="61">
        <f t="shared" si="57"/>
        <v>0</v>
      </c>
      <c r="U475" s="61">
        <f t="shared" si="58"/>
        <v>0</v>
      </c>
      <c r="V475" s="61">
        <f t="shared" si="59"/>
        <v>0</v>
      </c>
      <c r="W475" s="58"/>
      <c r="X475" s="58"/>
      <c r="Y475" s="53"/>
      <c r="Z475" s="57"/>
      <c r="AA475" s="62"/>
      <c r="AB475" s="62"/>
      <c r="AC475" s="62"/>
      <c r="AD475" s="62"/>
      <c r="AE475" s="62"/>
      <c r="AF475" s="63"/>
      <c r="AG475" s="64" t="str">
        <f t="shared" si="60"/>
        <v/>
      </c>
    </row>
    <row r="476" spans="1:33" x14ac:dyDescent="0.25">
      <c r="A476" s="46" t="str">
        <f>IF(ISBLANK(inbound_data[[#This Row],[Receiving Report ref.'#]]),"",IF(inbound_data[[#This Row],[Ending Quantity]]=0,"ZERO","INV"))</f>
        <v/>
      </c>
      <c r="B476" s="165" t="str">
        <f t="shared" si="54"/>
        <v/>
      </c>
      <c r="C476" s="165" t="str">
        <f>IF(ISBLANK(D476),"",inbound_data[[#This Row],[Pallet_Series]]&amp;inbound_data[[#This Row],[No.]])</f>
        <v/>
      </c>
      <c r="D476" s="54"/>
      <c r="E476" s="55"/>
      <c r="F476" s="56"/>
      <c r="G476" s="57"/>
      <c r="H476" s="53"/>
      <c r="I476" s="53"/>
      <c r="J476" s="55"/>
      <c r="K476" s="58"/>
      <c r="L476" s="59"/>
      <c r="M476" s="55"/>
      <c r="N476" s="60"/>
      <c r="O476" s="60"/>
      <c r="P476" s="165" t="str">
        <f t="shared" ca="1" si="55"/>
        <v/>
      </c>
      <c r="Q476" s="165" t="str">
        <f t="shared" ca="1" si="56"/>
        <v/>
      </c>
      <c r="R476" s="79"/>
      <c r="S476" s="80"/>
      <c r="T476" s="61">
        <f t="shared" si="57"/>
        <v>0</v>
      </c>
      <c r="U476" s="61">
        <f t="shared" si="58"/>
        <v>0</v>
      </c>
      <c r="V476" s="61">
        <f t="shared" si="59"/>
        <v>0</v>
      </c>
      <c r="W476" s="58"/>
      <c r="X476" s="58"/>
      <c r="Y476" s="53"/>
      <c r="Z476" s="57"/>
      <c r="AA476" s="62"/>
      <c r="AB476" s="62"/>
      <c r="AC476" s="62"/>
      <c r="AD476" s="62"/>
      <c r="AE476" s="62"/>
      <c r="AF476" s="63"/>
      <c r="AG476" s="64" t="str">
        <f t="shared" si="60"/>
        <v/>
      </c>
    </row>
    <row r="477" spans="1:33" x14ac:dyDescent="0.25">
      <c r="A477" s="46" t="str">
        <f>IF(ISBLANK(inbound_data[[#This Row],[Receiving Report ref.'#]]),"",IF(inbound_data[[#This Row],[Ending Quantity]]=0,"ZERO","INV"))</f>
        <v/>
      </c>
      <c r="B477" s="165" t="str">
        <f t="shared" si="54"/>
        <v/>
      </c>
      <c r="C477" s="165" t="str">
        <f>IF(ISBLANK(D477),"",inbound_data[[#This Row],[Pallet_Series]]&amp;inbound_data[[#This Row],[No.]])</f>
        <v/>
      </c>
      <c r="D477" s="54"/>
      <c r="E477" s="55"/>
      <c r="F477" s="56"/>
      <c r="G477" s="57"/>
      <c r="H477" s="53"/>
      <c r="I477" s="53"/>
      <c r="J477" s="55"/>
      <c r="K477" s="58"/>
      <c r="L477" s="59"/>
      <c r="M477" s="55"/>
      <c r="N477" s="60"/>
      <c r="O477" s="60"/>
      <c r="P477" s="165" t="str">
        <f t="shared" ca="1" si="55"/>
        <v/>
      </c>
      <c r="Q477" s="165" t="str">
        <f t="shared" ca="1" si="56"/>
        <v/>
      </c>
      <c r="R477" s="79"/>
      <c r="S477" s="80"/>
      <c r="T477" s="61">
        <f t="shared" si="57"/>
        <v>0</v>
      </c>
      <c r="U477" s="61">
        <f t="shared" si="58"/>
        <v>0</v>
      </c>
      <c r="V477" s="61">
        <f t="shared" si="59"/>
        <v>0</v>
      </c>
      <c r="W477" s="58"/>
      <c r="X477" s="58"/>
      <c r="Y477" s="53"/>
      <c r="Z477" s="57"/>
      <c r="AA477" s="62"/>
      <c r="AB477" s="62"/>
      <c r="AC477" s="62"/>
      <c r="AD477" s="62"/>
      <c r="AE477" s="62"/>
      <c r="AF477" s="63"/>
      <c r="AG477" s="64" t="str">
        <f t="shared" si="60"/>
        <v/>
      </c>
    </row>
    <row r="478" spans="1:33" x14ac:dyDescent="0.25">
      <c r="A478" s="46" t="str">
        <f>IF(ISBLANK(inbound_data[[#This Row],[Receiving Report ref.'#]]),"",IF(inbound_data[[#This Row],[Ending Quantity]]=0,"ZERO","INV"))</f>
        <v/>
      </c>
      <c r="B478" s="165" t="str">
        <f t="shared" si="54"/>
        <v/>
      </c>
      <c r="C478" s="165" t="str">
        <f>IF(ISBLANK(D478),"",inbound_data[[#This Row],[Pallet_Series]]&amp;inbound_data[[#This Row],[No.]])</f>
        <v/>
      </c>
      <c r="D478" s="54"/>
      <c r="E478" s="55"/>
      <c r="F478" s="56"/>
      <c r="G478" s="57"/>
      <c r="H478" s="53"/>
      <c r="I478" s="53"/>
      <c r="J478" s="55"/>
      <c r="K478" s="58"/>
      <c r="L478" s="59"/>
      <c r="M478" s="55"/>
      <c r="N478" s="60"/>
      <c r="O478" s="60"/>
      <c r="P478" s="165" t="str">
        <f t="shared" ca="1" si="55"/>
        <v/>
      </c>
      <c r="Q478" s="165" t="str">
        <f t="shared" ca="1" si="56"/>
        <v/>
      </c>
      <c r="R478" s="79"/>
      <c r="S478" s="80"/>
      <c r="T478" s="61">
        <f t="shared" si="57"/>
        <v>0</v>
      </c>
      <c r="U478" s="61">
        <f t="shared" si="58"/>
        <v>0</v>
      </c>
      <c r="V478" s="61">
        <f t="shared" si="59"/>
        <v>0</v>
      </c>
      <c r="W478" s="58"/>
      <c r="X478" s="58"/>
      <c r="Y478" s="53"/>
      <c r="Z478" s="57"/>
      <c r="AA478" s="62"/>
      <c r="AB478" s="62"/>
      <c r="AC478" s="62"/>
      <c r="AD478" s="62"/>
      <c r="AE478" s="62"/>
      <c r="AF478" s="63"/>
      <c r="AG478" s="64" t="str">
        <f t="shared" si="60"/>
        <v/>
      </c>
    </row>
    <row r="479" spans="1:33" x14ac:dyDescent="0.25">
      <c r="A479" s="46" t="str">
        <f>IF(ISBLANK(inbound_data[[#This Row],[Receiving Report ref.'#]]),"",IF(inbound_data[[#This Row],[Ending Quantity]]=0,"ZERO","INV"))</f>
        <v/>
      </c>
      <c r="B479" s="165" t="str">
        <f t="shared" si="54"/>
        <v/>
      </c>
      <c r="C479" s="165" t="str">
        <f>IF(ISBLANK(D479),"",inbound_data[[#This Row],[Pallet_Series]]&amp;inbound_data[[#This Row],[No.]])</f>
        <v/>
      </c>
      <c r="D479" s="54"/>
      <c r="E479" s="55"/>
      <c r="F479" s="56"/>
      <c r="G479" s="57"/>
      <c r="H479" s="53"/>
      <c r="I479" s="53"/>
      <c r="J479" s="55"/>
      <c r="K479" s="58"/>
      <c r="L479" s="59"/>
      <c r="M479" s="55"/>
      <c r="N479" s="60"/>
      <c r="O479" s="60"/>
      <c r="P479" s="165" t="str">
        <f t="shared" ca="1" si="55"/>
        <v/>
      </c>
      <c r="Q479" s="165" t="str">
        <f t="shared" ca="1" si="56"/>
        <v/>
      </c>
      <c r="R479" s="79"/>
      <c r="S479" s="80"/>
      <c r="T479" s="61">
        <f t="shared" si="57"/>
        <v>0</v>
      </c>
      <c r="U479" s="61">
        <f t="shared" si="58"/>
        <v>0</v>
      </c>
      <c r="V479" s="61">
        <f t="shared" si="59"/>
        <v>0</v>
      </c>
      <c r="W479" s="58"/>
      <c r="X479" s="58"/>
      <c r="Y479" s="53"/>
      <c r="Z479" s="57"/>
      <c r="AA479" s="62"/>
      <c r="AB479" s="62"/>
      <c r="AC479" s="62"/>
      <c r="AD479" s="62"/>
      <c r="AE479" s="62"/>
      <c r="AF479" s="63"/>
      <c r="AG479" s="64" t="str">
        <f t="shared" si="60"/>
        <v/>
      </c>
    </row>
    <row r="480" spans="1:33" x14ac:dyDescent="0.25">
      <c r="A480" s="46" t="str">
        <f>IF(ISBLANK(inbound_data[[#This Row],[Receiving Report ref.'#]]),"",IF(inbound_data[[#This Row],[Ending Quantity]]=0,"ZERO","INV"))</f>
        <v/>
      </c>
      <c r="B480" s="165" t="str">
        <f t="shared" si="54"/>
        <v/>
      </c>
      <c r="C480" s="165" t="str">
        <f>IF(ISBLANK(D480),"",inbound_data[[#This Row],[Pallet_Series]]&amp;inbound_data[[#This Row],[No.]])</f>
        <v/>
      </c>
      <c r="D480" s="54"/>
      <c r="E480" s="55"/>
      <c r="F480" s="56"/>
      <c r="G480" s="57"/>
      <c r="H480" s="53"/>
      <c r="I480" s="53"/>
      <c r="J480" s="55"/>
      <c r="K480" s="58"/>
      <c r="L480" s="59"/>
      <c r="M480" s="55"/>
      <c r="N480" s="60"/>
      <c r="O480" s="60"/>
      <c r="P480" s="165" t="str">
        <f t="shared" ca="1" si="55"/>
        <v/>
      </c>
      <c r="Q480" s="165" t="str">
        <f t="shared" ca="1" si="56"/>
        <v/>
      </c>
      <c r="R480" s="79"/>
      <c r="S480" s="80"/>
      <c r="T480" s="61">
        <f t="shared" si="57"/>
        <v>0</v>
      </c>
      <c r="U480" s="61">
        <f t="shared" si="58"/>
        <v>0</v>
      </c>
      <c r="V480" s="61">
        <f t="shared" si="59"/>
        <v>0</v>
      </c>
      <c r="W480" s="58"/>
      <c r="X480" s="58"/>
      <c r="Y480" s="53"/>
      <c r="Z480" s="57"/>
      <c r="AA480" s="62"/>
      <c r="AB480" s="62"/>
      <c r="AC480" s="62"/>
      <c r="AD480" s="62"/>
      <c r="AE480" s="62"/>
      <c r="AF480" s="63"/>
      <c r="AG480" s="64" t="str">
        <f t="shared" si="60"/>
        <v/>
      </c>
    </row>
    <row r="481" spans="1:33" x14ac:dyDescent="0.25">
      <c r="A481" s="46" t="str">
        <f>IF(ISBLANK(inbound_data[[#This Row],[Receiving Report ref.'#]]),"",IF(inbound_data[[#This Row],[Ending Quantity]]=0,"ZERO","INV"))</f>
        <v/>
      </c>
      <c r="B481" s="165" t="str">
        <f t="shared" si="54"/>
        <v/>
      </c>
      <c r="C481" s="165" t="str">
        <f>IF(ISBLANK(D481),"",inbound_data[[#This Row],[Pallet_Series]]&amp;inbound_data[[#This Row],[No.]])</f>
        <v/>
      </c>
      <c r="D481" s="54"/>
      <c r="E481" s="55"/>
      <c r="F481" s="56"/>
      <c r="G481" s="57"/>
      <c r="H481" s="53"/>
      <c r="I481" s="53"/>
      <c r="J481" s="55"/>
      <c r="K481" s="58"/>
      <c r="L481" s="59"/>
      <c r="M481" s="55"/>
      <c r="N481" s="60"/>
      <c r="O481" s="60"/>
      <c r="P481" s="165" t="str">
        <f t="shared" ca="1" si="55"/>
        <v/>
      </c>
      <c r="Q481" s="165" t="str">
        <f t="shared" ca="1" si="56"/>
        <v/>
      </c>
      <c r="R481" s="79"/>
      <c r="S481" s="80"/>
      <c r="T481" s="61">
        <f t="shared" si="57"/>
        <v>0</v>
      </c>
      <c r="U481" s="61">
        <f t="shared" si="58"/>
        <v>0</v>
      </c>
      <c r="V481" s="61">
        <f t="shared" si="59"/>
        <v>0</v>
      </c>
      <c r="W481" s="58"/>
      <c r="X481" s="58"/>
      <c r="Y481" s="53"/>
      <c r="Z481" s="57"/>
      <c r="AA481" s="62"/>
      <c r="AB481" s="62"/>
      <c r="AC481" s="62"/>
      <c r="AD481" s="62"/>
      <c r="AE481" s="62"/>
      <c r="AF481" s="63"/>
      <c r="AG481" s="64" t="str">
        <f t="shared" si="60"/>
        <v/>
      </c>
    </row>
    <row r="482" spans="1:33" x14ac:dyDescent="0.25">
      <c r="A482" s="46" t="str">
        <f>IF(ISBLANK(inbound_data[[#This Row],[Receiving Report ref.'#]]),"",IF(inbound_data[[#This Row],[Ending Quantity]]=0,"ZERO","INV"))</f>
        <v/>
      </c>
      <c r="B482" s="165" t="str">
        <f t="shared" si="54"/>
        <v/>
      </c>
      <c r="C482" s="165" t="str">
        <f>IF(ISBLANK(D482),"",inbound_data[[#This Row],[Pallet_Series]]&amp;inbound_data[[#This Row],[No.]])</f>
        <v/>
      </c>
      <c r="D482" s="54"/>
      <c r="E482" s="55"/>
      <c r="F482" s="56"/>
      <c r="G482" s="57"/>
      <c r="H482" s="53"/>
      <c r="I482" s="53"/>
      <c r="J482" s="55"/>
      <c r="K482" s="58"/>
      <c r="L482" s="59"/>
      <c r="M482" s="55"/>
      <c r="N482" s="60"/>
      <c r="O482" s="60"/>
      <c r="P482" s="165" t="str">
        <f t="shared" ca="1" si="55"/>
        <v/>
      </c>
      <c r="Q482" s="165" t="str">
        <f t="shared" ca="1" si="56"/>
        <v/>
      </c>
      <c r="R482" s="79"/>
      <c r="S482" s="80"/>
      <c r="T482" s="61">
        <f t="shared" si="57"/>
        <v>0</v>
      </c>
      <c r="U482" s="61">
        <f t="shared" si="58"/>
        <v>0</v>
      </c>
      <c r="V482" s="61">
        <f t="shared" si="59"/>
        <v>0</v>
      </c>
      <c r="W482" s="58"/>
      <c r="X482" s="58"/>
      <c r="Y482" s="53"/>
      <c r="Z482" s="57"/>
      <c r="AA482" s="62"/>
      <c r="AB482" s="62"/>
      <c r="AC482" s="62"/>
      <c r="AD482" s="62"/>
      <c r="AE482" s="62"/>
      <c r="AF482" s="63"/>
      <c r="AG482" s="64" t="str">
        <f t="shared" si="60"/>
        <v/>
      </c>
    </row>
    <row r="483" spans="1:33" x14ac:dyDescent="0.25">
      <c r="A483" s="46" t="str">
        <f>IF(ISBLANK(inbound_data[[#This Row],[Receiving Report ref.'#]]),"",IF(inbound_data[[#This Row],[Ending Quantity]]=0,"ZERO","INV"))</f>
        <v/>
      </c>
      <c r="B483" s="165" t="str">
        <f t="shared" si="54"/>
        <v/>
      </c>
      <c r="C483" s="165" t="str">
        <f>IF(ISBLANK(D483),"",inbound_data[[#This Row],[Pallet_Series]]&amp;inbound_data[[#This Row],[No.]])</f>
        <v/>
      </c>
      <c r="D483" s="54"/>
      <c r="E483" s="55"/>
      <c r="F483" s="56"/>
      <c r="G483" s="57"/>
      <c r="H483" s="53"/>
      <c r="I483" s="53"/>
      <c r="J483" s="55"/>
      <c r="K483" s="58"/>
      <c r="L483" s="59"/>
      <c r="M483" s="55"/>
      <c r="N483" s="60"/>
      <c r="O483" s="60"/>
      <c r="P483" s="165" t="str">
        <f t="shared" ca="1" si="55"/>
        <v/>
      </c>
      <c r="Q483" s="165" t="str">
        <f t="shared" ca="1" si="56"/>
        <v/>
      </c>
      <c r="R483" s="79"/>
      <c r="S483" s="80"/>
      <c r="T483" s="61">
        <f t="shared" si="57"/>
        <v>0</v>
      </c>
      <c r="U483" s="61">
        <f t="shared" si="58"/>
        <v>0</v>
      </c>
      <c r="V483" s="61">
        <f t="shared" si="59"/>
        <v>0</v>
      </c>
      <c r="W483" s="58"/>
      <c r="X483" s="58"/>
      <c r="Y483" s="53"/>
      <c r="Z483" s="57"/>
      <c r="AA483" s="62"/>
      <c r="AB483" s="62"/>
      <c r="AC483" s="62"/>
      <c r="AD483" s="62"/>
      <c r="AE483" s="62"/>
      <c r="AF483" s="63"/>
      <c r="AG483" s="64" t="str">
        <f t="shared" si="60"/>
        <v/>
      </c>
    </row>
    <row r="484" spans="1:33" x14ac:dyDescent="0.25">
      <c r="A484" s="46" t="str">
        <f>IF(ISBLANK(inbound_data[[#This Row],[Receiving Report ref.'#]]),"",IF(inbound_data[[#This Row],[Ending Quantity]]=0,"ZERO","INV"))</f>
        <v/>
      </c>
      <c r="B484" s="165" t="str">
        <f t="shared" si="54"/>
        <v/>
      </c>
      <c r="C484" s="165" t="str">
        <f>IF(ISBLANK(D484),"",inbound_data[[#This Row],[Pallet_Series]]&amp;inbound_data[[#This Row],[No.]])</f>
        <v/>
      </c>
      <c r="D484" s="54"/>
      <c r="E484" s="55"/>
      <c r="F484" s="56"/>
      <c r="G484" s="57"/>
      <c r="H484" s="53"/>
      <c r="I484" s="53"/>
      <c r="J484" s="55"/>
      <c r="K484" s="58"/>
      <c r="L484" s="59"/>
      <c r="M484" s="55"/>
      <c r="N484" s="60"/>
      <c r="O484" s="60"/>
      <c r="P484" s="165" t="str">
        <f t="shared" ca="1" si="55"/>
        <v/>
      </c>
      <c r="Q484" s="165" t="str">
        <f t="shared" ca="1" si="56"/>
        <v/>
      </c>
      <c r="R484" s="79"/>
      <c r="S484" s="80"/>
      <c r="T484" s="61">
        <f t="shared" si="57"/>
        <v>0</v>
      </c>
      <c r="U484" s="61">
        <f t="shared" si="58"/>
        <v>0</v>
      </c>
      <c r="V484" s="61">
        <f t="shared" si="59"/>
        <v>0</v>
      </c>
      <c r="W484" s="58"/>
      <c r="X484" s="58"/>
      <c r="Y484" s="53"/>
      <c r="Z484" s="57"/>
      <c r="AA484" s="62"/>
      <c r="AB484" s="62"/>
      <c r="AC484" s="62"/>
      <c r="AD484" s="62"/>
      <c r="AE484" s="62"/>
      <c r="AF484" s="63"/>
      <c r="AG484" s="64" t="str">
        <f t="shared" si="60"/>
        <v/>
      </c>
    </row>
    <row r="485" spans="1:33" x14ac:dyDescent="0.25">
      <c r="A485" s="46" t="str">
        <f>IF(ISBLANK(inbound_data[[#This Row],[Receiving Report ref.'#]]),"",IF(inbound_data[[#This Row],[Ending Quantity]]=0,"ZERO","INV"))</f>
        <v/>
      </c>
      <c r="B485" s="165" t="str">
        <f t="shared" si="54"/>
        <v/>
      </c>
      <c r="C485" s="165" t="str">
        <f>IF(ISBLANK(D485),"",inbound_data[[#This Row],[Pallet_Series]]&amp;inbound_data[[#This Row],[No.]])</f>
        <v/>
      </c>
      <c r="D485" s="54"/>
      <c r="E485" s="55"/>
      <c r="F485" s="56"/>
      <c r="G485" s="57"/>
      <c r="H485" s="53"/>
      <c r="I485" s="53"/>
      <c r="J485" s="55"/>
      <c r="K485" s="58"/>
      <c r="L485" s="59"/>
      <c r="M485" s="55"/>
      <c r="N485" s="60"/>
      <c r="O485" s="60"/>
      <c r="P485" s="165" t="str">
        <f t="shared" ca="1" si="55"/>
        <v/>
      </c>
      <c r="Q485" s="165" t="str">
        <f t="shared" ca="1" si="56"/>
        <v/>
      </c>
      <c r="R485" s="79"/>
      <c r="S485" s="80"/>
      <c r="T485" s="61">
        <f t="shared" si="57"/>
        <v>0</v>
      </c>
      <c r="U485" s="61">
        <f t="shared" si="58"/>
        <v>0</v>
      </c>
      <c r="V485" s="61">
        <f t="shared" si="59"/>
        <v>0</v>
      </c>
      <c r="W485" s="58"/>
      <c r="X485" s="58"/>
      <c r="Y485" s="53"/>
      <c r="Z485" s="57"/>
      <c r="AA485" s="62"/>
      <c r="AB485" s="62"/>
      <c r="AC485" s="62"/>
      <c r="AD485" s="62"/>
      <c r="AE485" s="62"/>
      <c r="AF485" s="63"/>
      <c r="AG485" s="64" t="str">
        <f t="shared" si="60"/>
        <v/>
      </c>
    </row>
    <row r="486" spans="1:33" x14ac:dyDescent="0.25">
      <c r="A486" s="46" t="str">
        <f>IF(ISBLANK(inbound_data[[#This Row],[Receiving Report ref.'#]]),"",IF(inbound_data[[#This Row],[Ending Quantity]]=0,"ZERO","INV"))</f>
        <v/>
      </c>
      <c r="B486" s="165" t="str">
        <f t="shared" si="54"/>
        <v/>
      </c>
      <c r="C486" s="165" t="str">
        <f>IF(ISBLANK(D486),"",inbound_data[[#This Row],[Pallet_Series]]&amp;inbound_data[[#This Row],[No.]])</f>
        <v/>
      </c>
      <c r="D486" s="54"/>
      <c r="E486" s="55"/>
      <c r="F486" s="56"/>
      <c r="G486" s="57"/>
      <c r="H486" s="53"/>
      <c r="I486" s="53"/>
      <c r="J486" s="55"/>
      <c r="K486" s="58"/>
      <c r="L486" s="59"/>
      <c r="M486" s="55"/>
      <c r="N486" s="60"/>
      <c r="O486" s="60"/>
      <c r="P486" s="165" t="str">
        <f t="shared" ca="1" si="55"/>
        <v/>
      </c>
      <c r="Q486" s="165" t="str">
        <f t="shared" ca="1" si="56"/>
        <v/>
      </c>
      <c r="R486" s="79"/>
      <c r="S486" s="80"/>
      <c r="T486" s="61">
        <f t="shared" si="57"/>
        <v>0</v>
      </c>
      <c r="U486" s="61">
        <f t="shared" si="58"/>
        <v>0</v>
      </c>
      <c r="V486" s="61">
        <f t="shared" si="59"/>
        <v>0</v>
      </c>
      <c r="W486" s="58"/>
      <c r="X486" s="58"/>
      <c r="Y486" s="53"/>
      <c r="Z486" s="57"/>
      <c r="AA486" s="62"/>
      <c r="AB486" s="62"/>
      <c r="AC486" s="62"/>
      <c r="AD486" s="62"/>
      <c r="AE486" s="62"/>
      <c r="AF486" s="63"/>
      <c r="AG486" s="64" t="str">
        <f t="shared" si="60"/>
        <v/>
      </c>
    </row>
    <row r="487" spans="1:33" x14ac:dyDescent="0.25">
      <c r="A487" s="46" t="str">
        <f>IF(ISBLANK(inbound_data[[#This Row],[Receiving Report ref.'#]]),"",IF(inbound_data[[#This Row],[Ending Quantity]]=0,"ZERO","INV"))</f>
        <v/>
      </c>
      <c r="B487" s="165" t="str">
        <f t="shared" si="54"/>
        <v/>
      </c>
      <c r="C487" s="165" t="str">
        <f>IF(ISBLANK(D487),"",inbound_data[[#This Row],[Pallet_Series]]&amp;inbound_data[[#This Row],[No.]])</f>
        <v/>
      </c>
      <c r="D487" s="54"/>
      <c r="E487" s="55"/>
      <c r="F487" s="56"/>
      <c r="G487" s="57"/>
      <c r="H487" s="53"/>
      <c r="I487" s="53"/>
      <c r="J487" s="55"/>
      <c r="K487" s="58"/>
      <c r="L487" s="59"/>
      <c r="M487" s="55"/>
      <c r="N487" s="60"/>
      <c r="O487" s="60"/>
      <c r="P487" s="165" t="str">
        <f t="shared" ca="1" si="55"/>
        <v/>
      </c>
      <c r="Q487" s="165" t="str">
        <f t="shared" ca="1" si="56"/>
        <v/>
      </c>
      <c r="R487" s="79"/>
      <c r="S487" s="80"/>
      <c r="T487" s="61">
        <f t="shared" si="57"/>
        <v>0</v>
      </c>
      <c r="U487" s="61">
        <f t="shared" si="58"/>
        <v>0</v>
      </c>
      <c r="V487" s="61">
        <f t="shared" si="59"/>
        <v>0</v>
      </c>
      <c r="W487" s="58"/>
      <c r="X487" s="58"/>
      <c r="Y487" s="53"/>
      <c r="Z487" s="57"/>
      <c r="AA487" s="62"/>
      <c r="AB487" s="62"/>
      <c r="AC487" s="62"/>
      <c r="AD487" s="62"/>
      <c r="AE487" s="62"/>
      <c r="AF487" s="63"/>
      <c r="AG487" s="64" t="str">
        <f t="shared" si="60"/>
        <v/>
      </c>
    </row>
    <row r="488" spans="1:33" x14ac:dyDescent="0.25">
      <c r="A488" s="46" t="str">
        <f>IF(ISBLANK(inbound_data[[#This Row],[Receiving Report ref.'#]]),"",IF(inbound_data[[#This Row],[Ending Quantity]]=0,"ZERO","INV"))</f>
        <v/>
      </c>
      <c r="B488" s="165" t="str">
        <f t="shared" si="54"/>
        <v/>
      </c>
      <c r="C488" s="165" t="str">
        <f>IF(ISBLANK(D488),"",inbound_data[[#This Row],[Pallet_Series]]&amp;inbound_data[[#This Row],[No.]])</f>
        <v/>
      </c>
      <c r="D488" s="54"/>
      <c r="E488" s="55"/>
      <c r="F488" s="56"/>
      <c r="G488" s="57"/>
      <c r="H488" s="53"/>
      <c r="I488" s="53"/>
      <c r="J488" s="55"/>
      <c r="K488" s="58"/>
      <c r="L488" s="59"/>
      <c r="M488" s="55"/>
      <c r="N488" s="60"/>
      <c r="O488" s="60"/>
      <c r="P488" s="165" t="str">
        <f t="shared" ca="1" si="55"/>
        <v/>
      </c>
      <c r="Q488" s="165" t="str">
        <f t="shared" ca="1" si="56"/>
        <v/>
      </c>
      <c r="R488" s="79"/>
      <c r="S488" s="80"/>
      <c r="T488" s="61">
        <f t="shared" si="57"/>
        <v>0</v>
      </c>
      <c r="U488" s="61">
        <f t="shared" si="58"/>
        <v>0</v>
      </c>
      <c r="V488" s="61">
        <f t="shared" si="59"/>
        <v>0</v>
      </c>
      <c r="W488" s="58"/>
      <c r="X488" s="58"/>
      <c r="Y488" s="53"/>
      <c r="Z488" s="57"/>
      <c r="AA488" s="62"/>
      <c r="AB488" s="62"/>
      <c r="AC488" s="62"/>
      <c r="AD488" s="62"/>
      <c r="AE488" s="62"/>
      <c r="AF488" s="63"/>
      <c r="AG488" s="64" t="str">
        <f t="shared" si="60"/>
        <v/>
      </c>
    </row>
    <row r="489" spans="1:33" x14ac:dyDescent="0.25">
      <c r="A489" s="46" t="str">
        <f>IF(ISBLANK(inbound_data[[#This Row],[Receiving Report ref.'#]]),"",IF(inbound_data[[#This Row],[Ending Quantity]]=0,"ZERO","INV"))</f>
        <v/>
      </c>
      <c r="B489" s="165" t="str">
        <f t="shared" si="54"/>
        <v/>
      </c>
      <c r="C489" s="165" t="str">
        <f>IF(ISBLANK(D489),"",inbound_data[[#This Row],[Pallet_Series]]&amp;inbound_data[[#This Row],[No.]])</f>
        <v/>
      </c>
      <c r="D489" s="54"/>
      <c r="E489" s="55"/>
      <c r="F489" s="56"/>
      <c r="G489" s="57"/>
      <c r="H489" s="53"/>
      <c r="I489" s="53"/>
      <c r="J489" s="55"/>
      <c r="K489" s="58"/>
      <c r="L489" s="59"/>
      <c r="M489" s="55"/>
      <c r="N489" s="60"/>
      <c r="O489" s="60"/>
      <c r="P489" s="165" t="str">
        <f t="shared" ca="1" si="55"/>
        <v/>
      </c>
      <c r="Q489" s="165" t="str">
        <f t="shared" ca="1" si="56"/>
        <v/>
      </c>
      <c r="R489" s="79"/>
      <c r="S489" s="80"/>
      <c r="T489" s="61">
        <f t="shared" si="57"/>
        <v>0</v>
      </c>
      <c r="U489" s="61">
        <f t="shared" si="58"/>
        <v>0</v>
      </c>
      <c r="V489" s="61">
        <f t="shared" si="59"/>
        <v>0</v>
      </c>
      <c r="W489" s="58"/>
      <c r="X489" s="58"/>
      <c r="Y489" s="53"/>
      <c r="Z489" s="57"/>
      <c r="AA489" s="62"/>
      <c r="AB489" s="62"/>
      <c r="AC489" s="62"/>
      <c r="AD489" s="62"/>
      <c r="AE489" s="62"/>
      <c r="AF489" s="63"/>
      <c r="AG489" s="64" t="str">
        <f t="shared" si="60"/>
        <v/>
      </c>
    </row>
    <row r="490" spans="1:33" x14ac:dyDescent="0.25">
      <c r="A490" s="46" t="str">
        <f>IF(ISBLANK(inbound_data[[#This Row],[Receiving Report ref.'#]]),"",IF(inbound_data[[#This Row],[Ending Quantity]]=0,"ZERO","INV"))</f>
        <v/>
      </c>
      <c r="B490" s="165" t="str">
        <f t="shared" si="54"/>
        <v/>
      </c>
      <c r="C490" s="165" t="str">
        <f>IF(ISBLANK(D490),"",inbound_data[[#This Row],[Pallet_Series]]&amp;inbound_data[[#This Row],[No.]])</f>
        <v/>
      </c>
      <c r="D490" s="54"/>
      <c r="E490" s="55"/>
      <c r="F490" s="56"/>
      <c r="G490" s="57"/>
      <c r="H490" s="53"/>
      <c r="I490" s="53"/>
      <c r="J490" s="55"/>
      <c r="K490" s="58"/>
      <c r="L490" s="59"/>
      <c r="M490" s="55"/>
      <c r="N490" s="60"/>
      <c r="O490" s="60"/>
      <c r="P490" s="165" t="str">
        <f t="shared" ca="1" si="55"/>
        <v/>
      </c>
      <c r="Q490" s="165" t="str">
        <f t="shared" ca="1" si="56"/>
        <v/>
      </c>
      <c r="R490" s="79"/>
      <c r="S490" s="80"/>
      <c r="T490" s="61">
        <f t="shared" si="57"/>
        <v>0</v>
      </c>
      <c r="U490" s="61">
        <f t="shared" si="58"/>
        <v>0</v>
      </c>
      <c r="V490" s="61">
        <f t="shared" si="59"/>
        <v>0</v>
      </c>
      <c r="W490" s="58"/>
      <c r="X490" s="58"/>
      <c r="Y490" s="53"/>
      <c r="Z490" s="57"/>
      <c r="AA490" s="62"/>
      <c r="AB490" s="62"/>
      <c r="AC490" s="62"/>
      <c r="AD490" s="62"/>
      <c r="AE490" s="62"/>
      <c r="AF490" s="63"/>
      <c r="AG490" s="64" t="str">
        <f t="shared" si="60"/>
        <v/>
      </c>
    </row>
    <row r="491" spans="1:33" x14ac:dyDescent="0.25">
      <c r="A491" s="46" t="str">
        <f>IF(ISBLANK(inbound_data[[#This Row],[Receiving Report ref.'#]]),"",IF(inbound_data[[#This Row],[Ending Quantity]]=0,"ZERO","INV"))</f>
        <v/>
      </c>
      <c r="B491" s="165" t="str">
        <f t="shared" si="54"/>
        <v/>
      </c>
      <c r="C491" s="165" t="str">
        <f>IF(ISBLANK(D491),"",inbound_data[[#This Row],[Pallet_Series]]&amp;inbound_data[[#This Row],[No.]])</f>
        <v/>
      </c>
      <c r="D491" s="54"/>
      <c r="E491" s="55"/>
      <c r="F491" s="56"/>
      <c r="G491" s="57"/>
      <c r="H491" s="53"/>
      <c r="I491" s="53"/>
      <c r="J491" s="55"/>
      <c r="K491" s="58"/>
      <c r="L491" s="59"/>
      <c r="M491" s="55"/>
      <c r="N491" s="60"/>
      <c r="O491" s="60"/>
      <c r="P491" s="165" t="str">
        <f t="shared" ca="1" si="55"/>
        <v/>
      </c>
      <c r="Q491" s="165" t="str">
        <f t="shared" ca="1" si="56"/>
        <v/>
      </c>
      <c r="R491" s="79"/>
      <c r="S491" s="80"/>
      <c r="T491" s="61">
        <f t="shared" si="57"/>
        <v>0</v>
      </c>
      <c r="U491" s="61">
        <f t="shared" si="58"/>
        <v>0</v>
      </c>
      <c r="V491" s="61">
        <f t="shared" si="59"/>
        <v>0</v>
      </c>
      <c r="W491" s="58"/>
      <c r="X491" s="58"/>
      <c r="Y491" s="53"/>
      <c r="Z491" s="57"/>
      <c r="AA491" s="62"/>
      <c r="AB491" s="62"/>
      <c r="AC491" s="62"/>
      <c r="AD491" s="62"/>
      <c r="AE491" s="62"/>
      <c r="AF491" s="63"/>
      <c r="AG491" s="64" t="str">
        <f t="shared" si="60"/>
        <v/>
      </c>
    </row>
    <row r="492" spans="1:33" x14ac:dyDescent="0.25">
      <c r="A492" s="46" t="str">
        <f>IF(ISBLANK(inbound_data[[#This Row],[Receiving Report ref.'#]]),"",IF(inbound_data[[#This Row],[Ending Quantity]]=0,"ZERO","INV"))</f>
        <v/>
      </c>
      <c r="B492" s="165" t="str">
        <f t="shared" si="54"/>
        <v/>
      </c>
      <c r="C492" s="165" t="str">
        <f>IF(ISBLANK(D492),"",inbound_data[[#This Row],[Pallet_Series]]&amp;inbound_data[[#This Row],[No.]])</f>
        <v/>
      </c>
      <c r="D492" s="54"/>
      <c r="E492" s="55"/>
      <c r="F492" s="56"/>
      <c r="G492" s="57"/>
      <c r="H492" s="53"/>
      <c r="I492" s="53"/>
      <c r="J492" s="55"/>
      <c r="K492" s="58"/>
      <c r="L492" s="59"/>
      <c r="M492" s="55"/>
      <c r="N492" s="60"/>
      <c r="O492" s="60"/>
      <c r="P492" s="165" t="str">
        <f t="shared" ca="1" si="55"/>
        <v/>
      </c>
      <c r="Q492" s="165" t="str">
        <f t="shared" ca="1" si="56"/>
        <v/>
      </c>
      <c r="R492" s="79"/>
      <c r="S492" s="80"/>
      <c r="T492" s="61">
        <f t="shared" si="57"/>
        <v>0</v>
      </c>
      <c r="U492" s="61">
        <f t="shared" si="58"/>
        <v>0</v>
      </c>
      <c r="V492" s="61">
        <f t="shared" si="59"/>
        <v>0</v>
      </c>
      <c r="W492" s="58"/>
      <c r="X492" s="58"/>
      <c r="Y492" s="53"/>
      <c r="Z492" s="57"/>
      <c r="AA492" s="62"/>
      <c r="AB492" s="62"/>
      <c r="AC492" s="62"/>
      <c r="AD492" s="62"/>
      <c r="AE492" s="62"/>
      <c r="AF492" s="63"/>
      <c r="AG492" s="64" t="str">
        <f t="shared" si="60"/>
        <v/>
      </c>
    </row>
    <row r="493" spans="1:33" x14ac:dyDescent="0.25">
      <c r="A493" s="46" t="str">
        <f>IF(ISBLANK(inbound_data[[#This Row],[Receiving Report ref.'#]]),"",IF(inbound_data[[#This Row],[Ending Quantity]]=0,"ZERO","INV"))</f>
        <v/>
      </c>
      <c r="B493" s="165" t="str">
        <f t="shared" si="54"/>
        <v/>
      </c>
      <c r="C493" s="165" t="str">
        <f>IF(ISBLANK(D493),"",inbound_data[[#This Row],[Pallet_Series]]&amp;inbound_data[[#This Row],[No.]])</f>
        <v/>
      </c>
      <c r="D493" s="54"/>
      <c r="E493" s="55"/>
      <c r="F493" s="56"/>
      <c r="G493" s="57"/>
      <c r="H493" s="53"/>
      <c r="I493" s="53"/>
      <c r="J493" s="55"/>
      <c r="K493" s="58"/>
      <c r="L493" s="59"/>
      <c r="M493" s="55"/>
      <c r="N493" s="60"/>
      <c r="O493" s="60"/>
      <c r="P493" s="165" t="str">
        <f t="shared" ca="1" si="55"/>
        <v/>
      </c>
      <c r="Q493" s="165" t="str">
        <f t="shared" ca="1" si="56"/>
        <v/>
      </c>
      <c r="R493" s="79"/>
      <c r="S493" s="80"/>
      <c r="T493" s="61">
        <f t="shared" si="57"/>
        <v>0</v>
      </c>
      <c r="U493" s="61">
        <f t="shared" si="58"/>
        <v>0</v>
      </c>
      <c r="V493" s="61">
        <f t="shared" si="59"/>
        <v>0</v>
      </c>
      <c r="W493" s="58"/>
      <c r="X493" s="58"/>
      <c r="Y493" s="53"/>
      <c r="Z493" s="57"/>
      <c r="AA493" s="62"/>
      <c r="AB493" s="62"/>
      <c r="AC493" s="62"/>
      <c r="AD493" s="62"/>
      <c r="AE493" s="62"/>
      <c r="AF493" s="63"/>
      <c r="AG493" s="64" t="str">
        <f t="shared" si="60"/>
        <v/>
      </c>
    </row>
    <row r="494" spans="1:33" x14ac:dyDescent="0.25">
      <c r="A494" s="46" t="str">
        <f>IF(ISBLANK(inbound_data[[#This Row],[Receiving Report ref.'#]]),"",IF(inbound_data[[#This Row],[Ending Quantity]]=0,"ZERO","INV"))</f>
        <v/>
      </c>
      <c r="B494" s="165" t="str">
        <f t="shared" si="54"/>
        <v/>
      </c>
      <c r="C494" s="165" t="str">
        <f>IF(ISBLANK(D494),"",inbound_data[[#This Row],[Pallet_Series]]&amp;inbound_data[[#This Row],[No.]])</f>
        <v/>
      </c>
      <c r="D494" s="54"/>
      <c r="E494" s="55"/>
      <c r="F494" s="56"/>
      <c r="G494" s="57"/>
      <c r="H494" s="53"/>
      <c r="I494" s="53"/>
      <c r="J494" s="55"/>
      <c r="K494" s="58"/>
      <c r="L494" s="59"/>
      <c r="M494" s="55"/>
      <c r="N494" s="60"/>
      <c r="O494" s="60"/>
      <c r="P494" s="165" t="str">
        <f t="shared" ca="1" si="55"/>
        <v/>
      </c>
      <c r="Q494" s="165" t="str">
        <f t="shared" ca="1" si="56"/>
        <v/>
      </c>
      <c r="R494" s="79"/>
      <c r="S494" s="80"/>
      <c r="T494" s="61">
        <f t="shared" si="57"/>
        <v>0</v>
      </c>
      <c r="U494" s="61">
        <f t="shared" si="58"/>
        <v>0</v>
      </c>
      <c r="V494" s="61">
        <f t="shared" si="59"/>
        <v>0</v>
      </c>
      <c r="W494" s="58"/>
      <c r="X494" s="58"/>
      <c r="Y494" s="53"/>
      <c r="Z494" s="57"/>
      <c r="AA494" s="62"/>
      <c r="AB494" s="62"/>
      <c r="AC494" s="62"/>
      <c r="AD494" s="62"/>
      <c r="AE494" s="62"/>
      <c r="AF494" s="63"/>
      <c r="AG494" s="64" t="str">
        <f t="shared" si="60"/>
        <v/>
      </c>
    </row>
    <row r="495" spans="1:33" x14ac:dyDescent="0.25">
      <c r="A495" s="46" t="str">
        <f>IF(ISBLANK(inbound_data[[#This Row],[Receiving Report ref.'#]]),"",IF(inbound_data[[#This Row],[Ending Quantity]]=0,"ZERO","INV"))</f>
        <v/>
      </c>
      <c r="B495" s="165" t="str">
        <f t="shared" si="54"/>
        <v/>
      </c>
      <c r="C495" s="165" t="str">
        <f>IF(ISBLANK(D495),"",inbound_data[[#This Row],[Pallet_Series]]&amp;inbound_data[[#This Row],[No.]])</f>
        <v/>
      </c>
      <c r="D495" s="54"/>
      <c r="E495" s="55"/>
      <c r="F495" s="56"/>
      <c r="G495" s="57"/>
      <c r="H495" s="53"/>
      <c r="I495" s="53"/>
      <c r="J495" s="55"/>
      <c r="K495" s="58"/>
      <c r="L495" s="59"/>
      <c r="M495" s="55"/>
      <c r="N495" s="60"/>
      <c r="O495" s="60"/>
      <c r="P495" s="165" t="str">
        <f t="shared" ca="1" si="55"/>
        <v/>
      </c>
      <c r="Q495" s="165" t="str">
        <f t="shared" ca="1" si="56"/>
        <v/>
      </c>
      <c r="R495" s="79"/>
      <c r="S495" s="80"/>
      <c r="T495" s="61">
        <f t="shared" si="57"/>
        <v>0</v>
      </c>
      <c r="U495" s="61">
        <f t="shared" si="58"/>
        <v>0</v>
      </c>
      <c r="V495" s="61">
        <f t="shared" si="59"/>
        <v>0</v>
      </c>
      <c r="W495" s="58"/>
      <c r="X495" s="58"/>
      <c r="Y495" s="53"/>
      <c r="Z495" s="57"/>
      <c r="AA495" s="62"/>
      <c r="AB495" s="62"/>
      <c r="AC495" s="62"/>
      <c r="AD495" s="62"/>
      <c r="AE495" s="62"/>
      <c r="AF495" s="63"/>
      <c r="AG495" s="64" t="str">
        <f t="shared" si="60"/>
        <v/>
      </c>
    </row>
    <row r="496" spans="1:33" x14ac:dyDescent="0.25">
      <c r="A496" s="46" t="str">
        <f>IF(ISBLANK(inbound_data[[#This Row],[Receiving Report ref.'#]]),"",IF(inbound_data[[#This Row],[Ending Quantity]]=0,"ZERO","INV"))</f>
        <v/>
      </c>
      <c r="B496" s="165" t="str">
        <f t="shared" si="54"/>
        <v/>
      </c>
      <c r="C496" s="165" t="str">
        <f>IF(ISBLANK(D496),"",inbound_data[[#This Row],[Pallet_Series]]&amp;inbound_data[[#This Row],[No.]])</f>
        <v/>
      </c>
      <c r="D496" s="54"/>
      <c r="E496" s="55"/>
      <c r="F496" s="56"/>
      <c r="G496" s="57"/>
      <c r="H496" s="53"/>
      <c r="I496" s="53"/>
      <c r="J496" s="55"/>
      <c r="K496" s="58"/>
      <c r="L496" s="59"/>
      <c r="M496" s="55"/>
      <c r="N496" s="60"/>
      <c r="O496" s="60"/>
      <c r="P496" s="165" t="str">
        <f t="shared" ca="1" si="55"/>
        <v/>
      </c>
      <c r="Q496" s="165" t="str">
        <f t="shared" ca="1" si="56"/>
        <v/>
      </c>
      <c r="R496" s="79"/>
      <c r="S496" s="80"/>
      <c r="T496" s="61">
        <f t="shared" si="57"/>
        <v>0</v>
      </c>
      <c r="U496" s="61">
        <f t="shared" si="58"/>
        <v>0</v>
      </c>
      <c r="V496" s="61">
        <f t="shared" si="59"/>
        <v>0</v>
      </c>
      <c r="W496" s="58"/>
      <c r="X496" s="58"/>
      <c r="Y496" s="53"/>
      <c r="Z496" s="57"/>
      <c r="AA496" s="62"/>
      <c r="AB496" s="62"/>
      <c r="AC496" s="62"/>
      <c r="AD496" s="62"/>
      <c r="AE496" s="62"/>
      <c r="AF496" s="63"/>
      <c r="AG496" s="64" t="str">
        <f t="shared" si="60"/>
        <v/>
      </c>
    </row>
    <row r="497" spans="1:33" x14ac:dyDescent="0.25">
      <c r="A497" s="46" t="str">
        <f>IF(ISBLANK(inbound_data[[#This Row],[Receiving Report ref.'#]]),"",IF(inbound_data[[#This Row],[Ending Quantity]]=0,"ZERO","INV"))</f>
        <v/>
      </c>
      <c r="B497" s="165" t="str">
        <f t="shared" si="54"/>
        <v/>
      </c>
      <c r="C497" s="165" t="str">
        <f>IF(ISBLANK(D497),"",inbound_data[[#This Row],[Pallet_Series]]&amp;inbound_data[[#This Row],[No.]])</f>
        <v/>
      </c>
      <c r="D497" s="54"/>
      <c r="E497" s="55"/>
      <c r="F497" s="56"/>
      <c r="G497" s="57"/>
      <c r="H497" s="53"/>
      <c r="I497" s="53"/>
      <c r="J497" s="55"/>
      <c r="K497" s="58"/>
      <c r="L497" s="59"/>
      <c r="M497" s="55"/>
      <c r="N497" s="60"/>
      <c r="O497" s="60"/>
      <c r="P497" s="165" t="str">
        <f t="shared" ca="1" si="55"/>
        <v/>
      </c>
      <c r="Q497" s="165" t="str">
        <f t="shared" ca="1" si="56"/>
        <v/>
      </c>
      <c r="R497" s="79"/>
      <c r="S497" s="80"/>
      <c r="T497" s="61">
        <f t="shared" si="57"/>
        <v>0</v>
      </c>
      <c r="U497" s="61">
        <f t="shared" si="58"/>
        <v>0</v>
      </c>
      <c r="V497" s="61">
        <f t="shared" si="59"/>
        <v>0</v>
      </c>
      <c r="W497" s="58"/>
      <c r="X497" s="58"/>
      <c r="Y497" s="53"/>
      <c r="Z497" s="57"/>
      <c r="AA497" s="62"/>
      <c r="AB497" s="62"/>
      <c r="AC497" s="62"/>
      <c r="AD497" s="62"/>
      <c r="AE497" s="62"/>
      <c r="AF497" s="63"/>
      <c r="AG497" s="64" t="str">
        <f t="shared" si="60"/>
        <v/>
      </c>
    </row>
    <row r="498" spans="1:33" x14ac:dyDescent="0.25">
      <c r="A498" s="46" t="str">
        <f>IF(ISBLANK(inbound_data[[#This Row],[Receiving Report ref.'#]]),"",IF(inbound_data[[#This Row],[Ending Quantity]]=0,"ZERO","INV"))</f>
        <v/>
      </c>
      <c r="B498" s="165" t="str">
        <f t="shared" si="54"/>
        <v/>
      </c>
      <c r="C498" s="165" t="str">
        <f>IF(ISBLANK(D498),"",inbound_data[[#This Row],[Pallet_Series]]&amp;inbound_data[[#This Row],[No.]])</f>
        <v/>
      </c>
      <c r="D498" s="54"/>
      <c r="E498" s="55"/>
      <c r="F498" s="56"/>
      <c r="G498" s="57"/>
      <c r="H498" s="53"/>
      <c r="I498" s="53"/>
      <c r="J498" s="55"/>
      <c r="K498" s="58"/>
      <c r="L498" s="59"/>
      <c r="M498" s="55"/>
      <c r="N498" s="60"/>
      <c r="O498" s="60"/>
      <c r="P498" s="165" t="str">
        <f t="shared" ca="1" si="55"/>
        <v/>
      </c>
      <c r="Q498" s="165" t="str">
        <f t="shared" ca="1" si="56"/>
        <v/>
      </c>
      <c r="R498" s="79"/>
      <c r="S498" s="80"/>
      <c r="T498" s="61">
        <f t="shared" si="57"/>
        <v>0</v>
      </c>
      <c r="U498" s="61">
        <f t="shared" si="58"/>
        <v>0</v>
      </c>
      <c r="V498" s="61">
        <f t="shared" si="59"/>
        <v>0</v>
      </c>
      <c r="W498" s="58"/>
      <c r="X498" s="58"/>
      <c r="Y498" s="53"/>
      <c r="Z498" s="57"/>
      <c r="AA498" s="62"/>
      <c r="AB498" s="62"/>
      <c r="AC498" s="62"/>
      <c r="AD498" s="62"/>
      <c r="AE498" s="62"/>
      <c r="AF498" s="63"/>
      <c r="AG498" s="64" t="str">
        <f t="shared" si="60"/>
        <v/>
      </c>
    </row>
    <row r="499" spans="1:33" x14ac:dyDescent="0.25">
      <c r="A499" s="46" t="str">
        <f>IF(ISBLANK(inbound_data[[#This Row],[Receiving Report ref.'#]]),"",IF(inbound_data[[#This Row],[Ending Quantity]]=0,"ZERO","INV"))</f>
        <v/>
      </c>
      <c r="B499" s="165" t="str">
        <f t="shared" si="54"/>
        <v/>
      </c>
      <c r="C499" s="165" t="str">
        <f>IF(ISBLANK(D499),"",inbound_data[[#This Row],[Pallet_Series]]&amp;inbound_data[[#This Row],[No.]])</f>
        <v/>
      </c>
      <c r="D499" s="54"/>
      <c r="E499" s="55"/>
      <c r="F499" s="56"/>
      <c r="G499" s="57"/>
      <c r="H499" s="53"/>
      <c r="I499" s="53"/>
      <c r="J499" s="55"/>
      <c r="K499" s="58"/>
      <c r="L499" s="59"/>
      <c r="M499" s="55"/>
      <c r="N499" s="60"/>
      <c r="O499" s="60"/>
      <c r="P499" s="165" t="str">
        <f t="shared" ca="1" si="55"/>
        <v/>
      </c>
      <c r="Q499" s="165" t="str">
        <f t="shared" ca="1" si="56"/>
        <v/>
      </c>
      <c r="R499" s="79"/>
      <c r="S499" s="80"/>
      <c r="T499" s="61">
        <f t="shared" si="57"/>
        <v>0</v>
      </c>
      <c r="U499" s="61">
        <f t="shared" si="58"/>
        <v>0</v>
      </c>
      <c r="V499" s="61">
        <f t="shared" si="59"/>
        <v>0</v>
      </c>
      <c r="W499" s="58"/>
      <c r="X499" s="58"/>
      <c r="Y499" s="53"/>
      <c r="Z499" s="57"/>
      <c r="AA499" s="62"/>
      <c r="AB499" s="62"/>
      <c r="AC499" s="62"/>
      <c r="AD499" s="62"/>
      <c r="AE499" s="62"/>
      <c r="AF499" s="63"/>
      <c r="AG499" s="64" t="str">
        <f t="shared" si="60"/>
        <v/>
      </c>
    </row>
    <row r="500" spans="1:33" x14ac:dyDescent="0.25">
      <c r="A500" s="46" t="str">
        <f>IF(ISBLANK(inbound_data[[#This Row],[Receiving Report ref.'#]]),"",IF(inbound_data[[#This Row],[Ending Quantity]]=0,"ZERO","INV"))</f>
        <v/>
      </c>
      <c r="B500" s="165" t="str">
        <f t="shared" si="54"/>
        <v/>
      </c>
      <c r="C500" s="165" t="str">
        <f>IF(ISBLANK(D500),"",inbound_data[[#This Row],[Pallet_Series]]&amp;inbound_data[[#This Row],[No.]])</f>
        <v/>
      </c>
      <c r="D500" s="54"/>
      <c r="E500" s="55"/>
      <c r="F500" s="56"/>
      <c r="G500" s="57"/>
      <c r="H500" s="53"/>
      <c r="I500" s="53"/>
      <c r="J500" s="55"/>
      <c r="K500" s="58"/>
      <c r="L500" s="59"/>
      <c r="M500" s="55"/>
      <c r="N500" s="60"/>
      <c r="O500" s="60"/>
      <c r="P500" s="165" t="str">
        <f t="shared" ca="1" si="55"/>
        <v/>
      </c>
      <c r="Q500" s="165" t="str">
        <f t="shared" ca="1" si="56"/>
        <v/>
      </c>
      <c r="R500" s="79"/>
      <c r="S500" s="80"/>
      <c r="T500" s="61">
        <f t="shared" si="57"/>
        <v>0</v>
      </c>
      <c r="U500" s="61">
        <f t="shared" si="58"/>
        <v>0</v>
      </c>
      <c r="V500" s="61">
        <f t="shared" si="59"/>
        <v>0</v>
      </c>
      <c r="W500" s="58"/>
      <c r="X500" s="58"/>
      <c r="Y500" s="53"/>
      <c r="Z500" s="57"/>
      <c r="AA500" s="62"/>
      <c r="AB500" s="62"/>
      <c r="AC500" s="62"/>
      <c r="AD500" s="62"/>
      <c r="AE500" s="62"/>
      <c r="AF500" s="63"/>
      <c r="AG500" s="64" t="str">
        <f t="shared" si="60"/>
        <v/>
      </c>
    </row>
    <row r="501" spans="1:33" x14ac:dyDescent="0.25">
      <c r="A501" s="46" t="str">
        <f>IF(ISBLANK(inbound_data[[#This Row],[Receiving Report ref.'#]]),"",IF(inbound_data[[#This Row],[Ending Quantity]]=0,"ZERO","INV"))</f>
        <v/>
      </c>
      <c r="B501" s="165" t="str">
        <f t="shared" si="54"/>
        <v/>
      </c>
      <c r="C501" s="165" t="str">
        <f>IF(ISBLANK(D501),"",inbound_data[[#This Row],[Pallet_Series]]&amp;inbound_data[[#This Row],[No.]])</f>
        <v/>
      </c>
      <c r="D501" s="54"/>
      <c r="E501" s="55"/>
      <c r="F501" s="56"/>
      <c r="G501" s="57"/>
      <c r="H501" s="53"/>
      <c r="I501" s="53"/>
      <c r="J501" s="55"/>
      <c r="K501" s="58"/>
      <c r="L501" s="59"/>
      <c r="M501" s="55"/>
      <c r="N501" s="60"/>
      <c r="O501" s="60"/>
      <c r="P501" s="165" t="str">
        <f t="shared" ca="1" si="55"/>
        <v/>
      </c>
      <c r="Q501" s="165" t="str">
        <f t="shared" ca="1" si="56"/>
        <v/>
      </c>
      <c r="R501" s="79"/>
      <c r="S501" s="80"/>
      <c r="T501" s="61">
        <f t="shared" si="57"/>
        <v>0</v>
      </c>
      <c r="U501" s="61">
        <f t="shared" si="58"/>
        <v>0</v>
      </c>
      <c r="V501" s="61">
        <f t="shared" si="59"/>
        <v>0</v>
      </c>
      <c r="W501" s="58"/>
      <c r="X501" s="58"/>
      <c r="Y501" s="53"/>
      <c r="Z501" s="57"/>
      <c r="AA501" s="62"/>
      <c r="AB501" s="62"/>
      <c r="AC501" s="62"/>
      <c r="AD501" s="62"/>
      <c r="AE501" s="62"/>
      <c r="AF501" s="63"/>
      <c r="AG501" s="64" t="str">
        <f t="shared" si="60"/>
        <v/>
      </c>
    </row>
    <row r="502" spans="1:33" x14ac:dyDescent="0.25">
      <c r="A502" s="46" t="str">
        <f>IF(ISBLANK(inbound_data[[#This Row],[Receiving Report ref.'#]]),"",IF(inbound_data[[#This Row],[Ending Quantity]]=0,"ZERO","INV"))</f>
        <v/>
      </c>
      <c r="B502" s="165" t="str">
        <f t="shared" si="54"/>
        <v/>
      </c>
      <c r="C502" s="165" t="str">
        <f>IF(ISBLANK(D502),"",inbound_data[[#This Row],[Pallet_Series]]&amp;inbound_data[[#This Row],[No.]])</f>
        <v/>
      </c>
      <c r="D502" s="54"/>
      <c r="E502" s="55"/>
      <c r="F502" s="56"/>
      <c r="G502" s="57"/>
      <c r="H502" s="53"/>
      <c r="I502" s="53"/>
      <c r="J502" s="55"/>
      <c r="K502" s="58"/>
      <c r="L502" s="59"/>
      <c r="M502" s="55"/>
      <c r="N502" s="60"/>
      <c r="O502" s="60"/>
      <c r="P502" s="165" t="str">
        <f t="shared" ca="1" si="55"/>
        <v/>
      </c>
      <c r="Q502" s="165" t="str">
        <f t="shared" ca="1" si="56"/>
        <v/>
      </c>
      <c r="R502" s="79"/>
      <c r="S502" s="80"/>
      <c r="T502" s="61">
        <f t="shared" si="57"/>
        <v>0</v>
      </c>
      <c r="U502" s="61">
        <f t="shared" si="58"/>
        <v>0</v>
      </c>
      <c r="V502" s="61">
        <f t="shared" si="59"/>
        <v>0</v>
      </c>
      <c r="W502" s="58"/>
      <c r="X502" s="58"/>
      <c r="Y502" s="53"/>
      <c r="Z502" s="57"/>
      <c r="AA502" s="62"/>
      <c r="AB502" s="62"/>
      <c r="AC502" s="62"/>
      <c r="AD502" s="62"/>
      <c r="AE502" s="62"/>
      <c r="AF502" s="63"/>
      <c r="AG502" s="64" t="str">
        <f t="shared" si="60"/>
        <v/>
      </c>
    </row>
    <row r="503" spans="1:33" x14ac:dyDescent="0.25">
      <c r="A503" s="46" t="str">
        <f>IF(ISBLANK(inbound_data[[#This Row],[Receiving Report ref.'#]]),"",IF(inbound_data[[#This Row],[Ending Quantity]]=0,"ZERO","INV"))</f>
        <v/>
      </c>
      <c r="B503" s="165" t="str">
        <f t="shared" si="54"/>
        <v/>
      </c>
      <c r="C503" s="165" t="str">
        <f>IF(ISBLANK(D503),"",inbound_data[[#This Row],[Pallet_Series]]&amp;inbound_data[[#This Row],[No.]])</f>
        <v/>
      </c>
      <c r="D503" s="54"/>
      <c r="E503" s="55"/>
      <c r="F503" s="56"/>
      <c r="G503" s="57"/>
      <c r="H503" s="53"/>
      <c r="I503" s="53"/>
      <c r="J503" s="55"/>
      <c r="K503" s="58"/>
      <c r="L503" s="59"/>
      <c r="M503" s="55"/>
      <c r="N503" s="60"/>
      <c r="O503" s="60"/>
      <c r="P503" s="165" t="str">
        <f t="shared" ca="1" si="55"/>
        <v/>
      </c>
      <c r="Q503" s="165" t="str">
        <f t="shared" ca="1" si="56"/>
        <v/>
      </c>
      <c r="R503" s="79"/>
      <c r="S503" s="80"/>
      <c r="T503" s="61">
        <f t="shared" si="57"/>
        <v>0</v>
      </c>
      <c r="U503" s="61">
        <f t="shared" si="58"/>
        <v>0</v>
      </c>
      <c r="V503" s="61">
        <f t="shared" si="59"/>
        <v>0</v>
      </c>
      <c r="W503" s="58"/>
      <c r="X503" s="58"/>
      <c r="Y503" s="53"/>
      <c r="Z503" s="57"/>
      <c r="AA503" s="62"/>
      <c r="AB503" s="62"/>
      <c r="AC503" s="62"/>
      <c r="AD503" s="62"/>
      <c r="AE503" s="62"/>
      <c r="AF503" s="63"/>
      <c r="AG503" s="64" t="str">
        <f t="shared" si="60"/>
        <v/>
      </c>
    </row>
    <row r="504" spans="1:33" x14ac:dyDescent="0.25">
      <c r="A504" s="46" t="str">
        <f>IF(ISBLANK(inbound_data[[#This Row],[Receiving Report ref.'#]]),"",IF(inbound_data[[#This Row],[Ending Quantity]]=0,"ZERO","INV"))</f>
        <v/>
      </c>
      <c r="B504" s="165" t="str">
        <f t="shared" si="54"/>
        <v/>
      </c>
      <c r="C504" s="165" t="str">
        <f>IF(ISBLANK(D504),"",inbound_data[[#This Row],[Pallet_Series]]&amp;inbound_data[[#This Row],[No.]])</f>
        <v/>
      </c>
      <c r="D504" s="54"/>
      <c r="E504" s="55"/>
      <c r="F504" s="56"/>
      <c r="G504" s="57"/>
      <c r="H504" s="53"/>
      <c r="I504" s="53"/>
      <c r="J504" s="55"/>
      <c r="K504" s="58"/>
      <c r="L504" s="59"/>
      <c r="M504" s="55"/>
      <c r="N504" s="60"/>
      <c r="O504" s="60"/>
      <c r="P504" s="165" t="str">
        <f t="shared" ca="1" si="55"/>
        <v/>
      </c>
      <c r="Q504" s="165" t="str">
        <f t="shared" ca="1" si="56"/>
        <v/>
      </c>
      <c r="R504" s="79"/>
      <c r="S504" s="80"/>
      <c r="T504" s="61">
        <f t="shared" si="57"/>
        <v>0</v>
      </c>
      <c r="U504" s="61">
        <f t="shared" si="58"/>
        <v>0</v>
      </c>
      <c r="V504" s="61">
        <f t="shared" si="59"/>
        <v>0</v>
      </c>
      <c r="W504" s="58"/>
      <c r="X504" s="58"/>
      <c r="Y504" s="53"/>
      <c r="Z504" s="57"/>
      <c r="AA504" s="62"/>
      <c r="AB504" s="62"/>
      <c r="AC504" s="62"/>
      <c r="AD504" s="62"/>
      <c r="AE504" s="62"/>
      <c r="AF504" s="63"/>
      <c r="AG504" s="64" t="str">
        <f t="shared" si="60"/>
        <v/>
      </c>
    </row>
    <row r="505" spans="1:33" x14ac:dyDescent="0.25">
      <c r="A505" s="46" t="str">
        <f>IF(ISBLANK(inbound_data[[#This Row],[Receiving Report ref.'#]]),"",IF(inbound_data[[#This Row],[Ending Quantity]]=0,"ZERO","INV"))</f>
        <v/>
      </c>
      <c r="B505" s="165" t="str">
        <f t="shared" si="54"/>
        <v/>
      </c>
      <c r="C505" s="165" t="str">
        <f>IF(ISBLANK(D505),"",inbound_data[[#This Row],[Pallet_Series]]&amp;inbound_data[[#This Row],[No.]])</f>
        <v/>
      </c>
      <c r="D505" s="54"/>
      <c r="E505" s="55"/>
      <c r="F505" s="56"/>
      <c r="G505" s="57"/>
      <c r="H505" s="53"/>
      <c r="I505" s="53"/>
      <c r="J505" s="55"/>
      <c r="K505" s="58"/>
      <c r="L505" s="59"/>
      <c r="M505" s="55"/>
      <c r="N505" s="60"/>
      <c r="O505" s="60"/>
      <c r="P505" s="165" t="str">
        <f t="shared" ca="1" si="55"/>
        <v/>
      </c>
      <c r="Q505" s="165" t="str">
        <f t="shared" ca="1" si="56"/>
        <v/>
      </c>
      <c r="R505" s="79"/>
      <c r="S505" s="80"/>
      <c r="T505" s="61">
        <f t="shared" si="57"/>
        <v>0</v>
      </c>
      <c r="U505" s="61">
        <f t="shared" si="58"/>
        <v>0</v>
      </c>
      <c r="V505" s="61">
        <f t="shared" si="59"/>
        <v>0</v>
      </c>
      <c r="W505" s="58"/>
      <c r="X505" s="58"/>
      <c r="Y505" s="53"/>
      <c r="Z505" s="57"/>
      <c r="AA505" s="62"/>
      <c r="AB505" s="62"/>
      <c r="AC505" s="62"/>
      <c r="AD505" s="62"/>
      <c r="AE505" s="62"/>
      <c r="AF505" s="63"/>
      <c r="AG505" s="64" t="str">
        <f t="shared" si="60"/>
        <v/>
      </c>
    </row>
    <row r="506" spans="1:33" x14ac:dyDescent="0.25">
      <c r="A506" s="46" t="str">
        <f>IF(ISBLANK(inbound_data[[#This Row],[Receiving Report ref.'#]]),"",IF(inbound_data[[#This Row],[Ending Quantity]]=0,"ZERO","INV"))</f>
        <v/>
      </c>
      <c r="B506" s="165" t="str">
        <f t="shared" si="54"/>
        <v/>
      </c>
      <c r="C506" s="165" t="str">
        <f>IF(ISBLANK(D506),"",inbound_data[[#This Row],[Pallet_Series]]&amp;inbound_data[[#This Row],[No.]])</f>
        <v/>
      </c>
      <c r="D506" s="54"/>
      <c r="E506" s="55"/>
      <c r="F506" s="56"/>
      <c r="G506" s="57"/>
      <c r="H506" s="53"/>
      <c r="I506" s="53"/>
      <c r="J506" s="55"/>
      <c r="K506" s="58"/>
      <c r="L506" s="59"/>
      <c r="M506" s="55"/>
      <c r="N506" s="60"/>
      <c r="O506" s="60"/>
      <c r="P506" s="165" t="str">
        <f t="shared" ca="1" si="55"/>
        <v/>
      </c>
      <c r="Q506" s="165" t="str">
        <f t="shared" ca="1" si="56"/>
        <v/>
      </c>
      <c r="R506" s="79"/>
      <c r="S506" s="80"/>
      <c r="T506" s="61">
        <f t="shared" si="57"/>
        <v>0</v>
      </c>
      <c r="U506" s="61">
        <f t="shared" si="58"/>
        <v>0</v>
      </c>
      <c r="V506" s="61">
        <f t="shared" si="59"/>
        <v>0</v>
      </c>
      <c r="W506" s="58"/>
      <c r="X506" s="58"/>
      <c r="Y506" s="53"/>
      <c r="Z506" s="57"/>
      <c r="AA506" s="62"/>
      <c r="AB506" s="62"/>
      <c r="AC506" s="62"/>
      <c r="AD506" s="62"/>
      <c r="AE506" s="62"/>
      <c r="AF506" s="63"/>
      <c r="AG506" s="64" t="str">
        <f t="shared" si="60"/>
        <v/>
      </c>
    </row>
    <row r="507" spans="1:33" x14ac:dyDescent="0.25">
      <c r="A507" s="46" t="str">
        <f>IF(ISBLANK(inbound_data[[#This Row],[Receiving Report ref.'#]]),"",IF(inbound_data[[#This Row],[Ending Quantity]]=0,"ZERO","INV"))</f>
        <v/>
      </c>
      <c r="B507" s="165" t="str">
        <f t="shared" si="54"/>
        <v/>
      </c>
      <c r="C507" s="165" t="str">
        <f>IF(ISBLANK(D507),"",inbound_data[[#This Row],[Pallet_Series]]&amp;inbound_data[[#This Row],[No.]])</f>
        <v/>
      </c>
      <c r="D507" s="54"/>
      <c r="E507" s="55"/>
      <c r="F507" s="56"/>
      <c r="G507" s="57"/>
      <c r="H507" s="53"/>
      <c r="I507" s="53"/>
      <c r="J507" s="55"/>
      <c r="K507" s="58"/>
      <c r="L507" s="59"/>
      <c r="M507" s="55"/>
      <c r="N507" s="60"/>
      <c r="O507" s="60"/>
      <c r="P507" s="165" t="str">
        <f t="shared" ca="1" si="55"/>
        <v/>
      </c>
      <c r="Q507" s="165" t="str">
        <f t="shared" ca="1" si="56"/>
        <v/>
      </c>
      <c r="R507" s="79"/>
      <c r="S507" s="80"/>
      <c r="T507" s="61">
        <f t="shared" si="57"/>
        <v>0</v>
      </c>
      <c r="U507" s="61">
        <f t="shared" si="58"/>
        <v>0</v>
      </c>
      <c r="V507" s="61">
        <f t="shared" si="59"/>
        <v>0</v>
      </c>
      <c r="W507" s="58"/>
      <c r="X507" s="58"/>
      <c r="Y507" s="53"/>
      <c r="Z507" s="57"/>
      <c r="AA507" s="62"/>
      <c r="AB507" s="62"/>
      <c r="AC507" s="62"/>
      <c r="AD507" s="62"/>
      <c r="AE507" s="62"/>
      <c r="AF507" s="63"/>
      <c r="AG507" s="64" t="str">
        <f t="shared" si="60"/>
        <v/>
      </c>
    </row>
    <row r="508" spans="1:33" x14ac:dyDescent="0.25">
      <c r="A508" s="46" t="str">
        <f>IF(ISBLANK(inbound_data[[#This Row],[Receiving Report ref.'#]]),"",IF(inbound_data[[#This Row],[Ending Quantity]]=0,"ZERO","INV"))</f>
        <v/>
      </c>
      <c r="B508" s="165" t="str">
        <f t="shared" si="54"/>
        <v/>
      </c>
      <c r="C508" s="165" t="str">
        <f>IF(ISBLANK(D508),"",inbound_data[[#This Row],[Pallet_Series]]&amp;inbound_data[[#This Row],[No.]])</f>
        <v/>
      </c>
      <c r="D508" s="54"/>
      <c r="E508" s="55"/>
      <c r="F508" s="56"/>
      <c r="G508" s="57"/>
      <c r="H508" s="53"/>
      <c r="I508" s="53"/>
      <c r="J508" s="55"/>
      <c r="K508" s="58"/>
      <c r="L508" s="59"/>
      <c r="M508" s="55"/>
      <c r="N508" s="60"/>
      <c r="O508" s="60"/>
      <c r="P508" s="165" t="str">
        <f t="shared" ca="1" si="55"/>
        <v/>
      </c>
      <c r="Q508" s="165" t="str">
        <f t="shared" ca="1" si="56"/>
        <v/>
      </c>
      <c r="R508" s="79"/>
      <c r="S508" s="80"/>
      <c r="T508" s="61">
        <f t="shared" si="57"/>
        <v>0</v>
      </c>
      <c r="U508" s="61">
        <f t="shared" si="58"/>
        <v>0</v>
      </c>
      <c r="V508" s="61">
        <f t="shared" si="59"/>
        <v>0</v>
      </c>
      <c r="W508" s="58"/>
      <c r="X508" s="58"/>
      <c r="Y508" s="53"/>
      <c r="Z508" s="57"/>
      <c r="AA508" s="62"/>
      <c r="AB508" s="62"/>
      <c r="AC508" s="62"/>
      <c r="AD508" s="62"/>
      <c r="AE508" s="62"/>
      <c r="AF508" s="63"/>
      <c r="AG508" s="64" t="str">
        <f t="shared" si="60"/>
        <v/>
      </c>
    </row>
    <row r="509" spans="1:33" x14ac:dyDescent="0.25">
      <c r="A509" s="46" t="str">
        <f>IF(ISBLANK(inbound_data[[#This Row],[Receiving Report ref.'#]]),"",IF(inbound_data[[#This Row],[Ending Quantity]]=0,"ZERO","INV"))</f>
        <v/>
      </c>
      <c r="B509" s="165" t="str">
        <f t="shared" si="54"/>
        <v/>
      </c>
      <c r="C509" s="165" t="str">
        <f>IF(ISBLANK(D509),"",inbound_data[[#This Row],[Pallet_Series]]&amp;inbound_data[[#This Row],[No.]])</f>
        <v/>
      </c>
      <c r="D509" s="54"/>
      <c r="E509" s="55"/>
      <c r="F509" s="56"/>
      <c r="G509" s="57"/>
      <c r="H509" s="53"/>
      <c r="I509" s="53"/>
      <c r="J509" s="55"/>
      <c r="K509" s="58"/>
      <c r="L509" s="59"/>
      <c r="M509" s="55"/>
      <c r="N509" s="60"/>
      <c r="O509" s="60"/>
      <c r="P509" s="165" t="str">
        <f t="shared" ca="1" si="55"/>
        <v/>
      </c>
      <c r="Q509" s="165" t="str">
        <f t="shared" ca="1" si="56"/>
        <v/>
      </c>
      <c r="R509" s="79"/>
      <c r="S509" s="80"/>
      <c r="T509" s="61">
        <f t="shared" si="57"/>
        <v>0</v>
      </c>
      <c r="U509" s="61">
        <f t="shared" si="58"/>
        <v>0</v>
      </c>
      <c r="V509" s="61">
        <f t="shared" si="59"/>
        <v>0</v>
      </c>
      <c r="W509" s="58"/>
      <c r="X509" s="58"/>
      <c r="Y509" s="53"/>
      <c r="Z509" s="57"/>
      <c r="AA509" s="62"/>
      <c r="AB509" s="62"/>
      <c r="AC509" s="62"/>
      <c r="AD509" s="62"/>
      <c r="AE509" s="62"/>
      <c r="AF509" s="63"/>
      <c r="AG509" s="64" t="str">
        <f t="shared" si="60"/>
        <v/>
      </c>
    </row>
    <row r="510" spans="1:33" x14ac:dyDescent="0.25">
      <c r="A510" s="46" t="str">
        <f>IF(ISBLANK(inbound_data[[#This Row],[Receiving Report ref.'#]]),"",IF(inbound_data[[#This Row],[Ending Quantity]]=0,"ZERO","INV"))</f>
        <v/>
      </c>
      <c r="B510" s="165" t="str">
        <f t="shared" si="54"/>
        <v/>
      </c>
      <c r="C510" s="165" t="str">
        <f>IF(ISBLANK(D510),"",inbound_data[[#This Row],[Pallet_Series]]&amp;inbound_data[[#This Row],[No.]])</f>
        <v/>
      </c>
      <c r="D510" s="54"/>
      <c r="E510" s="55"/>
      <c r="F510" s="56"/>
      <c r="G510" s="57"/>
      <c r="H510" s="53"/>
      <c r="I510" s="53"/>
      <c r="J510" s="55"/>
      <c r="K510" s="58"/>
      <c r="L510" s="59"/>
      <c r="M510" s="55"/>
      <c r="N510" s="60"/>
      <c r="O510" s="60"/>
      <c r="P510" s="165" t="str">
        <f t="shared" ca="1" si="55"/>
        <v/>
      </c>
      <c r="Q510" s="165" t="str">
        <f t="shared" ca="1" si="56"/>
        <v/>
      </c>
      <c r="R510" s="79"/>
      <c r="S510" s="80"/>
      <c r="T510" s="61">
        <f t="shared" si="57"/>
        <v>0</v>
      </c>
      <c r="U510" s="61">
        <f t="shared" si="58"/>
        <v>0</v>
      </c>
      <c r="V510" s="61">
        <f t="shared" si="59"/>
        <v>0</v>
      </c>
      <c r="W510" s="58"/>
      <c r="X510" s="58"/>
      <c r="Y510" s="53"/>
      <c r="Z510" s="57"/>
      <c r="AA510" s="62"/>
      <c r="AB510" s="62"/>
      <c r="AC510" s="62"/>
      <c r="AD510" s="62"/>
      <c r="AE510" s="62"/>
      <c r="AF510" s="63"/>
      <c r="AG510" s="64" t="str">
        <f t="shared" si="60"/>
        <v/>
      </c>
    </row>
    <row r="511" spans="1:33" x14ac:dyDescent="0.25">
      <c r="A511" s="46" t="str">
        <f>IF(ISBLANK(inbound_data[[#This Row],[Receiving Report ref.'#]]),"",IF(inbound_data[[#This Row],[Ending Quantity]]=0,"ZERO","INV"))</f>
        <v/>
      </c>
      <c r="B511" s="165" t="str">
        <f t="shared" si="54"/>
        <v/>
      </c>
      <c r="C511" s="165" t="str">
        <f>IF(ISBLANK(D511),"",inbound_data[[#This Row],[Pallet_Series]]&amp;inbound_data[[#This Row],[No.]])</f>
        <v/>
      </c>
      <c r="D511" s="54"/>
      <c r="E511" s="55"/>
      <c r="F511" s="56"/>
      <c r="G511" s="57"/>
      <c r="H511" s="53"/>
      <c r="I511" s="53"/>
      <c r="J511" s="55"/>
      <c r="K511" s="58"/>
      <c r="L511" s="59"/>
      <c r="M511" s="55"/>
      <c r="N511" s="60"/>
      <c r="O511" s="60"/>
      <c r="P511" s="165" t="str">
        <f t="shared" ca="1" si="55"/>
        <v/>
      </c>
      <c r="Q511" s="165" t="str">
        <f t="shared" ca="1" si="56"/>
        <v/>
      </c>
      <c r="R511" s="79"/>
      <c r="S511" s="80"/>
      <c r="T511" s="61">
        <f t="shared" si="57"/>
        <v>0</v>
      </c>
      <c r="U511" s="61">
        <f t="shared" si="58"/>
        <v>0</v>
      </c>
      <c r="V511" s="61">
        <f t="shared" si="59"/>
        <v>0</v>
      </c>
      <c r="W511" s="58"/>
      <c r="X511" s="58"/>
      <c r="Y511" s="53"/>
      <c r="Z511" s="57"/>
      <c r="AA511" s="62"/>
      <c r="AB511" s="62"/>
      <c r="AC511" s="62"/>
      <c r="AD511" s="62"/>
      <c r="AE511" s="62"/>
      <c r="AF511" s="63"/>
      <c r="AG511" s="64" t="str">
        <f t="shared" si="60"/>
        <v/>
      </c>
    </row>
    <row r="512" spans="1:33" x14ac:dyDescent="0.25">
      <c r="A512" s="46" t="str">
        <f>IF(ISBLANK(inbound_data[[#This Row],[Receiving Report ref.'#]]),"",IF(inbound_data[[#This Row],[Ending Quantity]]=0,"ZERO","INV"))</f>
        <v/>
      </c>
      <c r="B512" s="165" t="str">
        <f t="shared" si="54"/>
        <v/>
      </c>
      <c r="C512" s="165" t="str">
        <f>IF(ISBLANK(D512),"",inbound_data[[#This Row],[Pallet_Series]]&amp;inbound_data[[#This Row],[No.]])</f>
        <v/>
      </c>
      <c r="D512" s="54"/>
      <c r="E512" s="55"/>
      <c r="F512" s="56"/>
      <c r="G512" s="57"/>
      <c r="H512" s="53"/>
      <c r="I512" s="53"/>
      <c r="J512" s="55"/>
      <c r="K512" s="58"/>
      <c r="L512" s="59"/>
      <c r="M512" s="55"/>
      <c r="N512" s="60"/>
      <c r="O512" s="60"/>
      <c r="P512" s="165" t="str">
        <f t="shared" ca="1" si="55"/>
        <v/>
      </c>
      <c r="Q512" s="165" t="str">
        <f t="shared" ca="1" si="56"/>
        <v/>
      </c>
      <c r="R512" s="79"/>
      <c r="S512" s="80"/>
      <c r="T512" s="61">
        <f t="shared" si="57"/>
        <v>0</v>
      </c>
      <c r="U512" s="61">
        <f t="shared" si="58"/>
        <v>0</v>
      </c>
      <c r="V512" s="61">
        <f t="shared" si="59"/>
        <v>0</v>
      </c>
      <c r="W512" s="58"/>
      <c r="X512" s="58"/>
      <c r="Y512" s="53"/>
      <c r="Z512" s="57"/>
      <c r="AA512" s="62"/>
      <c r="AB512" s="62"/>
      <c r="AC512" s="62"/>
      <c r="AD512" s="62"/>
      <c r="AE512" s="62"/>
      <c r="AF512" s="63"/>
      <c r="AG512" s="64" t="str">
        <f t="shared" si="60"/>
        <v/>
      </c>
    </row>
    <row r="513" spans="1:33" x14ac:dyDescent="0.25">
      <c r="A513" s="46" t="str">
        <f>IF(ISBLANK(inbound_data[[#This Row],[Receiving Report ref.'#]]),"",IF(inbound_data[[#This Row],[Ending Quantity]]=0,"ZERO","INV"))</f>
        <v/>
      </c>
      <c r="B513" s="165" t="str">
        <f t="shared" si="54"/>
        <v/>
      </c>
      <c r="C513" s="165" t="str">
        <f>IF(ISBLANK(D513),"",inbound_data[[#This Row],[Pallet_Series]]&amp;inbound_data[[#This Row],[No.]])</f>
        <v/>
      </c>
      <c r="D513" s="54"/>
      <c r="E513" s="55"/>
      <c r="F513" s="56"/>
      <c r="G513" s="57"/>
      <c r="H513" s="53"/>
      <c r="I513" s="53"/>
      <c r="J513" s="55"/>
      <c r="K513" s="58"/>
      <c r="L513" s="59"/>
      <c r="M513" s="55"/>
      <c r="N513" s="60"/>
      <c r="O513" s="60"/>
      <c r="P513" s="165" t="str">
        <f t="shared" ca="1" si="55"/>
        <v/>
      </c>
      <c r="Q513" s="165" t="str">
        <f t="shared" ca="1" si="56"/>
        <v/>
      </c>
      <c r="R513" s="79"/>
      <c r="S513" s="80"/>
      <c r="T513" s="61">
        <f t="shared" si="57"/>
        <v>0</v>
      </c>
      <c r="U513" s="61">
        <f t="shared" si="58"/>
        <v>0</v>
      </c>
      <c r="V513" s="61">
        <f t="shared" si="59"/>
        <v>0</v>
      </c>
      <c r="W513" s="58"/>
      <c r="X513" s="58"/>
      <c r="Y513" s="53"/>
      <c r="Z513" s="57"/>
      <c r="AA513" s="62"/>
      <c r="AB513" s="62"/>
      <c r="AC513" s="62"/>
      <c r="AD513" s="62"/>
      <c r="AE513" s="62"/>
      <c r="AF513" s="63"/>
      <c r="AG513" s="64" t="str">
        <f t="shared" si="60"/>
        <v/>
      </c>
    </row>
    <row r="514" spans="1:33" x14ac:dyDescent="0.25">
      <c r="A514" s="46" t="str">
        <f>IF(ISBLANK(inbound_data[[#This Row],[Receiving Report ref.'#]]),"",IF(inbound_data[[#This Row],[Ending Quantity]]=0,"ZERO","INV"))</f>
        <v/>
      </c>
      <c r="B514" s="165" t="str">
        <f t="shared" si="54"/>
        <v/>
      </c>
      <c r="C514" s="165" t="str">
        <f>IF(ISBLANK(D514),"",inbound_data[[#This Row],[Pallet_Series]]&amp;inbound_data[[#This Row],[No.]])</f>
        <v/>
      </c>
      <c r="D514" s="54"/>
      <c r="E514" s="55"/>
      <c r="F514" s="56"/>
      <c r="G514" s="57"/>
      <c r="H514" s="53"/>
      <c r="I514" s="53"/>
      <c r="J514" s="55"/>
      <c r="K514" s="58"/>
      <c r="L514" s="59"/>
      <c r="M514" s="55"/>
      <c r="N514" s="60"/>
      <c r="O514" s="60"/>
      <c r="P514" s="165" t="str">
        <f t="shared" ca="1" si="55"/>
        <v/>
      </c>
      <c r="Q514" s="165" t="str">
        <f t="shared" ca="1" si="56"/>
        <v/>
      </c>
      <c r="R514" s="79"/>
      <c r="S514" s="80"/>
      <c r="T514" s="61">
        <f t="shared" si="57"/>
        <v>0</v>
      </c>
      <c r="U514" s="61">
        <f t="shared" si="58"/>
        <v>0</v>
      </c>
      <c r="V514" s="61">
        <f t="shared" si="59"/>
        <v>0</v>
      </c>
      <c r="W514" s="58"/>
      <c r="X514" s="58"/>
      <c r="Y514" s="53"/>
      <c r="Z514" s="57"/>
      <c r="AA514" s="62"/>
      <c r="AB514" s="62"/>
      <c r="AC514" s="62"/>
      <c r="AD514" s="62"/>
      <c r="AE514" s="62"/>
      <c r="AF514" s="63"/>
      <c r="AG514" s="64" t="str">
        <f t="shared" si="60"/>
        <v/>
      </c>
    </row>
    <row r="515" spans="1:33" x14ac:dyDescent="0.25">
      <c r="A515" s="46" t="str">
        <f>IF(ISBLANK(inbound_data[[#This Row],[Receiving Report ref.'#]]),"",IF(inbound_data[[#This Row],[Ending Quantity]]=0,"ZERO","INV"))</f>
        <v/>
      </c>
      <c r="B515" s="165" t="str">
        <f t="shared" si="54"/>
        <v/>
      </c>
      <c r="C515" s="165" t="str">
        <f>IF(ISBLANK(D515),"",inbound_data[[#This Row],[Pallet_Series]]&amp;inbound_data[[#This Row],[No.]])</f>
        <v/>
      </c>
      <c r="D515" s="54"/>
      <c r="E515" s="55"/>
      <c r="F515" s="56"/>
      <c r="G515" s="57"/>
      <c r="H515" s="53"/>
      <c r="I515" s="53"/>
      <c r="J515" s="55"/>
      <c r="K515" s="58"/>
      <c r="L515" s="59"/>
      <c r="M515" s="55"/>
      <c r="N515" s="60"/>
      <c r="O515" s="60"/>
      <c r="P515" s="165" t="str">
        <f t="shared" ca="1" si="55"/>
        <v/>
      </c>
      <c r="Q515" s="165" t="str">
        <f t="shared" ca="1" si="56"/>
        <v/>
      </c>
      <c r="R515" s="79"/>
      <c r="S515" s="80"/>
      <c r="T515" s="61">
        <f t="shared" si="57"/>
        <v>0</v>
      </c>
      <c r="U515" s="61">
        <f t="shared" si="58"/>
        <v>0</v>
      </c>
      <c r="V515" s="61">
        <f t="shared" si="59"/>
        <v>0</v>
      </c>
      <c r="W515" s="58"/>
      <c r="X515" s="58"/>
      <c r="Y515" s="53"/>
      <c r="Z515" s="57"/>
      <c r="AA515" s="62"/>
      <c r="AB515" s="62"/>
      <c r="AC515" s="62"/>
      <c r="AD515" s="62"/>
      <c r="AE515" s="62"/>
      <c r="AF515" s="63"/>
      <c r="AG515" s="64" t="str">
        <f t="shared" si="60"/>
        <v/>
      </c>
    </row>
    <row r="516" spans="1:33" x14ac:dyDescent="0.25">
      <c r="A516" s="46" t="str">
        <f>IF(ISBLANK(inbound_data[[#This Row],[Receiving Report ref.'#]]),"",IF(inbound_data[[#This Row],[Ending Quantity]]=0,"ZERO","INV"))</f>
        <v/>
      </c>
      <c r="B516" s="165" t="str">
        <f t="shared" si="54"/>
        <v/>
      </c>
      <c r="C516" s="165" t="str">
        <f>IF(ISBLANK(D516),"",inbound_data[[#This Row],[Pallet_Series]]&amp;inbound_data[[#This Row],[No.]])</f>
        <v/>
      </c>
      <c r="D516" s="54"/>
      <c r="E516" s="55"/>
      <c r="F516" s="56"/>
      <c r="G516" s="57"/>
      <c r="H516" s="53"/>
      <c r="I516" s="53"/>
      <c r="J516" s="55"/>
      <c r="K516" s="58"/>
      <c r="L516" s="59"/>
      <c r="M516" s="55"/>
      <c r="N516" s="60"/>
      <c r="O516" s="60"/>
      <c r="P516" s="165" t="str">
        <f t="shared" ca="1" si="55"/>
        <v/>
      </c>
      <c r="Q516" s="165" t="str">
        <f t="shared" ca="1" si="56"/>
        <v/>
      </c>
      <c r="R516" s="79"/>
      <c r="S516" s="80"/>
      <c r="T516" s="61">
        <f t="shared" si="57"/>
        <v>0</v>
      </c>
      <c r="U516" s="61">
        <f t="shared" si="58"/>
        <v>0</v>
      </c>
      <c r="V516" s="61">
        <f t="shared" si="59"/>
        <v>0</v>
      </c>
      <c r="W516" s="58"/>
      <c r="X516" s="58"/>
      <c r="Y516" s="53"/>
      <c r="Z516" s="57"/>
      <c r="AA516" s="62"/>
      <c r="AB516" s="62"/>
      <c r="AC516" s="62"/>
      <c r="AD516" s="62"/>
      <c r="AE516" s="62"/>
      <c r="AF516" s="63"/>
      <c r="AG516" s="64" t="str">
        <f t="shared" si="60"/>
        <v/>
      </c>
    </row>
    <row r="517" spans="1:33" x14ac:dyDescent="0.25">
      <c r="A517" s="46" t="str">
        <f>IF(ISBLANK(inbound_data[[#This Row],[Receiving Report ref.'#]]),"",IF(inbound_data[[#This Row],[Ending Quantity]]=0,"ZERO","INV"))</f>
        <v/>
      </c>
      <c r="B517" s="165" t="str">
        <f t="shared" si="54"/>
        <v/>
      </c>
      <c r="C517" s="165" t="str">
        <f>IF(ISBLANK(D517),"",inbound_data[[#This Row],[Pallet_Series]]&amp;inbound_data[[#This Row],[No.]])</f>
        <v/>
      </c>
      <c r="D517" s="54"/>
      <c r="E517" s="55"/>
      <c r="F517" s="56"/>
      <c r="G517" s="57"/>
      <c r="H517" s="53"/>
      <c r="I517" s="53"/>
      <c r="J517" s="55"/>
      <c r="K517" s="58"/>
      <c r="L517" s="59"/>
      <c r="M517" s="55"/>
      <c r="N517" s="60"/>
      <c r="O517" s="60"/>
      <c r="P517" s="165" t="str">
        <f t="shared" ca="1" si="55"/>
        <v/>
      </c>
      <c r="Q517" s="165" t="str">
        <f t="shared" ca="1" si="56"/>
        <v/>
      </c>
      <c r="R517" s="79"/>
      <c r="S517" s="80"/>
      <c r="T517" s="61">
        <f t="shared" si="57"/>
        <v>0</v>
      </c>
      <c r="U517" s="61">
        <f t="shared" si="58"/>
        <v>0</v>
      </c>
      <c r="V517" s="61">
        <f t="shared" si="59"/>
        <v>0</v>
      </c>
      <c r="W517" s="58"/>
      <c r="X517" s="58"/>
      <c r="Y517" s="53"/>
      <c r="Z517" s="57"/>
      <c r="AA517" s="62"/>
      <c r="AB517" s="62"/>
      <c r="AC517" s="62"/>
      <c r="AD517" s="62"/>
      <c r="AE517" s="62"/>
      <c r="AF517" s="63"/>
      <c r="AG517" s="64" t="str">
        <f t="shared" si="60"/>
        <v/>
      </c>
    </row>
    <row r="518" spans="1:33" x14ac:dyDescent="0.25">
      <c r="A518" s="46" t="str">
        <f>IF(ISBLANK(inbound_data[[#This Row],[Receiving Report ref.'#]]),"",IF(inbound_data[[#This Row],[Ending Quantity]]=0,"ZERO","INV"))</f>
        <v/>
      </c>
      <c r="B518" s="165" t="str">
        <f t="shared" si="54"/>
        <v/>
      </c>
      <c r="C518" s="165" t="str">
        <f>IF(ISBLANK(D518),"",inbound_data[[#This Row],[Pallet_Series]]&amp;inbound_data[[#This Row],[No.]])</f>
        <v/>
      </c>
      <c r="D518" s="54"/>
      <c r="E518" s="55"/>
      <c r="F518" s="56"/>
      <c r="G518" s="57"/>
      <c r="H518" s="53"/>
      <c r="I518" s="53"/>
      <c r="J518" s="55"/>
      <c r="K518" s="58"/>
      <c r="L518" s="59"/>
      <c r="M518" s="55"/>
      <c r="N518" s="60"/>
      <c r="O518" s="60"/>
      <c r="P518" s="165" t="str">
        <f t="shared" ca="1" si="55"/>
        <v/>
      </c>
      <c r="Q518" s="165" t="str">
        <f t="shared" ca="1" si="56"/>
        <v/>
      </c>
      <c r="R518" s="79"/>
      <c r="S518" s="80"/>
      <c r="T518" s="61">
        <f t="shared" si="57"/>
        <v>0</v>
      </c>
      <c r="U518" s="61">
        <f t="shared" si="58"/>
        <v>0</v>
      </c>
      <c r="V518" s="61">
        <f t="shared" si="59"/>
        <v>0</v>
      </c>
      <c r="W518" s="58"/>
      <c r="X518" s="58"/>
      <c r="Y518" s="53"/>
      <c r="Z518" s="57"/>
      <c r="AA518" s="62"/>
      <c r="AB518" s="62"/>
      <c r="AC518" s="62"/>
      <c r="AD518" s="62"/>
      <c r="AE518" s="62"/>
      <c r="AF518" s="63"/>
      <c r="AG518" s="64" t="str">
        <f t="shared" si="60"/>
        <v/>
      </c>
    </row>
    <row r="519" spans="1:33" x14ac:dyDescent="0.25">
      <c r="A519" s="46" t="str">
        <f>IF(ISBLANK(inbound_data[[#This Row],[Receiving Report ref.'#]]),"",IF(inbound_data[[#This Row],[Ending Quantity]]=0,"ZERO","INV"))</f>
        <v/>
      </c>
      <c r="B519" s="165" t="str">
        <f t="shared" si="54"/>
        <v/>
      </c>
      <c r="C519" s="165" t="str">
        <f>IF(ISBLANK(D519),"",inbound_data[[#This Row],[Pallet_Series]]&amp;inbound_data[[#This Row],[No.]])</f>
        <v/>
      </c>
      <c r="D519" s="54"/>
      <c r="E519" s="55"/>
      <c r="F519" s="56"/>
      <c r="G519" s="57"/>
      <c r="H519" s="53"/>
      <c r="I519" s="53"/>
      <c r="J519" s="55"/>
      <c r="K519" s="58"/>
      <c r="L519" s="59"/>
      <c r="M519" s="55"/>
      <c r="N519" s="60"/>
      <c r="O519" s="60"/>
      <c r="P519" s="165" t="str">
        <f t="shared" ca="1" si="55"/>
        <v/>
      </c>
      <c r="Q519" s="165" t="str">
        <f t="shared" ca="1" si="56"/>
        <v/>
      </c>
      <c r="R519" s="79"/>
      <c r="S519" s="80"/>
      <c r="T519" s="61">
        <f t="shared" si="57"/>
        <v>0</v>
      </c>
      <c r="U519" s="61">
        <f t="shared" si="58"/>
        <v>0</v>
      </c>
      <c r="V519" s="61">
        <f t="shared" si="59"/>
        <v>0</v>
      </c>
      <c r="W519" s="58"/>
      <c r="X519" s="58"/>
      <c r="Y519" s="53"/>
      <c r="Z519" s="57"/>
      <c r="AA519" s="62"/>
      <c r="AB519" s="62"/>
      <c r="AC519" s="62"/>
      <c r="AD519" s="62"/>
      <c r="AE519" s="62"/>
      <c r="AF519" s="63"/>
      <c r="AG519" s="64" t="str">
        <f t="shared" si="60"/>
        <v/>
      </c>
    </row>
    <row r="520" spans="1:33" x14ac:dyDescent="0.25">
      <c r="A520" s="46" t="str">
        <f>IF(ISBLANK(inbound_data[[#This Row],[Receiving Report ref.'#]]),"",IF(inbound_data[[#This Row],[Ending Quantity]]=0,"ZERO","INV"))</f>
        <v/>
      </c>
      <c r="B520" s="165" t="str">
        <f t="shared" si="54"/>
        <v/>
      </c>
      <c r="C520" s="165" t="str">
        <f>IF(ISBLANK(D520),"",inbound_data[[#This Row],[Pallet_Series]]&amp;inbound_data[[#This Row],[No.]])</f>
        <v/>
      </c>
      <c r="D520" s="54"/>
      <c r="E520" s="55"/>
      <c r="F520" s="56"/>
      <c r="G520" s="57"/>
      <c r="H520" s="53"/>
      <c r="I520" s="53"/>
      <c r="J520" s="55"/>
      <c r="K520" s="58"/>
      <c r="L520" s="59"/>
      <c r="M520" s="55"/>
      <c r="N520" s="60"/>
      <c r="O520" s="60"/>
      <c r="P520" s="165" t="str">
        <f t="shared" ca="1" si="55"/>
        <v/>
      </c>
      <c r="Q520" s="165" t="str">
        <f t="shared" ca="1" si="56"/>
        <v/>
      </c>
      <c r="R520" s="79"/>
      <c r="S520" s="80"/>
      <c r="T520" s="61">
        <f t="shared" si="57"/>
        <v>0</v>
      </c>
      <c r="U520" s="61">
        <f t="shared" si="58"/>
        <v>0</v>
      </c>
      <c r="V520" s="61">
        <f t="shared" si="59"/>
        <v>0</v>
      </c>
      <c r="W520" s="58"/>
      <c r="X520" s="58"/>
      <c r="Y520" s="53"/>
      <c r="Z520" s="57"/>
      <c r="AA520" s="62"/>
      <c r="AB520" s="62"/>
      <c r="AC520" s="62"/>
      <c r="AD520" s="62"/>
      <c r="AE520" s="62"/>
      <c r="AF520" s="63"/>
      <c r="AG520" s="64" t="str">
        <f t="shared" si="60"/>
        <v/>
      </c>
    </row>
    <row r="521" spans="1:33" x14ac:dyDescent="0.25">
      <c r="A521" s="46" t="str">
        <f>IF(ISBLANK(inbound_data[[#This Row],[Receiving Report ref.'#]]),"",IF(inbound_data[[#This Row],[Ending Quantity]]=0,"ZERO","INV"))</f>
        <v/>
      </c>
      <c r="B521" s="165" t="str">
        <f t="shared" ref="B521:B584" si="61">IF(ISBLANK(D521),"",TEXT(ROW(),"00000"))</f>
        <v/>
      </c>
      <c r="C521" s="165" t="str">
        <f>IF(ISBLANK(D521),"",inbound_data[[#This Row],[Pallet_Series]]&amp;inbound_data[[#This Row],[No.]])</f>
        <v/>
      </c>
      <c r="D521" s="54"/>
      <c r="E521" s="55"/>
      <c r="F521" s="56"/>
      <c r="G521" s="57"/>
      <c r="H521" s="53"/>
      <c r="I521" s="53"/>
      <c r="J521" s="55"/>
      <c r="K521" s="58"/>
      <c r="L521" s="59"/>
      <c r="M521" s="55"/>
      <c r="N521" s="60"/>
      <c r="O521" s="60"/>
      <c r="P521" s="165" t="str">
        <f t="shared" ref="P521:P584" ca="1" si="62">IF(A521="ZERO","",IF(O521="","",O521-TODAY()))</f>
        <v/>
      </c>
      <c r="Q521" s="165" t="str">
        <f t="shared" ref="Q521:Q584" ca="1" si="63">IF(A521="ZERO","",IF(P521&lt;0,"ALREADY EXPIRED",IF(P521&lt;60,"NEARLY EXPIRED","")))</f>
        <v/>
      </c>
      <c r="R521" s="79"/>
      <c r="S521" s="80"/>
      <c r="T521" s="61">
        <f t="shared" ref="T521:T584" si="64">IF(ISBLANK(R521),0,R521-SUMIF(STOCK_CODE_OUT,$C521,QTY_OUT))</f>
        <v>0</v>
      </c>
      <c r="U521" s="61">
        <f t="shared" ref="U521:U584" si="65">IF(ISBLANK(S521),0,S521-SUMIF(STOCK_CODE_OUT,$C521,KILOS_OUT))</f>
        <v>0</v>
      </c>
      <c r="V521" s="61">
        <f t="shared" ref="V521:V584" si="66">IF(ISBLANK(K521),0,K521-SUMIF(STOCK_CODE_OUT,$C521,PALLET_OUT))</f>
        <v>0</v>
      </c>
      <c r="W521" s="58"/>
      <c r="X521" s="58"/>
      <c r="Y521" s="53"/>
      <c r="Z521" s="57"/>
      <c r="AA521" s="62"/>
      <c r="AB521" s="62"/>
      <c r="AC521" s="62"/>
      <c r="AD521" s="62"/>
      <c r="AE521" s="62"/>
      <c r="AF521" s="63"/>
      <c r="AG521" s="64" t="str">
        <f t="shared" ref="AG521:AG584" si="67">IF(T521&gt;0,CONCATENATE(AA521,AB521,TEXT(AC521,"R00"),TEXT(AD521,"L0."),TEXT(AE521,"0")),"")</f>
        <v/>
      </c>
    </row>
    <row r="522" spans="1:33" x14ac:dyDescent="0.25">
      <c r="A522" s="46" t="str">
        <f>IF(ISBLANK(inbound_data[[#This Row],[Receiving Report ref.'#]]),"",IF(inbound_data[[#This Row],[Ending Quantity]]=0,"ZERO","INV"))</f>
        <v/>
      </c>
      <c r="B522" s="165" t="str">
        <f t="shared" si="61"/>
        <v/>
      </c>
      <c r="C522" s="165" t="str">
        <f>IF(ISBLANK(D522),"",inbound_data[[#This Row],[Pallet_Series]]&amp;inbound_data[[#This Row],[No.]])</f>
        <v/>
      </c>
      <c r="D522" s="54"/>
      <c r="E522" s="55"/>
      <c r="F522" s="56"/>
      <c r="G522" s="57"/>
      <c r="H522" s="53"/>
      <c r="I522" s="53"/>
      <c r="J522" s="55"/>
      <c r="K522" s="58"/>
      <c r="L522" s="59"/>
      <c r="M522" s="55"/>
      <c r="N522" s="60"/>
      <c r="O522" s="60"/>
      <c r="P522" s="165" t="str">
        <f t="shared" ca="1" si="62"/>
        <v/>
      </c>
      <c r="Q522" s="165" t="str">
        <f t="shared" ca="1" si="63"/>
        <v/>
      </c>
      <c r="R522" s="79"/>
      <c r="S522" s="80"/>
      <c r="T522" s="61">
        <f t="shared" si="64"/>
        <v>0</v>
      </c>
      <c r="U522" s="61">
        <f t="shared" si="65"/>
        <v>0</v>
      </c>
      <c r="V522" s="61">
        <f t="shared" si="66"/>
        <v>0</v>
      </c>
      <c r="W522" s="58"/>
      <c r="X522" s="58"/>
      <c r="Y522" s="53"/>
      <c r="Z522" s="57"/>
      <c r="AA522" s="62"/>
      <c r="AB522" s="62"/>
      <c r="AC522" s="62"/>
      <c r="AD522" s="62"/>
      <c r="AE522" s="62"/>
      <c r="AF522" s="63"/>
      <c r="AG522" s="64" t="str">
        <f t="shared" si="67"/>
        <v/>
      </c>
    </row>
    <row r="523" spans="1:33" x14ac:dyDescent="0.25">
      <c r="A523" s="46" t="str">
        <f>IF(ISBLANK(inbound_data[[#This Row],[Receiving Report ref.'#]]),"",IF(inbound_data[[#This Row],[Ending Quantity]]=0,"ZERO","INV"))</f>
        <v/>
      </c>
      <c r="B523" s="165" t="str">
        <f t="shared" si="61"/>
        <v/>
      </c>
      <c r="C523" s="165" t="str">
        <f>IF(ISBLANK(D523),"",inbound_data[[#This Row],[Pallet_Series]]&amp;inbound_data[[#This Row],[No.]])</f>
        <v/>
      </c>
      <c r="D523" s="54"/>
      <c r="E523" s="55"/>
      <c r="F523" s="56"/>
      <c r="G523" s="57"/>
      <c r="H523" s="53"/>
      <c r="I523" s="53"/>
      <c r="J523" s="55"/>
      <c r="K523" s="58"/>
      <c r="L523" s="59"/>
      <c r="M523" s="55"/>
      <c r="N523" s="60"/>
      <c r="O523" s="60"/>
      <c r="P523" s="165" t="str">
        <f t="shared" ca="1" si="62"/>
        <v/>
      </c>
      <c r="Q523" s="165" t="str">
        <f t="shared" ca="1" si="63"/>
        <v/>
      </c>
      <c r="R523" s="79"/>
      <c r="S523" s="80"/>
      <c r="T523" s="61">
        <f t="shared" si="64"/>
        <v>0</v>
      </c>
      <c r="U523" s="61">
        <f t="shared" si="65"/>
        <v>0</v>
      </c>
      <c r="V523" s="61">
        <f t="shared" si="66"/>
        <v>0</v>
      </c>
      <c r="W523" s="58"/>
      <c r="X523" s="58"/>
      <c r="Y523" s="53"/>
      <c r="Z523" s="57"/>
      <c r="AA523" s="62"/>
      <c r="AB523" s="62"/>
      <c r="AC523" s="62"/>
      <c r="AD523" s="62"/>
      <c r="AE523" s="62"/>
      <c r="AF523" s="63"/>
      <c r="AG523" s="64" t="str">
        <f t="shared" si="67"/>
        <v/>
      </c>
    </row>
    <row r="524" spans="1:33" x14ac:dyDescent="0.25">
      <c r="A524" s="46" t="str">
        <f>IF(ISBLANK(inbound_data[[#This Row],[Receiving Report ref.'#]]),"",IF(inbound_data[[#This Row],[Ending Quantity]]=0,"ZERO","INV"))</f>
        <v/>
      </c>
      <c r="B524" s="165" t="str">
        <f t="shared" si="61"/>
        <v/>
      </c>
      <c r="C524" s="165" t="str">
        <f>IF(ISBLANK(D524),"",inbound_data[[#This Row],[Pallet_Series]]&amp;inbound_data[[#This Row],[No.]])</f>
        <v/>
      </c>
      <c r="D524" s="54"/>
      <c r="E524" s="55"/>
      <c r="F524" s="56"/>
      <c r="G524" s="57"/>
      <c r="H524" s="53"/>
      <c r="I524" s="53"/>
      <c r="J524" s="55"/>
      <c r="K524" s="58"/>
      <c r="L524" s="59"/>
      <c r="M524" s="55"/>
      <c r="N524" s="60"/>
      <c r="O524" s="60"/>
      <c r="P524" s="165" t="str">
        <f t="shared" ca="1" si="62"/>
        <v/>
      </c>
      <c r="Q524" s="165" t="str">
        <f t="shared" ca="1" si="63"/>
        <v/>
      </c>
      <c r="R524" s="79"/>
      <c r="S524" s="80"/>
      <c r="T524" s="61">
        <f t="shared" si="64"/>
        <v>0</v>
      </c>
      <c r="U524" s="61">
        <f t="shared" si="65"/>
        <v>0</v>
      </c>
      <c r="V524" s="61">
        <f t="shared" si="66"/>
        <v>0</v>
      </c>
      <c r="W524" s="58"/>
      <c r="X524" s="58"/>
      <c r="Y524" s="53"/>
      <c r="Z524" s="57"/>
      <c r="AA524" s="62"/>
      <c r="AB524" s="62"/>
      <c r="AC524" s="62"/>
      <c r="AD524" s="62"/>
      <c r="AE524" s="62"/>
      <c r="AF524" s="63"/>
      <c r="AG524" s="64" t="str">
        <f t="shared" si="67"/>
        <v/>
      </c>
    </row>
    <row r="525" spans="1:33" x14ac:dyDescent="0.25">
      <c r="A525" s="46" t="str">
        <f>IF(ISBLANK(inbound_data[[#This Row],[Receiving Report ref.'#]]),"",IF(inbound_data[[#This Row],[Ending Quantity]]=0,"ZERO","INV"))</f>
        <v/>
      </c>
      <c r="B525" s="165" t="str">
        <f t="shared" si="61"/>
        <v/>
      </c>
      <c r="C525" s="165" t="str">
        <f>IF(ISBLANK(D525),"",inbound_data[[#This Row],[Pallet_Series]]&amp;inbound_data[[#This Row],[No.]])</f>
        <v/>
      </c>
      <c r="D525" s="54"/>
      <c r="E525" s="55"/>
      <c r="F525" s="56"/>
      <c r="G525" s="57"/>
      <c r="H525" s="53"/>
      <c r="I525" s="53"/>
      <c r="J525" s="55"/>
      <c r="K525" s="58"/>
      <c r="L525" s="59"/>
      <c r="M525" s="55"/>
      <c r="N525" s="60"/>
      <c r="O525" s="60"/>
      <c r="P525" s="165" t="str">
        <f t="shared" ca="1" si="62"/>
        <v/>
      </c>
      <c r="Q525" s="165" t="str">
        <f t="shared" ca="1" si="63"/>
        <v/>
      </c>
      <c r="R525" s="79"/>
      <c r="S525" s="80"/>
      <c r="T525" s="61">
        <f t="shared" si="64"/>
        <v>0</v>
      </c>
      <c r="U525" s="61">
        <f t="shared" si="65"/>
        <v>0</v>
      </c>
      <c r="V525" s="61">
        <f t="shared" si="66"/>
        <v>0</v>
      </c>
      <c r="W525" s="58"/>
      <c r="X525" s="58"/>
      <c r="Y525" s="53"/>
      <c r="Z525" s="57"/>
      <c r="AA525" s="62"/>
      <c r="AB525" s="62"/>
      <c r="AC525" s="62"/>
      <c r="AD525" s="62"/>
      <c r="AE525" s="62"/>
      <c r="AF525" s="63"/>
      <c r="AG525" s="64" t="str">
        <f t="shared" si="67"/>
        <v/>
      </c>
    </row>
    <row r="526" spans="1:33" x14ac:dyDescent="0.25">
      <c r="A526" s="46" t="str">
        <f>IF(ISBLANK(inbound_data[[#This Row],[Receiving Report ref.'#]]),"",IF(inbound_data[[#This Row],[Ending Quantity]]=0,"ZERO","INV"))</f>
        <v/>
      </c>
      <c r="B526" s="165" t="str">
        <f t="shared" si="61"/>
        <v/>
      </c>
      <c r="C526" s="165" t="str">
        <f>IF(ISBLANK(D526),"",inbound_data[[#This Row],[Pallet_Series]]&amp;inbound_data[[#This Row],[No.]])</f>
        <v/>
      </c>
      <c r="D526" s="54"/>
      <c r="E526" s="55"/>
      <c r="F526" s="56"/>
      <c r="G526" s="57"/>
      <c r="H526" s="53"/>
      <c r="I526" s="53"/>
      <c r="J526" s="55"/>
      <c r="K526" s="58"/>
      <c r="L526" s="59"/>
      <c r="M526" s="55"/>
      <c r="N526" s="60"/>
      <c r="O526" s="60"/>
      <c r="P526" s="165" t="str">
        <f t="shared" ca="1" si="62"/>
        <v/>
      </c>
      <c r="Q526" s="165" t="str">
        <f t="shared" ca="1" si="63"/>
        <v/>
      </c>
      <c r="R526" s="79"/>
      <c r="S526" s="80"/>
      <c r="T526" s="61">
        <f t="shared" si="64"/>
        <v>0</v>
      </c>
      <c r="U526" s="61">
        <f t="shared" si="65"/>
        <v>0</v>
      </c>
      <c r="V526" s="61">
        <f t="shared" si="66"/>
        <v>0</v>
      </c>
      <c r="W526" s="58"/>
      <c r="X526" s="58"/>
      <c r="Y526" s="53"/>
      <c r="Z526" s="57"/>
      <c r="AA526" s="62"/>
      <c r="AB526" s="62"/>
      <c r="AC526" s="62"/>
      <c r="AD526" s="62"/>
      <c r="AE526" s="62"/>
      <c r="AF526" s="63"/>
      <c r="AG526" s="64" t="str">
        <f t="shared" si="67"/>
        <v/>
      </c>
    </row>
    <row r="527" spans="1:33" x14ac:dyDescent="0.25">
      <c r="A527" s="46" t="str">
        <f>IF(ISBLANK(inbound_data[[#This Row],[Receiving Report ref.'#]]),"",IF(inbound_data[[#This Row],[Ending Quantity]]=0,"ZERO","INV"))</f>
        <v/>
      </c>
      <c r="B527" s="165" t="str">
        <f t="shared" si="61"/>
        <v/>
      </c>
      <c r="C527" s="165" t="str">
        <f>IF(ISBLANK(D527),"",inbound_data[[#This Row],[Pallet_Series]]&amp;inbound_data[[#This Row],[No.]])</f>
        <v/>
      </c>
      <c r="D527" s="54"/>
      <c r="E527" s="55"/>
      <c r="F527" s="56"/>
      <c r="G527" s="57"/>
      <c r="H527" s="53"/>
      <c r="I527" s="53"/>
      <c r="J527" s="55"/>
      <c r="K527" s="58"/>
      <c r="L527" s="59"/>
      <c r="M527" s="55"/>
      <c r="N527" s="60"/>
      <c r="O527" s="60"/>
      <c r="P527" s="165" t="str">
        <f t="shared" ca="1" si="62"/>
        <v/>
      </c>
      <c r="Q527" s="165" t="str">
        <f t="shared" ca="1" si="63"/>
        <v/>
      </c>
      <c r="R527" s="79"/>
      <c r="S527" s="80"/>
      <c r="T527" s="61">
        <f t="shared" si="64"/>
        <v>0</v>
      </c>
      <c r="U527" s="61">
        <f t="shared" si="65"/>
        <v>0</v>
      </c>
      <c r="V527" s="61">
        <f t="shared" si="66"/>
        <v>0</v>
      </c>
      <c r="W527" s="58"/>
      <c r="X527" s="58"/>
      <c r="Y527" s="53"/>
      <c r="Z527" s="57"/>
      <c r="AA527" s="62"/>
      <c r="AB527" s="62"/>
      <c r="AC527" s="62"/>
      <c r="AD527" s="62"/>
      <c r="AE527" s="62"/>
      <c r="AF527" s="63"/>
      <c r="AG527" s="64" t="str">
        <f t="shared" si="67"/>
        <v/>
      </c>
    </row>
    <row r="528" spans="1:33" x14ac:dyDescent="0.25">
      <c r="A528" s="46" t="str">
        <f>IF(ISBLANK(inbound_data[[#This Row],[Receiving Report ref.'#]]),"",IF(inbound_data[[#This Row],[Ending Quantity]]=0,"ZERO","INV"))</f>
        <v/>
      </c>
      <c r="B528" s="165" t="str">
        <f t="shared" si="61"/>
        <v/>
      </c>
      <c r="C528" s="165" t="str">
        <f>IF(ISBLANK(D528),"",inbound_data[[#This Row],[Pallet_Series]]&amp;inbound_data[[#This Row],[No.]])</f>
        <v/>
      </c>
      <c r="D528" s="54"/>
      <c r="E528" s="55"/>
      <c r="F528" s="56"/>
      <c r="G528" s="57"/>
      <c r="H528" s="53"/>
      <c r="I528" s="53"/>
      <c r="J528" s="55"/>
      <c r="K528" s="58"/>
      <c r="L528" s="59"/>
      <c r="M528" s="55"/>
      <c r="N528" s="60"/>
      <c r="O528" s="60"/>
      <c r="P528" s="165" t="str">
        <f t="shared" ca="1" si="62"/>
        <v/>
      </c>
      <c r="Q528" s="165" t="str">
        <f t="shared" ca="1" si="63"/>
        <v/>
      </c>
      <c r="R528" s="79"/>
      <c r="S528" s="80"/>
      <c r="T528" s="61">
        <f t="shared" si="64"/>
        <v>0</v>
      </c>
      <c r="U528" s="61">
        <f t="shared" si="65"/>
        <v>0</v>
      </c>
      <c r="V528" s="61">
        <f t="shared" si="66"/>
        <v>0</v>
      </c>
      <c r="W528" s="58"/>
      <c r="X528" s="58"/>
      <c r="Y528" s="53"/>
      <c r="Z528" s="57"/>
      <c r="AA528" s="62"/>
      <c r="AB528" s="62"/>
      <c r="AC528" s="62"/>
      <c r="AD528" s="62"/>
      <c r="AE528" s="62"/>
      <c r="AF528" s="63"/>
      <c r="AG528" s="64" t="str">
        <f t="shared" si="67"/>
        <v/>
      </c>
    </row>
    <row r="529" spans="1:33" x14ac:dyDescent="0.25">
      <c r="A529" s="46" t="str">
        <f>IF(ISBLANK(inbound_data[[#This Row],[Receiving Report ref.'#]]),"",IF(inbound_data[[#This Row],[Ending Quantity]]=0,"ZERO","INV"))</f>
        <v/>
      </c>
      <c r="B529" s="165" t="str">
        <f t="shared" si="61"/>
        <v/>
      </c>
      <c r="C529" s="165" t="str">
        <f>IF(ISBLANK(D529),"",inbound_data[[#This Row],[Pallet_Series]]&amp;inbound_data[[#This Row],[No.]])</f>
        <v/>
      </c>
      <c r="D529" s="54"/>
      <c r="E529" s="55"/>
      <c r="F529" s="56"/>
      <c r="G529" s="57"/>
      <c r="H529" s="53"/>
      <c r="I529" s="53"/>
      <c r="J529" s="55"/>
      <c r="K529" s="58"/>
      <c r="L529" s="59"/>
      <c r="M529" s="55"/>
      <c r="N529" s="60"/>
      <c r="O529" s="60"/>
      <c r="P529" s="165" t="str">
        <f t="shared" ca="1" si="62"/>
        <v/>
      </c>
      <c r="Q529" s="165" t="str">
        <f t="shared" ca="1" si="63"/>
        <v/>
      </c>
      <c r="R529" s="79"/>
      <c r="S529" s="80"/>
      <c r="T529" s="61">
        <f t="shared" si="64"/>
        <v>0</v>
      </c>
      <c r="U529" s="61">
        <f t="shared" si="65"/>
        <v>0</v>
      </c>
      <c r="V529" s="61">
        <f t="shared" si="66"/>
        <v>0</v>
      </c>
      <c r="W529" s="58"/>
      <c r="X529" s="58"/>
      <c r="Y529" s="53"/>
      <c r="Z529" s="57"/>
      <c r="AA529" s="62"/>
      <c r="AB529" s="62"/>
      <c r="AC529" s="62"/>
      <c r="AD529" s="62"/>
      <c r="AE529" s="62"/>
      <c r="AF529" s="63"/>
      <c r="AG529" s="64" t="str">
        <f t="shared" si="67"/>
        <v/>
      </c>
    </row>
    <row r="530" spans="1:33" x14ac:dyDescent="0.25">
      <c r="A530" s="46" t="str">
        <f>IF(ISBLANK(inbound_data[[#This Row],[Receiving Report ref.'#]]),"",IF(inbound_data[[#This Row],[Ending Quantity]]=0,"ZERO","INV"))</f>
        <v/>
      </c>
      <c r="B530" s="165" t="str">
        <f t="shared" si="61"/>
        <v/>
      </c>
      <c r="C530" s="165" t="str">
        <f>IF(ISBLANK(D530),"",inbound_data[[#This Row],[Pallet_Series]]&amp;inbound_data[[#This Row],[No.]])</f>
        <v/>
      </c>
      <c r="D530" s="54"/>
      <c r="E530" s="55"/>
      <c r="F530" s="56"/>
      <c r="G530" s="57"/>
      <c r="H530" s="53"/>
      <c r="I530" s="53"/>
      <c r="J530" s="55"/>
      <c r="K530" s="58"/>
      <c r="L530" s="59"/>
      <c r="M530" s="55"/>
      <c r="N530" s="60"/>
      <c r="O530" s="60"/>
      <c r="P530" s="165" t="str">
        <f t="shared" ca="1" si="62"/>
        <v/>
      </c>
      <c r="Q530" s="165" t="str">
        <f t="shared" ca="1" si="63"/>
        <v/>
      </c>
      <c r="R530" s="79"/>
      <c r="S530" s="80"/>
      <c r="T530" s="61">
        <f t="shared" si="64"/>
        <v>0</v>
      </c>
      <c r="U530" s="61">
        <f t="shared" si="65"/>
        <v>0</v>
      </c>
      <c r="V530" s="61">
        <f t="shared" si="66"/>
        <v>0</v>
      </c>
      <c r="W530" s="58"/>
      <c r="X530" s="58"/>
      <c r="Y530" s="53"/>
      <c r="Z530" s="57"/>
      <c r="AA530" s="62"/>
      <c r="AB530" s="62"/>
      <c r="AC530" s="62"/>
      <c r="AD530" s="62"/>
      <c r="AE530" s="62"/>
      <c r="AF530" s="63"/>
      <c r="AG530" s="64" t="str">
        <f t="shared" si="67"/>
        <v/>
      </c>
    </row>
    <row r="531" spans="1:33" x14ac:dyDescent="0.25">
      <c r="A531" s="46" t="str">
        <f>IF(ISBLANK(inbound_data[[#This Row],[Receiving Report ref.'#]]),"",IF(inbound_data[[#This Row],[Ending Quantity]]=0,"ZERO","INV"))</f>
        <v/>
      </c>
      <c r="B531" s="165" t="str">
        <f t="shared" si="61"/>
        <v/>
      </c>
      <c r="C531" s="165" t="str">
        <f>IF(ISBLANK(D531),"",inbound_data[[#This Row],[Pallet_Series]]&amp;inbound_data[[#This Row],[No.]])</f>
        <v/>
      </c>
      <c r="D531" s="54"/>
      <c r="E531" s="55"/>
      <c r="F531" s="56"/>
      <c r="G531" s="57"/>
      <c r="H531" s="53"/>
      <c r="I531" s="53"/>
      <c r="J531" s="55"/>
      <c r="K531" s="58"/>
      <c r="L531" s="59"/>
      <c r="M531" s="55"/>
      <c r="N531" s="60"/>
      <c r="O531" s="60"/>
      <c r="P531" s="165" t="str">
        <f t="shared" ca="1" si="62"/>
        <v/>
      </c>
      <c r="Q531" s="165" t="str">
        <f t="shared" ca="1" si="63"/>
        <v/>
      </c>
      <c r="R531" s="79"/>
      <c r="S531" s="80"/>
      <c r="T531" s="61">
        <f t="shared" si="64"/>
        <v>0</v>
      </c>
      <c r="U531" s="61">
        <f t="shared" si="65"/>
        <v>0</v>
      </c>
      <c r="V531" s="61">
        <f t="shared" si="66"/>
        <v>0</v>
      </c>
      <c r="W531" s="58"/>
      <c r="X531" s="58"/>
      <c r="Y531" s="53"/>
      <c r="Z531" s="57"/>
      <c r="AA531" s="62"/>
      <c r="AB531" s="62"/>
      <c r="AC531" s="62"/>
      <c r="AD531" s="62"/>
      <c r="AE531" s="62"/>
      <c r="AF531" s="63"/>
      <c r="AG531" s="64" t="str">
        <f t="shared" si="67"/>
        <v/>
      </c>
    </row>
    <row r="532" spans="1:33" x14ac:dyDescent="0.25">
      <c r="A532" s="46" t="str">
        <f>IF(ISBLANK(inbound_data[[#This Row],[Receiving Report ref.'#]]),"",IF(inbound_data[[#This Row],[Ending Quantity]]=0,"ZERO","INV"))</f>
        <v/>
      </c>
      <c r="B532" s="165" t="str">
        <f t="shared" si="61"/>
        <v/>
      </c>
      <c r="C532" s="165" t="str">
        <f>IF(ISBLANK(D532),"",inbound_data[[#This Row],[Pallet_Series]]&amp;inbound_data[[#This Row],[No.]])</f>
        <v/>
      </c>
      <c r="D532" s="54"/>
      <c r="E532" s="55"/>
      <c r="F532" s="56"/>
      <c r="G532" s="57"/>
      <c r="H532" s="53"/>
      <c r="I532" s="53"/>
      <c r="J532" s="55"/>
      <c r="K532" s="58"/>
      <c r="L532" s="59"/>
      <c r="M532" s="55"/>
      <c r="N532" s="60"/>
      <c r="O532" s="60"/>
      <c r="P532" s="165" t="str">
        <f t="shared" ca="1" si="62"/>
        <v/>
      </c>
      <c r="Q532" s="165" t="str">
        <f t="shared" ca="1" si="63"/>
        <v/>
      </c>
      <c r="R532" s="79"/>
      <c r="S532" s="80"/>
      <c r="T532" s="61">
        <f t="shared" si="64"/>
        <v>0</v>
      </c>
      <c r="U532" s="61">
        <f t="shared" si="65"/>
        <v>0</v>
      </c>
      <c r="V532" s="61">
        <f t="shared" si="66"/>
        <v>0</v>
      </c>
      <c r="W532" s="58"/>
      <c r="X532" s="58"/>
      <c r="Y532" s="53"/>
      <c r="Z532" s="57"/>
      <c r="AA532" s="62"/>
      <c r="AB532" s="62"/>
      <c r="AC532" s="62"/>
      <c r="AD532" s="62"/>
      <c r="AE532" s="62"/>
      <c r="AF532" s="63"/>
      <c r="AG532" s="64" t="str">
        <f t="shared" si="67"/>
        <v/>
      </c>
    </row>
    <row r="533" spans="1:33" x14ac:dyDescent="0.25">
      <c r="A533" s="46" t="str">
        <f>IF(ISBLANK(inbound_data[[#This Row],[Receiving Report ref.'#]]),"",IF(inbound_data[[#This Row],[Ending Quantity]]=0,"ZERO","INV"))</f>
        <v/>
      </c>
      <c r="B533" s="165" t="str">
        <f t="shared" si="61"/>
        <v/>
      </c>
      <c r="C533" s="165" t="str">
        <f>IF(ISBLANK(D533),"",inbound_data[[#This Row],[Pallet_Series]]&amp;inbound_data[[#This Row],[No.]])</f>
        <v/>
      </c>
      <c r="D533" s="54"/>
      <c r="E533" s="55"/>
      <c r="F533" s="56"/>
      <c r="G533" s="57"/>
      <c r="H533" s="53"/>
      <c r="I533" s="53"/>
      <c r="J533" s="55"/>
      <c r="K533" s="58"/>
      <c r="L533" s="59"/>
      <c r="M533" s="55"/>
      <c r="N533" s="60"/>
      <c r="O533" s="60"/>
      <c r="P533" s="165" t="str">
        <f t="shared" ca="1" si="62"/>
        <v/>
      </c>
      <c r="Q533" s="165" t="str">
        <f t="shared" ca="1" si="63"/>
        <v/>
      </c>
      <c r="R533" s="79"/>
      <c r="S533" s="80"/>
      <c r="T533" s="61">
        <f t="shared" si="64"/>
        <v>0</v>
      </c>
      <c r="U533" s="61">
        <f t="shared" si="65"/>
        <v>0</v>
      </c>
      <c r="V533" s="61">
        <f t="shared" si="66"/>
        <v>0</v>
      </c>
      <c r="W533" s="58"/>
      <c r="X533" s="58"/>
      <c r="Y533" s="53"/>
      <c r="Z533" s="57"/>
      <c r="AA533" s="62"/>
      <c r="AB533" s="62"/>
      <c r="AC533" s="62"/>
      <c r="AD533" s="62"/>
      <c r="AE533" s="62"/>
      <c r="AF533" s="63"/>
      <c r="AG533" s="64" t="str">
        <f t="shared" si="67"/>
        <v/>
      </c>
    </row>
    <row r="534" spans="1:33" x14ac:dyDescent="0.25">
      <c r="A534" s="46" t="str">
        <f>IF(ISBLANK(inbound_data[[#This Row],[Receiving Report ref.'#]]),"",IF(inbound_data[[#This Row],[Ending Quantity]]=0,"ZERO","INV"))</f>
        <v/>
      </c>
      <c r="B534" s="165" t="str">
        <f t="shared" si="61"/>
        <v/>
      </c>
      <c r="C534" s="165" t="str">
        <f>IF(ISBLANK(D534),"",inbound_data[[#This Row],[Pallet_Series]]&amp;inbound_data[[#This Row],[No.]])</f>
        <v/>
      </c>
      <c r="D534" s="54"/>
      <c r="E534" s="55"/>
      <c r="F534" s="56"/>
      <c r="G534" s="57"/>
      <c r="H534" s="53"/>
      <c r="I534" s="53"/>
      <c r="J534" s="55"/>
      <c r="K534" s="58"/>
      <c r="L534" s="59"/>
      <c r="M534" s="55"/>
      <c r="N534" s="60"/>
      <c r="O534" s="60"/>
      <c r="P534" s="165" t="str">
        <f t="shared" ca="1" si="62"/>
        <v/>
      </c>
      <c r="Q534" s="165" t="str">
        <f t="shared" ca="1" si="63"/>
        <v/>
      </c>
      <c r="R534" s="79"/>
      <c r="S534" s="80"/>
      <c r="T534" s="61">
        <f t="shared" si="64"/>
        <v>0</v>
      </c>
      <c r="U534" s="61">
        <f t="shared" si="65"/>
        <v>0</v>
      </c>
      <c r="V534" s="61">
        <f t="shared" si="66"/>
        <v>0</v>
      </c>
      <c r="W534" s="58"/>
      <c r="X534" s="58"/>
      <c r="Y534" s="53"/>
      <c r="Z534" s="57"/>
      <c r="AA534" s="62"/>
      <c r="AB534" s="62"/>
      <c r="AC534" s="62"/>
      <c r="AD534" s="62"/>
      <c r="AE534" s="62"/>
      <c r="AF534" s="63"/>
      <c r="AG534" s="64" t="str">
        <f t="shared" si="67"/>
        <v/>
      </c>
    </row>
    <row r="535" spans="1:33" x14ac:dyDescent="0.25">
      <c r="A535" s="46" t="str">
        <f>IF(ISBLANK(inbound_data[[#This Row],[Receiving Report ref.'#]]),"",IF(inbound_data[[#This Row],[Ending Quantity]]=0,"ZERO","INV"))</f>
        <v/>
      </c>
      <c r="B535" s="165" t="str">
        <f t="shared" si="61"/>
        <v/>
      </c>
      <c r="C535" s="165" t="str">
        <f>IF(ISBLANK(D535),"",inbound_data[[#This Row],[Pallet_Series]]&amp;inbound_data[[#This Row],[No.]])</f>
        <v/>
      </c>
      <c r="D535" s="54"/>
      <c r="E535" s="55"/>
      <c r="F535" s="56"/>
      <c r="G535" s="57"/>
      <c r="H535" s="53"/>
      <c r="I535" s="53"/>
      <c r="J535" s="55"/>
      <c r="K535" s="58"/>
      <c r="L535" s="59"/>
      <c r="M535" s="55"/>
      <c r="N535" s="60"/>
      <c r="O535" s="60"/>
      <c r="P535" s="165" t="str">
        <f t="shared" ca="1" si="62"/>
        <v/>
      </c>
      <c r="Q535" s="165" t="str">
        <f t="shared" ca="1" si="63"/>
        <v/>
      </c>
      <c r="R535" s="79"/>
      <c r="S535" s="80"/>
      <c r="T535" s="61">
        <f t="shared" si="64"/>
        <v>0</v>
      </c>
      <c r="U535" s="61">
        <f t="shared" si="65"/>
        <v>0</v>
      </c>
      <c r="V535" s="61">
        <f t="shared" si="66"/>
        <v>0</v>
      </c>
      <c r="W535" s="58"/>
      <c r="X535" s="58"/>
      <c r="Y535" s="53"/>
      <c r="Z535" s="57"/>
      <c r="AA535" s="62"/>
      <c r="AB535" s="62"/>
      <c r="AC535" s="62"/>
      <c r="AD535" s="62"/>
      <c r="AE535" s="62"/>
      <c r="AF535" s="63"/>
      <c r="AG535" s="64" t="str">
        <f t="shared" si="67"/>
        <v/>
      </c>
    </row>
    <row r="536" spans="1:33" x14ac:dyDescent="0.25">
      <c r="A536" s="46" t="str">
        <f>IF(ISBLANK(inbound_data[[#This Row],[Receiving Report ref.'#]]),"",IF(inbound_data[[#This Row],[Ending Quantity]]=0,"ZERO","INV"))</f>
        <v/>
      </c>
      <c r="B536" s="165" t="str">
        <f t="shared" si="61"/>
        <v/>
      </c>
      <c r="C536" s="165" t="str">
        <f>IF(ISBLANK(D536),"",inbound_data[[#This Row],[Pallet_Series]]&amp;inbound_data[[#This Row],[No.]])</f>
        <v/>
      </c>
      <c r="D536" s="54"/>
      <c r="E536" s="55"/>
      <c r="F536" s="56"/>
      <c r="G536" s="57"/>
      <c r="H536" s="53"/>
      <c r="I536" s="53"/>
      <c r="J536" s="55"/>
      <c r="K536" s="58"/>
      <c r="L536" s="59"/>
      <c r="M536" s="55"/>
      <c r="N536" s="60"/>
      <c r="O536" s="60"/>
      <c r="P536" s="165" t="str">
        <f t="shared" ca="1" si="62"/>
        <v/>
      </c>
      <c r="Q536" s="165" t="str">
        <f t="shared" ca="1" si="63"/>
        <v/>
      </c>
      <c r="R536" s="79"/>
      <c r="S536" s="80"/>
      <c r="T536" s="61">
        <f t="shared" si="64"/>
        <v>0</v>
      </c>
      <c r="U536" s="61">
        <f t="shared" si="65"/>
        <v>0</v>
      </c>
      <c r="V536" s="61">
        <f t="shared" si="66"/>
        <v>0</v>
      </c>
      <c r="W536" s="58"/>
      <c r="X536" s="58"/>
      <c r="Y536" s="53"/>
      <c r="Z536" s="57"/>
      <c r="AA536" s="62"/>
      <c r="AB536" s="62"/>
      <c r="AC536" s="62"/>
      <c r="AD536" s="62"/>
      <c r="AE536" s="62"/>
      <c r="AF536" s="63"/>
      <c r="AG536" s="64" t="str">
        <f t="shared" si="67"/>
        <v/>
      </c>
    </row>
    <row r="537" spans="1:33" x14ac:dyDescent="0.25">
      <c r="A537" s="46" t="str">
        <f>IF(ISBLANK(inbound_data[[#This Row],[Receiving Report ref.'#]]),"",IF(inbound_data[[#This Row],[Ending Quantity]]=0,"ZERO","INV"))</f>
        <v/>
      </c>
      <c r="B537" s="165" t="str">
        <f t="shared" si="61"/>
        <v/>
      </c>
      <c r="C537" s="165" t="str">
        <f>IF(ISBLANK(D537),"",inbound_data[[#This Row],[Pallet_Series]]&amp;inbound_data[[#This Row],[No.]])</f>
        <v/>
      </c>
      <c r="D537" s="54"/>
      <c r="E537" s="55"/>
      <c r="F537" s="56"/>
      <c r="G537" s="57"/>
      <c r="H537" s="53"/>
      <c r="I537" s="53"/>
      <c r="J537" s="55"/>
      <c r="K537" s="58"/>
      <c r="L537" s="59"/>
      <c r="M537" s="55"/>
      <c r="N537" s="60"/>
      <c r="O537" s="60"/>
      <c r="P537" s="165" t="str">
        <f t="shared" ca="1" si="62"/>
        <v/>
      </c>
      <c r="Q537" s="165" t="str">
        <f t="shared" ca="1" si="63"/>
        <v/>
      </c>
      <c r="R537" s="79"/>
      <c r="S537" s="80"/>
      <c r="T537" s="61">
        <f t="shared" si="64"/>
        <v>0</v>
      </c>
      <c r="U537" s="61">
        <f t="shared" si="65"/>
        <v>0</v>
      </c>
      <c r="V537" s="61">
        <f t="shared" si="66"/>
        <v>0</v>
      </c>
      <c r="W537" s="58"/>
      <c r="X537" s="58"/>
      <c r="Y537" s="53"/>
      <c r="Z537" s="57"/>
      <c r="AA537" s="62"/>
      <c r="AB537" s="62"/>
      <c r="AC537" s="62"/>
      <c r="AD537" s="62"/>
      <c r="AE537" s="62"/>
      <c r="AF537" s="63"/>
      <c r="AG537" s="64" t="str">
        <f t="shared" si="67"/>
        <v/>
      </c>
    </row>
    <row r="538" spans="1:33" x14ac:dyDescent="0.25">
      <c r="A538" s="46" t="str">
        <f>IF(ISBLANK(inbound_data[[#This Row],[Receiving Report ref.'#]]),"",IF(inbound_data[[#This Row],[Ending Quantity]]=0,"ZERO","INV"))</f>
        <v/>
      </c>
      <c r="B538" s="165" t="str">
        <f t="shared" si="61"/>
        <v/>
      </c>
      <c r="C538" s="165" t="str">
        <f>IF(ISBLANK(D538),"",inbound_data[[#This Row],[Pallet_Series]]&amp;inbound_data[[#This Row],[No.]])</f>
        <v/>
      </c>
      <c r="D538" s="54"/>
      <c r="E538" s="55"/>
      <c r="F538" s="56"/>
      <c r="G538" s="57"/>
      <c r="H538" s="53"/>
      <c r="I538" s="53"/>
      <c r="J538" s="55"/>
      <c r="K538" s="58"/>
      <c r="L538" s="59"/>
      <c r="M538" s="55"/>
      <c r="N538" s="60"/>
      <c r="O538" s="60"/>
      <c r="P538" s="165" t="str">
        <f t="shared" ca="1" si="62"/>
        <v/>
      </c>
      <c r="Q538" s="165" t="str">
        <f t="shared" ca="1" si="63"/>
        <v/>
      </c>
      <c r="R538" s="79"/>
      <c r="S538" s="80"/>
      <c r="T538" s="61">
        <f t="shared" si="64"/>
        <v>0</v>
      </c>
      <c r="U538" s="61">
        <f t="shared" si="65"/>
        <v>0</v>
      </c>
      <c r="V538" s="61">
        <f t="shared" si="66"/>
        <v>0</v>
      </c>
      <c r="W538" s="58"/>
      <c r="X538" s="58"/>
      <c r="Y538" s="53"/>
      <c r="Z538" s="57"/>
      <c r="AA538" s="62"/>
      <c r="AB538" s="62"/>
      <c r="AC538" s="62"/>
      <c r="AD538" s="62"/>
      <c r="AE538" s="62"/>
      <c r="AF538" s="63"/>
      <c r="AG538" s="64" t="str">
        <f t="shared" si="67"/>
        <v/>
      </c>
    </row>
    <row r="539" spans="1:33" x14ac:dyDescent="0.25">
      <c r="A539" s="46" t="str">
        <f>IF(ISBLANK(inbound_data[[#This Row],[Receiving Report ref.'#]]),"",IF(inbound_data[[#This Row],[Ending Quantity]]=0,"ZERO","INV"))</f>
        <v/>
      </c>
      <c r="B539" s="165" t="str">
        <f t="shared" si="61"/>
        <v/>
      </c>
      <c r="C539" s="165" t="str">
        <f>IF(ISBLANK(D539),"",inbound_data[[#This Row],[Pallet_Series]]&amp;inbound_data[[#This Row],[No.]])</f>
        <v/>
      </c>
      <c r="D539" s="54"/>
      <c r="E539" s="55"/>
      <c r="F539" s="56"/>
      <c r="G539" s="57"/>
      <c r="H539" s="53"/>
      <c r="I539" s="53"/>
      <c r="J539" s="55"/>
      <c r="K539" s="58"/>
      <c r="L539" s="59"/>
      <c r="M539" s="55"/>
      <c r="N539" s="60"/>
      <c r="O539" s="60"/>
      <c r="P539" s="165" t="str">
        <f t="shared" ca="1" si="62"/>
        <v/>
      </c>
      <c r="Q539" s="165" t="str">
        <f t="shared" ca="1" si="63"/>
        <v/>
      </c>
      <c r="R539" s="79"/>
      <c r="S539" s="80"/>
      <c r="T539" s="61">
        <f t="shared" si="64"/>
        <v>0</v>
      </c>
      <c r="U539" s="61">
        <f t="shared" si="65"/>
        <v>0</v>
      </c>
      <c r="V539" s="61">
        <f t="shared" si="66"/>
        <v>0</v>
      </c>
      <c r="W539" s="58"/>
      <c r="X539" s="58"/>
      <c r="Y539" s="53"/>
      <c r="Z539" s="57"/>
      <c r="AA539" s="62"/>
      <c r="AB539" s="62"/>
      <c r="AC539" s="62"/>
      <c r="AD539" s="62"/>
      <c r="AE539" s="62"/>
      <c r="AF539" s="63"/>
      <c r="AG539" s="64" t="str">
        <f t="shared" si="67"/>
        <v/>
      </c>
    </row>
    <row r="540" spans="1:33" x14ac:dyDescent="0.25">
      <c r="A540" s="46" t="str">
        <f>IF(ISBLANK(inbound_data[[#This Row],[Receiving Report ref.'#]]),"",IF(inbound_data[[#This Row],[Ending Quantity]]=0,"ZERO","INV"))</f>
        <v/>
      </c>
      <c r="B540" s="165" t="str">
        <f t="shared" si="61"/>
        <v/>
      </c>
      <c r="C540" s="165" t="str">
        <f>IF(ISBLANK(D540),"",inbound_data[[#This Row],[Pallet_Series]]&amp;inbound_data[[#This Row],[No.]])</f>
        <v/>
      </c>
      <c r="D540" s="54"/>
      <c r="E540" s="55"/>
      <c r="F540" s="56"/>
      <c r="G540" s="57"/>
      <c r="H540" s="53"/>
      <c r="I540" s="53"/>
      <c r="J540" s="55"/>
      <c r="K540" s="58"/>
      <c r="L540" s="59"/>
      <c r="M540" s="55"/>
      <c r="N540" s="60"/>
      <c r="O540" s="60"/>
      <c r="P540" s="165" t="str">
        <f t="shared" ca="1" si="62"/>
        <v/>
      </c>
      <c r="Q540" s="165" t="str">
        <f t="shared" ca="1" si="63"/>
        <v/>
      </c>
      <c r="R540" s="79"/>
      <c r="S540" s="80"/>
      <c r="T540" s="61">
        <f t="shared" si="64"/>
        <v>0</v>
      </c>
      <c r="U540" s="61">
        <f t="shared" si="65"/>
        <v>0</v>
      </c>
      <c r="V540" s="61">
        <f t="shared" si="66"/>
        <v>0</v>
      </c>
      <c r="W540" s="58"/>
      <c r="X540" s="58"/>
      <c r="Y540" s="53"/>
      <c r="Z540" s="57"/>
      <c r="AA540" s="62"/>
      <c r="AB540" s="62"/>
      <c r="AC540" s="62"/>
      <c r="AD540" s="62"/>
      <c r="AE540" s="62"/>
      <c r="AF540" s="63"/>
      <c r="AG540" s="64" t="str">
        <f t="shared" si="67"/>
        <v/>
      </c>
    </row>
    <row r="541" spans="1:33" x14ac:dyDescent="0.25">
      <c r="A541" s="46" t="str">
        <f>IF(ISBLANK(inbound_data[[#This Row],[Receiving Report ref.'#]]),"",IF(inbound_data[[#This Row],[Ending Quantity]]=0,"ZERO","INV"))</f>
        <v/>
      </c>
      <c r="B541" s="165" t="str">
        <f t="shared" si="61"/>
        <v/>
      </c>
      <c r="C541" s="165" t="str">
        <f>IF(ISBLANK(D541),"",inbound_data[[#This Row],[Pallet_Series]]&amp;inbound_data[[#This Row],[No.]])</f>
        <v/>
      </c>
      <c r="D541" s="54"/>
      <c r="E541" s="55"/>
      <c r="F541" s="56"/>
      <c r="G541" s="57"/>
      <c r="H541" s="53"/>
      <c r="I541" s="53"/>
      <c r="J541" s="55"/>
      <c r="K541" s="58"/>
      <c r="L541" s="59"/>
      <c r="M541" s="55"/>
      <c r="N541" s="60"/>
      <c r="O541" s="60"/>
      <c r="P541" s="165" t="str">
        <f t="shared" ca="1" si="62"/>
        <v/>
      </c>
      <c r="Q541" s="165" t="str">
        <f t="shared" ca="1" si="63"/>
        <v/>
      </c>
      <c r="R541" s="79"/>
      <c r="S541" s="80"/>
      <c r="T541" s="61">
        <f t="shared" si="64"/>
        <v>0</v>
      </c>
      <c r="U541" s="61">
        <f t="shared" si="65"/>
        <v>0</v>
      </c>
      <c r="V541" s="61">
        <f t="shared" si="66"/>
        <v>0</v>
      </c>
      <c r="W541" s="58"/>
      <c r="X541" s="58"/>
      <c r="Y541" s="53"/>
      <c r="Z541" s="57"/>
      <c r="AA541" s="62"/>
      <c r="AB541" s="62"/>
      <c r="AC541" s="62"/>
      <c r="AD541" s="62"/>
      <c r="AE541" s="62"/>
      <c r="AF541" s="63"/>
      <c r="AG541" s="64" t="str">
        <f t="shared" si="67"/>
        <v/>
      </c>
    </row>
    <row r="542" spans="1:33" x14ac:dyDescent="0.25">
      <c r="A542" s="46" t="str">
        <f>IF(ISBLANK(inbound_data[[#This Row],[Receiving Report ref.'#]]),"",IF(inbound_data[[#This Row],[Ending Quantity]]=0,"ZERO","INV"))</f>
        <v/>
      </c>
      <c r="B542" s="165" t="str">
        <f t="shared" si="61"/>
        <v/>
      </c>
      <c r="C542" s="165" t="str">
        <f>IF(ISBLANK(D542),"",inbound_data[[#This Row],[Pallet_Series]]&amp;inbound_data[[#This Row],[No.]])</f>
        <v/>
      </c>
      <c r="D542" s="54"/>
      <c r="E542" s="55"/>
      <c r="F542" s="56"/>
      <c r="G542" s="57"/>
      <c r="H542" s="53"/>
      <c r="I542" s="53"/>
      <c r="J542" s="55"/>
      <c r="K542" s="58"/>
      <c r="L542" s="59"/>
      <c r="M542" s="55"/>
      <c r="N542" s="60"/>
      <c r="O542" s="60"/>
      <c r="P542" s="165" t="str">
        <f t="shared" ca="1" si="62"/>
        <v/>
      </c>
      <c r="Q542" s="165" t="str">
        <f t="shared" ca="1" si="63"/>
        <v/>
      </c>
      <c r="R542" s="79"/>
      <c r="S542" s="80"/>
      <c r="T542" s="61">
        <f t="shared" si="64"/>
        <v>0</v>
      </c>
      <c r="U542" s="61">
        <f t="shared" si="65"/>
        <v>0</v>
      </c>
      <c r="V542" s="61">
        <f t="shared" si="66"/>
        <v>0</v>
      </c>
      <c r="W542" s="58"/>
      <c r="X542" s="58"/>
      <c r="Y542" s="53"/>
      <c r="Z542" s="57"/>
      <c r="AA542" s="62"/>
      <c r="AB542" s="62"/>
      <c r="AC542" s="62"/>
      <c r="AD542" s="62"/>
      <c r="AE542" s="62"/>
      <c r="AF542" s="63"/>
      <c r="AG542" s="64" t="str">
        <f t="shared" si="67"/>
        <v/>
      </c>
    </row>
    <row r="543" spans="1:33" x14ac:dyDescent="0.25">
      <c r="A543" s="46" t="str">
        <f>IF(ISBLANK(inbound_data[[#This Row],[Receiving Report ref.'#]]),"",IF(inbound_data[[#This Row],[Ending Quantity]]=0,"ZERO","INV"))</f>
        <v/>
      </c>
      <c r="B543" s="165" t="str">
        <f t="shared" si="61"/>
        <v/>
      </c>
      <c r="C543" s="165" t="str">
        <f>IF(ISBLANK(D543),"",inbound_data[[#This Row],[Pallet_Series]]&amp;inbound_data[[#This Row],[No.]])</f>
        <v/>
      </c>
      <c r="D543" s="54"/>
      <c r="E543" s="55"/>
      <c r="F543" s="56"/>
      <c r="G543" s="57"/>
      <c r="H543" s="53"/>
      <c r="I543" s="53"/>
      <c r="J543" s="55"/>
      <c r="K543" s="58"/>
      <c r="L543" s="59"/>
      <c r="M543" s="55"/>
      <c r="N543" s="60"/>
      <c r="O543" s="60"/>
      <c r="P543" s="165" t="str">
        <f t="shared" ca="1" si="62"/>
        <v/>
      </c>
      <c r="Q543" s="165" t="str">
        <f t="shared" ca="1" si="63"/>
        <v/>
      </c>
      <c r="R543" s="79"/>
      <c r="S543" s="80"/>
      <c r="T543" s="61">
        <f t="shared" si="64"/>
        <v>0</v>
      </c>
      <c r="U543" s="61">
        <f t="shared" si="65"/>
        <v>0</v>
      </c>
      <c r="V543" s="61">
        <f t="shared" si="66"/>
        <v>0</v>
      </c>
      <c r="W543" s="58"/>
      <c r="X543" s="58"/>
      <c r="Y543" s="53"/>
      <c r="Z543" s="57"/>
      <c r="AA543" s="62"/>
      <c r="AB543" s="62"/>
      <c r="AC543" s="62"/>
      <c r="AD543" s="62"/>
      <c r="AE543" s="62"/>
      <c r="AF543" s="63"/>
      <c r="AG543" s="64" t="str">
        <f t="shared" si="67"/>
        <v/>
      </c>
    </row>
    <row r="544" spans="1:33" x14ac:dyDescent="0.25">
      <c r="A544" s="46" t="str">
        <f>IF(ISBLANK(inbound_data[[#This Row],[Receiving Report ref.'#]]),"",IF(inbound_data[[#This Row],[Ending Quantity]]=0,"ZERO","INV"))</f>
        <v/>
      </c>
      <c r="B544" s="165" t="str">
        <f t="shared" si="61"/>
        <v/>
      </c>
      <c r="C544" s="165" t="str">
        <f>IF(ISBLANK(D544),"",inbound_data[[#This Row],[Pallet_Series]]&amp;inbound_data[[#This Row],[No.]])</f>
        <v/>
      </c>
      <c r="D544" s="54"/>
      <c r="E544" s="55"/>
      <c r="F544" s="56"/>
      <c r="G544" s="57"/>
      <c r="H544" s="53"/>
      <c r="I544" s="53"/>
      <c r="J544" s="55"/>
      <c r="K544" s="58"/>
      <c r="L544" s="59"/>
      <c r="M544" s="55"/>
      <c r="N544" s="60"/>
      <c r="O544" s="60"/>
      <c r="P544" s="165" t="str">
        <f t="shared" ca="1" si="62"/>
        <v/>
      </c>
      <c r="Q544" s="165" t="str">
        <f t="shared" ca="1" si="63"/>
        <v/>
      </c>
      <c r="R544" s="79"/>
      <c r="S544" s="80"/>
      <c r="T544" s="61">
        <f t="shared" si="64"/>
        <v>0</v>
      </c>
      <c r="U544" s="61">
        <f t="shared" si="65"/>
        <v>0</v>
      </c>
      <c r="V544" s="61">
        <f t="shared" si="66"/>
        <v>0</v>
      </c>
      <c r="W544" s="58"/>
      <c r="X544" s="58"/>
      <c r="Y544" s="53"/>
      <c r="Z544" s="57"/>
      <c r="AA544" s="62"/>
      <c r="AB544" s="62"/>
      <c r="AC544" s="62"/>
      <c r="AD544" s="62"/>
      <c r="AE544" s="62"/>
      <c r="AF544" s="63"/>
      <c r="AG544" s="64" t="str">
        <f t="shared" si="67"/>
        <v/>
      </c>
    </row>
    <row r="545" spans="1:33" x14ac:dyDescent="0.25">
      <c r="A545" s="46" t="str">
        <f>IF(ISBLANK(inbound_data[[#This Row],[Receiving Report ref.'#]]),"",IF(inbound_data[[#This Row],[Ending Quantity]]=0,"ZERO","INV"))</f>
        <v/>
      </c>
      <c r="B545" s="165" t="str">
        <f t="shared" si="61"/>
        <v/>
      </c>
      <c r="C545" s="165" t="str">
        <f>IF(ISBLANK(D545),"",inbound_data[[#This Row],[Pallet_Series]]&amp;inbound_data[[#This Row],[No.]])</f>
        <v/>
      </c>
      <c r="D545" s="54"/>
      <c r="E545" s="55"/>
      <c r="F545" s="56"/>
      <c r="G545" s="57"/>
      <c r="H545" s="53"/>
      <c r="I545" s="53"/>
      <c r="J545" s="55"/>
      <c r="K545" s="58"/>
      <c r="L545" s="59"/>
      <c r="M545" s="55"/>
      <c r="N545" s="60"/>
      <c r="O545" s="60"/>
      <c r="P545" s="165" t="str">
        <f t="shared" ca="1" si="62"/>
        <v/>
      </c>
      <c r="Q545" s="165" t="str">
        <f t="shared" ca="1" si="63"/>
        <v/>
      </c>
      <c r="R545" s="79"/>
      <c r="S545" s="80"/>
      <c r="T545" s="61">
        <f t="shared" si="64"/>
        <v>0</v>
      </c>
      <c r="U545" s="61">
        <f t="shared" si="65"/>
        <v>0</v>
      </c>
      <c r="V545" s="61">
        <f t="shared" si="66"/>
        <v>0</v>
      </c>
      <c r="W545" s="58"/>
      <c r="X545" s="58"/>
      <c r="Y545" s="53"/>
      <c r="Z545" s="57"/>
      <c r="AA545" s="62"/>
      <c r="AB545" s="62"/>
      <c r="AC545" s="62"/>
      <c r="AD545" s="62"/>
      <c r="AE545" s="62"/>
      <c r="AF545" s="63"/>
      <c r="AG545" s="64" t="str">
        <f t="shared" si="67"/>
        <v/>
      </c>
    </row>
    <row r="546" spans="1:33" x14ac:dyDescent="0.25">
      <c r="A546" s="46" t="str">
        <f>IF(ISBLANK(inbound_data[[#This Row],[Receiving Report ref.'#]]),"",IF(inbound_data[[#This Row],[Ending Quantity]]=0,"ZERO","INV"))</f>
        <v/>
      </c>
      <c r="B546" s="165" t="str">
        <f t="shared" si="61"/>
        <v/>
      </c>
      <c r="C546" s="165" t="str">
        <f>IF(ISBLANK(D546),"",inbound_data[[#This Row],[Pallet_Series]]&amp;inbound_data[[#This Row],[No.]])</f>
        <v/>
      </c>
      <c r="D546" s="54"/>
      <c r="E546" s="55"/>
      <c r="F546" s="56"/>
      <c r="G546" s="57"/>
      <c r="H546" s="53"/>
      <c r="I546" s="53"/>
      <c r="J546" s="55"/>
      <c r="K546" s="58"/>
      <c r="L546" s="59"/>
      <c r="M546" s="55"/>
      <c r="N546" s="60"/>
      <c r="O546" s="60"/>
      <c r="P546" s="165" t="str">
        <f t="shared" ca="1" si="62"/>
        <v/>
      </c>
      <c r="Q546" s="165" t="str">
        <f t="shared" ca="1" si="63"/>
        <v/>
      </c>
      <c r="R546" s="79"/>
      <c r="S546" s="80"/>
      <c r="T546" s="61">
        <f t="shared" si="64"/>
        <v>0</v>
      </c>
      <c r="U546" s="61">
        <f t="shared" si="65"/>
        <v>0</v>
      </c>
      <c r="V546" s="61">
        <f t="shared" si="66"/>
        <v>0</v>
      </c>
      <c r="W546" s="58"/>
      <c r="X546" s="58"/>
      <c r="Y546" s="53"/>
      <c r="Z546" s="57"/>
      <c r="AA546" s="62"/>
      <c r="AB546" s="62"/>
      <c r="AC546" s="62"/>
      <c r="AD546" s="62"/>
      <c r="AE546" s="62"/>
      <c r="AF546" s="63"/>
      <c r="AG546" s="64" t="str">
        <f t="shared" si="67"/>
        <v/>
      </c>
    </row>
    <row r="547" spans="1:33" x14ac:dyDescent="0.25">
      <c r="A547" s="46" t="str">
        <f>IF(ISBLANK(inbound_data[[#This Row],[Receiving Report ref.'#]]),"",IF(inbound_data[[#This Row],[Ending Quantity]]=0,"ZERO","INV"))</f>
        <v/>
      </c>
      <c r="B547" s="165" t="str">
        <f t="shared" si="61"/>
        <v/>
      </c>
      <c r="C547" s="165" t="str">
        <f>IF(ISBLANK(D547),"",inbound_data[[#This Row],[Pallet_Series]]&amp;inbound_data[[#This Row],[No.]])</f>
        <v/>
      </c>
      <c r="D547" s="54"/>
      <c r="E547" s="55"/>
      <c r="F547" s="56"/>
      <c r="G547" s="57"/>
      <c r="H547" s="53"/>
      <c r="I547" s="53"/>
      <c r="J547" s="55"/>
      <c r="K547" s="58"/>
      <c r="L547" s="59"/>
      <c r="M547" s="55"/>
      <c r="N547" s="60"/>
      <c r="O547" s="60"/>
      <c r="P547" s="165" t="str">
        <f t="shared" ca="1" si="62"/>
        <v/>
      </c>
      <c r="Q547" s="165" t="str">
        <f t="shared" ca="1" si="63"/>
        <v/>
      </c>
      <c r="R547" s="79"/>
      <c r="S547" s="80"/>
      <c r="T547" s="61">
        <f t="shared" si="64"/>
        <v>0</v>
      </c>
      <c r="U547" s="61">
        <f t="shared" si="65"/>
        <v>0</v>
      </c>
      <c r="V547" s="61">
        <f t="shared" si="66"/>
        <v>0</v>
      </c>
      <c r="W547" s="58"/>
      <c r="X547" s="58"/>
      <c r="Y547" s="53"/>
      <c r="Z547" s="57"/>
      <c r="AA547" s="62"/>
      <c r="AB547" s="62"/>
      <c r="AC547" s="62"/>
      <c r="AD547" s="62"/>
      <c r="AE547" s="62"/>
      <c r="AF547" s="63"/>
      <c r="AG547" s="64" t="str">
        <f t="shared" si="67"/>
        <v/>
      </c>
    </row>
    <row r="548" spans="1:33" x14ac:dyDescent="0.25">
      <c r="A548" s="46" t="str">
        <f>IF(ISBLANK(inbound_data[[#This Row],[Receiving Report ref.'#]]),"",IF(inbound_data[[#This Row],[Ending Quantity]]=0,"ZERO","INV"))</f>
        <v/>
      </c>
      <c r="B548" s="165" t="str">
        <f t="shared" si="61"/>
        <v/>
      </c>
      <c r="C548" s="165" t="str">
        <f>IF(ISBLANK(D548),"",inbound_data[[#This Row],[Pallet_Series]]&amp;inbound_data[[#This Row],[No.]])</f>
        <v/>
      </c>
      <c r="D548" s="54"/>
      <c r="E548" s="55"/>
      <c r="F548" s="56"/>
      <c r="G548" s="57"/>
      <c r="H548" s="53"/>
      <c r="I548" s="53"/>
      <c r="J548" s="55"/>
      <c r="K548" s="58"/>
      <c r="L548" s="59"/>
      <c r="M548" s="55"/>
      <c r="N548" s="60"/>
      <c r="O548" s="60"/>
      <c r="P548" s="165" t="str">
        <f t="shared" ca="1" si="62"/>
        <v/>
      </c>
      <c r="Q548" s="165" t="str">
        <f t="shared" ca="1" si="63"/>
        <v/>
      </c>
      <c r="R548" s="79"/>
      <c r="S548" s="80"/>
      <c r="T548" s="61">
        <f t="shared" si="64"/>
        <v>0</v>
      </c>
      <c r="U548" s="61">
        <f t="shared" si="65"/>
        <v>0</v>
      </c>
      <c r="V548" s="61">
        <f t="shared" si="66"/>
        <v>0</v>
      </c>
      <c r="W548" s="58"/>
      <c r="X548" s="58"/>
      <c r="Y548" s="53"/>
      <c r="Z548" s="57"/>
      <c r="AA548" s="62"/>
      <c r="AB548" s="62"/>
      <c r="AC548" s="62"/>
      <c r="AD548" s="62"/>
      <c r="AE548" s="62"/>
      <c r="AF548" s="63"/>
      <c r="AG548" s="64" t="str">
        <f t="shared" si="67"/>
        <v/>
      </c>
    </row>
    <row r="549" spans="1:33" x14ac:dyDescent="0.25">
      <c r="A549" s="46" t="str">
        <f>IF(ISBLANK(inbound_data[[#This Row],[Receiving Report ref.'#]]),"",IF(inbound_data[[#This Row],[Ending Quantity]]=0,"ZERO","INV"))</f>
        <v/>
      </c>
      <c r="B549" s="165" t="str">
        <f t="shared" si="61"/>
        <v/>
      </c>
      <c r="C549" s="165" t="str">
        <f>IF(ISBLANK(D549),"",inbound_data[[#This Row],[Pallet_Series]]&amp;inbound_data[[#This Row],[No.]])</f>
        <v/>
      </c>
      <c r="D549" s="54"/>
      <c r="E549" s="55"/>
      <c r="F549" s="56"/>
      <c r="G549" s="57"/>
      <c r="H549" s="53"/>
      <c r="I549" s="53"/>
      <c r="J549" s="55"/>
      <c r="K549" s="58"/>
      <c r="L549" s="59"/>
      <c r="M549" s="55"/>
      <c r="N549" s="60"/>
      <c r="O549" s="60"/>
      <c r="P549" s="165" t="str">
        <f t="shared" ca="1" si="62"/>
        <v/>
      </c>
      <c r="Q549" s="165" t="str">
        <f t="shared" ca="1" si="63"/>
        <v/>
      </c>
      <c r="R549" s="79"/>
      <c r="S549" s="80"/>
      <c r="T549" s="61">
        <f t="shared" si="64"/>
        <v>0</v>
      </c>
      <c r="U549" s="61">
        <f t="shared" si="65"/>
        <v>0</v>
      </c>
      <c r="V549" s="61">
        <f t="shared" si="66"/>
        <v>0</v>
      </c>
      <c r="W549" s="58"/>
      <c r="X549" s="58"/>
      <c r="Y549" s="53"/>
      <c r="Z549" s="57"/>
      <c r="AA549" s="62"/>
      <c r="AB549" s="62"/>
      <c r="AC549" s="62"/>
      <c r="AD549" s="62"/>
      <c r="AE549" s="62"/>
      <c r="AF549" s="63"/>
      <c r="AG549" s="64" t="str">
        <f t="shared" si="67"/>
        <v/>
      </c>
    </row>
    <row r="550" spans="1:33" x14ac:dyDescent="0.25">
      <c r="A550" s="46" t="str">
        <f>IF(ISBLANK(inbound_data[[#This Row],[Receiving Report ref.'#]]),"",IF(inbound_data[[#This Row],[Ending Quantity]]=0,"ZERO","INV"))</f>
        <v/>
      </c>
      <c r="B550" s="165" t="str">
        <f t="shared" si="61"/>
        <v/>
      </c>
      <c r="C550" s="165" t="str">
        <f>IF(ISBLANK(D550),"",inbound_data[[#This Row],[Pallet_Series]]&amp;inbound_data[[#This Row],[No.]])</f>
        <v/>
      </c>
      <c r="D550" s="54"/>
      <c r="E550" s="55"/>
      <c r="F550" s="56"/>
      <c r="G550" s="57"/>
      <c r="H550" s="53"/>
      <c r="I550" s="53"/>
      <c r="J550" s="55"/>
      <c r="K550" s="58"/>
      <c r="L550" s="59"/>
      <c r="M550" s="55"/>
      <c r="N550" s="60"/>
      <c r="O550" s="60"/>
      <c r="P550" s="165" t="str">
        <f t="shared" ca="1" si="62"/>
        <v/>
      </c>
      <c r="Q550" s="165" t="str">
        <f t="shared" ca="1" si="63"/>
        <v/>
      </c>
      <c r="R550" s="79"/>
      <c r="S550" s="80"/>
      <c r="T550" s="61">
        <f t="shared" si="64"/>
        <v>0</v>
      </c>
      <c r="U550" s="61">
        <f t="shared" si="65"/>
        <v>0</v>
      </c>
      <c r="V550" s="61">
        <f t="shared" si="66"/>
        <v>0</v>
      </c>
      <c r="W550" s="58"/>
      <c r="X550" s="58"/>
      <c r="Y550" s="53"/>
      <c r="Z550" s="57"/>
      <c r="AA550" s="62"/>
      <c r="AB550" s="62"/>
      <c r="AC550" s="62"/>
      <c r="AD550" s="62"/>
      <c r="AE550" s="62"/>
      <c r="AF550" s="63"/>
      <c r="AG550" s="64" t="str">
        <f t="shared" si="67"/>
        <v/>
      </c>
    </row>
    <row r="551" spans="1:33" x14ac:dyDescent="0.25">
      <c r="A551" s="46" t="str">
        <f>IF(ISBLANK(inbound_data[[#This Row],[Receiving Report ref.'#]]),"",IF(inbound_data[[#This Row],[Ending Quantity]]=0,"ZERO","INV"))</f>
        <v/>
      </c>
      <c r="B551" s="165" t="str">
        <f t="shared" si="61"/>
        <v/>
      </c>
      <c r="C551" s="165" t="str">
        <f>IF(ISBLANK(D551),"",inbound_data[[#This Row],[Pallet_Series]]&amp;inbound_data[[#This Row],[No.]])</f>
        <v/>
      </c>
      <c r="D551" s="54"/>
      <c r="E551" s="55"/>
      <c r="F551" s="56"/>
      <c r="G551" s="57"/>
      <c r="H551" s="53"/>
      <c r="I551" s="53"/>
      <c r="J551" s="55"/>
      <c r="K551" s="58"/>
      <c r="L551" s="59"/>
      <c r="M551" s="55"/>
      <c r="N551" s="60"/>
      <c r="O551" s="60"/>
      <c r="P551" s="165" t="str">
        <f t="shared" ca="1" si="62"/>
        <v/>
      </c>
      <c r="Q551" s="165" t="str">
        <f t="shared" ca="1" si="63"/>
        <v/>
      </c>
      <c r="R551" s="79"/>
      <c r="S551" s="80"/>
      <c r="T551" s="61">
        <f t="shared" si="64"/>
        <v>0</v>
      </c>
      <c r="U551" s="61">
        <f t="shared" si="65"/>
        <v>0</v>
      </c>
      <c r="V551" s="61">
        <f t="shared" si="66"/>
        <v>0</v>
      </c>
      <c r="W551" s="58"/>
      <c r="X551" s="58"/>
      <c r="Y551" s="53"/>
      <c r="Z551" s="57"/>
      <c r="AA551" s="62"/>
      <c r="AB551" s="62"/>
      <c r="AC551" s="62"/>
      <c r="AD551" s="62"/>
      <c r="AE551" s="62"/>
      <c r="AF551" s="63"/>
      <c r="AG551" s="64" t="str">
        <f t="shared" si="67"/>
        <v/>
      </c>
    </row>
    <row r="552" spans="1:33" x14ac:dyDescent="0.25">
      <c r="A552" s="46" t="str">
        <f>IF(ISBLANK(inbound_data[[#This Row],[Receiving Report ref.'#]]),"",IF(inbound_data[[#This Row],[Ending Quantity]]=0,"ZERO","INV"))</f>
        <v/>
      </c>
      <c r="B552" s="165" t="str">
        <f t="shared" si="61"/>
        <v/>
      </c>
      <c r="C552" s="165" t="str">
        <f>IF(ISBLANK(D552),"",inbound_data[[#This Row],[Pallet_Series]]&amp;inbound_data[[#This Row],[No.]])</f>
        <v/>
      </c>
      <c r="D552" s="54"/>
      <c r="E552" s="55"/>
      <c r="F552" s="56"/>
      <c r="G552" s="57"/>
      <c r="H552" s="53"/>
      <c r="I552" s="53"/>
      <c r="J552" s="55"/>
      <c r="K552" s="58"/>
      <c r="L552" s="59"/>
      <c r="M552" s="55"/>
      <c r="N552" s="60"/>
      <c r="O552" s="60"/>
      <c r="P552" s="165" t="str">
        <f t="shared" ca="1" si="62"/>
        <v/>
      </c>
      <c r="Q552" s="165" t="str">
        <f t="shared" ca="1" si="63"/>
        <v/>
      </c>
      <c r="R552" s="79"/>
      <c r="S552" s="80"/>
      <c r="T552" s="61">
        <f t="shared" si="64"/>
        <v>0</v>
      </c>
      <c r="U552" s="61">
        <f t="shared" si="65"/>
        <v>0</v>
      </c>
      <c r="V552" s="61">
        <f t="shared" si="66"/>
        <v>0</v>
      </c>
      <c r="W552" s="58"/>
      <c r="X552" s="58"/>
      <c r="Y552" s="53"/>
      <c r="Z552" s="57"/>
      <c r="AA552" s="62"/>
      <c r="AB552" s="62"/>
      <c r="AC552" s="62"/>
      <c r="AD552" s="62"/>
      <c r="AE552" s="62"/>
      <c r="AF552" s="63"/>
      <c r="AG552" s="64" t="str">
        <f t="shared" si="67"/>
        <v/>
      </c>
    </row>
    <row r="553" spans="1:33" x14ac:dyDescent="0.25">
      <c r="A553" s="46" t="str">
        <f>IF(ISBLANK(inbound_data[[#This Row],[Receiving Report ref.'#]]),"",IF(inbound_data[[#This Row],[Ending Quantity]]=0,"ZERO","INV"))</f>
        <v/>
      </c>
      <c r="B553" s="165" t="str">
        <f t="shared" si="61"/>
        <v/>
      </c>
      <c r="C553" s="165" t="str">
        <f>IF(ISBLANK(D553),"",inbound_data[[#This Row],[Pallet_Series]]&amp;inbound_data[[#This Row],[No.]])</f>
        <v/>
      </c>
      <c r="D553" s="54"/>
      <c r="E553" s="55"/>
      <c r="F553" s="56"/>
      <c r="G553" s="57"/>
      <c r="H553" s="53"/>
      <c r="I553" s="53"/>
      <c r="J553" s="55"/>
      <c r="K553" s="58"/>
      <c r="L553" s="59"/>
      <c r="M553" s="55"/>
      <c r="N553" s="60"/>
      <c r="O553" s="60"/>
      <c r="P553" s="165" t="str">
        <f t="shared" ca="1" si="62"/>
        <v/>
      </c>
      <c r="Q553" s="165" t="str">
        <f t="shared" ca="1" si="63"/>
        <v/>
      </c>
      <c r="R553" s="79"/>
      <c r="S553" s="80"/>
      <c r="T553" s="61">
        <f t="shared" si="64"/>
        <v>0</v>
      </c>
      <c r="U553" s="61">
        <f t="shared" si="65"/>
        <v>0</v>
      </c>
      <c r="V553" s="61">
        <f t="shared" si="66"/>
        <v>0</v>
      </c>
      <c r="W553" s="58"/>
      <c r="X553" s="58"/>
      <c r="Y553" s="53"/>
      <c r="Z553" s="57"/>
      <c r="AA553" s="62"/>
      <c r="AB553" s="62"/>
      <c r="AC553" s="62"/>
      <c r="AD553" s="62"/>
      <c r="AE553" s="62"/>
      <c r="AF553" s="63"/>
      <c r="AG553" s="64" t="str">
        <f t="shared" si="67"/>
        <v/>
      </c>
    </row>
    <row r="554" spans="1:33" x14ac:dyDescent="0.25">
      <c r="A554" s="46" t="str">
        <f>IF(ISBLANK(inbound_data[[#This Row],[Receiving Report ref.'#]]),"",IF(inbound_data[[#This Row],[Ending Quantity]]=0,"ZERO","INV"))</f>
        <v/>
      </c>
      <c r="B554" s="165" t="str">
        <f t="shared" si="61"/>
        <v/>
      </c>
      <c r="C554" s="165" t="str">
        <f>IF(ISBLANK(D554),"",inbound_data[[#This Row],[Pallet_Series]]&amp;inbound_data[[#This Row],[No.]])</f>
        <v/>
      </c>
      <c r="D554" s="54"/>
      <c r="E554" s="55"/>
      <c r="F554" s="56"/>
      <c r="G554" s="57"/>
      <c r="H554" s="53"/>
      <c r="I554" s="53"/>
      <c r="J554" s="55"/>
      <c r="K554" s="58"/>
      <c r="L554" s="59"/>
      <c r="M554" s="55"/>
      <c r="N554" s="60"/>
      <c r="O554" s="60"/>
      <c r="P554" s="165" t="str">
        <f t="shared" ca="1" si="62"/>
        <v/>
      </c>
      <c r="Q554" s="165" t="str">
        <f t="shared" ca="1" si="63"/>
        <v/>
      </c>
      <c r="R554" s="79"/>
      <c r="S554" s="80"/>
      <c r="T554" s="61">
        <f t="shared" si="64"/>
        <v>0</v>
      </c>
      <c r="U554" s="61">
        <f t="shared" si="65"/>
        <v>0</v>
      </c>
      <c r="V554" s="61">
        <f t="shared" si="66"/>
        <v>0</v>
      </c>
      <c r="W554" s="58"/>
      <c r="X554" s="58"/>
      <c r="Y554" s="53"/>
      <c r="Z554" s="57"/>
      <c r="AA554" s="62"/>
      <c r="AB554" s="62"/>
      <c r="AC554" s="62"/>
      <c r="AD554" s="62"/>
      <c r="AE554" s="62"/>
      <c r="AF554" s="63"/>
      <c r="AG554" s="64" t="str">
        <f t="shared" si="67"/>
        <v/>
      </c>
    </row>
    <row r="555" spans="1:33" x14ac:dyDescent="0.25">
      <c r="A555" s="46" t="str">
        <f>IF(ISBLANK(inbound_data[[#This Row],[Receiving Report ref.'#]]),"",IF(inbound_data[[#This Row],[Ending Quantity]]=0,"ZERO","INV"))</f>
        <v/>
      </c>
      <c r="B555" s="165" t="str">
        <f t="shared" si="61"/>
        <v/>
      </c>
      <c r="C555" s="165" t="str">
        <f>IF(ISBLANK(D555),"",inbound_data[[#This Row],[Pallet_Series]]&amp;inbound_data[[#This Row],[No.]])</f>
        <v/>
      </c>
      <c r="D555" s="54"/>
      <c r="E555" s="55"/>
      <c r="F555" s="56"/>
      <c r="G555" s="57"/>
      <c r="H555" s="53"/>
      <c r="I555" s="53"/>
      <c r="J555" s="55"/>
      <c r="K555" s="58"/>
      <c r="L555" s="59"/>
      <c r="M555" s="55"/>
      <c r="N555" s="60"/>
      <c r="O555" s="60"/>
      <c r="P555" s="165" t="str">
        <f t="shared" ca="1" si="62"/>
        <v/>
      </c>
      <c r="Q555" s="165" t="str">
        <f t="shared" ca="1" si="63"/>
        <v/>
      </c>
      <c r="R555" s="79"/>
      <c r="S555" s="80"/>
      <c r="T555" s="61">
        <f t="shared" si="64"/>
        <v>0</v>
      </c>
      <c r="U555" s="61">
        <f t="shared" si="65"/>
        <v>0</v>
      </c>
      <c r="V555" s="61">
        <f t="shared" si="66"/>
        <v>0</v>
      </c>
      <c r="W555" s="58"/>
      <c r="X555" s="58"/>
      <c r="Y555" s="53"/>
      <c r="Z555" s="57"/>
      <c r="AA555" s="62"/>
      <c r="AB555" s="62"/>
      <c r="AC555" s="62"/>
      <c r="AD555" s="62"/>
      <c r="AE555" s="62"/>
      <c r="AF555" s="63"/>
      <c r="AG555" s="64" t="str">
        <f t="shared" si="67"/>
        <v/>
      </c>
    </row>
    <row r="556" spans="1:33" x14ac:dyDescent="0.25">
      <c r="A556" s="46" t="str">
        <f>IF(ISBLANK(inbound_data[[#This Row],[Receiving Report ref.'#]]),"",IF(inbound_data[[#This Row],[Ending Quantity]]=0,"ZERO","INV"))</f>
        <v/>
      </c>
      <c r="B556" s="165" t="str">
        <f t="shared" si="61"/>
        <v/>
      </c>
      <c r="C556" s="165" t="str">
        <f>IF(ISBLANK(D556),"",inbound_data[[#This Row],[Pallet_Series]]&amp;inbound_data[[#This Row],[No.]])</f>
        <v/>
      </c>
      <c r="D556" s="54"/>
      <c r="E556" s="55"/>
      <c r="F556" s="56"/>
      <c r="G556" s="57"/>
      <c r="H556" s="53"/>
      <c r="I556" s="53"/>
      <c r="J556" s="55"/>
      <c r="K556" s="58"/>
      <c r="L556" s="59"/>
      <c r="M556" s="55"/>
      <c r="N556" s="60"/>
      <c r="O556" s="60"/>
      <c r="P556" s="165" t="str">
        <f t="shared" ca="1" si="62"/>
        <v/>
      </c>
      <c r="Q556" s="165" t="str">
        <f t="shared" ca="1" si="63"/>
        <v/>
      </c>
      <c r="R556" s="79"/>
      <c r="S556" s="80"/>
      <c r="T556" s="61">
        <f t="shared" si="64"/>
        <v>0</v>
      </c>
      <c r="U556" s="61">
        <f t="shared" si="65"/>
        <v>0</v>
      </c>
      <c r="V556" s="61">
        <f t="shared" si="66"/>
        <v>0</v>
      </c>
      <c r="W556" s="58"/>
      <c r="X556" s="58"/>
      <c r="Y556" s="53"/>
      <c r="Z556" s="57"/>
      <c r="AA556" s="62"/>
      <c r="AB556" s="62"/>
      <c r="AC556" s="62"/>
      <c r="AD556" s="62"/>
      <c r="AE556" s="62"/>
      <c r="AF556" s="63"/>
      <c r="AG556" s="64" t="str">
        <f t="shared" si="67"/>
        <v/>
      </c>
    </row>
    <row r="557" spans="1:33" x14ac:dyDescent="0.25">
      <c r="A557" s="46" t="str">
        <f>IF(ISBLANK(inbound_data[[#This Row],[Receiving Report ref.'#]]),"",IF(inbound_data[[#This Row],[Ending Quantity]]=0,"ZERO","INV"))</f>
        <v/>
      </c>
      <c r="B557" s="165" t="str">
        <f t="shared" si="61"/>
        <v/>
      </c>
      <c r="C557" s="165" t="str">
        <f>IF(ISBLANK(D557),"",inbound_data[[#This Row],[Pallet_Series]]&amp;inbound_data[[#This Row],[No.]])</f>
        <v/>
      </c>
      <c r="D557" s="54"/>
      <c r="E557" s="55"/>
      <c r="F557" s="56"/>
      <c r="G557" s="57"/>
      <c r="H557" s="53"/>
      <c r="I557" s="53"/>
      <c r="J557" s="55"/>
      <c r="K557" s="58"/>
      <c r="L557" s="59"/>
      <c r="M557" s="55"/>
      <c r="N557" s="60"/>
      <c r="O557" s="60"/>
      <c r="P557" s="165" t="str">
        <f t="shared" ca="1" si="62"/>
        <v/>
      </c>
      <c r="Q557" s="165" t="str">
        <f t="shared" ca="1" si="63"/>
        <v/>
      </c>
      <c r="R557" s="79"/>
      <c r="S557" s="80"/>
      <c r="T557" s="61">
        <f t="shared" si="64"/>
        <v>0</v>
      </c>
      <c r="U557" s="61">
        <f t="shared" si="65"/>
        <v>0</v>
      </c>
      <c r="V557" s="61">
        <f t="shared" si="66"/>
        <v>0</v>
      </c>
      <c r="W557" s="58"/>
      <c r="X557" s="58"/>
      <c r="Y557" s="53"/>
      <c r="Z557" s="57"/>
      <c r="AA557" s="62"/>
      <c r="AB557" s="62"/>
      <c r="AC557" s="62"/>
      <c r="AD557" s="62"/>
      <c r="AE557" s="62"/>
      <c r="AF557" s="63"/>
      <c r="AG557" s="64" t="str">
        <f t="shared" si="67"/>
        <v/>
      </c>
    </row>
    <row r="558" spans="1:33" x14ac:dyDescent="0.25">
      <c r="A558" s="46" t="str">
        <f>IF(ISBLANK(inbound_data[[#This Row],[Receiving Report ref.'#]]),"",IF(inbound_data[[#This Row],[Ending Quantity]]=0,"ZERO","INV"))</f>
        <v/>
      </c>
      <c r="B558" s="165" t="str">
        <f t="shared" si="61"/>
        <v/>
      </c>
      <c r="C558" s="165" t="str">
        <f>IF(ISBLANK(D558),"",inbound_data[[#This Row],[Pallet_Series]]&amp;inbound_data[[#This Row],[No.]])</f>
        <v/>
      </c>
      <c r="D558" s="54"/>
      <c r="E558" s="55"/>
      <c r="F558" s="56"/>
      <c r="G558" s="57"/>
      <c r="H558" s="53"/>
      <c r="I558" s="53"/>
      <c r="J558" s="55"/>
      <c r="K558" s="58"/>
      <c r="L558" s="59"/>
      <c r="M558" s="55"/>
      <c r="N558" s="60"/>
      <c r="O558" s="60"/>
      <c r="P558" s="165" t="str">
        <f t="shared" ca="1" si="62"/>
        <v/>
      </c>
      <c r="Q558" s="165" t="str">
        <f t="shared" ca="1" si="63"/>
        <v/>
      </c>
      <c r="R558" s="79"/>
      <c r="S558" s="80"/>
      <c r="T558" s="61">
        <f t="shared" si="64"/>
        <v>0</v>
      </c>
      <c r="U558" s="61">
        <f t="shared" si="65"/>
        <v>0</v>
      </c>
      <c r="V558" s="61">
        <f t="shared" si="66"/>
        <v>0</v>
      </c>
      <c r="W558" s="58"/>
      <c r="X558" s="58"/>
      <c r="Y558" s="53"/>
      <c r="Z558" s="57"/>
      <c r="AA558" s="62"/>
      <c r="AB558" s="62"/>
      <c r="AC558" s="62"/>
      <c r="AD558" s="62"/>
      <c r="AE558" s="62"/>
      <c r="AF558" s="63"/>
      <c r="AG558" s="64" t="str">
        <f t="shared" si="67"/>
        <v/>
      </c>
    </row>
    <row r="559" spans="1:33" x14ac:dyDescent="0.25">
      <c r="A559" s="46" t="str">
        <f>IF(ISBLANK(inbound_data[[#This Row],[Receiving Report ref.'#]]),"",IF(inbound_data[[#This Row],[Ending Quantity]]=0,"ZERO","INV"))</f>
        <v/>
      </c>
      <c r="B559" s="165" t="str">
        <f t="shared" si="61"/>
        <v/>
      </c>
      <c r="C559" s="165" t="str">
        <f>IF(ISBLANK(D559),"",inbound_data[[#This Row],[Pallet_Series]]&amp;inbound_data[[#This Row],[No.]])</f>
        <v/>
      </c>
      <c r="D559" s="54"/>
      <c r="E559" s="55"/>
      <c r="F559" s="56"/>
      <c r="G559" s="57"/>
      <c r="H559" s="53"/>
      <c r="I559" s="53"/>
      <c r="J559" s="55"/>
      <c r="K559" s="58"/>
      <c r="L559" s="59"/>
      <c r="M559" s="55"/>
      <c r="N559" s="60"/>
      <c r="O559" s="60"/>
      <c r="P559" s="165" t="str">
        <f t="shared" ca="1" si="62"/>
        <v/>
      </c>
      <c r="Q559" s="165" t="str">
        <f t="shared" ca="1" si="63"/>
        <v/>
      </c>
      <c r="R559" s="79"/>
      <c r="S559" s="80"/>
      <c r="T559" s="61">
        <f t="shared" si="64"/>
        <v>0</v>
      </c>
      <c r="U559" s="61">
        <f t="shared" si="65"/>
        <v>0</v>
      </c>
      <c r="V559" s="61">
        <f t="shared" si="66"/>
        <v>0</v>
      </c>
      <c r="W559" s="58"/>
      <c r="X559" s="58"/>
      <c r="Y559" s="53"/>
      <c r="Z559" s="57"/>
      <c r="AA559" s="62"/>
      <c r="AB559" s="62"/>
      <c r="AC559" s="62"/>
      <c r="AD559" s="62"/>
      <c r="AE559" s="62"/>
      <c r="AF559" s="63"/>
      <c r="AG559" s="64" t="str">
        <f t="shared" si="67"/>
        <v/>
      </c>
    </row>
    <row r="560" spans="1:33" x14ac:dyDescent="0.25">
      <c r="A560" s="46" t="str">
        <f>IF(ISBLANK(inbound_data[[#This Row],[Receiving Report ref.'#]]),"",IF(inbound_data[[#This Row],[Ending Quantity]]=0,"ZERO","INV"))</f>
        <v/>
      </c>
      <c r="B560" s="165" t="str">
        <f t="shared" si="61"/>
        <v/>
      </c>
      <c r="C560" s="165" t="str">
        <f>IF(ISBLANK(D560),"",inbound_data[[#This Row],[Pallet_Series]]&amp;inbound_data[[#This Row],[No.]])</f>
        <v/>
      </c>
      <c r="D560" s="54"/>
      <c r="E560" s="55"/>
      <c r="F560" s="56"/>
      <c r="G560" s="57"/>
      <c r="H560" s="53"/>
      <c r="I560" s="53"/>
      <c r="J560" s="55"/>
      <c r="K560" s="58"/>
      <c r="L560" s="59"/>
      <c r="M560" s="55"/>
      <c r="N560" s="60"/>
      <c r="O560" s="60"/>
      <c r="P560" s="165" t="str">
        <f t="shared" ca="1" si="62"/>
        <v/>
      </c>
      <c r="Q560" s="165" t="str">
        <f t="shared" ca="1" si="63"/>
        <v/>
      </c>
      <c r="R560" s="79"/>
      <c r="S560" s="80"/>
      <c r="T560" s="61">
        <f t="shared" si="64"/>
        <v>0</v>
      </c>
      <c r="U560" s="61">
        <f t="shared" si="65"/>
        <v>0</v>
      </c>
      <c r="V560" s="61">
        <f t="shared" si="66"/>
        <v>0</v>
      </c>
      <c r="W560" s="58"/>
      <c r="X560" s="58"/>
      <c r="Y560" s="53"/>
      <c r="Z560" s="57"/>
      <c r="AA560" s="62"/>
      <c r="AB560" s="62"/>
      <c r="AC560" s="62"/>
      <c r="AD560" s="62"/>
      <c r="AE560" s="62"/>
      <c r="AF560" s="63"/>
      <c r="AG560" s="64" t="str">
        <f t="shared" si="67"/>
        <v/>
      </c>
    </row>
    <row r="561" spans="1:33" x14ac:dyDescent="0.25">
      <c r="A561" s="46" t="str">
        <f>IF(ISBLANK(inbound_data[[#This Row],[Receiving Report ref.'#]]),"",IF(inbound_data[[#This Row],[Ending Quantity]]=0,"ZERO","INV"))</f>
        <v/>
      </c>
      <c r="B561" s="165" t="str">
        <f t="shared" si="61"/>
        <v/>
      </c>
      <c r="C561" s="165" t="str">
        <f>IF(ISBLANK(D561),"",inbound_data[[#This Row],[Pallet_Series]]&amp;inbound_data[[#This Row],[No.]])</f>
        <v/>
      </c>
      <c r="D561" s="54"/>
      <c r="E561" s="55"/>
      <c r="F561" s="56"/>
      <c r="G561" s="57"/>
      <c r="H561" s="53"/>
      <c r="I561" s="53"/>
      <c r="J561" s="55"/>
      <c r="K561" s="58"/>
      <c r="L561" s="59"/>
      <c r="M561" s="55"/>
      <c r="N561" s="60"/>
      <c r="O561" s="60"/>
      <c r="P561" s="165" t="str">
        <f t="shared" ca="1" si="62"/>
        <v/>
      </c>
      <c r="Q561" s="165" t="str">
        <f t="shared" ca="1" si="63"/>
        <v/>
      </c>
      <c r="R561" s="79"/>
      <c r="S561" s="80"/>
      <c r="T561" s="61">
        <f t="shared" si="64"/>
        <v>0</v>
      </c>
      <c r="U561" s="61">
        <f t="shared" si="65"/>
        <v>0</v>
      </c>
      <c r="V561" s="61">
        <f t="shared" si="66"/>
        <v>0</v>
      </c>
      <c r="W561" s="58"/>
      <c r="X561" s="58"/>
      <c r="Y561" s="53"/>
      <c r="Z561" s="57"/>
      <c r="AA561" s="62"/>
      <c r="AB561" s="62"/>
      <c r="AC561" s="62"/>
      <c r="AD561" s="62"/>
      <c r="AE561" s="62"/>
      <c r="AF561" s="63"/>
      <c r="AG561" s="64" t="str">
        <f t="shared" si="67"/>
        <v/>
      </c>
    </row>
    <row r="562" spans="1:33" x14ac:dyDescent="0.25">
      <c r="A562" s="46" t="str">
        <f>IF(ISBLANK(inbound_data[[#This Row],[Receiving Report ref.'#]]),"",IF(inbound_data[[#This Row],[Ending Quantity]]=0,"ZERO","INV"))</f>
        <v/>
      </c>
      <c r="B562" s="165" t="str">
        <f t="shared" si="61"/>
        <v/>
      </c>
      <c r="C562" s="165" t="str">
        <f>IF(ISBLANK(D562),"",inbound_data[[#This Row],[Pallet_Series]]&amp;inbound_data[[#This Row],[No.]])</f>
        <v/>
      </c>
      <c r="D562" s="54"/>
      <c r="E562" s="55"/>
      <c r="F562" s="56"/>
      <c r="G562" s="57"/>
      <c r="H562" s="53"/>
      <c r="I562" s="53"/>
      <c r="J562" s="55"/>
      <c r="K562" s="58"/>
      <c r="L562" s="59"/>
      <c r="M562" s="55"/>
      <c r="N562" s="60"/>
      <c r="O562" s="60"/>
      <c r="P562" s="165" t="str">
        <f t="shared" ca="1" si="62"/>
        <v/>
      </c>
      <c r="Q562" s="165" t="str">
        <f t="shared" ca="1" si="63"/>
        <v/>
      </c>
      <c r="R562" s="79"/>
      <c r="S562" s="80"/>
      <c r="T562" s="61">
        <f t="shared" si="64"/>
        <v>0</v>
      </c>
      <c r="U562" s="61">
        <f t="shared" si="65"/>
        <v>0</v>
      </c>
      <c r="V562" s="61">
        <f t="shared" si="66"/>
        <v>0</v>
      </c>
      <c r="W562" s="58"/>
      <c r="X562" s="58"/>
      <c r="Y562" s="53"/>
      <c r="Z562" s="57"/>
      <c r="AA562" s="62"/>
      <c r="AB562" s="62"/>
      <c r="AC562" s="62"/>
      <c r="AD562" s="62"/>
      <c r="AE562" s="62"/>
      <c r="AF562" s="63"/>
      <c r="AG562" s="64" t="str">
        <f t="shared" si="67"/>
        <v/>
      </c>
    </row>
    <row r="563" spans="1:33" x14ac:dyDescent="0.25">
      <c r="A563" s="46" t="str">
        <f>IF(ISBLANK(inbound_data[[#This Row],[Receiving Report ref.'#]]),"",IF(inbound_data[[#This Row],[Ending Quantity]]=0,"ZERO","INV"))</f>
        <v/>
      </c>
      <c r="B563" s="165" t="str">
        <f t="shared" si="61"/>
        <v/>
      </c>
      <c r="C563" s="165" t="str">
        <f>IF(ISBLANK(D563),"",inbound_data[[#This Row],[Pallet_Series]]&amp;inbound_data[[#This Row],[No.]])</f>
        <v/>
      </c>
      <c r="D563" s="54"/>
      <c r="E563" s="55"/>
      <c r="F563" s="56"/>
      <c r="G563" s="57"/>
      <c r="H563" s="53"/>
      <c r="I563" s="53"/>
      <c r="J563" s="55"/>
      <c r="K563" s="58"/>
      <c r="L563" s="59"/>
      <c r="M563" s="55"/>
      <c r="N563" s="60"/>
      <c r="O563" s="60"/>
      <c r="P563" s="165" t="str">
        <f t="shared" ca="1" si="62"/>
        <v/>
      </c>
      <c r="Q563" s="165" t="str">
        <f t="shared" ca="1" si="63"/>
        <v/>
      </c>
      <c r="R563" s="79"/>
      <c r="S563" s="80"/>
      <c r="T563" s="61">
        <f t="shared" si="64"/>
        <v>0</v>
      </c>
      <c r="U563" s="61">
        <f t="shared" si="65"/>
        <v>0</v>
      </c>
      <c r="V563" s="61">
        <f t="shared" si="66"/>
        <v>0</v>
      </c>
      <c r="W563" s="58"/>
      <c r="X563" s="58"/>
      <c r="Y563" s="53"/>
      <c r="Z563" s="57"/>
      <c r="AA563" s="62"/>
      <c r="AB563" s="62"/>
      <c r="AC563" s="62"/>
      <c r="AD563" s="62"/>
      <c r="AE563" s="62"/>
      <c r="AF563" s="63"/>
      <c r="AG563" s="64" t="str">
        <f t="shared" si="67"/>
        <v/>
      </c>
    </row>
    <row r="564" spans="1:33" x14ac:dyDescent="0.25">
      <c r="A564" s="46" t="str">
        <f>IF(ISBLANK(inbound_data[[#This Row],[Receiving Report ref.'#]]),"",IF(inbound_data[[#This Row],[Ending Quantity]]=0,"ZERO","INV"))</f>
        <v/>
      </c>
      <c r="B564" s="165" t="str">
        <f t="shared" si="61"/>
        <v/>
      </c>
      <c r="C564" s="165" t="str">
        <f>IF(ISBLANK(D564),"",inbound_data[[#This Row],[Pallet_Series]]&amp;inbound_data[[#This Row],[No.]])</f>
        <v/>
      </c>
      <c r="D564" s="54"/>
      <c r="E564" s="55"/>
      <c r="F564" s="56"/>
      <c r="G564" s="57"/>
      <c r="H564" s="53"/>
      <c r="I564" s="53"/>
      <c r="J564" s="55"/>
      <c r="K564" s="58"/>
      <c r="L564" s="59"/>
      <c r="M564" s="55"/>
      <c r="N564" s="60"/>
      <c r="O564" s="60"/>
      <c r="P564" s="165" t="str">
        <f t="shared" ca="1" si="62"/>
        <v/>
      </c>
      <c r="Q564" s="165" t="str">
        <f t="shared" ca="1" si="63"/>
        <v/>
      </c>
      <c r="R564" s="79"/>
      <c r="S564" s="80"/>
      <c r="T564" s="61">
        <f t="shared" si="64"/>
        <v>0</v>
      </c>
      <c r="U564" s="61">
        <f t="shared" si="65"/>
        <v>0</v>
      </c>
      <c r="V564" s="61">
        <f t="shared" si="66"/>
        <v>0</v>
      </c>
      <c r="W564" s="58"/>
      <c r="X564" s="58"/>
      <c r="Y564" s="53"/>
      <c r="Z564" s="57"/>
      <c r="AA564" s="62"/>
      <c r="AB564" s="62"/>
      <c r="AC564" s="62"/>
      <c r="AD564" s="62"/>
      <c r="AE564" s="62"/>
      <c r="AF564" s="63"/>
      <c r="AG564" s="64" t="str">
        <f t="shared" si="67"/>
        <v/>
      </c>
    </row>
    <row r="565" spans="1:33" x14ac:dyDescent="0.25">
      <c r="A565" s="46" t="str">
        <f>IF(ISBLANK(inbound_data[[#This Row],[Receiving Report ref.'#]]),"",IF(inbound_data[[#This Row],[Ending Quantity]]=0,"ZERO","INV"))</f>
        <v/>
      </c>
      <c r="B565" s="165" t="str">
        <f t="shared" si="61"/>
        <v/>
      </c>
      <c r="C565" s="165" t="str">
        <f>IF(ISBLANK(D565),"",inbound_data[[#This Row],[Pallet_Series]]&amp;inbound_data[[#This Row],[No.]])</f>
        <v/>
      </c>
      <c r="D565" s="54"/>
      <c r="E565" s="55"/>
      <c r="F565" s="56"/>
      <c r="G565" s="57"/>
      <c r="H565" s="53"/>
      <c r="I565" s="53"/>
      <c r="J565" s="55"/>
      <c r="K565" s="58"/>
      <c r="L565" s="59"/>
      <c r="M565" s="55"/>
      <c r="N565" s="60"/>
      <c r="O565" s="60"/>
      <c r="P565" s="165" t="str">
        <f t="shared" ca="1" si="62"/>
        <v/>
      </c>
      <c r="Q565" s="165" t="str">
        <f t="shared" ca="1" si="63"/>
        <v/>
      </c>
      <c r="R565" s="79"/>
      <c r="S565" s="80"/>
      <c r="T565" s="61">
        <f t="shared" si="64"/>
        <v>0</v>
      </c>
      <c r="U565" s="61">
        <f t="shared" si="65"/>
        <v>0</v>
      </c>
      <c r="V565" s="61">
        <f t="shared" si="66"/>
        <v>0</v>
      </c>
      <c r="W565" s="58"/>
      <c r="X565" s="58"/>
      <c r="Y565" s="53"/>
      <c r="Z565" s="57"/>
      <c r="AA565" s="62"/>
      <c r="AB565" s="62"/>
      <c r="AC565" s="62"/>
      <c r="AD565" s="62"/>
      <c r="AE565" s="62"/>
      <c r="AF565" s="63"/>
      <c r="AG565" s="64" t="str">
        <f t="shared" si="67"/>
        <v/>
      </c>
    </row>
    <row r="566" spans="1:33" x14ac:dyDescent="0.25">
      <c r="A566" s="46" t="str">
        <f>IF(ISBLANK(inbound_data[[#This Row],[Receiving Report ref.'#]]),"",IF(inbound_data[[#This Row],[Ending Quantity]]=0,"ZERO","INV"))</f>
        <v/>
      </c>
      <c r="B566" s="165" t="str">
        <f t="shared" si="61"/>
        <v/>
      </c>
      <c r="C566" s="165" t="str">
        <f>IF(ISBLANK(D566),"",inbound_data[[#This Row],[Pallet_Series]]&amp;inbound_data[[#This Row],[No.]])</f>
        <v/>
      </c>
      <c r="D566" s="54"/>
      <c r="E566" s="55"/>
      <c r="F566" s="56"/>
      <c r="G566" s="57"/>
      <c r="H566" s="53"/>
      <c r="I566" s="53"/>
      <c r="J566" s="55"/>
      <c r="K566" s="58"/>
      <c r="L566" s="59"/>
      <c r="M566" s="55"/>
      <c r="N566" s="60"/>
      <c r="O566" s="60"/>
      <c r="P566" s="165" t="str">
        <f t="shared" ca="1" si="62"/>
        <v/>
      </c>
      <c r="Q566" s="165" t="str">
        <f t="shared" ca="1" si="63"/>
        <v/>
      </c>
      <c r="R566" s="79"/>
      <c r="S566" s="80"/>
      <c r="T566" s="61">
        <f t="shared" si="64"/>
        <v>0</v>
      </c>
      <c r="U566" s="61">
        <f t="shared" si="65"/>
        <v>0</v>
      </c>
      <c r="V566" s="61">
        <f t="shared" si="66"/>
        <v>0</v>
      </c>
      <c r="W566" s="58"/>
      <c r="X566" s="58"/>
      <c r="Y566" s="53"/>
      <c r="Z566" s="57"/>
      <c r="AA566" s="62"/>
      <c r="AB566" s="62"/>
      <c r="AC566" s="62"/>
      <c r="AD566" s="62"/>
      <c r="AE566" s="62"/>
      <c r="AF566" s="63"/>
      <c r="AG566" s="64" t="str">
        <f t="shared" si="67"/>
        <v/>
      </c>
    </row>
    <row r="567" spans="1:33" x14ac:dyDescent="0.25">
      <c r="A567" s="46" t="str">
        <f>IF(ISBLANK(inbound_data[[#This Row],[Receiving Report ref.'#]]),"",IF(inbound_data[[#This Row],[Ending Quantity]]=0,"ZERO","INV"))</f>
        <v/>
      </c>
      <c r="B567" s="165" t="str">
        <f t="shared" si="61"/>
        <v/>
      </c>
      <c r="C567" s="165" t="str">
        <f>IF(ISBLANK(D567),"",inbound_data[[#This Row],[Pallet_Series]]&amp;inbound_data[[#This Row],[No.]])</f>
        <v/>
      </c>
      <c r="D567" s="54"/>
      <c r="E567" s="55"/>
      <c r="F567" s="56"/>
      <c r="G567" s="57"/>
      <c r="H567" s="53"/>
      <c r="I567" s="53"/>
      <c r="J567" s="55"/>
      <c r="K567" s="58"/>
      <c r="L567" s="59"/>
      <c r="M567" s="55"/>
      <c r="N567" s="60"/>
      <c r="O567" s="60"/>
      <c r="P567" s="165" t="str">
        <f t="shared" ca="1" si="62"/>
        <v/>
      </c>
      <c r="Q567" s="165" t="str">
        <f t="shared" ca="1" si="63"/>
        <v/>
      </c>
      <c r="R567" s="79"/>
      <c r="S567" s="80"/>
      <c r="T567" s="61">
        <f t="shared" si="64"/>
        <v>0</v>
      </c>
      <c r="U567" s="61">
        <f t="shared" si="65"/>
        <v>0</v>
      </c>
      <c r="V567" s="61">
        <f t="shared" si="66"/>
        <v>0</v>
      </c>
      <c r="W567" s="58"/>
      <c r="X567" s="58"/>
      <c r="Y567" s="53"/>
      <c r="Z567" s="57"/>
      <c r="AA567" s="62"/>
      <c r="AB567" s="62"/>
      <c r="AC567" s="62"/>
      <c r="AD567" s="62"/>
      <c r="AE567" s="62"/>
      <c r="AF567" s="63"/>
      <c r="AG567" s="64" t="str">
        <f t="shared" si="67"/>
        <v/>
      </c>
    </row>
    <row r="568" spans="1:33" x14ac:dyDescent="0.25">
      <c r="A568" s="46" t="str">
        <f>IF(ISBLANK(inbound_data[[#This Row],[Receiving Report ref.'#]]),"",IF(inbound_data[[#This Row],[Ending Quantity]]=0,"ZERO","INV"))</f>
        <v/>
      </c>
      <c r="B568" s="165" t="str">
        <f t="shared" si="61"/>
        <v/>
      </c>
      <c r="C568" s="165" t="str">
        <f>IF(ISBLANK(D568),"",inbound_data[[#This Row],[Pallet_Series]]&amp;inbound_data[[#This Row],[No.]])</f>
        <v/>
      </c>
      <c r="D568" s="54"/>
      <c r="E568" s="55"/>
      <c r="F568" s="56"/>
      <c r="G568" s="57"/>
      <c r="H568" s="53"/>
      <c r="I568" s="53"/>
      <c r="J568" s="55"/>
      <c r="K568" s="58"/>
      <c r="L568" s="59"/>
      <c r="M568" s="55"/>
      <c r="N568" s="60"/>
      <c r="O568" s="60"/>
      <c r="P568" s="165" t="str">
        <f t="shared" ca="1" si="62"/>
        <v/>
      </c>
      <c r="Q568" s="165" t="str">
        <f t="shared" ca="1" si="63"/>
        <v/>
      </c>
      <c r="R568" s="79"/>
      <c r="S568" s="80"/>
      <c r="T568" s="61">
        <f t="shared" si="64"/>
        <v>0</v>
      </c>
      <c r="U568" s="61">
        <f t="shared" si="65"/>
        <v>0</v>
      </c>
      <c r="V568" s="61">
        <f t="shared" si="66"/>
        <v>0</v>
      </c>
      <c r="W568" s="58"/>
      <c r="X568" s="58"/>
      <c r="Y568" s="53"/>
      <c r="Z568" s="57"/>
      <c r="AA568" s="62"/>
      <c r="AB568" s="62"/>
      <c r="AC568" s="62"/>
      <c r="AD568" s="62"/>
      <c r="AE568" s="62"/>
      <c r="AF568" s="63"/>
      <c r="AG568" s="64" t="str">
        <f t="shared" si="67"/>
        <v/>
      </c>
    </row>
    <row r="569" spans="1:33" x14ac:dyDescent="0.25">
      <c r="A569" s="46" t="str">
        <f>IF(ISBLANK(inbound_data[[#This Row],[Receiving Report ref.'#]]),"",IF(inbound_data[[#This Row],[Ending Quantity]]=0,"ZERO","INV"))</f>
        <v/>
      </c>
      <c r="B569" s="165" t="str">
        <f t="shared" si="61"/>
        <v/>
      </c>
      <c r="C569" s="165" t="str">
        <f>IF(ISBLANK(D569),"",inbound_data[[#This Row],[Pallet_Series]]&amp;inbound_data[[#This Row],[No.]])</f>
        <v/>
      </c>
      <c r="D569" s="54"/>
      <c r="E569" s="55"/>
      <c r="F569" s="56"/>
      <c r="G569" s="57"/>
      <c r="H569" s="53"/>
      <c r="I569" s="53"/>
      <c r="J569" s="55"/>
      <c r="K569" s="58"/>
      <c r="L569" s="59"/>
      <c r="M569" s="55"/>
      <c r="N569" s="60"/>
      <c r="O569" s="60"/>
      <c r="P569" s="165" t="str">
        <f t="shared" ca="1" si="62"/>
        <v/>
      </c>
      <c r="Q569" s="165" t="str">
        <f t="shared" ca="1" si="63"/>
        <v/>
      </c>
      <c r="R569" s="79"/>
      <c r="S569" s="80"/>
      <c r="T569" s="61">
        <f t="shared" si="64"/>
        <v>0</v>
      </c>
      <c r="U569" s="61">
        <f t="shared" si="65"/>
        <v>0</v>
      </c>
      <c r="V569" s="61">
        <f t="shared" si="66"/>
        <v>0</v>
      </c>
      <c r="W569" s="58"/>
      <c r="X569" s="58"/>
      <c r="Y569" s="53"/>
      <c r="Z569" s="57"/>
      <c r="AA569" s="62"/>
      <c r="AB569" s="62"/>
      <c r="AC569" s="62"/>
      <c r="AD569" s="62"/>
      <c r="AE569" s="62"/>
      <c r="AF569" s="63"/>
      <c r="AG569" s="64" t="str">
        <f t="shared" si="67"/>
        <v/>
      </c>
    </row>
    <row r="570" spans="1:33" x14ac:dyDescent="0.25">
      <c r="A570" s="46" t="str">
        <f>IF(ISBLANK(inbound_data[[#This Row],[Receiving Report ref.'#]]),"",IF(inbound_data[[#This Row],[Ending Quantity]]=0,"ZERO","INV"))</f>
        <v/>
      </c>
      <c r="B570" s="165" t="str">
        <f t="shared" si="61"/>
        <v/>
      </c>
      <c r="C570" s="165" t="str">
        <f>IF(ISBLANK(D570),"",inbound_data[[#This Row],[Pallet_Series]]&amp;inbound_data[[#This Row],[No.]])</f>
        <v/>
      </c>
      <c r="D570" s="54"/>
      <c r="E570" s="55"/>
      <c r="F570" s="56"/>
      <c r="G570" s="57"/>
      <c r="H570" s="53"/>
      <c r="I570" s="53"/>
      <c r="J570" s="55"/>
      <c r="K570" s="58"/>
      <c r="L570" s="59"/>
      <c r="M570" s="55"/>
      <c r="N570" s="60"/>
      <c r="O570" s="60"/>
      <c r="P570" s="165" t="str">
        <f t="shared" ca="1" si="62"/>
        <v/>
      </c>
      <c r="Q570" s="165" t="str">
        <f t="shared" ca="1" si="63"/>
        <v/>
      </c>
      <c r="R570" s="79"/>
      <c r="S570" s="80"/>
      <c r="T570" s="61">
        <f t="shared" si="64"/>
        <v>0</v>
      </c>
      <c r="U570" s="61">
        <f t="shared" si="65"/>
        <v>0</v>
      </c>
      <c r="V570" s="61">
        <f t="shared" si="66"/>
        <v>0</v>
      </c>
      <c r="W570" s="58"/>
      <c r="X570" s="58"/>
      <c r="Y570" s="53"/>
      <c r="Z570" s="57"/>
      <c r="AA570" s="62"/>
      <c r="AB570" s="62"/>
      <c r="AC570" s="62"/>
      <c r="AD570" s="62"/>
      <c r="AE570" s="62"/>
      <c r="AF570" s="63"/>
      <c r="AG570" s="64" t="str">
        <f t="shared" si="67"/>
        <v/>
      </c>
    </row>
    <row r="571" spans="1:33" x14ac:dyDescent="0.25">
      <c r="A571" s="46" t="str">
        <f>IF(ISBLANK(inbound_data[[#This Row],[Receiving Report ref.'#]]),"",IF(inbound_data[[#This Row],[Ending Quantity]]=0,"ZERO","INV"))</f>
        <v/>
      </c>
      <c r="B571" s="165" t="str">
        <f t="shared" si="61"/>
        <v/>
      </c>
      <c r="C571" s="165" t="str">
        <f>IF(ISBLANK(D571),"",inbound_data[[#This Row],[Pallet_Series]]&amp;inbound_data[[#This Row],[No.]])</f>
        <v/>
      </c>
      <c r="D571" s="54"/>
      <c r="E571" s="55"/>
      <c r="F571" s="56"/>
      <c r="G571" s="57"/>
      <c r="H571" s="53"/>
      <c r="I571" s="53"/>
      <c r="J571" s="55"/>
      <c r="K571" s="58"/>
      <c r="L571" s="59"/>
      <c r="M571" s="55"/>
      <c r="N571" s="60"/>
      <c r="O571" s="60"/>
      <c r="P571" s="165" t="str">
        <f t="shared" ca="1" si="62"/>
        <v/>
      </c>
      <c r="Q571" s="165" t="str">
        <f t="shared" ca="1" si="63"/>
        <v/>
      </c>
      <c r="R571" s="79"/>
      <c r="S571" s="80"/>
      <c r="T571" s="61">
        <f t="shared" si="64"/>
        <v>0</v>
      </c>
      <c r="U571" s="61">
        <f t="shared" si="65"/>
        <v>0</v>
      </c>
      <c r="V571" s="61">
        <f t="shared" si="66"/>
        <v>0</v>
      </c>
      <c r="W571" s="58"/>
      <c r="X571" s="58"/>
      <c r="Y571" s="53"/>
      <c r="Z571" s="57"/>
      <c r="AA571" s="62"/>
      <c r="AB571" s="62"/>
      <c r="AC571" s="62"/>
      <c r="AD571" s="62"/>
      <c r="AE571" s="62"/>
      <c r="AF571" s="63"/>
      <c r="AG571" s="64" t="str">
        <f t="shared" si="67"/>
        <v/>
      </c>
    </row>
    <row r="572" spans="1:33" x14ac:dyDescent="0.25">
      <c r="A572" s="46" t="str">
        <f>IF(ISBLANK(inbound_data[[#This Row],[Receiving Report ref.'#]]),"",IF(inbound_data[[#This Row],[Ending Quantity]]=0,"ZERO","INV"))</f>
        <v/>
      </c>
      <c r="B572" s="165" t="str">
        <f t="shared" si="61"/>
        <v/>
      </c>
      <c r="C572" s="165" t="str">
        <f>IF(ISBLANK(D572),"",inbound_data[[#This Row],[Pallet_Series]]&amp;inbound_data[[#This Row],[No.]])</f>
        <v/>
      </c>
      <c r="D572" s="54"/>
      <c r="E572" s="55"/>
      <c r="F572" s="56"/>
      <c r="G572" s="57"/>
      <c r="H572" s="53"/>
      <c r="I572" s="53"/>
      <c r="J572" s="55"/>
      <c r="K572" s="58"/>
      <c r="L572" s="59"/>
      <c r="M572" s="55"/>
      <c r="N572" s="60"/>
      <c r="O572" s="60"/>
      <c r="P572" s="165" t="str">
        <f t="shared" ca="1" si="62"/>
        <v/>
      </c>
      <c r="Q572" s="165" t="str">
        <f t="shared" ca="1" si="63"/>
        <v/>
      </c>
      <c r="R572" s="79"/>
      <c r="S572" s="80"/>
      <c r="T572" s="61">
        <f t="shared" si="64"/>
        <v>0</v>
      </c>
      <c r="U572" s="61">
        <f t="shared" si="65"/>
        <v>0</v>
      </c>
      <c r="V572" s="61">
        <f t="shared" si="66"/>
        <v>0</v>
      </c>
      <c r="W572" s="58"/>
      <c r="X572" s="58"/>
      <c r="Y572" s="53"/>
      <c r="Z572" s="57"/>
      <c r="AA572" s="62"/>
      <c r="AB572" s="62"/>
      <c r="AC572" s="62"/>
      <c r="AD572" s="62"/>
      <c r="AE572" s="62"/>
      <c r="AF572" s="63"/>
      <c r="AG572" s="64" t="str">
        <f t="shared" si="67"/>
        <v/>
      </c>
    </row>
    <row r="573" spans="1:33" x14ac:dyDescent="0.25">
      <c r="A573" s="46" t="str">
        <f>IF(ISBLANK(inbound_data[[#This Row],[Receiving Report ref.'#]]),"",IF(inbound_data[[#This Row],[Ending Quantity]]=0,"ZERO","INV"))</f>
        <v/>
      </c>
      <c r="B573" s="165" t="str">
        <f t="shared" si="61"/>
        <v/>
      </c>
      <c r="C573" s="165" t="str">
        <f>IF(ISBLANK(D573),"",inbound_data[[#This Row],[Pallet_Series]]&amp;inbound_data[[#This Row],[No.]])</f>
        <v/>
      </c>
      <c r="D573" s="54"/>
      <c r="E573" s="55"/>
      <c r="F573" s="56"/>
      <c r="G573" s="57"/>
      <c r="H573" s="53"/>
      <c r="I573" s="53"/>
      <c r="J573" s="55"/>
      <c r="K573" s="58"/>
      <c r="L573" s="59"/>
      <c r="M573" s="55"/>
      <c r="N573" s="60"/>
      <c r="O573" s="60"/>
      <c r="P573" s="165" t="str">
        <f t="shared" ca="1" si="62"/>
        <v/>
      </c>
      <c r="Q573" s="165" t="str">
        <f t="shared" ca="1" si="63"/>
        <v/>
      </c>
      <c r="R573" s="79"/>
      <c r="S573" s="80"/>
      <c r="T573" s="61">
        <f t="shared" si="64"/>
        <v>0</v>
      </c>
      <c r="U573" s="61">
        <f t="shared" si="65"/>
        <v>0</v>
      </c>
      <c r="V573" s="61">
        <f t="shared" si="66"/>
        <v>0</v>
      </c>
      <c r="W573" s="58"/>
      <c r="X573" s="58"/>
      <c r="Y573" s="53"/>
      <c r="Z573" s="57"/>
      <c r="AA573" s="62"/>
      <c r="AB573" s="62"/>
      <c r="AC573" s="62"/>
      <c r="AD573" s="62"/>
      <c r="AE573" s="62"/>
      <c r="AF573" s="63"/>
      <c r="AG573" s="64" t="str">
        <f t="shared" si="67"/>
        <v/>
      </c>
    </row>
    <row r="574" spans="1:33" x14ac:dyDescent="0.25">
      <c r="A574" s="46" t="str">
        <f>IF(ISBLANK(inbound_data[[#This Row],[Receiving Report ref.'#]]),"",IF(inbound_data[[#This Row],[Ending Quantity]]=0,"ZERO","INV"))</f>
        <v/>
      </c>
      <c r="B574" s="165" t="str">
        <f t="shared" si="61"/>
        <v/>
      </c>
      <c r="C574" s="165" t="str">
        <f>IF(ISBLANK(D574),"",inbound_data[[#This Row],[Pallet_Series]]&amp;inbound_data[[#This Row],[No.]])</f>
        <v/>
      </c>
      <c r="D574" s="54"/>
      <c r="E574" s="55"/>
      <c r="F574" s="56"/>
      <c r="G574" s="57"/>
      <c r="H574" s="53"/>
      <c r="I574" s="53"/>
      <c r="J574" s="55"/>
      <c r="K574" s="58"/>
      <c r="L574" s="59"/>
      <c r="M574" s="55"/>
      <c r="N574" s="60"/>
      <c r="O574" s="60"/>
      <c r="P574" s="165" t="str">
        <f t="shared" ca="1" si="62"/>
        <v/>
      </c>
      <c r="Q574" s="165" t="str">
        <f t="shared" ca="1" si="63"/>
        <v/>
      </c>
      <c r="R574" s="79"/>
      <c r="S574" s="80"/>
      <c r="T574" s="61">
        <f t="shared" si="64"/>
        <v>0</v>
      </c>
      <c r="U574" s="61">
        <f t="shared" si="65"/>
        <v>0</v>
      </c>
      <c r="V574" s="61">
        <f t="shared" si="66"/>
        <v>0</v>
      </c>
      <c r="W574" s="58"/>
      <c r="X574" s="58"/>
      <c r="Y574" s="53"/>
      <c r="Z574" s="57"/>
      <c r="AA574" s="62"/>
      <c r="AB574" s="62"/>
      <c r="AC574" s="62"/>
      <c r="AD574" s="62"/>
      <c r="AE574" s="62"/>
      <c r="AF574" s="63"/>
      <c r="AG574" s="64" t="str">
        <f t="shared" si="67"/>
        <v/>
      </c>
    </row>
    <row r="575" spans="1:33" x14ac:dyDescent="0.25">
      <c r="A575" s="46" t="str">
        <f>IF(ISBLANK(inbound_data[[#This Row],[Receiving Report ref.'#]]),"",IF(inbound_data[[#This Row],[Ending Quantity]]=0,"ZERO","INV"))</f>
        <v/>
      </c>
      <c r="B575" s="165" t="str">
        <f t="shared" si="61"/>
        <v/>
      </c>
      <c r="C575" s="165" t="str">
        <f>IF(ISBLANK(D575),"",inbound_data[[#This Row],[Pallet_Series]]&amp;inbound_data[[#This Row],[No.]])</f>
        <v/>
      </c>
      <c r="D575" s="54"/>
      <c r="E575" s="55"/>
      <c r="F575" s="56"/>
      <c r="G575" s="57"/>
      <c r="H575" s="53"/>
      <c r="I575" s="53"/>
      <c r="J575" s="55"/>
      <c r="K575" s="58"/>
      <c r="L575" s="59"/>
      <c r="M575" s="55"/>
      <c r="N575" s="60"/>
      <c r="O575" s="60"/>
      <c r="P575" s="165" t="str">
        <f t="shared" ca="1" si="62"/>
        <v/>
      </c>
      <c r="Q575" s="165" t="str">
        <f t="shared" ca="1" si="63"/>
        <v/>
      </c>
      <c r="R575" s="79"/>
      <c r="S575" s="80"/>
      <c r="T575" s="61">
        <f t="shared" si="64"/>
        <v>0</v>
      </c>
      <c r="U575" s="61">
        <f t="shared" si="65"/>
        <v>0</v>
      </c>
      <c r="V575" s="61">
        <f t="shared" si="66"/>
        <v>0</v>
      </c>
      <c r="W575" s="58"/>
      <c r="X575" s="58"/>
      <c r="Y575" s="53"/>
      <c r="Z575" s="57"/>
      <c r="AA575" s="62"/>
      <c r="AB575" s="62"/>
      <c r="AC575" s="62"/>
      <c r="AD575" s="62"/>
      <c r="AE575" s="62"/>
      <c r="AF575" s="63"/>
      <c r="AG575" s="64" t="str">
        <f t="shared" si="67"/>
        <v/>
      </c>
    </row>
    <row r="576" spans="1:33" x14ac:dyDescent="0.25">
      <c r="A576" s="46" t="str">
        <f>IF(ISBLANK(inbound_data[[#This Row],[Receiving Report ref.'#]]),"",IF(inbound_data[[#This Row],[Ending Quantity]]=0,"ZERO","INV"))</f>
        <v/>
      </c>
      <c r="B576" s="165" t="str">
        <f t="shared" si="61"/>
        <v/>
      </c>
      <c r="C576" s="165" t="str">
        <f>IF(ISBLANK(D576),"",inbound_data[[#This Row],[Pallet_Series]]&amp;inbound_data[[#This Row],[No.]])</f>
        <v/>
      </c>
      <c r="D576" s="54"/>
      <c r="E576" s="55"/>
      <c r="F576" s="56"/>
      <c r="G576" s="57"/>
      <c r="H576" s="53"/>
      <c r="I576" s="53"/>
      <c r="J576" s="55"/>
      <c r="K576" s="58"/>
      <c r="L576" s="59"/>
      <c r="M576" s="55"/>
      <c r="N576" s="60"/>
      <c r="O576" s="60"/>
      <c r="P576" s="165" t="str">
        <f t="shared" ca="1" si="62"/>
        <v/>
      </c>
      <c r="Q576" s="165" t="str">
        <f t="shared" ca="1" si="63"/>
        <v/>
      </c>
      <c r="R576" s="79"/>
      <c r="S576" s="80"/>
      <c r="T576" s="61">
        <f t="shared" si="64"/>
        <v>0</v>
      </c>
      <c r="U576" s="61">
        <f t="shared" si="65"/>
        <v>0</v>
      </c>
      <c r="V576" s="61">
        <f t="shared" si="66"/>
        <v>0</v>
      </c>
      <c r="W576" s="58"/>
      <c r="X576" s="58"/>
      <c r="Y576" s="53"/>
      <c r="Z576" s="57"/>
      <c r="AA576" s="62"/>
      <c r="AB576" s="62"/>
      <c r="AC576" s="62"/>
      <c r="AD576" s="62"/>
      <c r="AE576" s="62"/>
      <c r="AF576" s="63"/>
      <c r="AG576" s="64" t="str">
        <f t="shared" si="67"/>
        <v/>
      </c>
    </row>
    <row r="577" spans="1:33" x14ac:dyDescent="0.25">
      <c r="A577" s="46" t="str">
        <f>IF(ISBLANK(inbound_data[[#This Row],[Receiving Report ref.'#]]),"",IF(inbound_data[[#This Row],[Ending Quantity]]=0,"ZERO","INV"))</f>
        <v/>
      </c>
      <c r="B577" s="165" t="str">
        <f t="shared" si="61"/>
        <v/>
      </c>
      <c r="C577" s="165" t="str">
        <f>IF(ISBLANK(D577),"",inbound_data[[#This Row],[Pallet_Series]]&amp;inbound_data[[#This Row],[No.]])</f>
        <v/>
      </c>
      <c r="D577" s="54"/>
      <c r="E577" s="55"/>
      <c r="F577" s="56"/>
      <c r="G577" s="57"/>
      <c r="H577" s="53"/>
      <c r="I577" s="53"/>
      <c r="J577" s="55"/>
      <c r="K577" s="58"/>
      <c r="L577" s="59"/>
      <c r="M577" s="55"/>
      <c r="N577" s="60"/>
      <c r="O577" s="60"/>
      <c r="P577" s="165" t="str">
        <f t="shared" ca="1" si="62"/>
        <v/>
      </c>
      <c r="Q577" s="165" t="str">
        <f t="shared" ca="1" si="63"/>
        <v/>
      </c>
      <c r="R577" s="79"/>
      <c r="S577" s="80"/>
      <c r="T577" s="61">
        <f t="shared" si="64"/>
        <v>0</v>
      </c>
      <c r="U577" s="61">
        <f t="shared" si="65"/>
        <v>0</v>
      </c>
      <c r="V577" s="61">
        <f t="shared" si="66"/>
        <v>0</v>
      </c>
      <c r="W577" s="58"/>
      <c r="X577" s="58"/>
      <c r="Y577" s="53"/>
      <c r="Z577" s="57"/>
      <c r="AA577" s="62"/>
      <c r="AB577" s="62"/>
      <c r="AC577" s="62"/>
      <c r="AD577" s="62"/>
      <c r="AE577" s="62"/>
      <c r="AF577" s="63"/>
      <c r="AG577" s="64" t="str">
        <f t="shared" si="67"/>
        <v/>
      </c>
    </row>
    <row r="578" spans="1:33" x14ac:dyDescent="0.25">
      <c r="A578" s="46" t="str">
        <f>IF(ISBLANK(inbound_data[[#This Row],[Receiving Report ref.'#]]),"",IF(inbound_data[[#This Row],[Ending Quantity]]=0,"ZERO","INV"))</f>
        <v/>
      </c>
      <c r="B578" s="165" t="str">
        <f t="shared" si="61"/>
        <v/>
      </c>
      <c r="C578" s="165" t="str">
        <f>IF(ISBLANK(D578),"",inbound_data[[#This Row],[Pallet_Series]]&amp;inbound_data[[#This Row],[No.]])</f>
        <v/>
      </c>
      <c r="D578" s="54"/>
      <c r="E578" s="55"/>
      <c r="F578" s="56"/>
      <c r="G578" s="57"/>
      <c r="H578" s="53"/>
      <c r="I578" s="53"/>
      <c r="J578" s="55"/>
      <c r="K578" s="58"/>
      <c r="L578" s="59"/>
      <c r="M578" s="55"/>
      <c r="N578" s="60"/>
      <c r="O578" s="60"/>
      <c r="P578" s="165" t="str">
        <f t="shared" ca="1" si="62"/>
        <v/>
      </c>
      <c r="Q578" s="165" t="str">
        <f t="shared" ca="1" si="63"/>
        <v/>
      </c>
      <c r="R578" s="79"/>
      <c r="S578" s="80"/>
      <c r="T578" s="61">
        <f t="shared" si="64"/>
        <v>0</v>
      </c>
      <c r="U578" s="61">
        <f t="shared" si="65"/>
        <v>0</v>
      </c>
      <c r="V578" s="61">
        <f t="shared" si="66"/>
        <v>0</v>
      </c>
      <c r="W578" s="58"/>
      <c r="X578" s="58"/>
      <c r="Y578" s="53"/>
      <c r="Z578" s="57"/>
      <c r="AA578" s="62"/>
      <c r="AB578" s="62"/>
      <c r="AC578" s="62"/>
      <c r="AD578" s="62"/>
      <c r="AE578" s="62"/>
      <c r="AF578" s="63"/>
      <c r="AG578" s="64" t="str">
        <f t="shared" si="67"/>
        <v/>
      </c>
    </row>
    <row r="579" spans="1:33" x14ac:dyDescent="0.25">
      <c r="A579" s="46" t="str">
        <f>IF(ISBLANK(inbound_data[[#This Row],[Receiving Report ref.'#]]),"",IF(inbound_data[[#This Row],[Ending Quantity]]=0,"ZERO","INV"))</f>
        <v/>
      </c>
      <c r="B579" s="165" t="str">
        <f t="shared" si="61"/>
        <v/>
      </c>
      <c r="C579" s="165" t="str">
        <f>IF(ISBLANK(D579),"",inbound_data[[#This Row],[Pallet_Series]]&amp;inbound_data[[#This Row],[No.]])</f>
        <v/>
      </c>
      <c r="D579" s="54"/>
      <c r="E579" s="55"/>
      <c r="F579" s="56"/>
      <c r="G579" s="57"/>
      <c r="H579" s="53"/>
      <c r="I579" s="53"/>
      <c r="J579" s="55"/>
      <c r="K579" s="58"/>
      <c r="L579" s="59"/>
      <c r="M579" s="55"/>
      <c r="N579" s="60"/>
      <c r="O579" s="60"/>
      <c r="P579" s="165" t="str">
        <f t="shared" ca="1" si="62"/>
        <v/>
      </c>
      <c r="Q579" s="165" t="str">
        <f t="shared" ca="1" si="63"/>
        <v/>
      </c>
      <c r="R579" s="79"/>
      <c r="S579" s="80"/>
      <c r="T579" s="61">
        <f t="shared" si="64"/>
        <v>0</v>
      </c>
      <c r="U579" s="61">
        <f t="shared" si="65"/>
        <v>0</v>
      </c>
      <c r="V579" s="61">
        <f t="shared" si="66"/>
        <v>0</v>
      </c>
      <c r="W579" s="58"/>
      <c r="X579" s="58"/>
      <c r="Y579" s="53"/>
      <c r="Z579" s="57"/>
      <c r="AA579" s="62"/>
      <c r="AB579" s="62"/>
      <c r="AC579" s="62"/>
      <c r="AD579" s="62"/>
      <c r="AE579" s="62"/>
      <c r="AF579" s="63"/>
      <c r="AG579" s="64" t="str">
        <f t="shared" si="67"/>
        <v/>
      </c>
    </row>
    <row r="580" spans="1:33" x14ac:dyDescent="0.25">
      <c r="A580" s="46" t="str">
        <f>IF(ISBLANK(inbound_data[[#This Row],[Receiving Report ref.'#]]),"",IF(inbound_data[[#This Row],[Ending Quantity]]=0,"ZERO","INV"))</f>
        <v/>
      </c>
      <c r="B580" s="165" t="str">
        <f t="shared" si="61"/>
        <v/>
      </c>
      <c r="C580" s="165" t="str">
        <f>IF(ISBLANK(D580),"",inbound_data[[#This Row],[Pallet_Series]]&amp;inbound_data[[#This Row],[No.]])</f>
        <v/>
      </c>
      <c r="D580" s="54"/>
      <c r="E580" s="55"/>
      <c r="F580" s="56"/>
      <c r="G580" s="57"/>
      <c r="H580" s="53"/>
      <c r="I580" s="53"/>
      <c r="J580" s="55"/>
      <c r="K580" s="58"/>
      <c r="L580" s="59"/>
      <c r="M580" s="55"/>
      <c r="N580" s="60"/>
      <c r="O580" s="60"/>
      <c r="P580" s="165" t="str">
        <f t="shared" ca="1" si="62"/>
        <v/>
      </c>
      <c r="Q580" s="165" t="str">
        <f t="shared" ca="1" si="63"/>
        <v/>
      </c>
      <c r="R580" s="79"/>
      <c r="S580" s="80"/>
      <c r="T580" s="61">
        <f t="shared" si="64"/>
        <v>0</v>
      </c>
      <c r="U580" s="61">
        <f t="shared" si="65"/>
        <v>0</v>
      </c>
      <c r="V580" s="61">
        <f t="shared" si="66"/>
        <v>0</v>
      </c>
      <c r="W580" s="58"/>
      <c r="X580" s="58"/>
      <c r="Y580" s="53"/>
      <c r="Z580" s="57"/>
      <c r="AA580" s="62"/>
      <c r="AB580" s="62"/>
      <c r="AC580" s="62"/>
      <c r="AD580" s="62"/>
      <c r="AE580" s="62"/>
      <c r="AF580" s="63"/>
      <c r="AG580" s="64" t="str">
        <f t="shared" si="67"/>
        <v/>
      </c>
    </row>
    <row r="581" spans="1:33" x14ac:dyDescent="0.25">
      <c r="A581" s="46" t="str">
        <f>IF(ISBLANK(inbound_data[[#This Row],[Receiving Report ref.'#]]),"",IF(inbound_data[[#This Row],[Ending Quantity]]=0,"ZERO","INV"))</f>
        <v/>
      </c>
      <c r="B581" s="165" t="str">
        <f t="shared" si="61"/>
        <v/>
      </c>
      <c r="C581" s="165" t="str">
        <f>IF(ISBLANK(D581),"",inbound_data[[#This Row],[Pallet_Series]]&amp;inbound_data[[#This Row],[No.]])</f>
        <v/>
      </c>
      <c r="D581" s="54"/>
      <c r="E581" s="55"/>
      <c r="F581" s="56"/>
      <c r="G581" s="57"/>
      <c r="H581" s="53"/>
      <c r="I581" s="53"/>
      <c r="J581" s="55"/>
      <c r="K581" s="58"/>
      <c r="L581" s="59"/>
      <c r="M581" s="55"/>
      <c r="N581" s="60"/>
      <c r="O581" s="60"/>
      <c r="P581" s="165" t="str">
        <f t="shared" ca="1" si="62"/>
        <v/>
      </c>
      <c r="Q581" s="165" t="str">
        <f t="shared" ca="1" si="63"/>
        <v/>
      </c>
      <c r="R581" s="79"/>
      <c r="S581" s="80"/>
      <c r="T581" s="61">
        <f t="shared" si="64"/>
        <v>0</v>
      </c>
      <c r="U581" s="61">
        <f t="shared" si="65"/>
        <v>0</v>
      </c>
      <c r="V581" s="61">
        <f t="shared" si="66"/>
        <v>0</v>
      </c>
      <c r="W581" s="58"/>
      <c r="X581" s="58"/>
      <c r="Y581" s="53"/>
      <c r="Z581" s="57"/>
      <c r="AA581" s="62"/>
      <c r="AB581" s="62"/>
      <c r="AC581" s="62"/>
      <c r="AD581" s="62"/>
      <c r="AE581" s="62"/>
      <c r="AF581" s="63"/>
      <c r="AG581" s="64" t="str">
        <f t="shared" si="67"/>
        <v/>
      </c>
    </row>
    <row r="582" spans="1:33" x14ac:dyDescent="0.25">
      <c r="A582" s="46" t="str">
        <f>IF(ISBLANK(inbound_data[[#This Row],[Receiving Report ref.'#]]),"",IF(inbound_data[[#This Row],[Ending Quantity]]=0,"ZERO","INV"))</f>
        <v/>
      </c>
      <c r="B582" s="165" t="str">
        <f t="shared" si="61"/>
        <v/>
      </c>
      <c r="C582" s="165" t="str">
        <f>IF(ISBLANK(D582),"",inbound_data[[#This Row],[Pallet_Series]]&amp;inbound_data[[#This Row],[No.]])</f>
        <v/>
      </c>
      <c r="D582" s="54"/>
      <c r="E582" s="55"/>
      <c r="F582" s="56"/>
      <c r="G582" s="57"/>
      <c r="H582" s="53"/>
      <c r="I582" s="53"/>
      <c r="J582" s="55"/>
      <c r="K582" s="58"/>
      <c r="L582" s="59"/>
      <c r="M582" s="55"/>
      <c r="N582" s="60"/>
      <c r="O582" s="60"/>
      <c r="P582" s="165" t="str">
        <f t="shared" ca="1" si="62"/>
        <v/>
      </c>
      <c r="Q582" s="165" t="str">
        <f t="shared" ca="1" si="63"/>
        <v/>
      </c>
      <c r="R582" s="79"/>
      <c r="S582" s="80"/>
      <c r="T582" s="61">
        <f t="shared" si="64"/>
        <v>0</v>
      </c>
      <c r="U582" s="61">
        <f t="shared" si="65"/>
        <v>0</v>
      </c>
      <c r="V582" s="61">
        <f t="shared" si="66"/>
        <v>0</v>
      </c>
      <c r="W582" s="58"/>
      <c r="X582" s="58"/>
      <c r="Y582" s="53"/>
      <c r="Z582" s="57"/>
      <c r="AA582" s="62"/>
      <c r="AB582" s="62"/>
      <c r="AC582" s="62"/>
      <c r="AD582" s="62"/>
      <c r="AE582" s="62"/>
      <c r="AF582" s="63"/>
      <c r="AG582" s="64" t="str">
        <f t="shared" si="67"/>
        <v/>
      </c>
    </row>
    <row r="583" spans="1:33" x14ac:dyDescent="0.25">
      <c r="A583" s="46" t="str">
        <f>IF(ISBLANK(inbound_data[[#This Row],[Receiving Report ref.'#]]),"",IF(inbound_data[[#This Row],[Ending Quantity]]=0,"ZERO","INV"))</f>
        <v/>
      </c>
      <c r="B583" s="165" t="str">
        <f t="shared" si="61"/>
        <v/>
      </c>
      <c r="C583" s="165" t="str">
        <f>IF(ISBLANK(D583),"",inbound_data[[#This Row],[Pallet_Series]]&amp;inbound_data[[#This Row],[No.]])</f>
        <v/>
      </c>
      <c r="D583" s="54"/>
      <c r="E583" s="55"/>
      <c r="F583" s="56"/>
      <c r="G583" s="57"/>
      <c r="H583" s="53"/>
      <c r="I583" s="53"/>
      <c r="J583" s="55"/>
      <c r="K583" s="58"/>
      <c r="L583" s="59"/>
      <c r="M583" s="55"/>
      <c r="N583" s="60"/>
      <c r="O583" s="60"/>
      <c r="P583" s="165" t="str">
        <f t="shared" ca="1" si="62"/>
        <v/>
      </c>
      <c r="Q583" s="165" t="str">
        <f t="shared" ca="1" si="63"/>
        <v/>
      </c>
      <c r="R583" s="79"/>
      <c r="S583" s="80"/>
      <c r="T583" s="61">
        <f t="shared" si="64"/>
        <v>0</v>
      </c>
      <c r="U583" s="61">
        <f t="shared" si="65"/>
        <v>0</v>
      </c>
      <c r="V583" s="61">
        <f t="shared" si="66"/>
        <v>0</v>
      </c>
      <c r="W583" s="58"/>
      <c r="X583" s="58"/>
      <c r="Y583" s="53"/>
      <c r="Z583" s="57"/>
      <c r="AA583" s="62"/>
      <c r="AB583" s="62"/>
      <c r="AC583" s="62"/>
      <c r="AD583" s="62"/>
      <c r="AE583" s="62"/>
      <c r="AF583" s="63"/>
      <c r="AG583" s="64" t="str">
        <f t="shared" si="67"/>
        <v/>
      </c>
    </row>
    <row r="584" spans="1:33" x14ac:dyDescent="0.25">
      <c r="A584" s="46" t="str">
        <f>IF(ISBLANK(inbound_data[[#This Row],[Receiving Report ref.'#]]),"",IF(inbound_data[[#This Row],[Ending Quantity]]=0,"ZERO","INV"))</f>
        <v/>
      </c>
      <c r="B584" s="165" t="str">
        <f t="shared" si="61"/>
        <v/>
      </c>
      <c r="C584" s="165" t="str">
        <f>IF(ISBLANK(D584),"",inbound_data[[#This Row],[Pallet_Series]]&amp;inbound_data[[#This Row],[No.]])</f>
        <v/>
      </c>
      <c r="D584" s="54"/>
      <c r="E584" s="55"/>
      <c r="F584" s="56"/>
      <c r="G584" s="57"/>
      <c r="H584" s="53"/>
      <c r="I584" s="53"/>
      <c r="J584" s="55"/>
      <c r="K584" s="58"/>
      <c r="L584" s="59"/>
      <c r="M584" s="55"/>
      <c r="N584" s="60"/>
      <c r="O584" s="60"/>
      <c r="P584" s="165" t="str">
        <f t="shared" ca="1" si="62"/>
        <v/>
      </c>
      <c r="Q584" s="165" t="str">
        <f t="shared" ca="1" si="63"/>
        <v/>
      </c>
      <c r="R584" s="79"/>
      <c r="S584" s="80"/>
      <c r="T584" s="61">
        <f t="shared" si="64"/>
        <v>0</v>
      </c>
      <c r="U584" s="61">
        <f t="shared" si="65"/>
        <v>0</v>
      </c>
      <c r="V584" s="61">
        <f t="shared" si="66"/>
        <v>0</v>
      </c>
      <c r="W584" s="58"/>
      <c r="X584" s="58"/>
      <c r="Y584" s="53"/>
      <c r="Z584" s="57"/>
      <c r="AA584" s="62"/>
      <c r="AB584" s="62"/>
      <c r="AC584" s="62"/>
      <c r="AD584" s="62"/>
      <c r="AE584" s="62"/>
      <c r="AF584" s="63"/>
      <c r="AG584" s="64" t="str">
        <f t="shared" si="67"/>
        <v/>
      </c>
    </row>
    <row r="585" spans="1:33" x14ac:dyDescent="0.25">
      <c r="A585" s="46" t="str">
        <f>IF(ISBLANK(inbound_data[[#This Row],[Receiving Report ref.'#]]),"",IF(inbound_data[[#This Row],[Ending Quantity]]=0,"ZERO","INV"))</f>
        <v/>
      </c>
      <c r="B585" s="165" t="str">
        <f t="shared" ref="B585:B648" si="68">IF(ISBLANK(D585),"",TEXT(ROW(),"00000"))</f>
        <v/>
      </c>
      <c r="C585" s="165" t="str">
        <f>IF(ISBLANK(D585),"",inbound_data[[#This Row],[Pallet_Series]]&amp;inbound_data[[#This Row],[No.]])</f>
        <v/>
      </c>
      <c r="D585" s="54"/>
      <c r="E585" s="55"/>
      <c r="F585" s="56"/>
      <c r="G585" s="57"/>
      <c r="H585" s="53"/>
      <c r="I585" s="53"/>
      <c r="J585" s="55"/>
      <c r="K585" s="58"/>
      <c r="L585" s="59"/>
      <c r="M585" s="55"/>
      <c r="N585" s="60"/>
      <c r="O585" s="60"/>
      <c r="P585" s="165" t="str">
        <f t="shared" ref="P585:P648" ca="1" si="69">IF(A585="ZERO","",IF(O585="","",O585-TODAY()))</f>
        <v/>
      </c>
      <c r="Q585" s="165" t="str">
        <f t="shared" ref="Q585:Q648" ca="1" si="70">IF(A585="ZERO","",IF(P585&lt;0,"ALREADY EXPIRED",IF(P585&lt;60,"NEARLY EXPIRED","")))</f>
        <v/>
      </c>
      <c r="R585" s="79"/>
      <c r="S585" s="80"/>
      <c r="T585" s="61">
        <f t="shared" ref="T585:T648" si="71">IF(ISBLANK(R585),0,R585-SUMIF(STOCK_CODE_OUT,$C585,QTY_OUT))</f>
        <v>0</v>
      </c>
      <c r="U585" s="61">
        <f t="shared" ref="U585:U648" si="72">IF(ISBLANK(S585),0,S585-SUMIF(STOCK_CODE_OUT,$C585,KILOS_OUT))</f>
        <v>0</v>
      </c>
      <c r="V585" s="61">
        <f t="shared" ref="V585:V648" si="73">IF(ISBLANK(K585),0,K585-SUMIF(STOCK_CODE_OUT,$C585,PALLET_OUT))</f>
        <v>0</v>
      </c>
      <c r="W585" s="58"/>
      <c r="X585" s="58"/>
      <c r="Y585" s="53"/>
      <c r="Z585" s="57"/>
      <c r="AA585" s="62"/>
      <c r="AB585" s="62"/>
      <c r="AC585" s="62"/>
      <c r="AD585" s="62"/>
      <c r="AE585" s="62"/>
      <c r="AF585" s="63"/>
      <c r="AG585" s="64" t="str">
        <f t="shared" ref="AG585:AG648" si="74">IF(T585&gt;0,CONCATENATE(AA585,AB585,TEXT(AC585,"R00"),TEXT(AD585,"L0."),TEXT(AE585,"0")),"")</f>
        <v/>
      </c>
    </row>
    <row r="586" spans="1:33" x14ac:dyDescent="0.25">
      <c r="A586" s="46" t="str">
        <f>IF(ISBLANK(inbound_data[[#This Row],[Receiving Report ref.'#]]),"",IF(inbound_data[[#This Row],[Ending Quantity]]=0,"ZERO","INV"))</f>
        <v/>
      </c>
      <c r="B586" s="165" t="str">
        <f t="shared" si="68"/>
        <v/>
      </c>
      <c r="C586" s="165" t="str">
        <f>IF(ISBLANK(D586),"",inbound_data[[#This Row],[Pallet_Series]]&amp;inbound_data[[#This Row],[No.]])</f>
        <v/>
      </c>
      <c r="D586" s="54"/>
      <c r="E586" s="55"/>
      <c r="F586" s="56"/>
      <c r="G586" s="57"/>
      <c r="H586" s="53"/>
      <c r="I586" s="53"/>
      <c r="J586" s="55"/>
      <c r="K586" s="58"/>
      <c r="L586" s="59"/>
      <c r="M586" s="55"/>
      <c r="N586" s="60"/>
      <c r="O586" s="60"/>
      <c r="P586" s="165" t="str">
        <f t="shared" ca="1" si="69"/>
        <v/>
      </c>
      <c r="Q586" s="165" t="str">
        <f t="shared" ca="1" si="70"/>
        <v/>
      </c>
      <c r="R586" s="79"/>
      <c r="S586" s="80"/>
      <c r="T586" s="61">
        <f t="shared" si="71"/>
        <v>0</v>
      </c>
      <c r="U586" s="61">
        <f t="shared" si="72"/>
        <v>0</v>
      </c>
      <c r="V586" s="61">
        <f t="shared" si="73"/>
        <v>0</v>
      </c>
      <c r="W586" s="58"/>
      <c r="X586" s="58"/>
      <c r="Y586" s="53"/>
      <c r="Z586" s="57"/>
      <c r="AA586" s="62"/>
      <c r="AB586" s="62"/>
      <c r="AC586" s="62"/>
      <c r="AD586" s="62"/>
      <c r="AE586" s="62"/>
      <c r="AF586" s="63"/>
      <c r="AG586" s="64" t="str">
        <f t="shared" si="74"/>
        <v/>
      </c>
    </row>
    <row r="587" spans="1:33" x14ac:dyDescent="0.25">
      <c r="A587" s="46" t="str">
        <f>IF(ISBLANK(inbound_data[[#This Row],[Receiving Report ref.'#]]),"",IF(inbound_data[[#This Row],[Ending Quantity]]=0,"ZERO","INV"))</f>
        <v/>
      </c>
      <c r="B587" s="165" t="str">
        <f t="shared" si="68"/>
        <v/>
      </c>
      <c r="C587" s="165" t="str">
        <f>IF(ISBLANK(D587),"",inbound_data[[#This Row],[Pallet_Series]]&amp;inbound_data[[#This Row],[No.]])</f>
        <v/>
      </c>
      <c r="D587" s="54"/>
      <c r="E587" s="55"/>
      <c r="F587" s="56"/>
      <c r="G587" s="57"/>
      <c r="H587" s="53"/>
      <c r="I587" s="53"/>
      <c r="J587" s="55"/>
      <c r="K587" s="58"/>
      <c r="L587" s="59"/>
      <c r="M587" s="55"/>
      <c r="N587" s="60"/>
      <c r="O587" s="60"/>
      <c r="P587" s="165" t="str">
        <f t="shared" ca="1" si="69"/>
        <v/>
      </c>
      <c r="Q587" s="165" t="str">
        <f t="shared" ca="1" si="70"/>
        <v/>
      </c>
      <c r="R587" s="79"/>
      <c r="S587" s="80"/>
      <c r="T587" s="61">
        <f t="shared" si="71"/>
        <v>0</v>
      </c>
      <c r="U587" s="61">
        <f t="shared" si="72"/>
        <v>0</v>
      </c>
      <c r="V587" s="61">
        <f t="shared" si="73"/>
        <v>0</v>
      </c>
      <c r="W587" s="58"/>
      <c r="X587" s="58"/>
      <c r="Y587" s="53"/>
      <c r="Z587" s="57"/>
      <c r="AA587" s="62"/>
      <c r="AB587" s="62"/>
      <c r="AC587" s="62"/>
      <c r="AD587" s="62"/>
      <c r="AE587" s="62"/>
      <c r="AF587" s="63"/>
      <c r="AG587" s="64" t="str">
        <f t="shared" si="74"/>
        <v/>
      </c>
    </row>
    <row r="588" spans="1:33" x14ac:dyDescent="0.25">
      <c r="A588" s="46" t="str">
        <f>IF(ISBLANK(inbound_data[[#This Row],[Receiving Report ref.'#]]),"",IF(inbound_data[[#This Row],[Ending Quantity]]=0,"ZERO","INV"))</f>
        <v/>
      </c>
      <c r="B588" s="165" t="str">
        <f t="shared" si="68"/>
        <v/>
      </c>
      <c r="C588" s="165" t="str">
        <f>IF(ISBLANK(D588),"",inbound_data[[#This Row],[Pallet_Series]]&amp;inbound_data[[#This Row],[No.]])</f>
        <v/>
      </c>
      <c r="D588" s="54"/>
      <c r="E588" s="55"/>
      <c r="F588" s="56"/>
      <c r="G588" s="57"/>
      <c r="H588" s="53"/>
      <c r="I588" s="53"/>
      <c r="J588" s="55"/>
      <c r="K588" s="58"/>
      <c r="L588" s="59"/>
      <c r="M588" s="55"/>
      <c r="N588" s="60"/>
      <c r="O588" s="60"/>
      <c r="P588" s="165" t="str">
        <f t="shared" ca="1" si="69"/>
        <v/>
      </c>
      <c r="Q588" s="165" t="str">
        <f t="shared" ca="1" si="70"/>
        <v/>
      </c>
      <c r="R588" s="79"/>
      <c r="S588" s="80"/>
      <c r="T588" s="61">
        <f t="shared" si="71"/>
        <v>0</v>
      </c>
      <c r="U588" s="61">
        <f t="shared" si="72"/>
        <v>0</v>
      </c>
      <c r="V588" s="61">
        <f t="shared" si="73"/>
        <v>0</v>
      </c>
      <c r="W588" s="58"/>
      <c r="X588" s="58"/>
      <c r="Y588" s="53"/>
      <c r="Z588" s="57"/>
      <c r="AA588" s="62"/>
      <c r="AB588" s="62"/>
      <c r="AC588" s="62"/>
      <c r="AD588" s="62"/>
      <c r="AE588" s="62"/>
      <c r="AF588" s="63"/>
      <c r="AG588" s="64" t="str">
        <f t="shared" si="74"/>
        <v/>
      </c>
    </row>
    <row r="589" spans="1:33" x14ac:dyDescent="0.25">
      <c r="A589" s="46" t="str">
        <f>IF(ISBLANK(inbound_data[[#This Row],[Receiving Report ref.'#]]),"",IF(inbound_data[[#This Row],[Ending Quantity]]=0,"ZERO","INV"))</f>
        <v/>
      </c>
      <c r="B589" s="165" t="str">
        <f t="shared" si="68"/>
        <v/>
      </c>
      <c r="C589" s="165" t="str">
        <f>IF(ISBLANK(D589),"",inbound_data[[#This Row],[Pallet_Series]]&amp;inbound_data[[#This Row],[No.]])</f>
        <v/>
      </c>
      <c r="D589" s="54"/>
      <c r="E589" s="55"/>
      <c r="F589" s="56"/>
      <c r="G589" s="57"/>
      <c r="H589" s="53"/>
      <c r="I589" s="53"/>
      <c r="J589" s="55"/>
      <c r="K589" s="58"/>
      <c r="L589" s="59"/>
      <c r="M589" s="55"/>
      <c r="N589" s="60"/>
      <c r="O589" s="60"/>
      <c r="P589" s="165" t="str">
        <f t="shared" ca="1" si="69"/>
        <v/>
      </c>
      <c r="Q589" s="165" t="str">
        <f t="shared" ca="1" si="70"/>
        <v/>
      </c>
      <c r="R589" s="79"/>
      <c r="S589" s="80"/>
      <c r="T589" s="61">
        <f t="shared" si="71"/>
        <v>0</v>
      </c>
      <c r="U589" s="61">
        <f t="shared" si="72"/>
        <v>0</v>
      </c>
      <c r="V589" s="61">
        <f t="shared" si="73"/>
        <v>0</v>
      </c>
      <c r="W589" s="58"/>
      <c r="X589" s="58"/>
      <c r="Y589" s="53"/>
      <c r="Z589" s="57"/>
      <c r="AA589" s="62"/>
      <c r="AB589" s="62"/>
      <c r="AC589" s="62"/>
      <c r="AD589" s="62"/>
      <c r="AE589" s="62"/>
      <c r="AF589" s="63"/>
      <c r="AG589" s="64" t="str">
        <f t="shared" si="74"/>
        <v/>
      </c>
    </row>
    <row r="590" spans="1:33" x14ac:dyDescent="0.25">
      <c r="A590" s="46" t="str">
        <f>IF(ISBLANK(inbound_data[[#This Row],[Receiving Report ref.'#]]),"",IF(inbound_data[[#This Row],[Ending Quantity]]=0,"ZERO","INV"))</f>
        <v/>
      </c>
      <c r="B590" s="165" t="str">
        <f t="shared" si="68"/>
        <v/>
      </c>
      <c r="C590" s="165" t="str">
        <f>IF(ISBLANK(D590),"",inbound_data[[#This Row],[Pallet_Series]]&amp;inbound_data[[#This Row],[No.]])</f>
        <v/>
      </c>
      <c r="D590" s="54"/>
      <c r="E590" s="55"/>
      <c r="F590" s="56"/>
      <c r="G590" s="57"/>
      <c r="H590" s="53"/>
      <c r="I590" s="53"/>
      <c r="J590" s="55"/>
      <c r="K590" s="58"/>
      <c r="L590" s="59"/>
      <c r="M590" s="55"/>
      <c r="N590" s="60"/>
      <c r="O590" s="60"/>
      <c r="P590" s="165" t="str">
        <f t="shared" ca="1" si="69"/>
        <v/>
      </c>
      <c r="Q590" s="165" t="str">
        <f t="shared" ca="1" si="70"/>
        <v/>
      </c>
      <c r="R590" s="79"/>
      <c r="S590" s="80"/>
      <c r="T590" s="61">
        <f t="shared" si="71"/>
        <v>0</v>
      </c>
      <c r="U590" s="61">
        <f t="shared" si="72"/>
        <v>0</v>
      </c>
      <c r="V590" s="61">
        <f t="shared" si="73"/>
        <v>0</v>
      </c>
      <c r="W590" s="58"/>
      <c r="X590" s="58"/>
      <c r="Y590" s="53"/>
      <c r="Z590" s="57"/>
      <c r="AA590" s="62"/>
      <c r="AB590" s="62"/>
      <c r="AC590" s="62"/>
      <c r="AD590" s="62"/>
      <c r="AE590" s="62"/>
      <c r="AF590" s="63"/>
      <c r="AG590" s="64" t="str">
        <f t="shared" si="74"/>
        <v/>
      </c>
    </row>
    <row r="591" spans="1:33" x14ac:dyDescent="0.25">
      <c r="A591" s="46" t="str">
        <f>IF(ISBLANK(inbound_data[[#This Row],[Receiving Report ref.'#]]),"",IF(inbound_data[[#This Row],[Ending Quantity]]=0,"ZERO","INV"))</f>
        <v/>
      </c>
      <c r="B591" s="165" t="str">
        <f t="shared" si="68"/>
        <v/>
      </c>
      <c r="C591" s="165" t="str">
        <f>IF(ISBLANK(D591),"",inbound_data[[#This Row],[Pallet_Series]]&amp;inbound_data[[#This Row],[No.]])</f>
        <v/>
      </c>
      <c r="D591" s="54"/>
      <c r="E591" s="55"/>
      <c r="F591" s="56"/>
      <c r="G591" s="57"/>
      <c r="H591" s="53"/>
      <c r="I591" s="53"/>
      <c r="J591" s="55"/>
      <c r="K591" s="58"/>
      <c r="L591" s="59"/>
      <c r="M591" s="55"/>
      <c r="N591" s="60"/>
      <c r="O591" s="60"/>
      <c r="P591" s="165" t="str">
        <f t="shared" ca="1" si="69"/>
        <v/>
      </c>
      <c r="Q591" s="165" t="str">
        <f t="shared" ca="1" si="70"/>
        <v/>
      </c>
      <c r="R591" s="79"/>
      <c r="S591" s="80"/>
      <c r="T591" s="61">
        <f t="shared" si="71"/>
        <v>0</v>
      </c>
      <c r="U591" s="61">
        <f t="shared" si="72"/>
        <v>0</v>
      </c>
      <c r="V591" s="61">
        <f t="shared" si="73"/>
        <v>0</v>
      </c>
      <c r="W591" s="58"/>
      <c r="X591" s="58"/>
      <c r="Y591" s="53"/>
      <c r="Z591" s="57"/>
      <c r="AA591" s="62"/>
      <c r="AB591" s="62"/>
      <c r="AC591" s="62"/>
      <c r="AD591" s="62"/>
      <c r="AE591" s="62"/>
      <c r="AF591" s="63"/>
      <c r="AG591" s="64" t="str">
        <f t="shared" si="74"/>
        <v/>
      </c>
    </row>
    <row r="592" spans="1:33" x14ac:dyDescent="0.25">
      <c r="A592" s="46" t="str">
        <f>IF(ISBLANK(inbound_data[[#This Row],[Receiving Report ref.'#]]),"",IF(inbound_data[[#This Row],[Ending Quantity]]=0,"ZERO","INV"))</f>
        <v/>
      </c>
      <c r="B592" s="165" t="str">
        <f t="shared" si="68"/>
        <v/>
      </c>
      <c r="C592" s="165" t="str">
        <f>IF(ISBLANK(D592),"",inbound_data[[#This Row],[Pallet_Series]]&amp;inbound_data[[#This Row],[No.]])</f>
        <v/>
      </c>
      <c r="D592" s="54"/>
      <c r="E592" s="55"/>
      <c r="F592" s="56"/>
      <c r="G592" s="57"/>
      <c r="H592" s="53"/>
      <c r="I592" s="53"/>
      <c r="J592" s="55"/>
      <c r="K592" s="58"/>
      <c r="L592" s="59"/>
      <c r="M592" s="55"/>
      <c r="N592" s="60"/>
      <c r="O592" s="60"/>
      <c r="P592" s="165" t="str">
        <f t="shared" ca="1" si="69"/>
        <v/>
      </c>
      <c r="Q592" s="165" t="str">
        <f t="shared" ca="1" si="70"/>
        <v/>
      </c>
      <c r="R592" s="79"/>
      <c r="S592" s="80"/>
      <c r="T592" s="61">
        <f t="shared" si="71"/>
        <v>0</v>
      </c>
      <c r="U592" s="61">
        <f t="shared" si="72"/>
        <v>0</v>
      </c>
      <c r="V592" s="61">
        <f t="shared" si="73"/>
        <v>0</v>
      </c>
      <c r="W592" s="58"/>
      <c r="X592" s="58"/>
      <c r="Y592" s="53"/>
      <c r="Z592" s="57"/>
      <c r="AA592" s="62"/>
      <c r="AB592" s="62"/>
      <c r="AC592" s="62"/>
      <c r="AD592" s="62"/>
      <c r="AE592" s="62"/>
      <c r="AF592" s="63"/>
      <c r="AG592" s="64" t="str">
        <f t="shared" si="74"/>
        <v/>
      </c>
    </row>
    <row r="593" spans="1:33" x14ac:dyDescent="0.25">
      <c r="A593" s="46" t="str">
        <f>IF(ISBLANK(inbound_data[[#This Row],[Receiving Report ref.'#]]),"",IF(inbound_data[[#This Row],[Ending Quantity]]=0,"ZERO","INV"))</f>
        <v/>
      </c>
      <c r="B593" s="165" t="str">
        <f t="shared" si="68"/>
        <v/>
      </c>
      <c r="C593" s="165" t="str">
        <f>IF(ISBLANK(D593),"",inbound_data[[#This Row],[Pallet_Series]]&amp;inbound_data[[#This Row],[No.]])</f>
        <v/>
      </c>
      <c r="D593" s="54"/>
      <c r="E593" s="55"/>
      <c r="F593" s="56"/>
      <c r="G593" s="57"/>
      <c r="H593" s="53"/>
      <c r="I593" s="53"/>
      <c r="J593" s="55"/>
      <c r="K593" s="58"/>
      <c r="L593" s="59"/>
      <c r="M593" s="55"/>
      <c r="N593" s="60"/>
      <c r="O593" s="60"/>
      <c r="P593" s="165" t="str">
        <f t="shared" ca="1" si="69"/>
        <v/>
      </c>
      <c r="Q593" s="165" t="str">
        <f t="shared" ca="1" si="70"/>
        <v/>
      </c>
      <c r="R593" s="79"/>
      <c r="S593" s="80"/>
      <c r="T593" s="61">
        <f t="shared" si="71"/>
        <v>0</v>
      </c>
      <c r="U593" s="61">
        <f t="shared" si="72"/>
        <v>0</v>
      </c>
      <c r="V593" s="61">
        <f t="shared" si="73"/>
        <v>0</v>
      </c>
      <c r="W593" s="58"/>
      <c r="X593" s="58"/>
      <c r="Y593" s="53"/>
      <c r="Z593" s="57"/>
      <c r="AA593" s="62"/>
      <c r="AB593" s="62"/>
      <c r="AC593" s="62"/>
      <c r="AD593" s="62"/>
      <c r="AE593" s="62"/>
      <c r="AF593" s="63"/>
      <c r="AG593" s="64" t="str">
        <f t="shared" si="74"/>
        <v/>
      </c>
    </row>
    <row r="594" spans="1:33" x14ac:dyDescent="0.25">
      <c r="A594" s="46" t="str">
        <f>IF(ISBLANK(inbound_data[[#This Row],[Receiving Report ref.'#]]),"",IF(inbound_data[[#This Row],[Ending Quantity]]=0,"ZERO","INV"))</f>
        <v/>
      </c>
      <c r="B594" s="165" t="str">
        <f t="shared" si="68"/>
        <v/>
      </c>
      <c r="C594" s="165" t="str">
        <f>IF(ISBLANK(D594),"",inbound_data[[#This Row],[Pallet_Series]]&amp;inbound_data[[#This Row],[No.]])</f>
        <v/>
      </c>
      <c r="D594" s="54"/>
      <c r="E594" s="55"/>
      <c r="F594" s="56"/>
      <c r="G594" s="57"/>
      <c r="H594" s="53"/>
      <c r="I594" s="53"/>
      <c r="J594" s="55"/>
      <c r="K594" s="58"/>
      <c r="L594" s="59"/>
      <c r="M594" s="55"/>
      <c r="N594" s="60"/>
      <c r="O594" s="60"/>
      <c r="P594" s="165" t="str">
        <f t="shared" ca="1" si="69"/>
        <v/>
      </c>
      <c r="Q594" s="165" t="str">
        <f t="shared" ca="1" si="70"/>
        <v/>
      </c>
      <c r="R594" s="79"/>
      <c r="S594" s="80"/>
      <c r="T594" s="61">
        <f t="shared" si="71"/>
        <v>0</v>
      </c>
      <c r="U594" s="61">
        <f t="shared" si="72"/>
        <v>0</v>
      </c>
      <c r="V594" s="61">
        <f t="shared" si="73"/>
        <v>0</v>
      </c>
      <c r="W594" s="58"/>
      <c r="X594" s="58"/>
      <c r="Y594" s="53"/>
      <c r="Z594" s="57"/>
      <c r="AA594" s="62"/>
      <c r="AB594" s="62"/>
      <c r="AC594" s="62"/>
      <c r="AD594" s="62"/>
      <c r="AE594" s="62"/>
      <c r="AF594" s="63"/>
      <c r="AG594" s="64" t="str">
        <f t="shared" si="74"/>
        <v/>
      </c>
    </row>
    <row r="595" spans="1:33" x14ac:dyDescent="0.25">
      <c r="A595" s="46" t="str">
        <f>IF(ISBLANK(inbound_data[[#This Row],[Receiving Report ref.'#]]),"",IF(inbound_data[[#This Row],[Ending Quantity]]=0,"ZERO","INV"))</f>
        <v/>
      </c>
      <c r="B595" s="165" t="str">
        <f t="shared" si="68"/>
        <v/>
      </c>
      <c r="C595" s="165" t="str">
        <f>IF(ISBLANK(D595),"",inbound_data[[#This Row],[Pallet_Series]]&amp;inbound_data[[#This Row],[No.]])</f>
        <v/>
      </c>
      <c r="D595" s="54"/>
      <c r="E595" s="55"/>
      <c r="F595" s="56"/>
      <c r="G595" s="57"/>
      <c r="H595" s="53"/>
      <c r="I595" s="53"/>
      <c r="J595" s="55"/>
      <c r="K595" s="58"/>
      <c r="L595" s="59"/>
      <c r="M595" s="55"/>
      <c r="N595" s="60"/>
      <c r="O595" s="60"/>
      <c r="P595" s="165" t="str">
        <f t="shared" ca="1" si="69"/>
        <v/>
      </c>
      <c r="Q595" s="165" t="str">
        <f t="shared" ca="1" si="70"/>
        <v/>
      </c>
      <c r="R595" s="79"/>
      <c r="S595" s="80"/>
      <c r="T595" s="61">
        <f t="shared" si="71"/>
        <v>0</v>
      </c>
      <c r="U595" s="61">
        <f t="shared" si="72"/>
        <v>0</v>
      </c>
      <c r="V595" s="61">
        <f t="shared" si="73"/>
        <v>0</v>
      </c>
      <c r="W595" s="58"/>
      <c r="X595" s="58"/>
      <c r="Y595" s="53"/>
      <c r="Z595" s="57"/>
      <c r="AA595" s="62"/>
      <c r="AB595" s="62"/>
      <c r="AC595" s="62"/>
      <c r="AD595" s="62"/>
      <c r="AE595" s="62"/>
      <c r="AF595" s="63"/>
      <c r="AG595" s="64" t="str">
        <f t="shared" si="74"/>
        <v/>
      </c>
    </row>
    <row r="596" spans="1:33" x14ac:dyDescent="0.25">
      <c r="A596" s="46" t="str">
        <f>IF(ISBLANK(inbound_data[[#This Row],[Receiving Report ref.'#]]),"",IF(inbound_data[[#This Row],[Ending Quantity]]=0,"ZERO","INV"))</f>
        <v/>
      </c>
      <c r="B596" s="165" t="str">
        <f t="shared" si="68"/>
        <v/>
      </c>
      <c r="C596" s="165" t="str">
        <f>IF(ISBLANK(D596),"",inbound_data[[#This Row],[Pallet_Series]]&amp;inbound_data[[#This Row],[No.]])</f>
        <v/>
      </c>
      <c r="D596" s="54"/>
      <c r="E596" s="55"/>
      <c r="F596" s="56"/>
      <c r="G596" s="57"/>
      <c r="H596" s="53"/>
      <c r="I596" s="53"/>
      <c r="J596" s="55"/>
      <c r="K596" s="58"/>
      <c r="L596" s="59"/>
      <c r="M596" s="55"/>
      <c r="N596" s="60"/>
      <c r="O596" s="60"/>
      <c r="P596" s="165" t="str">
        <f t="shared" ca="1" si="69"/>
        <v/>
      </c>
      <c r="Q596" s="165" t="str">
        <f t="shared" ca="1" si="70"/>
        <v/>
      </c>
      <c r="R596" s="79"/>
      <c r="S596" s="80"/>
      <c r="T596" s="61">
        <f t="shared" si="71"/>
        <v>0</v>
      </c>
      <c r="U596" s="61">
        <f t="shared" si="72"/>
        <v>0</v>
      </c>
      <c r="V596" s="61">
        <f t="shared" si="73"/>
        <v>0</v>
      </c>
      <c r="W596" s="58"/>
      <c r="X596" s="58"/>
      <c r="Y596" s="53"/>
      <c r="Z596" s="57"/>
      <c r="AA596" s="62"/>
      <c r="AB596" s="62"/>
      <c r="AC596" s="62"/>
      <c r="AD596" s="62"/>
      <c r="AE596" s="62"/>
      <c r="AF596" s="63"/>
      <c r="AG596" s="64" t="str">
        <f t="shared" si="74"/>
        <v/>
      </c>
    </row>
    <row r="597" spans="1:33" x14ac:dyDescent="0.25">
      <c r="A597" s="46" t="str">
        <f>IF(ISBLANK(inbound_data[[#This Row],[Receiving Report ref.'#]]),"",IF(inbound_data[[#This Row],[Ending Quantity]]=0,"ZERO","INV"))</f>
        <v/>
      </c>
      <c r="B597" s="165" t="str">
        <f t="shared" si="68"/>
        <v/>
      </c>
      <c r="C597" s="165" t="str">
        <f>IF(ISBLANK(D597),"",inbound_data[[#This Row],[Pallet_Series]]&amp;inbound_data[[#This Row],[No.]])</f>
        <v/>
      </c>
      <c r="D597" s="54"/>
      <c r="E597" s="55"/>
      <c r="F597" s="56"/>
      <c r="G597" s="57"/>
      <c r="H597" s="53"/>
      <c r="I597" s="53"/>
      <c r="J597" s="55"/>
      <c r="K597" s="58"/>
      <c r="L597" s="59"/>
      <c r="M597" s="55"/>
      <c r="N597" s="60"/>
      <c r="O597" s="60"/>
      <c r="P597" s="165" t="str">
        <f t="shared" ca="1" si="69"/>
        <v/>
      </c>
      <c r="Q597" s="165" t="str">
        <f t="shared" ca="1" si="70"/>
        <v/>
      </c>
      <c r="R597" s="79"/>
      <c r="S597" s="80"/>
      <c r="T597" s="61">
        <f t="shared" si="71"/>
        <v>0</v>
      </c>
      <c r="U597" s="61">
        <f t="shared" si="72"/>
        <v>0</v>
      </c>
      <c r="V597" s="61">
        <f t="shared" si="73"/>
        <v>0</v>
      </c>
      <c r="W597" s="58"/>
      <c r="X597" s="58"/>
      <c r="Y597" s="53"/>
      <c r="Z597" s="57"/>
      <c r="AA597" s="62"/>
      <c r="AB597" s="62"/>
      <c r="AC597" s="62"/>
      <c r="AD597" s="62"/>
      <c r="AE597" s="62"/>
      <c r="AF597" s="63"/>
      <c r="AG597" s="64" t="str">
        <f t="shared" si="74"/>
        <v/>
      </c>
    </row>
    <row r="598" spans="1:33" x14ac:dyDescent="0.25">
      <c r="A598" s="46" t="str">
        <f>IF(ISBLANK(inbound_data[[#This Row],[Receiving Report ref.'#]]),"",IF(inbound_data[[#This Row],[Ending Quantity]]=0,"ZERO","INV"))</f>
        <v/>
      </c>
      <c r="B598" s="165" t="str">
        <f t="shared" si="68"/>
        <v/>
      </c>
      <c r="C598" s="165" t="str">
        <f>IF(ISBLANK(D598),"",inbound_data[[#This Row],[Pallet_Series]]&amp;inbound_data[[#This Row],[No.]])</f>
        <v/>
      </c>
      <c r="D598" s="54"/>
      <c r="E598" s="55"/>
      <c r="F598" s="56"/>
      <c r="G598" s="57"/>
      <c r="H598" s="53"/>
      <c r="I598" s="53"/>
      <c r="J598" s="55"/>
      <c r="K598" s="58"/>
      <c r="L598" s="59"/>
      <c r="M598" s="55"/>
      <c r="N598" s="60"/>
      <c r="O598" s="60"/>
      <c r="P598" s="165" t="str">
        <f t="shared" ca="1" si="69"/>
        <v/>
      </c>
      <c r="Q598" s="165" t="str">
        <f t="shared" ca="1" si="70"/>
        <v/>
      </c>
      <c r="R598" s="79"/>
      <c r="S598" s="80"/>
      <c r="T598" s="61">
        <f t="shared" si="71"/>
        <v>0</v>
      </c>
      <c r="U598" s="61">
        <f t="shared" si="72"/>
        <v>0</v>
      </c>
      <c r="V598" s="61">
        <f t="shared" si="73"/>
        <v>0</v>
      </c>
      <c r="W598" s="58"/>
      <c r="X598" s="58"/>
      <c r="Y598" s="53"/>
      <c r="Z598" s="57"/>
      <c r="AA598" s="62"/>
      <c r="AB598" s="62"/>
      <c r="AC598" s="62"/>
      <c r="AD598" s="62"/>
      <c r="AE598" s="62"/>
      <c r="AF598" s="63"/>
      <c r="AG598" s="64" t="str">
        <f t="shared" si="74"/>
        <v/>
      </c>
    </row>
    <row r="599" spans="1:33" x14ac:dyDescent="0.25">
      <c r="A599" s="46" t="str">
        <f>IF(ISBLANK(inbound_data[[#This Row],[Receiving Report ref.'#]]),"",IF(inbound_data[[#This Row],[Ending Quantity]]=0,"ZERO","INV"))</f>
        <v/>
      </c>
      <c r="B599" s="165" t="str">
        <f t="shared" si="68"/>
        <v/>
      </c>
      <c r="C599" s="165" t="str">
        <f>IF(ISBLANK(D599),"",inbound_data[[#This Row],[Pallet_Series]]&amp;inbound_data[[#This Row],[No.]])</f>
        <v/>
      </c>
      <c r="D599" s="54"/>
      <c r="E599" s="55"/>
      <c r="F599" s="56"/>
      <c r="G599" s="57"/>
      <c r="H599" s="53"/>
      <c r="I599" s="53"/>
      <c r="J599" s="55"/>
      <c r="K599" s="58"/>
      <c r="L599" s="59"/>
      <c r="M599" s="55"/>
      <c r="N599" s="60"/>
      <c r="O599" s="60"/>
      <c r="P599" s="165" t="str">
        <f t="shared" ca="1" si="69"/>
        <v/>
      </c>
      <c r="Q599" s="165" t="str">
        <f t="shared" ca="1" si="70"/>
        <v/>
      </c>
      <c r="R599" s="79"/>
      <c r="S599" s="80"/>
      <c r="T599" s="61">
        <f t="shared" si="71"/>
        <v>0</v>
      </c>
      <c r="U599" s="61">
        <f t="shared" si="72"/>
        <v>0</v>
      </c>
      <c r="V599" s="61">
        <f t="shared" si="73"/>
        <v>0</v>
      </c>
      <c r="W599" s="58"/>
      <c r="X599" s="58"/>
      <c r="Y599" s="53"/>
      <c r="Z599" s="57"/>
      <c r="AA599" s="62"/>
      <c r="AB599" s="62"/>
      <c r="AC599" s="62"/>
      <c r="AD599" s="62"/>
      <c r="AE599" s="62"/>
      <c r="AF599" s="63"/>
      <c r="AG599" s="64" t="str">
        <f t="shared" si="74"/>
        <v/>
      </c>
    </row>
    <row r="600" spans="1:33" x14ac:dyDescent="0.25">
      <c r="A600" s="46" t="str">
        <f>IF(ISBLANK(inbound_data[[#This Row],[Receiving Report ref.'#]]),"",IF(inbound_data[[#This Row],[Ending Quantity]]=0,"ZERO","INV"))</f>
        <v/>
      </c>
      <c r="B600" s="165" t="str">
        <f t="shared" si="68"/>
        <v/>
      </c>
      <c r="C600" s="165" t="str">
        <f>IF(ISBLANK(D600),"",inbound_data[[#This Row],[Pallet_Series]]&amp;inbound_data[[#This Row],[No.]])</f>
        <v/>
      </c>
      <c r="D600" s="54"/>
      <c r="E600" s="55"/>
      <c r="F600" s="56"/>
      <c r="G600" s="57"/>
      <c r="H600" s="53"/>
      <c r="I600" s="53"/>
      <c r="J600" s="55"/>
      <c r="K600" s="58"/>
      <c r="L600" s="59"/>
      <c r="M600" s="55"/>
      <c r="N600" s="60"/>
      <c r="O600" s="60"/>
      <c r="P600" s="165" t="str">
        <f t="shared" ca="1" si="69"/>
        <v/>
      </c>
      <c r="Q600" s="165" t="str">
        <f t="shared" ca="1" si="70"/>
        <v/>
      </c>
      <c r="R600" s="79"/>
      <c r="S600" s="80"/>
      <c r="T600" s="61">
        <f t="shared" si="71"/>
        <v>0</v>
      </c>
      <c r="U600" s="61">
        <f t="shared" si="72"/>
        <v>0</v>
      </c>
      <c r="V600" s="61">
        <f t="shared" si="73"/>
        <v>0</v>
      </c>
      <c r="W600" s="58"/>
      <c r="X600" s="58"/>
      <c r="Y600" s="53"/>
      <c r="Z600" s="57"/>
      <c r="AA600" s="62"/>
      <c r="AB600" s="62"/>
      <c r="AC600" s="62"/>
      <c r="AD600" s="62"/>
      <c r="AE600" s="62"/>
      <c r="AF600" s="63"/>
      <c r="AG600" s="64" t="str">
        <f t="shared" si="74"/>
        <v/>
      </c>
    </row>
    <row r="601" spans="1:33" x14ac:dyDescent="0.25">
      <c r="A601" s="46" t="str">
        <f>IF(ISBLANK(inbound_data[[#This Row],[Receiving Report ref.'#]]),"",IF(inbound_data[[#This Row],[Ending Quantity]]=0,"ZERO","INV"))</f>
        <v/>
      </c>
      <c r="B601" s="165" t="str">
        <f t="shared" si="68"/>
        <v/>
      </c>
      <c r="C601" s="165" t="str">
        <f>IF(ISBLANK(D601),"",inbound_data[[#This Row],[Pallet_Series]]&amp;inbound_data[[#This Row],[No.]])</f>
        <v/>
      </c>
      <c r="D601" s="54"/>
      <c r="E601" s="55"/>
      <c r="F601" s="56"/>
      <c r="G601" s="57"/>
      <c r="H601" s="53"/>
      <c r="I601" s="53"/>
      <c r="J601" s="55"/>
      <c r="K601" s="58"/>
      <c r="L601" s="59"/>
      <c r="M601" s="55"/>
      <c r="N601" s="60"/>
      <c r="O601" s="60"/>
      <c r="P601" s="165" t="str">
        <f t="shared" ca="1" si="69"/>
        <v/>
      </c>
      <c r="Q601" s="165" t="str">
        <f t="shared" ca="1" si="70"/>
        <v/>
      </c>
      <c r="R601" s="79"/>
      <c r="S601" s="80"/>
      <c r="T601" s="61">
        <f t="shared" si="71"/>
        <v>0</v>
      </c>
      <c r="U601" s="61">
        <f t="shared" si="72"/>
        <v>0</v>
      </c>
      <c r="V601" s="61">
        <f t="shared" si="73"/>
        <v>0</v>
      </c>
      <c r="W601" s="58"/>
      <c r="X601" s="58"/>
      <c r="Y601" s="53"/>
      <c r="Z601" s="57"/>
      <c r="AA601" s="62"/>
      <c r="AB601" s="62"/>
      <c r="AC601" s="62"/>
      <c r="AD601" s="62"/>
      <c r="AE601" s="62"/>
      <c r="AF601" s="63"/>
      <c r="AG601" s="64" t="str">
        <f t="shared" si="74"/>
        <v/>
      </c>
    </row>
    <row r="602" spans="1:33" x14ac:dyDescent="0.25">
      <c r="A602" s="46" t="str">
        <f>IF(ISBLANK(inbound_data[[#This Row],[Receiving Report ref.'#]]),"",IF(inbound_data[[#This Row],[Ending Quantity]]=0,"ZERO","INV"))</f>
        <v/>
      </c>
      <c r="B602" s="165" t="str">
        <f t="shared" si="68"/>
        <v/>
      </c>
      <c r="C602" s="165" t="str">
        <f>IF(ISBLANK(D602),"",inbound_data[[#This Row],[Pallet_Series]]&amp;inbound_data[[#This Row],[No.]])</f>
        <v/>
      </c>
      <c r="D602" s="54"/>
      <c r="E602" s="55"/>
      <c r="F602" s="56"/>
      <c r="G602" s="57"/>
      <c r="H602" s="53"/>
      <c r="I602" s="53"/>
      <c r="J602" s="55"/>
      <c r="K602" s="58"/>
      <c r="L602" s="59"/>
      <c r="M602" s="55"/>
      <c r="N602" s="60"/>
      <c r="O602" s="60"/>
      <c r="P602" s="165" t="str">
        <f t="shared" ca="1" si="69"/>
        <v/>
      </c>
      <c r="Q602" s="165" t="str">
        <f t="shared" ca="1" si="70"/>
        <v/>
      </c>
      <c r="R602" s="79"/>
      <c r="S602" s="80"/>
      <c r="T602" s="61">
        <f t="shared" si="71"/>
        <v>0</v>
      </c>
      <c r="U602" s="61">
        <f t="shared" si="72"/>
        <v>0</v>
      </c>
      <c r="V602" s="61">
        <f t="shared" si="73"/>
        <v>0</v>
      </c>
      <c r="W602" s="58"/>
      <c r="X602" s="58"/>
      <c r="Y602" s="53"/>
      <c r="Z602" s="57"/>
      <c r="AA602" s="62"/>
      <c r="AB602" s="62"/>
      <c r="AC602" s="62"/>
      <c r="AD602" s="62"/>
      <c r="AE602" s="62"/>
      <c r="AF602" s="63"/>
      <c r="AG602" s="64" t="str">
        <f t="shared" si="74"/>
        <v/>
      </c>
    </row>
    <row r="603" spans="1:33" x14ac:dyDescent="0.25">
      <c r="A603" s="46" t="str">
        <f>IF(ISBLANK(inbound_data[[#This Row],[Receiving Report ref.'#]]),"",IF(inbound_data[[#This Row],[Ending Quantity]]=0,"ZERO","INV"))</f>
        <v/>
      </c>
      <c r="B603" s="165" t="str">
        <f t="shared" si="68"/>
        <v/>
      </c>
      <c r="C603" s="165" t="str">
        <f>IF(ISBLANK(D603),"",inbound_data[[#This Row],[Pallet_Series]]&amp;inbound_data[[#This Row],[No.]])</f>
        <v/>
      </c>
      <c r="D603" s="54"/>
      <c r="E603" s="55"/>
      <c r="F603" s="56"/>
      <c r="G603" s="57"/>
      <c r="H603" s="53"/>
      <c r="I603" s="53"/>
      <c r="J603" s="55"/>
      <c r="K603" s="58"/>
      <c r="L603" s="59"/>
      <c r="M603" s="55"/>
      <c r="N603" s="60"/>
      <c r="O603" s="60"/>
      <c r="P603" s="165" t="str">
        <f t="shared" ca="1" si="69"/>
        <v/>
      </c>
      <c r="Q603" s="165" t="str">
        <f t="shared" ca="1" si="70"/>
        <v/>
      </c>
      <c r="R603" s="79"/>
      <c r="S603" s="80"/>
      <c r="T603" s="61">
        <f t="shared" si="71"/>
        <v>0</v>
      </c>
      <c r="U603" s="61">
        <f t="shared" si="72"/>
        <v>0</v>
      </c>
      <c r="V603" s="61">
        <f t="shared" si="73"/>
        <v>0</v>
      </c>
      <c r="W603" s="58"/>
      <c r="X603" s="58"/>
      <c r="Y603" s="53"/>
      <c r="Z603" s="57"/>
      <c r="AA603" s="62"/>
      <c r="AB603" s="62"/>
      <c r="AC603" s="62"/>
      <c r="AD603" s="62"/>
      <c r="AE603" s="62"/>
      <c r="AF603" s="63"/>
      <c r="AG603" s="64" t="str">
        <f t="shared" si="74"/>
        <v/>
      </c>
    </row>
    <row r="604" spans="1:33" x14ac:dyDescent="0.25">
      <c r="A604" s="46" t="str">
        <f>IF(ISBLANK(inbound_data[[#This Row],[Receiving Report ref.'#]]),"",IF(inbound_data[[#This Row],[Ending Quantity]]=0,"ZERO","INV"))</f>
        <v/>
      </c>
      <c r="B604" s="165" t="str">
        <f t="shared" si="68"/>
        <v/>
      </c>
      <c r="C604" s="165" t="str">
        <f>IF(ISBLANK(D604),"",inbound_data[[#This Row],[Pallet_Series]]&amp;inbound_data[[#This Row],[No.]])</f>
        <v/>
      </c>
      <c r="D604" s="54"/>
      <c r="E604" s="55"/>
      <c r="F604" s="56"/>
      <c r="G604" s="57"/>
      <c r="H604" s="53"/>
      <c r="I604" s="53"/>
      <c r="J604" s="55"/>
      <c r="K604" s="58"/>
      <c r="L604" s="59"/>
      <c r="M604" s="55"/>
      <c r="N604" s="60"/>
      <c r="O604" s="60"/>
      <c r="P604" s="165" t="str">
        <f t="shared" ca="1" si="69"/>
        <v/>
      </c>
      <c r="Q604" s="165" t="str">
        <f t="shared" ca="1" si="70"/>
        <v/>
      </c>
      <c r="R604" s="79"/>
      <c r="S604" s="80"/>
      <c r="T604" s="61">
        <f t="shared" si="71"/>
        <v>0</v>
      </c>
      <c r="U604" s="61">
        <f t="shared" si="72"/>
        <v>0</v>
      </c>
      <c r="V604" s="61">
        <f t="shared" si="73"/>
        <v>0</v>
      </c>
      <c r="W604" s="58"/>
      <c r="X604" s="58"/>
      <c r="Y604" s="53"/>
      <c r="Z604" s="57"/>
      <c r="AA604" s="62"/>
      <c r="AB604" s="62"/>
      <c r="AC604" s="62"/>
      <c r="AD604" s="62"/>
      <c r="AE604" s="62"/>
      <c r="AF604" s="63"/>
      <c r="AG604" s="64" t="str">
        <f t="shared" si="74"/>
        <v/>
      </c>
    </row>
    <row r="605" spans="1:33" x14ac:dyDescent="0.25">
      <c r="A605" s="46" t="str">
        <f>IF(ISBLANK(inbound_data[[#This Row],[Receiving Report ref.'#]]),"",IF(inbound_data[[#This Row],[Ending Quantity]]=0,"ZERO","INV"))</f>
        <v/>
      </c>
      <c r="B605" s="165" t="str">
        <f t="shared" si="68"/>
        <v/>
      </c>
      <c r="C605" s="165" t="str">
        <f>IF(ISBLANK(D605),"",inbound_data[[#This Row],[Pallet_Series]]&amp;inbound_data[[#This Row],[No.]])</f>
        <v/>
      </c>
      <c r="D605" s="54"/>
      <c r="E605" s="55"/>
      <c r="F605" s="56"/>
      <c r="G605" s="57"/>
      <c r="H605" s="53"/>
      <c r="I605" s="53"/>
      <c r="J605" s="55"/>
      <c r="K605" s="58"/>
      <c r="L605" s="59"/>
      <c r="M605" s="55"/>
      <c r="N605" s="60"/>
      <c r="O605" s="60"/>
      <c r="P605" s="165" t="str">
        <f t="shared" ca="1" si="69"/>
        <v/>
      </c>
      <c r="Q605" s="165" t="str">
        <f t="shared" ca="1" si="70"/>
        <v/>
      </c>
      <c r="R605" s="79"/>
      <c r="S605" s="80"/>
      <c r="T605" s="61">
        <f t="shared" si="71"/>
        <v>0</v>
      </c>
      <c r="U605" s="61">
        <f t="shared" si="72"/>
        <v>0</v>
      </c>
      <c r="V605" s="61">
        <f t="shared" si="73"/>
        <v>0</v>
      </c>
      <c r="W605" s="58"/>
      <c r="X605" s="58"/>
      <c r="Y605" s="53"/>
      <c r="Z605" s="57"/>
      <c r="AA605" s="62"/>
      <c r="AB605" s="62"/>
      <c r="AC605" s="62"/>
      <c r="AD605" s="62"/>
      <c r="AE605" s="62"/>
      <c r="AF605" s="63"/>
      <c r="AG605" s="64" t="str">
        <f t="shared" si="74"/>
        <v/>
      </c>
    </row>
    <row r="606" spans="1:33" x14ac:dyDescent="0.25">
      <c r="A606" s="46" t="str">
        <f>IF(ISBLANK(inbound_data[[#This Row],[Receiving Report ref.'#]]),"",IF(inbound_data[[#This Row],[Ending Quantity]]=0,"ZERO","INV"))</f>
        <v/>
      </c>
      <c r="B606" s="165" t="str">
        <f t="shared" si="68"/>
        <v/>
      </c>
      <c r="C606" s="165" t="str">
        <f>IF(ISBLANK(D606),"",inbound_data[[#This Row],[Pallet_Series]]&amp;inbound_data[[#This Row],[No.]])</f>
        <v/>
      </c>
      <c r="D606" s="54"/>
      <c r="E606" s="55"/>
      <c r="F606" s="56"/>
      <c r="G606" s="57"/>
      <c r="H606" s="53"/>
      <c r="I606" s="53"/>
      <c r="J606" s="55"/>
      <c r="K606" s="58"/>
      <c r="L606" s="59"/>
      <c r="M606" s="55"/>
      <c r="N606" s="60"/>
      <c r="O606" s="60"/>
      <c r="P606" s="165" t="str">
        <f t="shared" ca="1" si="69"/>
        <v/>
      </c>
      <c r="Q606" s="165" t="str">
        <f t="shared" ca="1" si="70"/>
        <v/>
      </c>
      <c r="R606" s="79"/>
      <c r="S606" s="80"/>
      <c r="T606" s="61">
        <f t="shared" si="71"/>
        <v>0</v>
      </c>
      <c r="U606" s="61">
        <f t="shared" si="72"/>
        <v>0</v>
      </c>
      <c r="V606" s="61">
        <f t="shared" si="73"/>
        <v>0</v>
      </c>
      <c r="W606" s="58"/>
      <c r="X606" s="58"/>
      <c r="Y606" s="53"/>
      <c r="Z606" s="57"/>
      <c r="AA606" s="62"/>
      <c r="AB606" s="62"/>
      <c r="AC606" s="62"/>
      <c r="AD606" s="62"/>
      <c r="AE606" s="62"/>
      <c r="AF606" s="63"/>
      <c r="AG606" s="64" t="str">
        <f t="shared" si="74"/>
        <v/>
      </c>
    </row>
    <row r="607" spans="1:33" x14ac:dyDescent="0.25">
      <c r="A607" s="46" t="str">
        <f>IF(ISBLANK(inbound_data[[#This Row],[Receiving Report ref.'#]]),"",IF(inbound_data[[#This Row],[Ending Quantity]]=0,"ZERO","INV"))</f>
        <v/>
      </c>
      <c r="B607" s="165" t="str">
        <f t="shared" si="68"/>
        <v/>
      </c>
      <c r="C607" s="165" t="str">
        <f>IF(ISBLANK(D607),"",inbound_data[[#This Row],[Pallet_Series]]&amp;inbound_data[[#This Row],[No.]])</f>
        <v/>
      </c>
      <c r="D607" s="54"/>
      <c r="E607" s="55"/>
      <c r="F607" s="56"/>
      <c r="G607" s="57"/>
      <c r="H607" s="53"/>
      <c r="I607" s="53"/>
      <c r="J607" s="55"/>
      <c r="K607" s="58"/>
      <c r="L607" s="59"/>
      <c r="M607" s="55"/>
      <c r="N607" s="60"/>
      <c r="O607" s="60"/>
      <c r="P607" s="165" t="str">
        <f t="shared" ca="1" si="69"/>
        <v/>
      </c>
      <c r="Q607" s="165" t="str">
        <f t="shared" ca="1" si="70"/>
        <v/>
      </c>
      <c r="R607" s="79"/>
      <c r="S607" s="80"/>
      <c r="T607" s="61">
        <f t="shared" si="71"/>
        <v>0</v>
      </c>
      <c r="U607" s="61">
        <f t="shared" si="72"/>
        <v>0</v>
      </c>
      <c r="V607" s="61">
        <f t="shared" si="73"/>
        <v>0</v>
      </c>
      <c r="W607" s="58"/>
      <c r="X607" s="58"/>
      <c r="Y607" s="53"/>
      <c r="Z607" s="57"/>
      <c r="AA607" s="62"/>
      <c r="AB607" s="62"/>
      <c r="AC607" s="62"/>
      <c r="AD607" s="62"/>
      <c r="AE607" s="62"/>
      <c r="AF607" s="63"/>
      <c r="AG607" s="64" t="str">
        <f t="shared" si="74"/>
        <v/>
      </c>
    </row>
    <row r="608" spans="1:33" x14ac:dyDescent="0.25">
      <c r="A608" s="46" t="str">
        <f>IF(ISBLANK(inbound_data[[#This Row],[Receiving Report ref.'#]]),"",IF(inbound_data[[#This Row],[Ending Quantity]]=0,"ZERO","INV"))</f>
        <v/>
      </c>
      <c r="B608" s="165" t="str">
        <f t="shared" si="68"/>
        <v/>
      </c>
      <c r="C608" s="165" t="str">
        <f>IF(ISBLANK(D608),"",inbound_data[[#This Row],[Pallet_Series]]&amp;inbound_data[[#This Row],[No.]])</f>
        <v/>
      </c>
      <c r="D608" s="54"/>
      <c r="E608" s="55"/>
      <c r="F608" s="56"/>
      <c r="G608" s="57"/>
      <c r="H608" s="53"/>
      <c r="I608" s="53"/>
      <c r="J608" s="55"/>
      <c r="K608" s="58"/>
      <c r="L608" s="59"/>
      <c r="M608" s="55"/>
      <c r="N608" s="60"/>
      <c r="O608" s="60"/>
      <c r="P608" s="165" t="str">
        <f t="shared" ca="1" si="69"/>
        <v/>
      </c>
      <c r="Q608" s="165" t="str">
        <f t="shared" ca="1" si="70"/>
        <v/>
      </c>
      <c r="R608" s="79"/>
      <c r="S608" s="80"/>
      <c r="T608" s="61">
        <f t="shared" si="71"/>
        <v>0</v>
      </c>
      <c r="U608" s="61">
        <f t="shared" si="72"/>
        <v>0</v>
      </c>
      <c r="V608" s="61">
        <f t="shared" si="73"/>
        <v>0</v>
      </c>
      <c r="W608" s="58"/>
      <c r="X608" s="58"/>
      <c r="Y608" s="53"/>
      <c r="Z608" s="57"/>
      <c r="AA608" s="62"/>
      <c r="AB608" s="62"/>
      <c r="AC608" s="62"/>
      <c r="AD608" s="62"/>
      <c r="AE608" s="62"/>
      <c r="AF608" s="63"/>
      <c r="AG608" s="64" t="str">
        <f t="shared" si="74"/>
        <v/>
      </c>
    </row>
    <row r="609" spans="1:33" x14ac:dyDescent="0.25">
      <c r="A609" s="46" t="str">
        <f>IF(ISBLANK(inbound_data[[#This Row],[Receiving Report ref.'#]]),"",IF(inbound_data[[#This Row],[Ending Quantity]]=0,"ZERO","INV"))</f>
        <v/>
      </c>
      <c r="B609" s="165" t="str">
        <f t="shared" si="68"/>
        <v/>
      </c>
      <c r="C609" s="165" t="str">
        <f>IF(ISBLANK(D609),"",inbound_data[[#This Row],[Pallet_Series]]&amp;inbound_data[[#This Row],[No.]])</f>
        <v/>
      </c>
      <c r="D609" s="54"/>
      <c r="E609" s="55"/>
      <c r="F609" s="56"/>
      <c r="G609" s="57"/>
      <c r="H609" s="53"/>
      <c r="I609" s="53"/>
      <c r="J609" s="55"/>
      <c r="K609" s="58"/>
      <c r="L609" s="59"/>
      <c r="M609" s="55"/>
      <c r="N609" s="60"/>
      <c r="O609" s="60"/>
      <c r="P609" s="165" t="str">
        <f t="shared" ca="1" si="69"/>
        <v/>
      </c>
      <c r="Q609" s="165" t="str">
        <f t="shared" ca="1" si="70"/>
        <v/>
      </c>
      <c r="R609" s="79"/>
      <c r="S609" s="80"/>
      <c r="T609" s="61">
        <f t="shared" si="71"/>
        <v>0</v>
      </c>
      <c r="U609" s="61">
        <f t="shared" si="72"/>
        <v>0</v>
      </c>
      <c r="V609" s="61">
        <f t="shared" si="73"/>
        <v>0</v>
      </c>
      <c r="W609" s="58"/>
      <c r="X609" s="58"/>
      <c r="Y609" s="53"/>
      <c r="Z609" s="57"/>
      <c r="AA609" s="62"/>
      <c r="AB609" s="62"/>
      <c r="AC609" s="62"/>
      <c r="AD609" s="62"/>
      <c r="AE609" s="62"/>
      <c r="AF609" s="63"/>
      <c r="AG609" s="64" t="str">
        <f t="shared" si="74"/>
        <v/>
      </c>
    </row>
    <row r="610" spans="1:33" x14ac:dyDescent="0.25">
      <c r="A610" s="46" t="str">
        <f>IF(ISBLANK(inbound_data[[#This Row],[Receiving Report ref.'#]]),"",IF(inbound_data[[#This Row],[Ending Quantity]]=0,"ZERO","INV"))</f>
        <v/>
      </c>
      <c r="B610" s="165" t="str">
        <f t="shared" si="68"/>
        <v/>
      </c>
      <c r="C610" s="165" t="str">
        <f>IF(ISBLANK(D610),"",inbound_data[[#This Row],[Pallet_Series]]&amp;inbound_data[[#This Row],[No.]])</f>
        <v/>
      </c>
      <c r="D610" s="54"/>
      <c r="E610" s="55"/>
      <c r="F610" s="56"/>
      <c r="G610" s="57"/>
      <c r="H610" s="53"/>
      <c r="I610" s="53"/>
      <c r="J610" s="55"/>
      <c r="K610" s="58"/>
      <c r="L610" s="59"/>
      <c r="M610" s="55"/>
      <c r="N610" s="60"/>
      <c r="O610" s="60"/>
      <c r="P610" s="165" t="str">
        <f t="shared" ca="1" si="69"/>
        <v/>
      </c>
      <c r="Q610" s="165" t="str">
        <f t="shared" ca="1" si="70"/>
        <v/>
      </c>
      <c r="R610" s="79"/>
      <c r="S610" s="80"/>
      <c r="T610" s="61">
        <f t="shared" si="71"/>
        <v>0</v>
      </c>
      <c r="U610" s="61">
        <f t="shared" si="72"/>
        <v>0</v>
      </c>
      <c r="V610" s="61">
        <f t="shared" si="73"/>
        <v>0</v>
      </c>
      <c r="W610" s="58"/>
      <c r="X610" s="58"/>
      <c r="Y610" s="53"/>
      <c r="Z610" s="57"/>
      <c r="AA610" s="62"/>
      <c r="AB610" s="62"/>
      <c r="AC610" s="62"/>
      <c r="AD610" s="62"/>
      <c r="AE610" s="62"/>
      <c r="AF610" s="63"/>
      <c r="AG610" s="64" t="str">
        <f t="shared" si="74"/>
        <v/>
      </c>
    </row>
    <row r="611" spans="1:33" x14ac:dyDescent="0.25">
      <c r="A611" s="46" t="str">
        <f>IF(ISBLANK(inbound_data[[#This Row],[Receiving Report ref.'#]]),"",IF(inbound_data[[#This Row],[Ending Quantity]]=0,"ZERO","INV"))</f>
        <v/>
      </c>
      <c r="B611" s="165" t="str">
        <f t="shared" si="68"/>
        <v/>
      </c>
      <c r="C611" s="165" t="str">
        <f>IF(ISBLANK(D611),"",inbound_data[[#This Row],[Pallet_Series]]&amp;inbound_data[[#This Row],[No.]])</f>
        <v/>
      </c>
      <c r="D611" s="54"/>
      <c r="E611" s="55"/>
      <c r="F611" s="56"/>
      <c r="G611" s="57"/>
      <c r="H611" s="53"/>
      <c r="I611" s="53"/>
      <c r="J611" s="55"/>
      <c r="K611" s="58"/>
      <c r="L611" s="59"/>
      <c r="M611" s="55"/>
      <c r="N611" s="60"/>
      <c r="O611" s="60"/>
      <c r="P611" s="165" t="str">
        <f t="shared" ca="1" si="69"/>
        <v/>
      </c>
      <c r="Q611" s="165" t="str">
        <f t="shared" ca="1" si="70"/>
        <v/>
      </c>
      <c r="R611" s="79"/>
      <c r="S611" s="80"/>
      <c r="T611" s="61">
        <f t="shared" si="71"/>
        <v>0</v>
      </c>
      <c r="U611" s="61">
        <f t="shared" si="72"/>
        <v>0</v>
      </c>
      <c r="V611" s="61">
        <f t="shared" si="73"/>
        <v>0</v>
      </c>
      <c r="W611" s="58"/>
      <c r="X611" s="58"/>
      <c r="Y611" s="53"/>
      <c r="Z611" s="57"/>
      <c r="AA611" s="62"/>
      <c r="AB611" s="62"/>
      <c r="AC611" s="62"/>
      <c r="AD611" s="62"/>
      <c r="AE611" s="62"/>
      <c r="AF611" s="63"/>
      <c r="AG611" s="64" t="str">
        <f t="shared" si="74"/>
        <v/>
      </c>
    </row>
    <row r="612" spans="1:33" x14ac:dyDescent="0.25">
      <c r="A612" s="46" t="str">
        <f>IF(ISBLANK(inbound_data[[#This Row],[Receiving Report ref.'#]]),"",IF(inbound_data[[#This Row],[Ending Quantity]]=0,"ZERO","INV"))</f>
        <v/>
      </c>
      <c r="B612" s="165" t="str">
        <f t="shared" si="68"/>
        <v/>
      </c>
      <c r="C612" s="165" t="str">
        <f>IF(ISBLANK(D612),"",inbound_data[[#This Row],[Pallet_Series]]&amp;inbound_data[[#This Row],[No.]])</f>
        <v/>
      </c>
      <c r="D612" s="54"/>
      <c r="E612" s="55"/>
      <c r="F612" s="56"/>
      <c r="G612" s="57"/>
      <c r="H612" s="53"/>
      <c r="I612" s="53"/>
      <c r="J612" s="55"/>
      <c r="K612" s="58"/>
      <c r="L612" s="59"/>
      <c r="M612" s="55"/>
      <c r="N612" s="60"/>
      <c r="O612" s="60"/>
      <c r="P612" s="165" t="str">
        <f t="shared" ca="1" si="69"/>
        <v/>
      </c>
      <c r="Q612" s="165" t="str">
        <f t="shared" ca="1" si="70"/>
        <v/>
      </c>
      <c r="R612" s="79"/>
      <c r="S612" s="80"/>
      <c r="T612" s="61">
        <f t="shared" si="71"/>
        <v>0</v>
      </c>
      <c r="U612" s="61">
        <f t="shared" si="72"/>
        <v>0</v>
      </c>
      <c r="V612" s="61">
        <f t="shared" si="73"/>
        <v>0</v>
      </c>
      <c r="W612" s="58"/>
      <c r="X612" s="58"/>
      <c r="Y612" s="53"/>
      <c r="Z612" s="57"/>
      <c r="AA612" s="62"/>
      <c r="AB612" s="62"/>
      <c r="AC612" s="62"/>
      <c r="AD612" s="62"/>
      <c r="AE612" s="62"/>
      <c r="AF612" s="63"/>
      <c r="AG612" s="64" t="str">
        <f t="shared" si="74"/>
        <v/>
      </c>
    </row>
    <row r="613" spans="1:33" x14ac:dyDescent="0.25">
      <c r="A613" s="46" t="str">
        <f>IF(ISBLANK(inbound_data[[#This Row],[Receiving Report ref.'#]]),"",IF(inbound_data[[#This Row],[Ending Quantity]]=0,"ZERO","INV"))</f>
        <v/>
      </c>
      <c r="B613" s="165" t="str">
        <f t="shared" si="68"/>
        <v/>
      </c>
      <c r="C613" s="165" t="str">
        <f>IF(ISBLANK(D613),"",inbound_data[[#This Row],[Pallet_Series]]&amp;inbound_data[[#This Row],[No.]])</f>
        <v/>
      </c>
      <c r="D613" s="54"/>
      <c r="E613" s="55"/>
      <c r="F613" s="56"/>
      <c r="G613" s="57"/>
      <c r="H613" s="53"/>
      <c r="I613" s="53"/>
      <c r="J613" s="55"/>
      <c r="K613" s="58"/>
      <c r="L613" s="59"/>
      <c r="M613" s="55"/>
      <c r="N613" s="60"/>
      <c r="O613" s="60"/>
      <c r="P613" s="165" t="str">
        <f t="shared" ca="1" si="69"/>
        <v/>
      </c>
      <c r="Q613" s="165" t="str">
        <f t="shared" ca="1" si="70"/>
        <v/>
      </c>
      <c r="R613" s="79"/>
      <c r="S613" s="80"/>
      <c r="T613" s="61">
        <f t="shared" si="71"/>
        <v>0</v>
      </c>
      <c r="U613" s="61">
        <f t="shared" si="72"/>
        <v>0</v>
      </c>
      <c r="V613" s="61">
        <f t="shared" si="73"/>
        <v>0</v>
      </c>
      <c r="W613" s="58"/>
      <c r="X613" s="58"/>
      <c r="Y613" s="53"/>
      <c r="Z613" s="57"/>
      <c r="AA613" s="62"/>
      <c r="AB613" s="62"/>
      <c r="AC613" s="62"/>
      <c r="AD613" s="62"/>
      <c r="AE613" s="62"/>
      <c r="AF613" s="63"/>
      <c r="AG613" s="64" t="str">
        <f t="shared" si="74"/>
        <v/>
      </c>
    </row>
    <row r="614" spans="1:33" x14ac:dyDescent="0.25">
      <c r="A614" s="46" t="str">
        <f>IF(ISBLANK(inbound_data[[#This Row],[Receiving Report ref.'#]]),"",IF(inbound_data[[#This Row],[Ending Quantity]]=0,"ZERO","INV"))</f>
        <v/>
      </c>
      <c r="B614" s="165" t="str">
        <f t="shared" si="68"/>
        <v/>
      </c>
      <c r="C614" s="165" t="str">
        <f>IF(ISBLANK(D614),"",inbound_data[[#This Row],[Pallet_Series]]&amp;inbound_data[[#This Row],[No.]])</f>
        <v/>
      </c>
      <c r="D614" s="54"/>
      <c r="E614" s="55"/>
      <c r="F614" s="56"/>
      <c r="G614" s="57"/>
      <c r="H614" s="53"/>
      <c r="I614" s="53"/>
      <c r="J614" s="55"/>
      <c r="K614" s="58"/>
      <c r="L614" s="59"/>
      <c r="M614" s="55"/>
      <c r="N614" s="60"/>
      <c r="O614" s="60"/>
      <c r="P614" s="165" t="str">
        <f t="shared" ca="1" si="69"/>
        <v/>
      </c>
      <c r="Q614" s="165" t="str">
        <f t="shared" ca="1" si="70"/>
        <v/>
      </c>
      <c r="R614" s="79"/>
      <c r="S614" s="80"/>
      <c r="T614" s="61">
        <f t="shared" si="71"/>
        <v>0</v>
      </c>
      <c r="U614" s="61">
        <f t="shared" si="72"/>
        <v>0</v>
      </c>
      <c r="V614" s="61">
        <f t="shared" si="73"/>
        <v>0</v>
      </c>
      <c r="W614" s="58"/>
      <c r="X614" s="58"/>
      <c r="Y614" s="53"/>
      <c r="Z614" s="57"/>
      <c r="AA614" s="62"/>
      <c r="AB614" s="62"/>
      <c r="AC614" s="62"/>
      <c r="AD614" s="62"/>
      <c r="AE614" s="62"/>
      <c r="AF614" s="63"/>
      <c r="AG614" s="64" t="str">
        <f t="shared" si="74"/>
        <v/>
      </c>
    </row>
    <row r="615" spans="1:33" x14ac:dyDescent="0.25">
      <c r="A615" s="46" t="str">
        <f>IF(ISBLANK(inbound_data[[#This Row],[Receiving Report ref.'#]]),"",IF(inbound_data[[#This Row],[Ending Quantity]]=0,"ZERO","INV"))</f>
        <v/>
      </c>
      <c r="B615" s="165" t="str">
        <f t="shared" si="68"/>
        <v/>
      </c>
      <c r="C615" s="165" t="str">
        <f>IF(ISBLANK(D615),"",inbound_data[[#This Row],[Pallet_Series]]&amp;inbound_data[[#This Row],[No.]])</f>
        <v/>
      </c>
      <c r="D615" s="54"/>
      <c r="E615" s="55"/>
      <c r="F615" s="56"/>
      <c r="G615" s="57"/>
      <c r="H615" s="53"/>
      <c r="I615" s="53"/>
      <c r="J615" s="55"/>
      <c r="K615" s="58"/>
      <c r="L615" s="59"/>
      <c r="M615" s="55"/>
      <c r="N615" s="60"/>
      <c r="O615" s="60"/>
      <c r="P615" s="165" t="str">
        <f t="shared" ca="1" si="69"/>
        <v/>
      </c>
      <c r="Q615" s="165" t="str">
        <f t="shared" ca="1" si="70"/>
        <v/>
      </c>
      <c r="R615" s="79"/>
      <c r="S615" s="80"/>
      <c r="T615" s="61">
        <f t="shared" si="71"/>
        <v>0</v>
      </c>
      <c r="U615" s="61">
        <f t="shared" si="72"/>
        <v>0</v>
      </c>
      <c r="V615" s="61">
        <f t="shared" si="73"/>
        <v>0</v>
      </c>
      <c r="W615" s="58"/>
      <c r="X615" s="58"/>
      <c r="Y615" s="53"/>
      <c r="Z615" s="57"/>
      <c r="AA615" s="62"/>
      <c r="AB615" s="62"/>
      <c r="AC615" s="62"/>
      <c r="AD615" s="62"/>
      <c r="AE615" s="62"/>
      <c r="AF615" s="63"/>
      <c r="AG615" s="64" t="str">
        <f t="shared" si="74"/>
        <v/>
      </c>
    </row>
    <row r="616" spans="1:33" x14ac:dyDescent="0.25">
      <c r="A616" s="46" t="str">
        <f>IF(ISBLANK(inbound_data[[#This Row],[Receiving Report ref.'#]]),"",IF(inbound_data[[#This Row],[Ending Quantity]]=0,"ZERO","INV"))</f>
        <v/>
      </c>
      <c r="B616" s="165" t="str">
        <f t="shared" si="68"/>
        <v/>
      </c>
      <c r="C616" s="165" t="str">
        <f>IF(ISBLANK(D616),"",inbound_data[[#This Row],[Pallet_Series]]&amp;inbound_data[[#This Row],[No.]])</f>
        <v/>
      </c>
      <c r="D616" s="54"/>
      <c r="E616" s="55"/>
      <c r="F616" s="56"/>
      <c r="G616" s="57"/>
      <c r="H616" s="53"/>
      <c r="I616" s="53"/>
      <c r="J616" s="55"/>
      <c r="K616" s="58"/>
      <c r="L616" s="59"/>
      <c r="M616" s="55"/>
      <c r="N616" s="60"/>
      <c r="O616" s="60"/>
      <c r="P616" s="165" t="str">
        <f t="shared" ca="1" si="69"/>
        <v/>
      </c>
      <c r="Q616" s="165" t="str">
        <f t="shared" ca="1" si="70"/>
        <v/>
      </c>
      <c r="R616" s="79"/>
      <c r="S616" s="80"/>
      <c r="T616" s="61">
        <f t="shared" si="71"/>
        <v>0</v>
      </c>
      <c r="U616" s="61">
        <f t="shared" si="72"/>
        <v>0</v>
      </c>
      <c r="V616" s="61">
        <f t="shared" si="73"/>
        <v>0</v>
      </c>
      <c r="W616" s="58"/>
      <c r="X616" s="58"/>
      <c r="Y616" s="53"/>
      <c r="Z616" s="57"/>
      <c r="AA616" s="62"/>
      <c r="AB616" s="62"/>
      <c r="AC616" s="62"/>
      <c r="AD616" s="62"/>
      <c r="AE616" s="62"/>
      <c r="AF616" s="63"/>
      <c r="AG616" s="64" t="str">
        <f t="shared" si="74"/>
        <v/>
      </c>
    </row>
    <row r="617" spans="1:33" x14ac:dyDescent="0.25">
      <c r="A617" s="46" t="str">
        <f>IF(ISBLANK(inbound_data[[#This Row],[Receiving Report ref.'#]]),"",IF(inbound_data[[#This Row],[Ending Quantity]]=0,"ZERO","INV"))</f>
        <v/>
      </c>
      <c r="B617" s="165" t="str">
        <f t="shared" si="68"/>
        <v/>
      </c>
      <c r="C617" s="165" t="str">
        <f>IF(ISBLANK(D617),"",inbound_data[[#This Row],[Pallet_Series]]&amp;inbound_data[[#This Row],[No.]])</f>
        <v/>
      </c>
      <c r="D617" s="54"/>
      <c r="E617" s="55"/>
      <c r="F617" s="56"/>
      <c r="G617" s="57"/>
      <c r="H617" s="53"/>
      <c r="I617" s="53"/>
      <c r="J617" s="55"/>
      <c r="K617" s="58"/>
      <c r="L617" s="59"/>
      <c r="M617" s="55"/>
      <c r="N617" s="60"/>
      <c r="O617" s="60"/>
      <c r="P617" s="165" t="str">
        <f t="shared" ca="1" si="69"/>
        <v/>
      </c>
      <c r="Q617" s="165" t="str">
        <f t="shared" ca="1" si="70"/>
        <v/>
      </c>
      <c r="R617" s="79"/>
      <c r="S617" s="80"/>
      <c r="T617" s="61">
        <f t="shared" si="71"/>
        <v>0</v>
      </c>
      <c r="U617" s="61">
        <f t="shared" si="72"/>
        <v>0</v>
      </c>
      <c r="V617" s="61">
        <f t="shared" si="73"/>
        <v>0</v>
      </c>
      <c r="W617" s="58"/>
      <c r="X617" s="58"/>
      <c r="Y617" s="53"/>
      <c r="Z617" s="57"/>
      <c r="AA617" s="62"/>
      <c r="AB617" s="62"/>
      <c r="AC617" s="62"/>
      <c r="AD617" s="62"/>
      <c r="AE617" s="62"/>
      <c r="AF617" s="63"/>
      <c r="AG617" s="64" t="str">
        <f t="shared" si="74"/>
        <v/>
      </c>
    </row>
    <row r="618" spans="1:33" x14ac:dyDescent="0.25">
      <c r="A618" s="46" t="str">
        <f>IF(ISBLANK(inbound_data[[#This Row],[Receiving Report ref.'#]]),"",IF(inbound_data[[#This Row],[Ending Quantity]]=0,"ZERO","INV"))</f>
        <v/>
      </c>
      <c r="B618" s="165" t="str">
        <f t="shared" si="68"/>
        <v/>
      </c>
      <c r="C618" s="165" t="str">
        <f>IF(ISBLANK(D618),"",inbound_data[[#This Row],[Pallet_Series]]&amp;inbound_data[[#This Row],[No.]])</f>
        <v/>
      </c>
      <c r="D618" s="54"/>
      <c r="E618" s="55"/>
      <c r="F618" s="56"/>
      <c r="G618" s="57"/>
      <c r="H618" s="53"/>
      <c r="I618" s="53"/>
      <c r="J618" s="55"/>
      <c r="K618" s="58"/>
      <c r="L618" s="59"/>
      <c r="M618" s="55"/>
      <c r="N618" s="60"/>
      <c r="O618" s="60"/>
      <c r="P618" s="165" t="str">
        <f t="shared" ca="1" si="69"/>
        <v/>
      </c>
      <c r="Q618" s="165" t="str">
        <f t="shared" ca="1" si="70"/>
        <v/>
      </c>
      <c r="R618" s="79"/>
      <c r="S618" s="80"/>
      <c r="T618" s="61">
        <f t="shared" si="71"/>
        <v>0</v>
      </c>
      <c r="U618" s="61">
        <f t="shared" si="72"/>
        <v>0</v>
      </c>
      <c r="V618" s="61">
        <f t="shared" si="73"/>
        <v>0</v>
      </c>
      <c r="W618" s="58"/>
      <c r="X618" s="58"/>
      <c r="Y618" s="53"/>
      <c r="Z618" s="57"/>
      <c r="AA618" s="62"/>
      <c r="AB618" s="62"/>
      <c r="AC618" s="62"/>
      <c r="AD618" s="62"/>
      <c r="AE618" s="62"/>
      <c r="AF618" s="63"/>
      <c r="AG618" s="64" t="str">
        <f t="shared" si="74"/>
        <v/>
      </c>
    </row>
    <row r="619" spans="1:33" x14ac:dyDescent="0.25">
      <c r="A619" s="46" t="str">
        <f>IF(ISBLANK(inbound_data[[#This Row],[Receiving Report ref.'#]]),"",IF(inbound_data[[#This Row],[Ending Quantity]]=0,"ZERO","INV"))</f>
        <v/>
      </c>
      <c r="B619" s="165" t="str">
        <f t="shared" si="68"/>
        <v/>
      </c>
      <c r="C619" s="165" t="str">
        <f>IF(ISBLANK(D619),"",inbound_data[[#This Row],[Pallet_Series]]&amp;inbound_data[[#This Row],[No.]])</f>
        <v/>
      </c>
      <c r="D619" s="54"/>
      <c r="E619" s="55"/>
      <c r="F619" s="56"/>
      <c r="G619" s="57"/>
      <c r="H619" s="53"/>
      <c r="I619" s="53"/>
      <c r="J619" s="55"/>
      <c r="K619" s="58"/>
      <c r="L619" s="59"/>
      <c r="M619" s="55"/>
      <c r="N619" s="60"/>
      <c r="O619" s="60"/>
      <c r="P619" s="165" t="str">
        <f t="shared" ca="1" si="69"/>
        <v/>
      </c>
      <c r="Q619" s="165" t="str">
        <f t="shared" ca="1" si="70"/>
        <v/>
      </c>
      <c r="R619" s="79"/>
      <c r="S619" s="80"/>
      <c r="T619" s="61">
        <f t="shared" si="71"/>
        <v>0</v>
      </c>
      <c r="U619" s="61">
        <f t="shared" si="72"/>
        <v>0</v>
      </c>
      <c r="V619" s="61">
        <f t="shared" si="73"/>
        <v>0</v>
      </c>
      <c r="W619" s="58"/>
      <c r="X619" s="58"/>
      <c r="Y619" s="53"/>
      <c r="Z619" s="57"/>
      <c r="AA619" s="62"/>
      <c r="AB619" s="62"/>
      <c r="AC619" s="62"/>
      <c r="AD619" s="62"/>
      <c r="AE619" s="62"/>
      <c r="AF619" s="63"/>
      <c r="AG619" s="64" t="str">
        <f t="shared" si="74"/>
        <v/>
      </c>
    </row>
    <row r="620" spans="1:33" x14ac:dyDescent="0.25">
      <c r="A620" s="46" t="str">
        <f>IF(ISBLANK(inbound_data[[#This Row],[Receiving Report ref.'#]]),"",IF(inbound_data[[#This Row],[Ending Quantity]]=0,"ZERO","INV"))</f>
        <v/>
      </c>
      <c r="B620" s="165" t="str">
        <f t="shared" si="68"/>
        <v/>
      </c>
      <c r="C620" s="165" t="str">
        <f>IF(ISBLANK(D620),"",inbound_data[[#This Row],[Pallet_Series]]&amp;inbound_data[[#This Row],[No.]])</f>
        <v/>
      </c>
      <c r="D620" s="54"/>
      <c r="E620" s="55"/>
      <c r="F620" s="56"/>
      <c r="G620" s="57"/>
      <c r="H620" s="53"/>
      <c r="I620" s="53"/>
      <c r="J620" s="55"/>
      <c r="K620" s="58"/>
      <c r="L620" s="59"/>
      <c r="M620" s="55"/>
      <c r="N620" s="60"/>
      <c r="O620" s="60"/>
      <c r="P620" s="165" t="str">
        <f t="shared" ca="1" si="69"/>
        <v/>
      </c>
      <c r="Q620" s="165" t="str">
        <f t="shared" ca="1" si="70"/>
        <v/>
      </c>
      <c r="R620" s="79"/>
      <c r="S620" s="80"/>
      <c r="T620" s="61">
        <f t="shared" si="71"/>
        <v>0</v>
      </c>
      <c r="U620" s="61">
        <f t="shared" si="72"/>
        <v>0</v>
      </c>
      <c r="V620" s="61">
        <f t="shared" si="73"/>
        <v>0</v>
      </c>
      <c r="W620" s="58"/>
      <c r="X620" s="58"/>
      <c r="Y620" s="53"/>
      <c r="Z620" s="57"/>
      <c r="AA620" s="62"/>
      <c r="AB620" s="62"/>
      <c r="AC620" s="62"/>
      <c r="AD620" s="62"/>
      <c r="AE620" s="62"/>
      <c r="AF620" s="63"/>
      <c r="AG620" s="64" t="str">
        <f t="shared" si="74"/>
        <v/>
      </c>
    </row>
    <row r="621" spans="1:33" x14ac:dyDescent="0.25">
      <c r="A621" s="46" t="str">
        <f>IF(ISBLANK(inbound_data[[#This Row],[Receiving Report ref.'#]]),"",IF(inbound_data[[#This Row],[Ending Quantity]]=0,"ZERO","INV"))</f>
        <v/>
      </c>
      <c r="B621" s="165" t="str">
        <f t="shared" si="68"/>
        <v/>
      </c>
      <c r="C621" s="165" t="str">
        <f>IF(ISBLANK(D621),"",inbound_data[[#This Row],[Pallet_Series]]&amp;inbound_data[[#This Row],[No.]])</f>
        <v/>
      </c>
      <c r="D621" s="54"/>
      <c r="E621" s="55"/>
      <c r="F621" s="56"/>
      <c r="G621" s="57"/>
      <c r="H621" s="53"/>
      <c r="I621" s="53"/>
      <c r="J621" s="55"/>
      <c r="K621" s="58"/>
      <c r="L621" s="59"/>
      <c r="M621" s="55"/>
      <c r="N621" s="60"/>
      <c r="O621" s="60"/>
      <c r="P621" s="165" t="str">
        <f t="shared" ca="1" si="69"/>
        <v/>
      </c>
      <c r="Q621" s="165" t="str">
        <f t="shared" ca="1" si="70"/>
        <v/>
      </c>
      <c r="R621" s="79"/>
      <c r="S621" s="80"/>
      <c r="T621" s="61">
        <f t="shared" si="71"/>
        <v>0</v>
      </c>
      <c r="U621" s="61">
        <f t="shared" si="72"/>
        <v>0</v>
      </c>
      <c r="V621" s="61">
        <f t="shared" si="73"/>
        <v>0</v>
      </c>
      <c r="W621" s="58"/>
      <c r="X621" s="58"/>
      <c r="Y621" s="53"/>
      <c r="Z621" s="57"/>
      <c r="AA621" s="62"/>
      <c r="AB621" s="62"/>
      <c r="AC621" s="62"/>
      <c r="AD621" s="62"/>
      <c r="AE621" s="62"/>
      <c r="AF621" s="63"/>
      <c r="AG621" s="64" t="str">
        <f t="shared" si="74"/>
        <v/>
      </c>
    </row>
    <row r="622" spans="1:33" x14ac:dyDescent="0.25">
      <c r="A622" s="46" t="str">
        <f>IF(ISBLANK(inbound_data[[#This Row],[Receiving Report ref.'#]]),"",IF(inbound_data[[#This Row],[Ending Quantity]]=0,"ZERO","INV"))</f>
        <v/>
      </c>
      <c r="B622" s="165" t="str">
        <f t="shared" si="68"/>
        <v/>
      </c>
      <c r="C622" s="165" t="str">
        <f>IF(ISBLANK(D622),"",inbound_data[[#This Row],[Pallet_Series]]&amp;inbound_data[[#This Row],[No.]])</f>
        <v/>
      </c>
      <c r="D622" s="54"/>
      <c r="E622" s="55"/>
      <c r="F622" s="56"/>
      <c r="G622" s="57"/>
      <c r="H622" s="53"/>
      <c r="I622" s="53"/>
      <c r="J622" s="55"/>
      <c r="K622" s="58"/>
      <c r="L622" s="59"/>
      <c r="M622" s="55"/>
      <c r="N622" s="60"/>
      <c r="O622" s="60"/>
      <c r="P622" s="165" t="str">
        <f t="shared" ca="1" si="69"/>
        <v/>
      </c>
      <c r="Q622" s="165" t="str">
        <f t="shared" ca="1" si="70"/>
        <v/>
      </c>
      <c r="R622" s="79"/>
      <c r="S622" s="80"/>
      <c r="T622" s="61">
        <f t="shared" si="71"/>
        <v>0</v>
      </c>
      <c r="U622" s="61">
        <f t="shared" si="72"/>
        <v>0</v>
      </c>
      <c r="V622" s="61">
        <f t="shared" si="73"/>
        <v>0</v>
      </c>
      <c r="W622" s="58"/>
      <c r="X622" s="58"/>
      <c r="Y622" s="53"/>
      <c r="Z622" s="57"/>
      <c r="AA622" s="62"/>
      <c r="AB622" s="62"/>
      <c r="AC622" s="62"/>
      <c r="AD622" s="62"/>
      <c r="AE622" s="62"/>
      <c r="AF622" s="63"/>
      <c r="AG622" s="64" t="str">
        <f t="shared" si="74"/>
        <v/>
      </c>
    </row>
    <row r="623" spans="1:33" x14ac:dyDescent="0.25">
      <c r="A623" s="46" t="str">
        <f>IF(ISBLANK(inbound_data[[#This Row],[Receiving Report ref.'#]]),"",IF(inbound_data[[#This Row],[Ending Quantity]]=0,"ZERO","INV"))</f>
        <v/>
      </c>
      <c r="B623" s="165" t="str">
        <f t="shared" si="68"/>
        <v/>
      </c>
      <c r="C623" s="165" t="str">
        <f>IF(ISBLANK(D623),"",inbound_data[[#This Row],[Pallet_Series]]&amp;inbound_data[[#This Row],[No.]])</f>
        <v/>
      </c>
      <c r="D623" s="54"/>
      <c r="E623" s="55"/>
      <c r="F623" s="56"/>
      <c r="G623" s="57"/>
      <c r="H623" s="53"/>
      <c r="I623" s="53"/>
      <c r="J623" s="55"/>
      <c r="K623" s="58"/>
      <c r="L623" s="59"/>
      <c r="M623" s="55"/>
      <c r="N623" s="60"/>
      <c r="O623" s="60"/>
      <c r="P623" s="165" t="str">
        <f t="shared" ca="1" si="69"/>
        <v/>
      </c>
      <c r="Q623" s="165" t="str">
        <f t="shared" ca="1" si="70"/>
        <v/>
      </c>
      <c r="R623" s="79"/>
      <c r="S623" s="80"/>
      <c r="T623" s="61">
        <f t="shared" si="71"/>
        <v>0</v>
      </c>
      <c r="U623" s="61">
        <f t="shared" si="72"/>
        <v>0</v>
      </c>
      <c r="V623" s="61">
        <f t="shared" si="73"/>
        <v>0</v>
      </c>
      <c r="W623" s="58"/>
      <c r="X623" s="58"/>
      <c r="Y623" s="53"/>
      <c r="Z623" s="57"/>
      <c r="AA623" s="62"/>
      <c r="AB623" s="62"/>
      <c r="AC623" s="62"/>
      <c r="AD623" s="62"/>
      <c r="AE623" s="62"/>
      <c r="AF623" s="63"/>
      <c r="AG623" s="64" t="str">
        <f t="shared" si="74"/>
        <v/>
      </c>
    </row>
    <row r="624" spans="1:33" x14ac:dyDescent="0.25">
      <c r="A624" s="46" t="str">
        <f>IF(ISBLANK(inbound_data[[#This Row],[Receiving Report ref.'#]]),"",IF(inbound_data[[#This Row],[Ending Quantity]]=0,"ZERO","INV"))</f>
        <v/>
      </c>
      <c r="B624" s="165" t="str">
        <f t="shared" si="68"/>
        <v/>
      </c>
      <c r="C624" s="165" t="str">
        <f>IF(ISBLANK(D624),"",inbound_data[[#This Row],[Pallet_Series]]&amp;inbound_data[[#This Row],[No.]])</f>
        <v/>
      </c>
      <c r="D624" s="54"/>
      <c r="E624" s="55"/>
      <c r="F624" s="56"/>
      <c r="G624" s="57"/>
      <c r="H624" s="53"/>
      <c r="I624" s="53"/>
      <c r="J624" s="55"/>
      <c r="K624" s="58"/>
      <c r="L624" s="59"/>
      <c r="M624" s="55"/>
      <c r="N624" s="60"/>
      <c r="O624" s="60"/>
      <c r="P624" s="165" t="str">
        <f t="shared" ca="1" si="69"/>
        <v/>
      </c>
      <c r="Q624" s="165" t="str">
        <f t="shared" ca="1" si="70"/>
        <v/>
      </c>
      <c r="R624" s="79"/>
      <c r="S624" s="80"/>
      <c r="T624" s="61">
        <f t="shared" si="71"/>
        <v>0</v>
      </c>
      <c r="U624" s="61">
        <f t="shared" si="72"/>
        <v>0</v>
      </c>
      <c r="V624" s="61">
        <f t="shared" si="73"/>
        <v>0</v>
      </c>
      <c r="W624" s="58"/>
      <c r="X624" s="58"/>
      <c r="Y624" s="53"/>
      <c r="Z624" s="57"/>
      <c r="AA624" s="62"/>
      <c r="AB624" s="62"/>
      <c r="AC624" s="62"/>
      <c r="AD624" s="62"/>
      <c r="AE624" s="62"/>
      <c r="AF624" s="63"/>
      <c r="AG624" s="64" t="str">
        <f t="shared" si="74"/>
        <v/>
      </c>
    </row>
    <row r="625" spans="1:33" x14ac:dyDescent="0.25">
      <c r="A625" s="46" t="str">
        <f>IF(ISBLANK(inbound_data[[#This Row],[Receiving Report ref.'#]]),"",IF(inbound_data[[#This Row],[Ending Quantity]]=0,"ZERO","INV"))</f>
        <v/>
      </c>
      <c r="B625" s="165" t="str">
        <f t="shared" si="68"/>
        <v/>
      </c>
      <c r="C625" s="165" t="str">
        <f>IF(ISBLANK(D625),"",inbound_data[[#This Row],[Pallet_Series]]&amp;inbound_data[[#This Row],[No.]])</f>
        <v/>
      </c>
      <c r="D625" s="54"/>
      <c r="E625" s="55"/>
      <c r="F625" s="56"/>
      <c r="G625" s="57"/>
      <c r="H625" s="53"/>
      <c r="I625" s="53"/>
      <c r="J625" s="55"/>
      <c r="K625" s="58"/>
      <c r="L625" s="59"/>
      <c r="M625" s="55"/>
      <c r="N625" s="60"/>
      <c r="O625" s="60"/>
      <c r="P625" s="165" t="str">
        <f t="shared" ca="1" si="69"/>
        <v/>
      </c>
      <c r="Q625" s="165" t="str">
        <f t="shared" ca="1" si="70"/>
        <v/>
      </c>
      <c r="R625" s="79"/>
      <c r="S625" s="80"/>
      <c r="T625" s="61">
        <f t="shared" si="71"/>
        <v>0</v>
      </c>
      <c r="U625" s="61">
        <f t="shared" si="72"/>
        <v>0</v>
      </c>
      <c r="V625" s="61">
        <f t="shared" si="73"/>
        <v>0</v>
      </c>
      <c r="W625" s="58"/>
      <c r="X625" s="58"/>
      <c r="Y625" s="53"/>
      <c r="Z625" s="57"/>
      <c r="AA625" s="62"/>
      <c r="AB625" s="62"/>
      <c r="AC625" s="62"/>
      <c r="AD625" s="62"/>
      <c r="AE625" s="62"/>
      <c r="AF625" s="63"/>
      <c r="AG625" s="64" t="str">
        <f t="shared" si="74"/>
        <v/>
      </c>
    </row>
    <row r="626" spans="1:33" x14ac:dyDescent="0.25">
      <c r="A626" s="46" t="str">
        <f>IF(ISBLANK(inbound_data[[#This Row],[Receiving Report ref.'#]]),"",IF(inbound_data[[#This Row],[Ending Quantity]]=0,"ZERO","INV"))</f>
        <v/>
      </c>
      <c r="B626" s="165" t="str">
        <f t="shared" si="68"/>
        <v/>
      </c>
      <c r="C626" s="165" t="str">
        <f>IF(ISBLANK(D626),"",inbound_data[[#This Row],[Pallet_Series]]&amp;inbound_data[[#This Row],[No.]])</f>
        <v/>
      </c>
      <c r="D626" s="54"/>
      <c r="E626" s="55"/>
      <c r="F626" s="56"/>
      <c r="G626" s="57"/>
      <c r="H626" s="53"/>
      <c r="I626" s="53"/>
      <c r="J626" s="55"/>
      <c r="K626" s="58"/>
      <c r="L626" s="59"/>
      <c r="M626" s="55"/>
      <c r="N626" s="60"/>
      <c r="O626" s="60"/>
      <c r="P626" s="165" t="str">
        <f t="shared" ca="1" si="69"/>
        <v/>
      </c>
      <c r="Q626" s="165" t="str">
        <f t="shared" ca="1" si="70"/>
        <v/>
      </c>
      <c r="R626" s="79"/>
      <c r="S626" s="80"/>
      <c r="T626" s="61">
        <f t="shared" si="71"/>
        <v>0</v>
      </c>
      <c r="U626" s="61">
        <f t="shared" si="72"/>
        <v>0</v>
      </c>
      <c r="V626" s="61">
        <f t="shared" si="73"/>
        <v>0</v>
      </c>
      <c r="W626" s="58"/>
      <c r="X626" s="58"/>
      <c r="Y626" s="53"/>
      <c r="Z626" s="57"/>
      <c r="AA626" s="62"/>
      <c r="AB626" s="62"/>
      <c r="AC626" s="62"/>
      <c r="AD626" s="62"/>
      <c r="AE626" s="62"/>
      <c r="AF626" s="63"/>
      <c r="AG626" s="64" t="str">
        <f t="shared" si="74"/>
        <v/>
      </c>
    </row>
    <row r="627" spans="1:33" x14ac:dyDescent="0.25">
      <c r="A627" s="46" t="str">
        <f>IF(ISBLANK(inbound_data[[#This Row],[Receiving Report ref.'#]]),"",IF(inbound_data[[#This Row],[Ending Quantity]]=0,"ZERO","INV"))</f>
        <v/>
      </c>
      <c r="B627" s="165" t="str">
        <f t="shared" si="68"/>
        <v/>
      </c>
      <c r="C627" s="165" t="str">
        <f>IF(ISBLANK(D627),"",inbound_data[[#This Row],[Pallet_Series]]&amp;inbound_data[[#This Row],[No.]])</f>
        <v/>
      </c>
      <c r="D627" s="54"/>
      <c r="E627" s="55"/>
      <c r="F627" s="56"/>
      <c r="G627" s="57"/>
      <c r="H627" s="53"/>
      <c r="I627" s="53"/>
      <c r="J627" s="55"/>
      <c r="K627" s="58"/>
      <c r="L627" s="59"/>
      <c r="M627" s="55"/>
      <c r="N627" s="60"/>
      <c r="O627" s="60"/>
      <c r="P627" s="165" t="str">
        <f t="shared" ca="1" si="69"/>
        <v/>
      </c>
      <c r="Q627" s="165" t="str">
        <f t="shared" ca="1" si="70"/>
        <v/>
      </c>
      <c r="R627" s="79"/>
      <c r="S627" s="80"/>
      <c r="T627" s="61">
        <f t="shared" si="71"/>
        <v>0</v>
      </c>
      <c r="U627" s="61">
        <f t="shared" si="72"/>
        <v>0</v>
      </c>
      <c r="V627" s="61">
        <f t="shared" si="73"/>
        <v>0</v>
      </c>
      <c r="W627" s="58"/>
      <c r="X627" s="58"/>
      <c r="Y627" s="53"/>
      <c r="Z627" s="57"/>
      <c r="AA627" s="62"/>
      <c r="AB627" s="62"/>
      <c r="AC627" s="62"/>
      <c r="AD627" s="62"/>
      <c r="AE627" s="62"/>
      <c r="AF627" s="63"/>
      <c r="AG627" s="64" t="str">
        <f t="shared" si="74"/>
        <v/>
      </c>
    </row>
    <row r="628" spans="1:33" x14ac:dyDescent="0.25">
      <c r="A628" s="46" t="str">
        <f>IF(ISBLANK(inbound_data[[#This Row],[Receiving Report ref.'#]]),"",IF(inbound_data[[#This Row],[Ending Quantity]]=0,"ZERO","INV"))</f>
        <v/>
      </c>
      <c r="B628" s="165" t="str">
        <f t="shared" si="68"/>
        <v/>
      </c>
      <c r="C628" s="165" t="str">
        <f>IF(ISBLANK(D628),"",inbound_data[[#This Row],[Pallet_Series]]&amp;inbound_data[[#This Row],[No.]])</f>
        <v/>
      </c>
      <c r="D628" s="54"/>
      <c r="E628" s="55"/>
      <c r="F628" s="56"/>
      <c r="G628" s="57"/>
      <c r="H628" s="53"/>
      <c r="I628" s="53"/>
      <c r="J628" s="55"/>
      <c r="K628" s="58"/>
      <c r="L628" s="59"/>
      <c r="M628" s="55"/>
      <c r="N628" s="60"/>
      <c r="O628" s="60"/>
      <c r="P628" s="165" t="str">
        <f t="shared" ca="1" si="69"/>
        <v/>
      </c>
      <c r="Q628" s="165" t="str">
        <f t="shared" ca="1" si="70"/>
        <v/>
      </c>
      <c r="R628" s="79"/>
      <c r="S628" s="80"/>
      <c r="T628" s="61">
        <f t="shared" si="71"/>
        <v>0</v>
      </c>
      <c r="U628" s="61">
        <f t="shared" si="72"/>
        <v>0</v>
      </c>
      <c r="V628" s="61">
        <f t="shared" si="73"/>
        <v>0</v>
      </c>
      <c r="W628" s="58"/>
      <c r="X628" s="58"/>
      <c r="Y628" s="53"/>
      <c r="Z628" s="57"/>
      <c r="AA628" s="62"/>
      <c r="AB628" s="62"/>
      <c r="AC628" s="62"/>
      <c r="AD628" s="62"/>
      <c r="AE628" s="62"/>
      <c r="AF628" s="63"/>
      <c r="AG628" s="64" t="str">
        <f t="shared" si="74"/>
        <v/>
      </c>
    </row>
    <row r="629" spans="1:33" x14ac:dyDescent="0.25">
      <c r="A629" s="46" t="str">
        <f>IF(ISBLANK(inbound_data[[#This Row],[Receiving Report ref.'#]]),"",IF(inbound_data[[#This Row],[Ending Quantity]]=0,"ZERO","INV"))</f>
        <v/>
      </c>
      <c r="B629" s="165" t="str">
        <f t="shared" si="68"/>
        <v/>
      </c>
      <c r="C629" s="165" t="str">
        <f>IF(ISBLANK(D629),"",inbound_data[[#This Row],[Pallet_Series]]&amp;inbound_data[[#This Row],[No.]])</f>
        <v/>
      </c>
      <c r="D629" s="54"/>
      <c r="E629" s="55"/>
      <c r="F629" s="56"/>
      <c r="G629" s="57"/>
      <c r="H629" s="53"/>
      <c r="I629" s="53"/>
      <c r="J629" s="55"/>
      <c r="K629" s="58"/>
      <c r="L629" s="59"/>
      <c r="M629" s="55"/>
      <c r="N629" s="60"/>
      <c r="O629" s="60"/>
      <c r="P629" s="165" t="str">
        <f t="shared" ca="1" si="69"/>
        <v/>
      </c>
      <c r="Q629" s="165" t="str">
        <f t="shared" ca="1" si="70"/>
        <v/>
      </c>
      <c r="R629" s="79"/>
      <c r="S629" s="80"/>
      <c r="T629" s="61">
        <f t="shared" si="71"/>
        <v>0</v>
      </c>
      <c r="U629" s="61">
        <f t="shared" si="72"/>
        <v>0</v>
      </c>
      <c r="V629" s="61">
        <f t="shared" si="73"/>
        <v>0</v>
      </c>
      <c r="W629" s="58"/>
      <c r="X629" s="58"/>
      <c r="Y629" s="53"/>
      <c r="Z629" s="57"/>
      <c r="AA629" s="62"/>
      <c r="AB629" s="62"/>
      <c r="AC629" s="62"/>
      <c r="AD629" s="62"/>
      <c r="AE629" s="62"/>
      <c r="AF629" s="63"/>
      <c r="AG629" s="64" t="str">
        <f t="shared" si="74"/>
        <v/>
      </c>
    </row>
    <row r="630" spans="1:33" x14ac:dyDescent="0.25">
      <c r="A630" s="46" t="str">
        <f>IF(ISBLANK(inbound_data[[#This Row],[Receiving Report ref.'#]]),"",IF(inbound_data[[#This Row],[Ending Quantity]]=0,"ZERO","INV"))</f>
        <v/>
      </c>
      <c r="B630" s="165" t="str">
        <f t="shared" si="68"/>
        <v/>
      </c>
      <c r="C630" s="165" t="str">
        <f>IF(ISBLANK(D630),"",inbound_data[[#This Row],[Pallet_Series]]&amp;inbound_data[[#This Row],[No.]])</f>
        <v/>
      </c>
      <c r="D630" s="54"/>
      <c r="E630" s="55"/>
      <c r="F630" s="56"/>
      <c r="G630" s="57"/>
      <c r="H630" s="53"/>
      <c r="I630" s="53"/>
      <c r="J630" s="55"/>
      <c r="K630" s="58"/>
      <c r="L630" s="59"/>
      <c r="M630" s="55"/>
      <c r="N630" s="60"/>
      <c r="O630" s="60"/>
      <c r="P630" s="165" t="str">
        <f t="shared" ca="1" si="69"/>
        <v/>
      </c>
      <c r="Q630" s="165" t="str">
        <f t="shared" ca="1" si="70"/>
        <v/>
      </c>
      <c r="R630" s="79"/>
      <c r="S630" s="80"/>
      <c r="T630" s="61">
        <f t="shared" si="71"/>
        <v>0</v>
      </c>
      <c r="U630" s="61">
        <f t="shared" si="72"/>
        <v>0</v>
      </c>
      <c r="V630" s="61">
        <f t="shared" si="73"/>
        <v>0</v>
      </c>
      <c r="W630" s="58"/>
      <c r="X630" s="58"/>
      <c r="Y630" s="53"/>
      <c r="Z630" s="57"/>
      <c r="AA630" s="62"/>
      <c r="AB630" s="62"/>
      <c r="AC630" s="62"/>
      <c r="AD630" s="62"/>
      <c r="AE630" s="62"/>
      <c r="AF630" s="63"/>
      <c r="AG630" s="64" t="str">
        <f t="shared" si="74"/>
        <v/>
      </c>
    </row>
    <row r="631" spans="1:33" x14ac:dyDescent="0.25">
      <c r="A631" s="46" t="str">
        <f>IF(ISBLANK(inbound_data[[#This Row],[Receiving Report ref.'#]]),"",IF(inbound_data[[#This Row],[Ending Quantity]]=0,"ZERO","INV"))</f>
        <v/>
      </c>
      <c r="B631" s="165" t="str">
        <f t="shared" si="68"/>
        <v/>
      </c>
      <c r="C631" s="165" t="str">
        <f>IF(ISBLANK(D631),"",inbound_data[[#This Row],[Pallet_Series]]&amp;inbound_data[[#This Row],[No.]])</f>
        <v/>
      </c>
      <c r="D631" s="54"/>
      <c r="E631" s="55"/>
      <c r="F631" s="56"/>
      <c r="G631" s="57"/>
      <c r="H631" s="53"/>
      <c r="I631" s="53"/>
      <c r="J631" s="55"/>
      <c r="K631" s="58"/>
      <c r="L631" s="59"/>
      <c r="M631" s="55"/>
      <c r="N631" s="60"/>
      <c r="O631" s="60"/>
      <c r="P631" s="165" t="str">
        <f t="shared" ca="1" si="69"/>
        <v/>
      </c>
      <c r="Q631" s="165" t="str">
        <f t="shared" ca="1" si="70"/>
        <v/>
      </c>
      <c r="R631" s="79"/>
      <c r="S631" s="80"/>
      <c r="T631" s="61">
        <f t="shared" si="71"/>
        <v>0</v>
      </c>
      <c r="U631" s="61">
        <f t="shared" si="72"/>
        <v>0</v>
      </c>
      <c r="V631" s="61">
        <f t="shared" si="73"/>
        <v>0</v>
      </c>
      <c r="W631" s="58"/>
      <c r="X631" s="58"/>
      <c r="Y631" s="53"/>
      <c r="Z631" s="57"/>
      <c r="AA631" s="62"/>
      <c r="AB631" s="62"/>
      <c r="AC631" s="62"/>
      <c r="AD631" s="62"/>
      <c r="AE631" s="62"/>
      <c r="AF631" s="63"/>
      <c r="AG631" s="64" t="str">
        <f t="shared" si="74"/>
        <v/>
      </c>
    </row>
    <row r="632" spans="1:33" x14ac:dyDescent="0.25">
      <c r="A632" s="46" t="str">
        <f>IF(ISBLANK(inbound_data[[#This Row],[Receiving Report ref.'#]]),"",IF(inbound_data[[#This Row],[Ending Quantity]]=0,"ZERO","INV"))</f>
        <v/>
      </c>
      <c r="B632" s="165" t="str">
        <f t="shared" si="68"/>
        <v/>
      </c>
      <c r="C632" s="165" t="str">
        <f>IF(ISBLANK(D632),"",inbound_data[[#This Row],[Pallet_Series]]&amp;inbound_data[[#This Row],[No.]])</f>
        <v/>
      </c>
      <c r="D632" s="54"/>
      <c r="E632" s="55"/>
      <c r="F632" s="56"/>
      <c r="G632" s="57"/>
      <c r="H632" s="53"/>
      <c r="I632" s="53"/>
      <c r="J632" s="55"/>
      <c r="K632" s="58"/>
      <c r="L632" s="59"/>
      <c r="M632" s="55"/>
      <c r="N632" s="60"/>
      <c r="O632" s="60"/>
      <c r="P632" s="165" t="str">
        <f t="shared" ca="1" si="69"/>
        <v/>
      </c>
      <c r="Q632" s="165" t="str">
        <f t="shared" ca="1" si="70"/>
        <v/>
      </c>
      <c r="R632" s="79"/>
      <c r="S632" s="80"/>
      <c r="T632" s="61">
        <f t="shared" si="71"/>
        <v>0</v>
      </c>
      <c r="U632" s="61">
        <f t="shared" si="72"/>
        <v>0</v>
      </c>
      <c r="V632" s="61">
        <f t="shared" si="73"/>
        <v>0</v>
      </c>
      <c r="W632" s="58"/>
      <c r="X632" s="58"/>
      <c r="Y632" s="53"/>
      <c r="Z632" s="57"/>
      <c r="AA632" s="62"/>
      <c r="AB632" s="62"/>
      <c r="AC632" s="62"/>
      <c r="AD632" s="62"/>
      <c r="AE632" s="62"/>
      <c r="AF632" s="63"/>
      <c r="AG632" s="64" t="str">
        <f t="shared" si="74"/>
        <v/>
      </c>
    </row>
    <row r="633" spans="1:33" x14ac:dyDescent="0.25">
      <c r="A633" s="46" t="str">
        <f>IF(ISBLANK(inbound_data[[#This Row],[Receiving Report ref.'#]]),"",IF(inbound_data[[#This Row],[Ending Quantity]]=0,"ZERO","INV"))</f>
        <v/>
      </c>
      <c r="B633" s="165" t="str">
        <f t="shared" si="68"/>
        <v/>
      </c>
      <c r="C633" s="165" t="str">
        <f>IF(ISBLANK(D633),"",inbound_data[[#This Row],[Pallet_Series]]&amp;inbound_data[[#This Row],[No.]])</f>
        <v/>
      </c>
      <c r="D633" s="54"/>
      <c r="E633" s="55"/>
      <c r="F633" s="56"/>
      <c r="G633" s="57"/>
      <c r="H633" s="53"/>
      <c r="I633" s="53"/>
      <c r="J633" s="55"/>
      <c r="K633" s="58"/>
      <c r="L633" s="59"/>
      <c r="M633" s="55"/>
      <c r="N633" s="60"/>
      <c r="O633" s="60"/>
      <c r="P633" s="165" t="str">
        <f t="shared" ca="1" si="69"/>
        <v/>
      </c>
      <c r="Q633" s="165" t="str">
        <f t="shared" ca="1" si="70"/>
        <v/>
      </c>
      <c r="R633" s="79"/>
      <c r="S633" s="80"/>
      <c r="T633" s="61">
        <f t="shared" si="71"/>
        <v>0</v>
      </c>
      <c r="U633" s="61">
        <f t="shared" si="72"/>
        <v>0</v>
      </c>
      <c r="V633" s="61">
        <f t="shared" si="73"/>
        <v>0</v>
      </c>
      <c r="W633" s="58"/>
      <c r="X633" s="58"/>
      <c r="Y633" s="53"/>
      <c r="Z633" s="57"/>
      <c r="AA633" s="62"/>
      <c r="AB633" s="62"/>
      <c r="AC633" s="62"/>
      <c r="AD633" s="62"/>
      <c r="AE633" s="62"/>
      <c r="AF633" s="63"/>
      <c r="AG633" s="64" t="str">
        <f t="shared" si="74"/>
        <v/>
      </c>
    </row>
    <row r="634" spans="1:33" x14ac:dyDescent="0.25">
      <c r="A634" s="46" t="str">
        <f>IF(ISBLANK(inbound_data[[#This Row],[Receiving Report ref.'#]]),"",IF(inbound_data[[#This Row],[Ending Quantity]]=0,"ZERO","INV"))</f>
        <v/>
      </c>
      <c r="B634" s="165" t="str">
        <f t="shared" si="68"/>
        <v/>
      </c>
      <c r="C634" s="165" t="str">
        <f>IF(ISBLANK(D634),"",inbound_data[[#This Row],[Pallet_Series]]&amp;inbound_data[[#This Row],[No.]])</f>
        <v/>
      </c>
      <c r="D634" s="54"/>
      <c r="E634" s="55"/>
      <c r="F634" s="56"/>
      <c r="G634" s="57"/>
      <c r="H634" s="53"/>
      <c r="I634" s="53"/>
      <c r="J634" s="55"/>
      <c r="K634" s="58"/>
      <c r="L634" s="59"/>
      <c r="M634" s="55"/>
      <c r="N634" s="60"/>
      <c r="O634" s="60"/>
      <c r="P634" s="165" t="str">
        <f t="shared" ca="1" si="69"/>
        <v/>
      </c>
      <c r="Q634" s="165" t="str">
        <f t="shared" ca="1" si="70"/>
        <v/>
      </c>
      <c r="R634" s="79"/>
      <c r="S634" s="80"/>
      <c r="T634" s="61">
        <f t="shared" si="71"/>
        <v>0</v>
      </c>
      <c r="U634" s="61">
        <f t="shared" si="72"/>
        <v>0</v>
      </c>
      <c r="V634" s="61">
        <f t="shared" si="73"/>
        <v>0</v>
      </c>
      <c r="W634" s="58"/>
      <c r="X634" s="58"/>
      <c r="Y634" s="53"/>
      <c r="Z634" s="57"/>
      <c r="AA634" s="62"/>
      <c r="AB634" s="62"/>
      <c r="AC634" s="62"/>
      <c r="AD634" s="62"/>
      <c r="AE634" s="62"/>
      <c r="AF634" s="63"/>
      <c r="AG634" s="64" t="str">
        <f t="shared" si="74"/>
        <v/>
      </c>
    </row>
    <row r="635" spans="1:33" x14ac:dyDescent="0.25">
      <c r="A635" s="46" t="str">
        <f>IF(ISBLANK(inbound_data[[#This Row],[Receiving Report ref.'#]]),"",IF(inbound_data[[#This Row],[Ending Quantity]]=0,"ZERO","INV"))</f>
        <v/>
      </c>
      <c r="B635" s="165" t="str">
        <f t="shared" si="68"/>
        <v/>
      </c>
      <c r="C635" s="165" t="str">
        <f>IF(ISBLANK(D635),"",inbound_data[[#This Row],[Pallet_Series]]&amp;inbound_data[[#This Row],[No.]])</f>
        <v/>
      </c>
      <c r="D635" s="54"/>
      <c r="E635" s="55"/>
      <c r="F635" s="56"/>
      <c r="G635" s="57"/>
      <c r="H635" s="53"/>
      <c r="I635" s="53"/>
      <c r="J635" s="55"/>
      <c r="K635" s="58"/>
      <c r="L635" s="59"/>
      <c r="M635" s="55"/>
      <c r="N635" s="60"/>
      <c r="O635" s="60"/>
      <c r="P635" s="165" t="str">
        <f t="shared" ca="1" si="69"/>
        <v/>
      </c>
      <c r="Q635" s="165" t="str">
        <f t="shared" ca="1" si="70"/>
        <v/>
      </c>
      <c r="R635" s="79"/>
      <c r="S635" s="80"/>
      <c r="T635" s="61">
        <f t="shared" si="71"/>
        <v>0</v>
      </c>
      <c r="U635" s="61">
        <f t="shared" si="72"/>
        <v>0</v>
      </c>
      <c r="V635" s="61">
        <f t="shared" si="73"/>
        <v>0</v>
      </c>
      <c r="W635" s="58"/>
      <c r="X635" s="58"/>
      <c r="Y635" s="53"/>
      <c r="Z635" s="57"/>
      <c r="AA635" s="62"/>
      <c r="AB635" s="62"/>
      <c r="AC635" s="62"/>
      <c r="AD635" s="62"/>
      <c r="AE635" s="62"/>
      <c r="AF635" s="63"/>
      <c r="AG635" s="64" t="str">
        <f t="shared" si="74"/>
        <v/>
      </c>
    </row>
    <row r="636" spans="1:33" x14ac:dyDescent="0.25">
      <c r="A636" s="46" t="str">
        <f>IF(ISBLANK(inbound_data[[#This Row],[Receiving Report ref.'#]]),"",IF(inbound_data[[#This Row],[Ending Quantity]]=0,"ZERO","INV"))</f>
        <v/>
      </c>
      <c r="B636" s="165" t="str">
        <f t="shared" si="68"/>
        <v/>
      </c>
      <c r="C636" s="165" t="str">
        <f>IF(ISBLANK(D636),"",inbound_data[[#This Row],[Pallet_Series]]&amp;inbound_data[[#This Row],[No.]])</f>
        <v/>
      </c>
      <c r="D636" s="54"/>
      <c r="E636" s="55"/>
      <c r="F636" s="56"/>
      <c r="G636" s="57"/>
      <c r="H636" s="53"/>
      <c r="I636" s="53"/>
      <c r="J636" s="55"/>
      <c r="K636" s="58"/>
      <c r="L636" s="59"/>
      <c r="M636" s="55"/>
      <c r="N636" s="60"/>
      <c r="O636" s="60"/>
      <c r="P636" s="165" t="str">
        <f t="shared" ca="1" si="69"/>
        <v/>
      </c>
      <c r="Q636" s="165" t="str">
        <f t="shared" ca="1" si="70"/>
        <v/>
      </c>
      <c r="R636" s="79"/>
      <c r="S636" s="80"/>
      <c r="T636" s="61">
        <f t="shared" si="71"/>
        <v>0</v>
      </c>
      <c r="U636" s="61">
        <f t="shared" si="72"/>
        <v>0</v>
      </c>
      <c r="V636" s="61">
        <f t="shared" si="73"/>
        <v>0</v>
      </c>
      <c r="W636" s="58"/>
      <c r="X636" s="58"/>
      <c r="Y636" s="53"/>
      <c r="Z636" s="57"/>
      <c r="AA636" s="62"/>
      <c r="AB636" s="62"/>
      <c r="AC636" s="62"/>
      <c r="AD636" s="62"/>
      <c r="AE636" s="62"/>
      <c r="AF636" s="63"/>
      <c r="AG636" s="64" t="str">
        <f t="shared" si="74"/>
        <v/>
      </c>
    </row>
    <row r="637" spans="1:33" x14ac:dyDescent="0.25">
      <c r="A637" s="46" t="str">
        <f>IF(ISBLANK(inbound_data[[#This Row],[Receiving Report ref.'#]]),"",IF(inbound_data[[#This Row],[Ending Quantity]]=0,"ZERO","INV"))</f>
        <v/>
      </c>
      <c r="B637" s="165" t="str">
        <f t="shared" si="68"/>
        <v/>
      </c>
      <c r="C637" s="165" t="str">
        <f>IF(ISBLANK(D637),"",inbound_data[[#This Row],[Pallet_Series]]&amp;inbound_data[[#This Row],[No.]])</f>
        <v/>
      </c>
      <c r="D637" s="54"/>
      <c r="E637" s="55"/>
      <c r="F637" s="56"/>
      <c r="G637" s="57"/>
      <c r="H637" s="53"/>
      <c r="I637" s="53"/>
      <c r="J637" s="55"/>
      <c r="K637" s="58"/>
      <c r="L637" s="59"/>
      <c r="M637" s="55"/>
      <c r="N637" s="60"/>
      <c r="O637" s="60"/>
      <c r="P637" s="165" t="str">
        <f t="shared" ca="1" si="69"/>
        <v/>
      </c>
      <c r="Q637" s="165" t="str">
        <f t="shared" ca="1" si="70"/>
        <v/>
      </c>
      <c r="R637" s="79"/>
      <c r="S637" s="80"/>
      <c r="T637" s="61">
        <f t="shared" si="71"/>
        <v>0</v>
      </c>
      <c r="U637" s="61">
        <f t="shared" si="72"/>
        <v>0</v>
      </c>
      <c r="V637" s="61">
        <f t="shared" si="73"/>
        <v>0</v>
      </c>
      <c r="W637" s="58"/>
      <c r="X637" s="58"/>
      <c r="Y637" s="53"/>
      <c r="Z637" s="57"/>
      <c r="AA637" s="62"/>
      <c r="AB637" s="62"/>
      <c r="AC637" s="62"/>
      <c r="AD637" s="62"/>
      <c r="AE637" s="62"/>
      <c r="AF637" s="63"/>
      <c r="AG637" s="64" t="str">
        <f t="shared" si="74"/>
        <v/>
      </c>
    </row>
    <row r="638" spans="1:33" x14ac:dyDescent="0.25">
      <c r="A638" s="46" t="str">
        <f>IF(ISBLANK(inbound_data[[#This Row],[Receiving Report ref.'#]]),"",IF(inbound_data[[#This Row],[Ending Quantity]]=0,"ZERO","INV"))</f>
        <v/>
      </c>
      <c r="B638" s="165" t="str">
        <f t="shared" si="68"/>
        <v/>
      </c>
      <c r="C638" s="165" t="str">
        <f>IF(ISBLANK(D638),"",inbound_data[[#This Row],[Pallet_Series]]&amp;inbound_data[[#This Row],[No.]])</f>
        <v/>
      </c>
      <c r="D638" s="54"/>
      <c r="E638" s="55"/>
      <c r="F638" s="56"/>
      <c r="G638" s="57"/>
      <c r="H638" s="53"/>
      <c r="I638" s="53"/>
      <c r="J638" s="55"/>
      <c r="K638" s="58"/>
      <c r="L638" s="59"/>
      <c r="M638" s="55"/>
      <c r="N638" s="60"/>
      <c r="O638" s="60"/>
      <c r="P638" s="165" t="str">
        <f t="shared" ca="1" si="69"/>
        <v/>
      </c>
      <c r="Q638" s="165" t="str">
        <f t="shared" ca="1" si="70"/>
        <v/>
      </c>
      <c r="R638" s="79"/>
      <c r="S638" s="80"/>
      <c r="T638" s="61">
        <f t="shared" si="71"/>
        <v>0</v>
      </c>
      <c r="U638" s="61">
        <f t="shared" si="72"/>
        <v>0</v>
      </c>
      <c r="V638" s="61">
        <f t="shared" si="73"/>
        <v>0</v>
      </c>
      <c r="W638" s="58"/>
      <c r="X638" s="58"/>
      <c r="Y638" s="53"/>
      <c r="Z638" s="57"/>
      <c r="AA638" s="62"/>
      <c r="AB638" s="62"/>
      <c r="AC638" s="62"/>
      <c r="AD638" s="62"/>
      <c r="AE638" s="62"/>
      <c r="AF638" s="63"/>
      <c r="AG638" s="64" t="str">
        <f t="shared" si="74"/>
        <v/>
      </c>
    </row>
    <row r="639" spans="1:33" x14ac:dyDescent="0.25">
      <c r="A639" s="46" t="str">
        <f>IF(ISBLANK(inbound_data[[#This Row],[Receiving Report ref.'#]]),"",IF(inbound_data[[#This Row],[Ending Quantity]]=0,"ZERO","INV"))</f>
        <v/>
      </c>
      <c r="B639" s="165" t="str">
        <f t="shared" si="68"/>
        <v/>
      </c>
      <c r="C639" s="165" t="str">
        <f>IF(ISBLANK(D639),"",inbound_data[[#This Row],[Pallet_Series]]&amp;inbound_data[[#This Row],[No.]])</f>
        <v/>
      </c>
      <c r="D639" s="54"/>
      <c r="E639" s="55"/>
      <c r="F639" s="56"/>
      <c r="G639" s="57"/>
      <c r="H639" s="53"/>
      <c r="I639" s="53"/>
      <c r="J639" s="55"/>
      <c r="K639" s="58"/>
      <c r="L639" s="59"/>
      <c r="M639" s="55"/>
      <c r="N639" s="60"/>
      <c r="O639" s="60"/>
      <c r="P639" s="165" t="str">
        <f t="shared" ca="1" si="69"/>
        <v/>
      </c>
      <c r="Q639" s="165" t="str">
        <f t="shared" ca="1" si="70"/>
        <v/>
      </c>
      <c r="R639" s="79"/>
      <c r="S639" s="80"/>
      <c r="T639" s="61">
        <f t="shared" si="71"/>
        <v>0</v>
      </c>
      <c r="U639" s="61">
        <f t="shared" si="72"/>
        <v>0</v>
      </c>
      <c r="V639" s="61">
        <f t="shared" si="73"/>
        <v>0</v>
      </c>
      <c r="W639" s="58"/>
      <c r="X639" s="58"/>
      <c r="Y639" s="53"/>
      <c r="Z639" s="57"/>
      <c r="AA639" s="62"/>
      <c r="AB639" s="62"/>
      <c r="AC639" s="62"/>
      <c r="AD639" s="62"/>
      <c r="AE639" s="62"/>
      <c r="AF639" s="63"/>
      <c r="AG639" s="64" t="str">
        <f t="shared" si="74"/>
        <v/>
      </c>
    </row>
    <row r="640" spans="1:33" x14ac:dyDescent="0.25">
      <c r="A640" s="46" t="str">
        <f>IF(ISBLANK(inbound_data[[#This Row],[Receiving Report ref.'#]]),"",IF(inbound_data[[#This Row],[Ending Quantity]]=0,"ZERO","INV"))</f>
        <v/>
      </c>
      <c r="B640" s="165" t="str">
        <f t="shared" si="68"/>
        <v/>
      </c>
      <c r="C640" s="165" t="str">
        <f>IF(ISBLANK(D640),"",inbound_data[[#This Row],[Pallet_Series]]&amp;inbound_data[[#This Row],[No.]])</f>
        <v/>
      </c>
      <c r="D640" s="54"/>
      <c r="E640" s="55"/>
      <c r="F640" s="56"/>
      <c r="G640" s="57"/>
      <c r="H640" s="53"/>
      <c r="I640" s="53"/>
      <c r="J640" s="55"/>
      <c r="K640" s="58"/>
      <c r="L640" s="59"/>
      <c r="M640" s="55"/>
      <c r="N640" s="60"/>
      <c r="O640" s="60"/>
      <c r="P640" s="165" t="str">
        <f t="shared" ca="1" si="69"/>
        <v/>
      </c>
      <c r="Q640" s="165" t="str">
        <f t="shared" ca="1" si="70"/>
        <v/>
      </c>
      <c r="R640" s="79"/>
      <c r="S640" s="80"/>
      <c r="T640" s="61">
        <f t="shared" si="71"/>
        <v>0</v>
      </c>
      <c r="U640" s="61">
        <f t="shared" si="72"/>
        <v>0</v>
      </c>
      <c r="V640" s="61">
        <f t="shared" si="73"/>
        <v>0</v>
      </c>
      <c r="W640" s="58"/>
      <c r="X640" s="58"/>
      <c r="Y640" s="53"/>
      <c r="Z640" s="57"/>
      <c r="AA640" s="62"/>
      <c r="AB640" s="62"/>
      <c r="AC640" s="62"/>
      <c r="AD640" s="62"/>
      <c r="AE640" s="62"/>
      <c r="AF640" s="63"/>
      <c r="AG640" s="64" t="str">
        <f t="shared" si="74"/>
        <v/>
      </c>
    </row>
    <row r="641" spans="1:33" x14ac:dyDescent="0.25">
      <c r="A641" s="46" t="str">
        <f>IF(ISBLANK(inbound_data[[#This Row],[Receiving Report ref.'#]]),"",IF(inbound_data[[#This Row],[Ending Quantity]]=0,"ZERO","INV"))</f>
        <v/>
      </c>
      <c r="B641" s="165" t="str">
        <f t="shared" si="68"/>
        <v/>
      </c>
      <c r="C641" s="165" t="str">
        <f>IF(ISBLANK(D641),"",inbound_data[[#This Row],[Pallet_Series]]&amp;inbound_data[[#This Row],[No.]])</f>
        <v/>
      </c>
      <c r="D641" s="54"/>
      <c r="E641" s="55"/>
      <c r="F641" s="56"/>
      <c r="G641" s="57"/>
      <c r="H641" s="53"/>
      <c r="I641" s="53"/>
      <c r="J641" s="55"/>
      <c r="K641" s="58"/>
      <c r="L641" s="59"/>
      <c r="M641" s="55"/>
      <c r="N641" s="60"/>
      <c r="O641" s="60"/>
      <c r="P641" s="165" t="str">
        <f t="shared" ca="1" si="69"/>
        <v/>
      </c>
      <c r="Q641" s="165" t="str">
        <f t="shared" ca="1" si="70"/>
        <v/>
      </c>
      <c r="R641" s="79"/>
      <c r="S641" s="80"/>
      <c r="T641" s="61">
        <f t="shared" si="71"/>
        <v>0</v>
      </c>
      <c r="U641" s="61">
        <f t="shared" si="72"/>
        <v>0</v>
      </c>
      <c r="V641" s="61">
        <f t="shared" si="73"/>
        <v>0</v>
      </c>
      <c r="W641" s="58"/>
      <c r="X641" s="58"/>
      <c r="Y641" s="53"/>
      <c r="Z641" s="57"/>
      <c r="AA641" s="62"/>
      <c r="AB641" s="62"/>
      <c r="AC641" s="62"/>
      <c r="AD641" s="62"/>
      <c r="AE641" s="62"/>
      <c r="AF641" s="63"/>
      <c r="AG641" s="64" t="str">
        <f t="shared" si="74"/>
        <v/>
      </c>
    </row>
    <row r="642" spans="1:33" x14ac:dyDescent="0.25">
      <c r="A642" s="46" t="str">
        <f>IF(ISBLANK(inbound_data[[#This Row],[Receiving Report ref.'#]]),"",IF(inbound_data[[#This Row],[Ending Quantity]]=0,"ZERO","INV"))</f>
        <v/>
      </c>
      <c r="B642" s="165" t="str">
        <f t="shared" si="68"/>
        <v/>
      </c>
      <c r="C642" s="165" t="str">
        <f>IF(ISBLANK(D642),"",inbound_data[[#This Row],[Pallet_Series]]&amp;inbound_data[[#This Row],[No.]])</f>
        <v/>
      </c>
      <c r="D642" s="54"/>
      <c r="E642" s="55"/>
      <c r="F642" s="56"/>
      <c r="G642" s="57"/>
      <c r="H642" s="53"/>
      <c r="I642" s="53"/>
      <c r="J642" s="55"/>
      <c r="K642" s="58"/>
      <c r="L642" s="59"/>
      <c r="M642" s="55"/>
      <c r="N642" s="60"/>
      <c r="O642" s="60"/>
      <c r="P642" s="165" t="str">
        <f t="shared" ca="1" si="69"/>
        <v/>
      </c>
      <c r="Q642" s="165" t="str">
        <f t="shared" ca="1" si="70"/>
        <v/>
      </c>
      <c r="R642" s="79"/>
      <c r="S642" s="80"/>
      <c r="T642" s="61">
        <f t="shared" si="71"/>
        <v>0</v>
      </c>
      <c r="U642" s="61">
        <f t="shared" si="72"/>
        <v>0</v>
      </c>
      <c r="V642" s="61">
        <f t="shared" si="73"/>
        <v>0</v>
      </c>
      <c r="W642" s="58"/>
      <c r="X642" s="58"/>
      <c r="Y642" s="53"/>
      <c r="Z642" s="57"/>
      <c r="AA642" s="62"/>
      <c r="AB642" s="62"/>
      <c r="AC642" s="62"/>
      <c r="AD642" s="62"/>
      <c r="AE642" s="62"/>
      <c r="AF642" s="63"/>
      <c r="AG642" s="64" t="str">
        <f t="shared" si="74"/>
        <v/>
      </c>
    </row>
    <row r="643" spans="1:33" x14ac:dyDescent="0.25">
      <c r="A643" s="46" t="str">
        <f>IF(ISBLANK(inbound_data[[#This Row],[Receiving Report ref.'#]]),"",IF(inbound_data[[#This Row],[Ending Quantity]]=0,"ZERO","INV"))</f>
        <v/>
      </c>
      <c r="B643" s="165" t="str">
        <f t="shared" si="68"/>
        <v/>
      </c>
      <c r="C643" s="165" t="str">
        <f>IF(ISBLANK(D643),"",inbound_data[[#This Row],[Pallet_Series]]&amp;inbound_data[[#This Row],[No.]])</f>
        <v/>
      </c>
      <c r="D643" s="54"/>
      <c r="E643" s="55"/>
      <c r="F643" s="56"/>
      <c r="G643" s="57"/>
      <c r="H643" s="53"/>
      <c r="I643" s="53"/>
      <c r="J643" s="55"/>
      <c r="K643" s="58"/>
      <c r="L643" s="59"/>
      <c r="M643" s="55"/>
      <c r="N643" s="60"/>
      <c r="O643" s="60"/>
      <c r="P643" s="165" t="str">
        <f t="shared" ca="1" si="69"/>
        <v/>
      </c>
      <c r="Q643" s="165" t="str">
        <f t="shared" ca="1" si="70"/>
        <v/>
      </c>
      <c r="R643" s="79"/>
      <c r="S643" s="80"/>
      <c r="T643" s="61">
        <f t="shared" si="71"/>
        <v>0</v>
      </c>
      <c r="U643" s="61">
        <f t="shared" si="72"/>
        <v>0</v>
      </c>
      <c r="V643" s="61">
        <f t="shared" si="73"/>
        <v>0</v>
      </c>
      <c r="W643" s="58"/>
      <c r="X643" s="58"/>
      <c r="Y643" s="53"/>
      <c r="Z643" s="57"/>
      <c r="AA643" s="62"/>
      <c r="AB643" s="62"/>
      <c r="AC643" s="62"/>
      <c r="AD643" s="62"/>
      <c r="AE643" s="62"/>
      <c r="AF643" s="63"/>
      <c r="AG643" s="64" t="str">
        <f t="shared" si="74"/>
        <v/>
      </c>
    </row>
    <row r="644" spans="1:33" x14ac:dyDescent="0.25">
      <c r="A644" s="46" t="str">
        <f>IF(ISBLANK(inbound_data[[#This Row],[Receiving Report ref.'#]]),"",IF(inbound_data[[#This Row],[Ending Quantity]]=0,"ZERO","INV"))</f>
        <v/>
      </c>
      <c r="B644" s="165" t="str">
        <f t="shared" si="68"/>
        <v/>
      </c>
      <c r="C644" s="165" t="str">
        <f>IF(ISBLANK(D644),"",inbound_data[[#This Row],[Pallet_Series]]&amp;inbound_data[[#This Row],[No.]])</f>
        <v/>
      </c>
      <c r="D644" s="54"/>
      <c r="E644" s="55"/>
      <c r="F644" s="56"/>
      <c r="G644" s="57"/>
      <c r="H644" s="53"/>
      <c r="I644" s="53"/>
      <c r="J644" s="55"/>
      <c r="K644" s="58"/>
      <c r="L644" s="59"/>
      <c r="M644" s="55"/>
      <c r="N644" s="60"/>
      <c r="O644" s="60"/>
      <c r="P644" s="165" t="str">
        <f t="shared" ca="1" si="69"/>
        <v/>
      </c>
      <c r="Q644" s="165" t="str">
        <f t="shared" ca="1" si="70"/>
        <v/>
      </c>
      <c r="R644" s="79"/>
      <c r="S644" s="80"/>
      <c r="T644" s="61">
        <f t="shared" si="71"/>
        <v>0</v>
      </c>
      <c r="U644" s="61">
        <f t="shared" si="72"/>
        <v>0</v>
      </c>
      <c r="V644" s="61">
        <f t="shared" si="73"/>
        <v>0</v>
      </c>
      <c r="W644" s="58"/>
      <c r="X644" s="58"/>
      <c r="Y644" s="53"/>
      <c r="Z644" s="57"/>
      <c r="AA644" s="62"/>
      <c r="AB644" s="62"/>
      <c r="AC644" s="62"/>
      <c r="AD644" s="62"/>
      <c r="AE644" s="62"/>
      <c r="AF644" s="63"/>
      <c r="AG644" s="64" t="str">
        <f t="shared" si="74"/>
        <v/>
      </c>
    </row>
    <row r="645" spans="1:33" x14ac:dyDescent="0.25">
      <c r="A645" s="46" t="str">
        <f>IF(ISBLANK(inbound_data[[#This Row],[Receiving Report ref.'#]]),"",IF(inbound_data[[#This Row],[Ending Quantity]]=0,"ZERO","INV"))</f>
        <v/>
      </c>
      <c r="B645" s="165" t="str">
        <f t="shared" si="68"/>
        <v/>
      </c>
      <c r="C645" s="165" t="str">
        <f>IF(ISBLANK(D645),"",inbound_data[[#This Row],[Pallet_Series]]&amp;inbound_data[[#This Row],[No.]])</f>
        <v/>
      </c>
      <c r="D645" s="54"/>
      <c r="E645" s="55"/>
      <c r="F645" s="56"/>
      <c r="G645" s="57"/>
      <c r="H645" s="53"/>
      <c r="I645" s="53"/>
      <c r="J645" s="55"/>
      <c r="K645" s="58"/>
      <c r="L645" s="59"/>
      <c r="M645" s="55"/>
      <c r="N645" s="60"/>
      <c r="O645" s="60"/>
      <c r="P645" s="165" t="str">
        <f t="shared" ca="1" si="69"/>
        <v/>
      </c>
      <c r="Q645" s="165" t="str">
        <f t="shared" ca="1" si="70"/>
        <v/>
      </c>
      <c r="R645" s="79"/>
      <c r="S645" s="80"/>
      <c r="T645" s="61">
        <f t="shared" si="71"/>
        <v>0</v>
      </c>
      <c r="U645" s="61">
        <f t="shared" si="72"/>
        <v>0</v>
      </c>
      <c r="V645" s="61">
        <f t="shared" si="73"/>
        <v>0</v>
      </c>
      <c r="W645" s="58"/>
      <c r="X645" s="58"/>
      <c r="Y645" s="53"/>
      <c r="Z645" s="57"/>
      <c r="AA645" s="62"/>
      <c r="AB645" s="62"/>
      <c r="AC645" s="62"/>
      <c r="AD645" s="62"/>
      <c r="AE645" s="62"/>
      <c r="AF645" s="63"/>
      <c r="AG645" s="64" t="str">
        <f t="shared" si="74"/>
        <v/>
      </c>
    </row>
    <row r="646" spans="1:33" x14ac:dyDescent="0.25">
      <c r="A646" s="46" t="str">
        <f>IF(ISBLANK(inbound_data[[#This Row],[Receiving Report ref.'#]]),"",IF(inbound_data[[#This Row],[Ending Quantity]]=0,"ZERO","INV"))</f>
        <v/>
      </c>
      <c r="B646" s="165" t="str">
        <f t="shared" si="68"/>
        <v/>
      </c>
      <c r="C646" s="165" t="str">
        <f>IF(ISBLANK(D646),"",inbound_data[[#This Row],[Pallet_Series]]&amp;inbound_data[[#This Row],[No.]])</f>
        <v/>
      </c>
      <c r="D646" s="54"/>
      <c r="E646" s="55"/>
      <c r="F646" s="56"/>
      <c r="G646" s="57"/>
      <c r="H646" s="53"/>
      <c r="I646" s="53"/>
      <c r="J646" s="55"/>
      <c r="K646" s="58"/>
      <c r="L646" s="59"/>
      <c r="M646" s="55"/>
      <c r="N646" s="60"/>
      <c r="O646" s="60"/>
      <c r="P646" s="165" t="str">
        <f t="shared" ca="1" si="69"/>
        <v/>
      </c>
      <c r="Q646" s="165" t="str">
        <f t="shared" ca="1" si="70"/>
        <v/>
      </c>
      <c r="R646" s="79"/>
      <c r="S646" s="80"/>
      <c r="T646" s="61">
        <f t="shared" si="71"/>
        <v>0</v>
      </c>
      <c r="U646" s="61">
        <f t="shared" si="72"/>
        <v>0</v>
      </c>
      <c r="V646" s="61">
        <f t="shared" si="73"/>
        <v>0</v>
      </c>
      <c r="W646" s="58"/>
      <c r="X646" s="58"/>
      <c r="Y646" s="53"/>
      <c r="Z646" s="57"/>
      <c r="AA646" s="62"/>
      <c r="AB646" s="62"/>
      <c r="AC646" s="62"/>
      <c r="AD646" s="62"/>
      <c r="AE646" s="62"/>
      <c r="AF646" s="63"/>
      <c r="AG646" s="64" t="str">
        <f t="shared" si="74"/>
        <v/>
      </c>
    </row>
    <row r="647" spans="1:33" x14ac:dyDescent="0.25">
      <c r="A647" s="46" t="str">
        <f>IF(ISBLANK(inbound_data[[#This Row],[Receiving Report ref.'#]]),"",IF(inbound_data[[#This Row],[Ending Quantity]]=0,"ZERO","INV"))</f>
        <v/>
      </c>
      <c r="B647" s="165" t="str">
        <f t="shared" si="68"/>
        <v/>
      </c>
      <c r="C647" s="165" t="str">
        <f>IF(ISBLANK(D647),"",inbound_data[[#This Row],[Pallet_Series]]&amp;inbound_data[[#This Row],[No.]])</f>
        <v/>
      </c>
      <c r="D647" s="54"/>
      <c r="E647" s="55"/>
      <c r="F647" s="56"/>
      <c r="G647" s="57"/>
      <c r="H647" s="53"/>
      <c r="I647" s="53"/>
      <c r="J647" s="55"/>
      <c r="K647" s="58"/>
      <c r="L647" s="59"/>
      <c r="M647" s="55"/>
      <c r="N647" s="60"/>
      <c r="O647" s="60"/>
      <c r="P647" s="165" t="str">
        <f t="shared" ca="1" si="69"/>
        <v/>
      </c>
      <c r="Q647" s="165" t="str">
        <f t="shared" ca="1" si="70"/>
        <v/>
      </c>
      <c r="R647" s="79"/>
      <c r="S647" s="80"/>
      <c r="T647" s="61">
        <f t="shared" si="71"/>
        <v>0</v>
      </c>
      <c r="U647" s="61">
        <f t="shared" si="72"/>
        <v>0</v>
      </c>
      <c r="V647" s="61">
        <f t="shared" si="73"/>
        <v>0</v>
      </c>
      <c r="W647" s="58"/>
      <c r="X647" s="58"/>
      <c r="Y647" s="53"/>
      <c r="Z647" s="57"/>
      <c r="AA647" s="62"/>
      <c r="AB647" s="62"/>
      <c r="AC647" s="62"/>
      <c r="AD647" s="62"/>
      <c r="AE647" s="62"/>
      <c r="AF647" s="63"/>
      <c r="AG647" s="64" t="str">
        <f t="shared" si="74"/>
        <v/>
      </c>
    </row>
    <row r="648" spans="1:33" x14ac:dyDescent="0.25">
      <c r="A648" s="46" t="str">
        <f>IF(ISBLANK(inbound_data[[#This Row],[Receiving Report ref.'#]]),"",IF(inbound_data[[#This Row],[Ending Quantity]]=0,"ZERO","INV"))</f>
        <v/>
      </c>
      <c r="B648" s="165" t="str">
        <f t="shared" si="68"/>
        <v/>
      </c>
      <c r="C648" s="165" t="str">
        <f>IF(ISBLANK(D648),"",inbound_data[[#This Row],[Pallet_Series]]&amp;inbound_data[[#This Row],[No.]])</f>
        <v/>
      </c>
      <c r="D648" s="54"/>
      <c r="E648" s="55"/>
      <c r="F648" s="56"/>
      <c r="G648" s="57"/>
      <c r="H648" s="53"/>
      <c r="I648" s="53"/>
      <c r="J648" s="55"/>
      <c r="K648" s="58"/>
      <c r="L648" s="59"/>
      <c r="M648" s="55"/>
      <c r="N648" s="60"/>
      <c r="O648" s="60"/>
      <c r="P648" s="165" t="str">
        <f t="shared" ca="1" si="69"/>
        <v/>
      </c>
      <c r="Q648" s="165" t="str">
        <f t="shared" ca="1" si="70"/>
        <v/>
      </c>
      <c r="R648" s="79"/>
      <c r="S648" s="80"/>
      <c r="T648" s="61">
        <f t="shared" si="71"/>
        <v>0</v>
      </c>
      <c r="U648" s="61">
        <f t="shared" si="72"/>
        <v>0</v>
      </c>
      <c r="V648" s="61">
        <f t="shared" si="73"/>
        <v>0</v>
      </c>
      <c r="W648" s="58"/>
      <c r="X648" s="58"/>
      <c r="Y648" s="53"/>
      <c r="Z648" s="57"/>
      <c r="AA648" s="62"/>
      <c r="AB648" s="62"/>
      <c r="AC648" s="62"/>
      <c r="AD648" s="62"/>
      <c r="AE648" s="62"/>
      <c r="AF648" s="63"/>
      <c r="AG648" s="64" t="str">
        <f t="shared" si="74"/>
        <v/>
      </c>
    </row>
    <row r="649" spans="1:33" x14ac:dyDescent="0.25">
      <c r="A649" s="46" t="str">
        <f>IF(ISBLANK(inbound_data[[#This Row],[Receiving Report ref.'#]]),"",IF(inbound_data[[#This Row],[Ending Quantity]]=0,"ZERO","INV"))</f>
        <v/>
      </c>
      <c r="B649" s="165" t="str">
        <f t="shared" ref="B649:B712" si="75">IF(ISBLANK(D649),"",TEXT(ROW(),"00000"))</f>
        <v/>
      </c>
      <c r="C649" s="165" t="str">
        <f>IF(ISBLANK(D649),"",inbound_data[[#This Row],[Pallet_Series]]&amp;inbound_data[[#This Row],[No.]])</f>
        <v/>
      </c>
      <c r="D649" s="54"/>
      <c r="E649" s="55"/>
      <c r="F649" s="56"/>
      <c r="G649" s="57"/>
      <c r="H649" s="53"/>
      <c r="I649" s="53"/>
      <c r="J649" s="55"/>
      <c r="K649" s="58"/>
      <c r="L649" s="59"/>
      <c r="M649" s="55"/>
      <c r="N649" s="60"/>
      <c r="O649" s="60"/>
      <c r="P649" s="165" t="str">
        <f t="shared" ref="P649:P712" ca="1" si="76">IF(A649="ZERO","",IF(O649="","",O649-TODAY()))</f>
        <v/>
      </c>
      <c r="Q649" s="165" t="str">
        <f t="shared" ref="Q649:Q712" ca="1" si="77">IF(A649="ZERO","",IF(P649&lt;0,"ALREADY EXPIRED",IF(P649&lt;60,"NEARLY EXPIRED","")))</f>
        <v/>
      </c>
      <c r="R649" s="79"/>
      <c r="S649" s="80"/>
      <c r="T649" s="61">
        <f t="shared" ref="T649:T712" si="78">IF(ISBLANK(R649),0,R649-SUMIF(STOCK_CODE_OUT,$C649,QTY_OUT))</f>
        <v>0</v>
      </c>
      <c r="U649" s="61">
        <f t="shared" ref="U649:U712" si="79">IF(ISBLANK(S649),0,S649-SUMIF(STOCK_CODE_OUT,$C649,KILOS_OUT))</f>
        <v>0</v>
      </c>
      <c r="V649" s="61">
        <f t="shared" ref="V649:V712" si="80">IF(ISBLANK(K649),0,K649-SUMIF(STOCK_CODE_OUT,$C649,PALLET_OUT))</f>
        <v>0</v>
      </c>
      <c r="W649" s="58"/>
      <c r="X649" s="58"/>
      <c r="Y649" s="53"/>
      <c r="Z649" s="57"/>
      <c r="AA649" s="62"/>
      <c r="AB649" s="62"/>
      <c r="AC649" s="62"/>
      <c r="AD649" s="62"/>
      <c r="AE649" s="62"/>
      <c r="AF649" s="63"/>
      <c r="AG649" s="64" t="str">
        <f t="shared" ref="AG649:AG712" si="81">IF(T649&gt;0,CONCATENATE(AA649,AB649,TEXT(AC649,"R00"),TEXT(AD649,"L0."),TEXT(AE649,"0")),"")</f>
        <v/>
      </c>
    </row>
    <row r="650" spans="1:33" x14ac:dyDescent="0.25">
      <c r="A650" s="46" t="str">
        <f>IF(ISBLANK(inbound_data[[#This Row],[Receiving Report ref.'#]]),"",IF(inbound_data[[#This Row],[Ending Quantity]]=0,"ZERO","INV"))</f>
        <v/>
      </c>
      <c r="B650" s="165" t="str">
        <f t="shared" si="75"/>
        <v/>
      </c>
      <c r="C650" s="165" t="str">
        <f>IF(ISBLANK(D650),"",inbound_data[[#This Row],[Pallet_Series]]&amp;inbound_data[[#This Row],[No.]])</f>
        <v/>
      </c>
      <c r="D650" s="54"/>
      <c r="E650" s="55"/>
      <c r="F650" s="56"/>
      <c r="G650" s="57"/>
      <c r="H650" s="53"/>
      <c r="I650" s="53"/>
      <c r="J650" s="55"/>
      <c r="K650" s="58"/>
      <c r="L650" s="59"/>
      <c r="M650" s="55"/>
      <c r="N650" s="60"/>
      <c r="O650" s="60"/>
      <c r="P650" s="165" t="str">
        <f t="shared" ca="1" si="76"/>
        <v/>
      </c>
      <c r="Q650" s="165" t="str">
        <f t="shared" ca="1" si="77"/>
        <v/>
      </c>
      <c r="R650" s="79"/>
      <c r="S650" s="80"/>
      <c r="T650" s="61">
        <f t="shared" si="78"/>
        <v>0</v>
      </c>
      <c r="U650" s="61">
        <f t="shared" si="79"/>
        <v>0</v>
      </c>
      <c r="V650" s="61">
        <f t="shared" si="80"/>
        <v>0</v>
      </c>
      <c r="W650" s="58"/>
      <c r="X650" s="58"/>
      <c r="Y650" s="53"/>
      <c r="Z650" s="57"/>
      <c r="AA650" s="62"/>
      <c r="AB650" s="62"/>
      <c r="AC650" s="62"/>
      <c r="AD650" s="62"/>
      <c r="AE650" s="62"/>
      <c r="AF650" s="63"/>
      <c r="AG650" s="64" t="str">
        <f t="shared" si="81"/>
        <v/>
      </c>
    </row>
    <row r="651" spans="1:33" x14ac:dyDescent="0.25">
      <c r="A651" s="46" t="str">
        <f>IF(ISBLANK(inbound_data[[#This Row],[Receiving Report ref.'#]]),"",IF(inbound_data[[#This Row],[Ending Quantity]]=0,"ZERO","INV"))</f>
        <v/>
      </c>
      <c r="B651" s="165" t="str">
        <f t="shared" si="75"/>
        <v/>
      </c>
      <c r="C651" s="165" t="str">
        <f>IF(ISBLANK(D651),"",inbound_data[[#This Row],[Pallet_Series]]&amp;inbound_data[[#This Row],[No.]])</f>
        <v/>
      </c>
      <c r="D651" s="54"/>
      <c r="E651" s="55"/>
      <c r="F651" s="56"/>
      <c r="G651" s="57"/>
      <c r="H651" s="53"/>
      <c r="I651" s="53"/>
      <c r="J651" s="55"/>
      <c r="K651" s="58"/>
      <c r="L651" s="59"/>
      <c r="M651" s="55"/>
      <c r="N651" s="60"/>
      <c r="O651" s="60"/>
      <c r="P651" s="165" t="str">
        <f t="shared" ca="1" si="76"/>
        <v/>
      </c>
      <c r="Q651" s="165" t="str">
        <f t="shared" ca="1" si="77"/>
        <v/>
      </c>
      <c r="R651" s="79"/>
      <c r="S651" s="80"/>
      <c r="T651" s="61">
        <f t="shared" si="78"/>
        <v>0</v>
      </c>
      <c r="U651" s="61">
        <f t="shared" si="79"/>
        <v>0</v>
      </c>
      <c r="V651" s="61">
        <f t="shared" si="80"/>
        <v>0</v>
      </c>
      <c r="W651" s="58"/>
      <c r="X651" s="58"/>
      <c r="Y651" s="53"/>
      <c r="Z651" s="57"/>
      <c r="AA651" s="62"/>
      <c r="AB651" s="62"/>
      <c r="AC651" s="62"/>
      <c r="AD651" s="62"/>
      <c r="AE651" s="62"/>
      <c r="AF651" s="63"/>
      <c r="AG651" s="64" t="str">
        <f t="shared" si="81"/>
        <v/>
      </c>
    </row>
    <row r="652" spans="1:33" x14ac:dyDescent="0.25">
      <c r="A652" s="46" t="str">
        <f>IF(ISBLANK(inbound_data[[#This Row],[Receiving Report ref.'#]]),"",IF(inbound_data[[#This Row],[Ending Quantity]]=0,"ZERO","INV"))</f>
        <v/>
      </c>
      <c r="B652" s="165" t="str">
        <f t="shared" si="75"/>
        <v/>
      </c>
      <c r="C652" s="165" t="str">
        <f>IF(ISBLANK(D652),"",inbound_data[[#This Row],[Pallet_Series]]&amp;inbound_data[[#This Row],[No.]])</f>
        <v/>
      </c>
      <c r="D652" s="54"/>
      <c r="E652" s="55"/>
      <c r="F652" s="56"/>
      <c r="G652" s="57"/>
      <c r="H652" s="53"/>
      <c r="I652" s="53"/>
      <c r="J652" s="55"/>
      <c r="K652" s="58"/>
      <c r="L652" s="59"/>
      <c r="M652" s="55"/>
      <c r="N652" s="60"/>
      <c r="O652" s="60"/>
      <c r="P652" s="165" t="str">
        <f t="shared" ca="1" si="76"/>
        <v/>
      </c>
      <c r="Q652" s="165" t="str">
        <f t="shared" ca="1" si="77"/>
        <v/>
      </c>
      <c r="R652" s="79"/>
      <c r="S652" s="80"/>
      <c r="T652" s="61">
        <f t="shared" si="78"/>
        <v>0</v>
      </c>
      <c r="U652" s="61">
        <f t="shared" si="79"/>
        <v>0</v>
      </c>
      <c r="V652" s="61">
        <f t="shared" si="80"/>
        <v>0</v>
      </c>
      <c r="W652" s="58"/>
      <c r="X652" s="58"/>
      <c r="Y652" s="53"/>
      <c r="Z652" s="57"/>
      <c r="AA652" s="62"/>
      <c r="AB652" s="62"/>
      <c r="AC652" s="62"/>
      <c r="AD652" s="62"/>
      <c r="AE652" s="62"/>
      <c r="AF652" s="63"/>
      <c r="AG652" s="64" t="str">
        <f t="shared" si="81"/>
        <v/>
      </c>
    </row>
    <row r="653" spans="1:33" x14ac:dyDescent="0.25">
      <c r="A653" s="46" t="str">
        <f>IF(ISBLANK(inbound_data[[#This Row],[Receiving Report ref.'#]]),"",IF(inbound_data[[#This Row],[Ending Quantity]]=0,"ZERO","INV"))</f>
        <v/>
      </c>
      <c r="B653" s="165" t="str">
        <f t="shared" si="75"/>
        <v/>
      </c>
      <c r="C653" s="165" t="str">
        <f>IF(ISBLANK(D653),"",inbound_data[[#This Row],[Pallet_Series]]&amp;inbound_data[[#This Row],[No.]])</f>
        <v/>
      </c>
      <c r="D653" s="54"/>
      <c r="E653" s="55"/>
      <c r="F653" s="56"/>
      <c r="G653" s="57"/>
      <c r="H653" s="53"/>
      <c r="I653" s="53"/>
      <c r="J653" s="55"/>
      <c r="K653" s="58"/>
      <c r="L653" s="59"/>
      <c r="M653" s="55"/>
      <c r="N653" s="60"/>
      <c r="O653" s="60"/>
      <c r="P653" s="165" t="str">
        <f t="shared" ca="1" si="76"/>
        <v/>
      </c>
      <c r="Q653" s="165" t="str">
        <f t="shared" ca="1" si="77"/>
        <v/>
      </c>
      <c r="R653" s="79"/>
      <c r="S653" s="80"/>
      <c r="T653" s="61">
        <f t="shared" si="78"/>
        <v>0</v>
      </c>
      <c r="U653" s="61">
        <f t="shared" si="79"/>
        <v>0</v>
      </c>
      <c r="V653" s="61">
        <f t="shared" si="80"/>
        <v>0</v>
      </c>
      <c r="W653" s="58"/>
      <c r="X653" s="58"/>
      <c r="Y653" s="53"/>
      <c r="Z653" s="57"/>
      <c r="AA653" s="62"/>
      <c r="AB653" s="62"/>
      <c r="AC653" s="62"/>
      <c r="AD653" s="62"/>
      <c r="AE653" s="62"/>
      <c r="AF653" s="63"/>
      <c r="AG653" s="64" t="str">
        <f t="shared" si="81"/>
        <v/>
      </c>
    </row>
    <row r="654" spans="1:33" x14ac:dyDescent="0.25">
      <c r="A654" s="46" t="str">
        <f>IF(ISBLANK(inbound_data[[#This Row],[Receiving Report ref.'#]]),"",IF(inbound_data[[#This Row],[Ending Quantity]]=0,"ZERO","INV"))</f>
        <v/>
      </c>
      <c r="B654" s="165" t="str">
        <f t="shared" si="75"/>
        <v/>
      </c>
      <c r="C654" s="165" t="str">
        <f>IF(ISBLANK(D654),"",inbound_data[[#This Row],[Pallet_Series]]&amp;inbound_data[[#This Row],[No.]])</f>
        <v/>
      </c>
      <c r="D654" s="54"/>
      <c r="E654" s="55"/>
      <c r="F654" s="56"/>
      <c r="G654" s="57"/>
      <c r="H654" s="53"/>
      <c r="I654" s="53"/>
      <c r="J654" s="55"/>
      <c r="K654" s="58"/>
      <c r="L654" s="59"/>
      <c r="M654" s="55"/>
      <c r="N654" s="60"/>
      <c r="O654" s="60"/>
      <c r="P654" s="165" t="str">
        <f t="shared" ca="1" si="76"/>
        <v/>
      </c>
      <c r="Q654" s="165" t="str">
        <f t="shared" ca="1" si="77"/>
        <v/>
      </c>
      <c r="R654" s="79"/>
      <c r="S654" s="80"/>
      <c r="T654" s="61">
        <f t="shared" si="78"/>
        <v>0</v>
      </c>
      <c r="U654" s="61">
        <f t="shared" si="79"/>
        <v>0</v>
      </c>
      <c r="V654" s="61">
        <f t="shared" si="80"/>
        <v>0</v>
      </c>
      <c r="W654" s="58"/>
      <c r="X654" s="58"/>
      <c r="Y654" s="53"/>
      <c r="Z654" s="57"/>
      <c r="AA654" s="62"/>
      <c r="AB654" s="62"/>
      <c r="AC654" s="62"/>
      <c r="AD654" s="62"/>
      <c r="AE654" s="62"/>
      <c r="AF654" s="63"/>
      <c r="AG654" s="64" t="str">
        <f t="shared" si="81"/>
        <v/>
      </c>
    </row>
    <row r="655" spans="1:33" x14ac:dyDescent="0.25">
      <c r="A655" s="46" t="str">
        <f>IF(ISBLANK(inbound_data[[#This Row],[Receiving Report ref.'#]]),"",IF(inbound_data[[#This Row],[Ending Quantity]]=0,"ZERO","INV"))</f>
        <v/>
      </c>
      <c r="B655" s="165" t="str">
        <f t="shared" si="75"/>
        <v/>
      </c>
      <c r="C655" s="165" t="str">
        <f>IF(ISBLANK(D655),"",inbound_data[[#This Row],[Pallet_Series]]&amp;inbound_data[[#This Row],[No.]])</f>
        <v/>
      </c>
      <c r="D655" s="54"/>
      <c r="E655" s="55"/>
      <c r="F655" s="56"/>
      <c r="G655" s="57"/>
      <c r="H655" s="53"/>
      <c r="I655" s="53"/>
      <c r="J655" s="55"/>
      <c r="K655" s="58"/>
      <c r="L655" s="59"/>
      <c r="M655" s="55"/>
      <c r="N655" s="60"/>
      <c r="O655" s="60"/>
      <c r="P655" s="165" t="str">
        <f t="shared" ca="1" si="76"/>
        <v/>
      </c>
      <c r="Q655" s="165" t="str">
        <f t="shared" ca="1" si="77"/>
        <v/>
      </c>
      <c r="R655" s="79"/>
      <c r="S655" s="80"/>
      <c r="T655" s="61">
        <f t="shared" si="78"/>
        <v>0</v>
      </c>
      <c r="U655" s="61">
        <f t="shared" si="79"/>
        <v>0</v>
      </c>
      <c r="V655" s="61">
        <f t="shared" si="80"/>
        <v>0</v>
      </c>
      <c r="W655" s="58"/>
      <c r="X655" s="58"/>
      <c r="Y655" s="53"/>
      <c r="Z655" s="57"/>
      <c r="AA655" s="62"/>
      <c r="AB655" s="62"/>
      <c r="AC655" s="62"/>
      <c r="AD655" s="62"/>
      <c r="AE655" s="62"/>
      <c r="AF655" s="63"/>
      <c r="AG655" s="64" t="str">
        <f t="shared" si="81"/>
        <v/>
      </c>
    </row>
    <row r="656" spans="1:33" x14ac:dyDescent="0.25">
      <c r="A656" s="46" t="str">
        <f>IF(ISBLANK(inbound_data[[#This Row],[Receiving Report ref.'#]]),"",IF(inbound_data[[#This Row],[Ending Quantity]]=0,"ZERO","INV"))</f>
        <v/>
      </c>
      <c r="B656" s="165" t="str">
        <f t="shared" si="75"/>
        <v/>
      </c>
      <c r="C656" s="165" t="str">
        <f>IF(ISBLANK(D656),"",inbound_data[[#This Row],[Pallet_Series]]&amp;inbound_data[[#This Row],[No.]])</f>
        <v/>
      </c>
      <c r="D656" s="54"/>
      <c r="E656" s="55"/>
      <c r="F656" s="56"/>
      <c r="G656" s="57"/>
      <c r="H656" s="53"/>
      <c r="I656" s="53"/>
      <c r="J656" s="55"/>
      <c r="K656" s="58"/>
      <c r="L656" s="59"/>
      <c r="M656" s="55"/>
      <c r="N656" s="60"/>
      <c r="O656" s="60"/>
      <c r="P656" s="165" t="str">
        <f t="shared" ca="1" si="76"/>
        <v/>
      </c>
      <c r="Q656" s="165" t="str">
        <f t="shared" ca="1" si="77"/>
        <v/>
      </c>
      <c r="R656" s="79"/>
      <c r="S656" s="80"/>
      <c r="T656" s="61">
        <f t="shared" si="78"/>
        <v>0</v>
      </c>
      <c r="U656" s="61">
        <f t="shared" si="79"/>
        <v>0</v>
      </c>
      <c r="V656" s="61">
        <f t="shared" si="80"/>
        <v>0</v>
      </c>
      <c r="W656" s="58"/>
      <c r="X656" s="58"/>
      <c r="Y656" s="53"/>
      <c r="Z656" s="57"/>
      <c r="AA656" s="62"/>
      <c r="AB656" s="62"/>
      <c r="AC656" s="62"/>
      <c r="AD656" s="62"/>
      <c r="AE656" s="62"/>
      <c r="AF656" s="63"/>
      <c r="AG656" s="64" t="str">
        <f t="shared" si="81"/>
        <v/>
      </c>
    </row>
    <row r="657" spans="1:33" x14ac:dyDescent="0.25">
      <c r="A657" s="46" t="str">
        <f>IF(ISBLANK(inbound_data[[#This Row],[Receiving Report ref.'#]]),"",IF(inbound_data[[#This Row],[Ending Quantity]]=0,"ZERO","INV"))</f>
        <v/>
      </c>
      <c r="B657" s="165" t="str">
        <f t="shared" si="75"/>
        <v/>
      </c>
      <c r="C657" s="165" t="str">
        <f>IF(ISBLANK(D657),"",inbound_data[[#This Row],[Pallet_Series]]&amp;inbound_data[[#This Row],[No.]])</f>
        <v/>
      </c>
      <c r="D657" s="54"/>
      <c r="E657" s="55"/>
      <c r="F657" s="56"/>
      <c r="G657" s="57"/>
      <c r="H657" s="53"/>
      <c r="I657" s="53"/>
      <c r="J657" s="55"/>
      <c r="K657" s="58"/>
      <c r="L657" s="59"/>
      <c r="M657" s="55"/>
      <c r="N657" s="60"/>
      <c r="O657" s="60"/>
      <c r="P657" s="165" t="str">
        <f t="shared" ca="1" si="76"/>
        <v/>
      </c>
      <c r="Q657" s="165" t="str">
        <f t="shared" ca="1" si="77"/>
        <v/>
      </c>
      <c r="R657" s="79"/>
      <c r="S657" s="80"/>
      <c r="T657" s="61">
        <f t="shared" si="78"/>
        <v>0</v>
      </c>
      <c r="U657" s="61">
        <f t="shared" si="79"/>
        <v>0</v>
      </c>
      <c r="V657" s="61">
        <f t="shared" si="80"/>
        <v>0</v>
      </c>
      <c r="W657" s="58"/>
      <c r="X657" s="58"/>
      <c r="Y657" s="53"/>
      <c r="Z657" s="57"/>
      <c r="AA657" s="62"/>
      <c r="AB657" s="62"/>
      <c r="AC657" s="62"/>
      <c r="AD657" s="62"/>
      <c r="AE657" s="62"/>
      <c r="AF657" s="63"/>
      <c r="AG657" s="64" t="str">
        <f t="shared" si="81"/>
        <v/>
      </c>
    </row>
    <row r="658" spans="1:33" x14ac:dyDescent="0.25">
      <c r="A658" s="46" t="str">
        <f>IF(ISBLANK(inbound_data[[#This Row],[Receiving Report ref.'#]]),"",IF(inbound_data[[#This Row],[Ending Quantity]]=0,"ZERO","INV"))</f>
        <v/>
      </c>
      <c r="B658" s="165" t="str">
        <f t="shared" si="75"/>
        <v/>
      </c>
      <c r="C658" s="165" t="str">
        <f>IF(ISBLANK(D658),"",inbound_data[[#This Row],[Pallet_Series]]&amp;inbound_data[[#This Row],[No.]])</f>
        <v/>
      </c>
      <c r="D658" s="54"/>
      <c r="E658" s="55"/>
      <c r="F658" s="56"/>
      <c r="G658" s="57"/>
      <c r="H658" s="53"/>
      <c r="I658" s="53"/>
      <c r="J658" s="55"/>
      <c r="K658" s="58"/>
      <c r="L658" s="59"/>
      <c r="M658" s="55"/>
      <c r="N658" s="60"/>
      <c r="O658" s="60"/>
      <c r="P658" s="165" t="str">
        <f t="shared" ca="1" si="76"/>
        <v/>
      </c>
      <c r="Q658" s="165" t="str">
        <f t="shared" ca="1" si="77"/>
        <v/>
      </c>
      <c r="R658" s="79"/>
      <c r="S658" s="80"/>
      <c r="T658" s="61">
        <f t="shared" si="78"/>
        <v>0</v>
      </c>
      <c r="U658" s="61">
        <f t="shared" si="79"/>
        <v>0</v>
      </c>
      <c r="V658" s="61">
        <f t="shared" si="80"/>
        <v>0</v>
      </c>
      <c r="W658" s="58"/>
      <c r="X658" s="58"/>
      <c r="Y658" s="53"/>
      <c r="Z658" s="57"/>
      <c r="AA658" s="62"/>
      <c r="AB658" s="62"/>
      <c r="AC658" s="62"/>
      <c r="AD658" s="62"/>
      <c r="AE658" s="62"/>
      <c r="AF658" s="63"/>
      <c r="AG658" s="64" t="str">
        <f t="shared" si="81"/>
        <v/>
      </c>
    </row>
    <row r="659" spans="1:33" x14ac:dyDescent="0.25">
      <c r="A659" s="46" t="str">
        <f>IF(ISBLANK(inbound_data[[#This Row],[Receiving Report ref.'#]]),"",IF(inbound_data[[#This Row],[Ending Quantity]]=0,"ZERO","INV"))</f>
        <v/>
      </c>
      <c r="B659" s="165" t="str">
        <f t="shared" si="75"/>
        <v/>
      </c>
      <c r="C659" s="165" t="str">
        <f>IF(ISBLANK(D659),"",inbound_data[[#This Row],[Pallet_Series]]&amp;inbound_data[[#This Row],[No.]])</f>
        <v/>
      </c>
      <c r="D659" s="54"/>
      <c r="E659" s="55"/>
      <c r="F659" s="56"/>
      <c r="G659" s="57"/>
      <c r="H659" s="53"/>
      <c r="I659" s="53"/>
      <c r="J659" s="55"/>
      <c r="K659" s="58"/>
      <c r="L659" s="59"/>
      <c r="M659" s="55"/>
      <c r="N659" s="60"/>
      <c r="O659" s="60"/>
      <c r="P659" s="165" t="str">
        <f t="shared" ca="1" si="76"/>
        <v/>
      </c>
      <c r="Q659" s="165" t="str">
        <f t="shared" ca="1" si="77"/>
        <v/>
      </c>
      <c r="R659" s="79"/>
      <c r="S659" s="80"/>
      <c r="T659" s="61">
        <f t="shared" si="78"/>
        <v>0</v>
      </c>
      <c r="U659" s="61">
        <f t="shared" si="79"/>
        <v>0</v>
      </c>
      <c r="V659" s="61">
        <f t="shared" si="80"/>
        <v>0</v>
      </c>
      <c r="W659" s="58"/>
      <c r="X659" s="58"/>
      <c r="Y659" s="53"/>
      <c r="Z659" s="57"/>
      <c r="AA659" s="62"/>
      <c r="AB659" s="62"/>
      <c r="AC659" s="62"/>
      <c r="AD659" s="62"/>
      <c r="AE659" s="62"/>
      <c r="AF659" s="63"/>
      <c r="AG659" s="64" t="str">
        <f t="shared" si="81"/>
        <v/>
      </c>
    </row>
    <row r="660" spans="1:33" x14ac:dyDescent="0.25">
      <c r="A660" s="46" t="str">
        <f>IF(ISBLANK(inbound_data[[#This Row],[Receiving Report ref.'#]]),"",IF(inbound_data[[#This Row],[Ending Quantity]]=0,"ZERO","INV"))</f>
        <v/>
      </c>
      <c r="B660" s="165" t="str">
        <f t="shared" si="75"/>
        <v/>
      </c>
      <c r="C660" s="165" t="str">
        <f>IF(ISBLANK(D660),"",inbound_data[[#This Row],[Pallet_Series]]&amp;inbound_data[[#This Row],[No.]])</f>
        <v/>
      </c>
      <c r="D660" s="54"/>
      <c r="E660" s="55"/>
      <c r="F660" s="56"/>
      <c r="G660" s="57"/>
      <c r="H660" s="53"/>
      <c r="I660" s="53"/>
      <c r="J660" s="55"/>
      <c r="K660" s="58"/>
      <c r="L660" s="59"/>
      <c r="M660" s="55"/>
      <c r="N660" s="60"/>
      <c r="O660" s="60"/>
      <c r="P660" s="165" t="str">
        <f t="shared" ca="1" si="76"/>
        <v/>
      </c>
      <c r="Q660" s="165" t="str">
        <f t="shared" ca="1" si="77"/>
        <v/>
      </c>
      <c r="R660" s="79"/>
      <c r="S660" s="80"/>
      <c r="T660" s="61">
        <f t="shared" si="78"/>
        <v>0</v>
      </c>
      <c r="U660" s="61">
        <f t="shared" si="79"/>
        <v>0</v>
      </c>
      <c r="V660" s="61">
        <f t="shared" si="80"/>
        <v>0</v>
      </c>
      <c r="W660" s="58"/>
      <c r="X660" s="58"/>
      <c r="Y660" s="53"/>
      <c r="Z660" s="57"/>
      <c r="AA660" s="62"/>
      <c r="AB660" s="62"/>
      <c r="AC660" s="62"/>
      <c r="AD660" s="62"/>
      <c r="AE660" s="62"/>
      <c r="AF660" s="63"/>
      <c r="AG660" s="64" t="str">
        <f t="shared" si="81"/>
        <v/>
      </c>
    </row>
    <row r="661" spans="1:33" x14ac:dyDescent="0.25">
      <c r="A661" s="46" t="str">
        <f>IF(ISBLANK(inbound_data[[#This Row],[Receiving Report ref.'#]]),"",IF(inbound_data[[#This Row],[Ending Quantity]]=0,"ZERO","INV"))</f>
        <v/>
      </c>
      <c r="B661" s="165" t="str">
        <f t="shared" si="75"/>
        <v/>
      </c>
      <c r="C661" s="165" t="str">
        <f>IF(ISBLANK(D661),"",inbound_data[[#This Row],[Pallet_Series]]&amp;inbound_data[[#This Row],[No.]])</f>
        <v/>
      </c>
      <c r="D661" s="54"/>
      <c r="E661" s="55"/>
      <c r="F661" s="56"/>
      <c r="G661" s="57"/>
      <c r="H661" s="53"/>
      <c r="I661" s="53"/>
      <c r="J661" s="55"/>
      <c r="K661" s="58"/>
      <c r="L661" s="59"/>
      <c r="M661" s="55"/>
      <c r="N661" s="60"/>
      <c r="O661" s="60"/>
      <c r="P661" s="165" t="str">
        <f t="shared" ca="1" si="76"/>
        <v/>
      </c>
      <c r="Q661" s="165" t="str">
        <f t="shared" ca="1" si="77"/>
        <v/>
      </c>
      <c r="R661" s="79"/>
      <c r="S661" s="80"/>
      <c r="T661" s="61">
        <f t="shared" si="78"/>
        <v>0</v>
      </c>
      <c r="U661" s="61">
        <f t="shared" si="79"/>
        <v>0</v>
      </c>
      <c r="V661" s="61">
        <f t="shared" si="80"/>
        <v>0</v>
      </c>
      <c r="W661" s="58"/>
      <c r="X661" s="58"/>
      <c r="Y661" s="53"/>
      <c r="Z661" s="57"/>
      <c r="AA661" s="62"/>
      <c r="AB661" s="62"/>
      <c r="AC661" s="62"/>
      <c r="AD661" s="62"/>
      <c r="AE661" s="62"/>
      <c r="AF661" s="63"/>
      <c r="AG661" s="64" t="str">
        <f t="shared" si="81"/>
        <v/>
      </c>
    </row>
    <row r="662" spans="1:33" x14ac:dyDescent="0.25">
      <c r="A662" s="46" t="str">
        <f>IF(ISBLANK(inbound_data[[#This Row],[Receiving Report ref.'#]]),"",IF(inbound_data[[#This Row],[Ending Quantity]]=0,"ZERO","INV"))</f>
        <v/>
      </c>
      <c r="B662" s="165" t="str">
        <f t="shared" si="75"/>
        <v/>
      </c>
      <c r="C662" s="165" t="str">
        <f>IF(ISBLANK(D662),"",inbound_data[[#This Row],[Pallet_Series]]&amp;inbound_data[[#This Row],[No.]])</f>
        <v/>
      </c>
      <c r="D662" s="54"/>
      <c r="E662" s="55"/>
      <c r="F662" s="56"/>
      <c r="G662" s="57"/>
      <c r="H662" s="53"/>
      <c r="I662" s="53"/>
      <c r="J662" s="55"/>
      <c r="K662" s="58"/>
      <c r="L662" s="59"/>
      <c r="M662" s="55"/>
      <c r="N662" s="60"/>
      <c r="O662" s="60"/>
      <c r="P662" s="165" t="str">
        <f t="shared" ca="1" si="76"/>
        <v/>
      </c>
      <c r="Q662" s="165" t="str">
        <f t="shared" ca="1" si="77"/>
        <v/>
      </c>
      <c r="R662" s="79"/>
      <c r="S662" s="80"/>
      <c r="T662" s="61">
        <f t="shared" si="78"/>
        <v>0</v>
      </c>
      <c r="U662" s="61">
        <f t="shared" si="79"/>
        <v>0</v>
      </c>
      <c r="V662" s="61">
        <f t="shared" si="80"/>
        <v>0</v>
      </c>
      <c r="W662" s="58"/>
      <c r="X662" s="58"/>
      <c r="Y662" s="53"/>
      <c r="Z662" s="57"/>
      <c r="AA662" s="62"/>
      <c r="AB662" s="62"/>
      <c r="AC662" s="62"/>
      <c r="AD662" s="62"/>
      <c r="AE662" s="62"/>
      <c r="AF662" s="63"/>
      <c r="AG662" s="64" t="str">
        <f t="shared" si="81"/>
        <v/>
      </c>
    </row>
    <row r="663" spans="1:33" x14ac:dyDescent="0.25">
      <c r="A663" s="46" t="str">
        <f>IF(ISBLANK(inbound_data[[#This Row],[Receiving Report ref.'#]]),"",IF(inbound_data[[#This Row],[Ending Quantity]]=0,"ZERO","INV"))</f>
        <v/>
      </c>
      <c r="B663" s="165" t="str">
        <f t="shared" si="75"/>
        <v/>
      </c>
      <c r="C663" s="165" t="str">
        <f>IF(ISBLANK(D663),"",inbound_data[[#This Row],[Pallet_Series]]&amp;inbound_data[[#This Row],[No.]])</f>
        <v/>
      </c>
      <c r="D663" s="54"/>
      <c r="E663" s="55"/>
      <c r="F663" s="56"/>
      <c r="G663" s="57"/>
      <c r="H663" s="53"/>
      <c r="I663" s="53"/>
      <c r="J663" s="55"/>
      <c r="K663" s="58"/>
      <c r="L663" s="59"/>
      <c r="M663" s="55"/>
      <c r="N663" s="60"/>
      <c r="O663" s="60"/>
      <c r="P663" s="165" t="str">
        <f t="shared" ca="1" si="76"/>
        <v/>
      </c>
      <c r="Q663" s="165" t="str">
        <f t="shared" ca="1" si="77"/>
        <v/>
      </c>
      <c r="R663" s="79"/>
      <c r="S663" s="80"/>
      <c r="T663" s="61">
        <f t="shared" si="78"/>
        <v>0</v>
      </c>
      <c r="U663" s="61">
        <f t="shared" si="79"/>
        <v>0</v>
      </c>
      <c r="V663" s="61">
        <f t="shared" si="80"/>
        <v>0</v>
      </c>
      <c r="W663" s="58"/>
      <c r="X663" s="58"/>
      <c r="Y663" s="53"/>
      <c r="Z663" s="57"/>
      <c r="AA663" s="62"/>
      <c r="AB663" s="62"/>
      <c r="AC663" s="62"/>
      <c r="AD663" s="62"/>
      <c r="AE663" s="62"/>
      <c r="AF663" s="63"/>
      <c r="AG663" s="64" t="str">
        <f t="shared" si="81"/>
        <v/>
      </c>
    </row>
    <row r="664" spans="1:33" x14ac:dyDescent="0.25">
      <c r="A664" s="46" t="str">
        <f>IF(ISBLANK(inbound_data[[#This Row],[Receiving Report ref.'#]]),"",IF(inbound_data[[#This Row],[Ending Quantity]]=0,"ZERO","INV"))</f>
        <v/>
      </c>
      <c r="B664" s="165" t="str">
        <f t="shared" si="75"/>
        <v/>
      </c>
      <c r="C664" s="165" t="str">
        <f>IF(ISBLANK(D664),"",inbound_data[[#This Row],[Pallet_Series]]&amp;inbound_data[[#This Row],[No.]])</f>
        <v/>
      </c>
      <c r="D664" s="54"/>
      <c r="E664" s="55"/>
      <c r="F664" s="56"/>
      <c r="G664" s="57"/>
      <c r="H664" s="53"/>
      <c r="I664" s="53"/>
      <c r="J664" s="55"/>
      <c r="K664" s="58"/>
      <c r="L664" s="59"/>
      <c r="M664" s="55"/>
      <c r="N664" s="60"/>
      <c r="O664" s="60"/>
      <c r="P664" s="165" t="str">
        <f t="shared" ca="1" si="76"/>
        <v/>
      </c>
      <c r="Q664" s="165" t="str">
        <f t="shared" ca="1" si="77"/>
        <v/>
      </c>
      <c r="R664" s="79"/>
      <c r="S664" s="80"/>
      <c r="T664" s="61">
        <f t="shared" si="78"/>
        <v>0</v>
      </c>
      <c r="U664" s="61">
        <f t="shared" si="79"/>
        <v>0</v>
      </c>
      <c r="V664" s="61">
        <f t="shared" si="80"/>
        <v>0</v>
      </c>
      <c r="W664" s="58"/>
      <c r="X664" s="58"/>
      <c r="Y664" s="53"/>
      <c r="Z664" s="57"/>
      <c r="AA664" s="62"/>
      <c r="AB664" s="62"/>
      <c r="AC664" s="62"/>
      <c r="AD664" s="62"/>
      <c r="AE664" s="62"/>
      <c r="AF664" s="63"/>
      <c r="AG664" s="64" t="str">
        <f t="shared" si="81"/>
        <v/>
      </c>
    </row>
    <row r="665" spans="1:33" x14ac:dyDescent="0.25">
      <c r="A665" s="46" t="str">
        <f>IF(ISBLANK(inbound_data[[#This Row],[Receiving Report ref.'#]]),"",IF(inbound_data[[#This Row],[Ending Quantity]]=0,"ZERO","INV"))</f>
        <v/>
      </c>
      <c r="B665" s="165" t="str">
        <f t="shared" si="75"/>
        <v/>
      </c>
      <c r="C665" s="165" t="str">
        <f>IF(ISBLANK(D665),"",inbound_data[[#This Row],[Pallet_Series]]&amp;inbound_data[[#This Row],[No.]])</f>
        <v/>
      </c>
      <c r="D665" s="54"/>
      <c r="E665" s="55"/>
      <c r="F665" s="56"/>
      <c r="G665" s="57"/>
      <c r="H665" s="53"/>
      <c r="I665" s="53"/>
      <c r="J665" s="55"/>
      <c r="K665" s="58"/>
      <c r="L665" s="59"/>
      <c r="M665" s="55"/>
      <c r="N665" s="60"/>
      <c r="O665" s="60"/>
      <c r="P665" s="165" t="str">
        <f t="shared" ca="1" si="76"/>
        <v/>
      </c>
      <c r="Q665" s="165" t="str">
        <f t="shared" ca="1" si="77"/>
        <v/>
      </c>
      <c r="R665" s="79"/>
      <c r="S665" s="80"/>
      <c r="T665" s="61">
        <f t="shared" si="78"/>
        <v>0</v>
      </c>
      <c r="U665" s="61">
        <f t="shared" si="79"/>
        <v>0</v>
      </c>
      <c r="V665" s="61">
        <f t="shared" si="80"/>
        <v>0</v>
      </c>
      <c r="W665" s="58"/>
      <c r="X665" s="58"/>
      <c r="Y665" s="53"/>
      <c r="Z665" s="57"/>
      <c r="AA665" s="62"/>
      <c r="AB665" s="62"/>
      <c r="AC665" s="62"/>
      <c r="AD665" s="62"/>
      <c r="AE665" s="62"/>
      <c r="AF665" s="63"/>
      <c r="AG665" s="64" t="str">
        <f t="shared" si="81"/>
        <v/>
      </c>
    </row>
    <row r="666" spans="1:33" x14ac:dyDescent="0.25">
      <c r="A666" s="46" t="str">
        <f>IF(ISBLANK(inbound_data[[#This Row],[Receiving Report ref.'#]]),"",IF(inbound_data[[#This Row],[Ending Quantity]]=0,"ZERO","INV"))</f>
        <v/>
      </c>
      <c r="B666" s="165" t="str">
        <f t="shared" si="75"/>
        <v/>
      </c>
      <c r="C666" s="165" t="str">
        <f>IF(ISBLANK(D666),"",inbound_data[[#This Row],[Pallet_Series]]&amp;inbound_data[[#This Row],[No.]])</f>
        <v/>
      </c>
      <c r="D666" s="54"/>
      <c r="E666" s="55"/>
      <c r="F666" s="56"/>
      <c r="G666" s="57"/>
      <c r="H666" s="53"/>
      <c r="I666" s="53"/>
      <c r="J666" s="55"/>
      <c r="K666" s="58"/>
      <c r="L666" s="59"/>
      <c r="M666" s="55"/>
      <c r="N666" s="60"/>
      <c r="O666" s="60"/>
      <c r="P666" s="165" t="str">
        <f t="shared" ca="1" si="76"/>
        <v/>
      </c>
      <c r="Q666" s="165" t="str">
        <f t="shared" ca="1" si="77"/>
        <v/>
      </c>
      <c r="R666" s="79"/>
      <c r="S666" s="80"/>
      <c r="T666" s="61">
        <f t="shared" si="78"/>
        <v>0</v>
      </c>
      <c r="U666" s="61">
        <f t="shared" si="79"/>
        <v>0</v>
      </c>
      <c r="V666" s="61">
        <f t="shared" si="80"/>
        <v>0</v>
      </c>
      <c r="W666" s="58"/>
      <c r="X666" s="58"/>
      <c r="Y666" s="53"/>
      <c r="Z666" s="57"/>
      <c r="AA666" s="62"/>
      <c r="AB666" s="62"/>
      <c r="AC666" s="62"/>
      <c r="AD666" s="62"/>
      <c r="AE666" s="62"/>
      <c r="AF666" s="63"/>
      <c r="AG666" s="64" t="str">
        <f t="shared" si="81"/>
        <v/>
      </c>
    </row>
    <row r="667" spans="1:33" x14ac:dyDescent="0.25">
      <c r="A667" s="46" t="str">
        <f>IF(ISBLANK(inbound_data[[#This Row],[Receiving Report ref.'#]]),"",IF(inbound_data[[#This Row],[Ending Quantity]]=0,"ZERO","INV"))</f>
        <v/>
      </c>
      <c r="B667" s="165" t="str">
        <f t="shared" si="75"/>
        <v/>
      </c>
      <c r="C667" s="165" t="str">
        <f>IF(ISBLANK(D667),"",inbound_data[[#This Row],[Pallet_Series]]&amp;inbound_data[[#This Row],[No.]])</f>
        <v/>
      </c>
      <c r="D667" s="54"/>
      <c r="E667" s="55"/>
      <c r="F667" s="56"/>
      <c r="G667" s="57"/>
      <c r="H667" s="53"/>
      <c r="I667" s="53"/>
      <c r="J667" s="55"/>
      <c r="K667" s="58"/>
      <c r="L667" s="59"/>
      <c r="M667" s="55"/>
      <c r="N667" s="60"/>
      <c r="O667" s="60"/>
      <c r="P667" s="165" t="str">
        <f t="shared" ca="1" si="76"/>
        <v/>
      </c>
      <c r="Q667" s="165" t="str">
        <f t="shared" ca="1" si="77"/>
        <v/>
      </c>
      <c r="R667" s="79"/>
      <c r="S667" s="80"/>
      <c r="T667" s="61">
        <f t="shared" si="78"/>
        <v>0</v>
      </c>
      <c r="U667" s="61">
        <f t="shared" si="79"/>
        <v>0</v>
      </c>
      <c r="V667" s="61">
        <f t="shared" si="80"/>
        <v>0</v>
      </c>
      <c r="W667" s="58"/>
      <c r="X667" s="58"/>
      <c r="Y667" s="53"/>
      <c r="Z667" s="57"/>
      <c r="AA667" s="62"/>
      <c r="AB667" s="62"/>
      <c r="AC667" s="62"/>
      <c r="AD667" s="62"/>
      <c r="AE667" s="62"/>
      <c r="AF667" s="63"/>
      <c r="AG667" s="64" t="str">
        <f t="shared" si="81"/>
        <v/>
      </c>
    </row>
    <row r="668" spans="1:33" x14ac:dyDescent="0.25">
      <c r="A668" s="46" t="str">
        <f>IF(ISBLANK(inbound_data[[#This Row],[Receiving Report ref.'#]]),"",IF(inbound_data[[#This Row],[Ending Quantity]]=0,"ZERO","INV"))</f>
        <v/>
      </c>
      <c r="B668" s="165" t="str">
        <f t="shared" si="75"/>
        <v/>
      </c>
      <c r="C668" s="165" t="str">
        <f>IF(ISBLANK(D668),"",inbound_data[[#This Row],[Pallet_Series]]&amp;inbound_data[[#This Row],[No.]])</f>
        <v/>
      </c>
      <c r="D668" s="54"/>
      <c r="E668" s="55"/>
      <c r="F668" s="56"/>
      <c r="G668" s="57"/>
      <c r="H668" s="53"/>
      <c r="I668" s="53"/>
      <c r="J668" s="55"/>
      <c r="K668" s="58"/>
      <c r="L668" s="59"/>
      <c r="M668" s="55"/>
      <c r="N668" s="60"/>
      <c r="O668" s="60"/>
      <c r="P668" s="165" t="str">
        <f t="shared" ca="1" si="76"/>
        <v/>
      </c>
      <c r="Q668" s="165" t="str">
        <f t="shared" ca="1" si="77"/>
        <v/>
      </c>
      <c r="R668" s="79"/>
      <c r="S668" s="80"/>
      <c r="T668" s="61">
        <f t="shared" si="78"/>
        <v>0</v>
      </c>
      <c r="U668" s="61">
        <f t="shared" si="79"/>
        <v>0</v>
      </c>
      <c r="V668" s="61">
        <f t="shared" si="80"/>
        <v>0</v>
      </c>
      <c r="W668" s="58"/>
      <c r="X668" s="58"/>
      <c r="Y668" s="53"/>
      <c r="Z668" s="57"/>
      <c r="AA668" s="62"/>
      <c r="AB668" s="62"/>
      <c r="AC668" s="62"/>
      <c r="AD668" s="62"/>
      <c r="AE668" s="62"/>
      <c r="AF668" s="63"/>
      <c r="AG668" s="64" t="str">
        <f t="shared" si="81"/>
        <v/>
      </c>
    </row>
    <row r="669" spans="1:33" x14ac:dyDescent="0.25">
      <c r="A669" s="46" t="str">
        <f>IF(ISBLANK(inbound_data[[#This Row],[Receiving Report ref.'#]]),"",IF(inbound_data[[#This Row],[Ending Quantity]]=0,"ZERO","INV"))</f>
        <v/>
      </c>
      <c r="B669" s="165" t="str">
        <f t="shared" si="75"/>
        <v/>
      </c>
      <c r="C669" s="165" t="str">
        <f>IF(ISBLANK(D669),"",inbound_data[[#This Row],[Pallet_Series]]&amp;inbound_data[[#This Row],[No.]])</f>
        <v/>
      </c>
      <c r="D669" s="54"/>
      <c r="E669" s="55"/>
      <c r="F669" s="56"/>
      <c r="G669" s="57"/>
      <c r="H669" s="53"/>
      <c r="I669" s="53"/>
      <c r="J669" s="55"/>
      <c r="K669" s="58"/>
      <c r="L669" s="59"/>
      <c r="M669" s="55"/>
      <c r="N669" s="60"/>
      <c r="O669" s="60"/>
      <c r="P669" s="165" t="str">
        <f t="shared" ca="1" si="76"/>
        <v/>
      </c>
      <c r="Q669" s="165" t="str">
        <f t="shared" ca="1" si="77"/>
        <v/>
      </c>
      <c r="R669" s="79"/>
      <c r="S669" s="80"/>
      <c r="T669" s="61">
        <f t="shared" si="78"/>
        <v>0</v>
      </c>
      <c r="U669" s="61">
        <f t="shared" si="79"/>
        <v>0</v>
      </c>
      <c r="V669" s="61">
        <f t="shared" si="80"/>
        <v>0</v>
      </c>
      <c r="W669" s="58"/>
      <c r="X669" s="58"/>
      <c r="Y669" s="53"/>
      <c r="Z669" s="57"/>
      <c r="AA669" s="62"/>
      <c r="AB669" s="62"/>
      <c r="AC669" s="62"/>
      <c r="AD669" s="62"/>
      <c r="AE669" s="62"/>
      <c r="AF669" s="63"/>
      <c r="AG669" s="64" t="str">
        <f t="shared" si="81"/>
        <v/>
      </c>
    </row>
    <row r="670" spans="1:33" x14ac:dyDescent="0.25">
      <c r="A670" s="46" t="str">
        <f>IF(ISBLANK(inbound_data[[#This Row],[Receiving Report ref.'#]]),"",IF(inbound_data[[#This Row],[Ending Quantity]]=0,"ZERO","INV"))</f>
        <v/>
      </c>
      <c r="B670" s="165" t="str">
        <f t="shared" si="75"/>
        <v/>
      </c>
      <c r="C670" s="165" t="str">
        <f>IF(ISBLANK(D670),"",inbound_data[[#This Row],[Pallet_Series]]&amp;inbound_data[[#This Row],[No.]])</f>
        <v/>
      </c>
      <c r="D670" s="54"/>
      <c r="E670" s="55"/>
      <c r="F670" s="56"/>
      <c r="G670" s="57"/>
      <c r="H670" s="53"/>
      <c r="I670" s="53"/>
      <c r="J670" s="55"/>
      <c r="K670" s="58"/>
      <c r="L670" s="59"/>
      <c r="M670" s="55"/>
      <c r="N670" s="60"/>
      <c r="O670" s="60"/>
      <c r="P670" s="165" t="str">
        <f t="shared" ca="1" si="76"/>
        <v/>
      </c>
      <c r="Q670" s="165" t="str">
        <f t="shared" ca="1" si="77"/>
        <v/>
      </c>
      <c r="R670" s="79"/>
      <c r="S670" s="80"/>
      <c r="T670" s="61">
        <f t="shared" si="78"/>
        <v>0</v>
      </c>
      <c r="U670" s="61">
        <f t="shared" si="79"/>
        <v>0</v>
      </c>
      <c r="V670" s="61">
        <f t="shared" si="80"/>
        <v>0</v>
      </c>
      <c r="W670" s="58"/>
      <c r="X670" s="58"/>
      <c r="Y670" s="53"/>
      <c r="Z670" s="57"/>
      <c r="AA670" s="62"/>
      <c r="AB670" s="62"/>
      <c r="AC670" s="62"/>
      <c r="AD670" s="62"/>
      <c r="AE670" s="62"/>
      <c r="AF670" s="63"/>
      <c r="AG670" s="64" t="str">
        <f t="shared" si="81"/>
        <v/>
      </c>
    </row>
    <row r="671" spans="1:33" x14ac:dyDescent="0.25">
      <c r="A671" s="46" t="str">
        <f>IF(ISBLANK(inbound_data[[#This Row],[Receiving Report ref.'#]]),"",IF(inbound_data[[#This Row],[Ending Quantity]]=0,"ZERO","INV"))</f>
        <v/>
      </c>
      <c r="B671" s="165" t="str">
        <f t="shared" si="75"/>
        <v/>
      </c>
      <c r="C671" s="165" t="str">
        <f>IF(ISBLANK(D671),"",inbound_data[[#This Row],[Pallet_Series]]&amp;inbound_data[[#This Row],[No.]])</f>
        <v/>
      </c>
      <c r="D671" s="54"/>
      <c r="E671" s="55"/>
      <c r="F671" s="56"/>
      <c r="G671" s="57"/>
      <c r="H671" s="53"/>
      <c r="I671" s="53"/>
      <c r="J671" s="55"/>
      <c r="K671" s="58"/>
      <c r="L671" s="59"/>
      <c r="M671" s="55"/>
      <c r="N671" s="60"/>
      <c r="O671" s="60"/>
      <c r="P671" s="165" t="str">
        <f t="shared" ca="1" si="76"/>
        <v/>
      </c>
      <c r="Q671" s="165" t="str">
        <f t="shared" ca="1" si="77"/>
        <v/>
      </c>
      <c r="R671" s="79"/>
      <c r="S671" s="80"/>
      <c r="T671" s="61">
        <f t="shared" si="78"/>
        <v>0</v>
      </c>
      <c r="U671" s="61">
        <f t="shared" si="79"/>
        <v>0</v>
      </c>
      <c r="V671" s="61">
        <f t="shared" si="80"/>
        <v>0</v>
      </c>
      <c r="W671" s="58"/>
      <c r="X671" s="58"/>
      <c r="Y671" s="53"/>
      <c r="Z671" s="57"/>
      <c r="AA671" s="62"/>
      <c r="AB671" s="62"/>
      <c r="AC671" s="62"/>
      <c r="AD671" s="62"/>
      <c r="AE671" s="62"/>
      <c r="AF671" s="63"/>
      <c r="AG671" s="64" t="str">
        <f t="shared" si="81"/>
        <v/>
      </c>
    </row>
    <row r="672" spans="1:33" x14ac:dyDescent="0.25">
      <c r="A672" s="46" t="str">
        <f>IF(ISBLANK(inbound_data[[#This Row],[Receiving Report ref.'#]]),"",IF(inbound_data[[#This Row],[Ending Quantity]]=0,"ZERO","INV"))</f>
        <v/>
      </c>
      <c r="B672" s="165" t="str">
        <f t="shared" si="75"/>
        <v/>
      </c>
      <c r="C672" s="165" t="str">
        <f>IF(ISBLANK(D672),"",inbound_data[[#This Row],[Pallet_Series]]&amp;inbound_data[[#This Row],[No.]])</f>
        <v/>
      </c>
      <c r="D672" s="54"/>
      <c r="E672" s="55"/>
      <c r="F672" s="56"/>
      <c r="G672" s="57"/>
      <c r="H672" s="53"/>
      <c r="I672" s="53"/>
      <c r="J672" s="55"/>
      <c r="K672" s="58"/>
      <c r="L672" s="59"/>
      <c r="M672" s="55"/>
      <c r="N672" s="60"/>
      <c r="O672" s="60"/>
      <c r="P672" s="165" t="str">
        <f t="shared" ca="1" si="76"/>
        <v/>
      </c>
      <c r="Q672" s="165" t="str">
        <f t="shared" ca="1" si="77"/>
        <v/>
      </c>
      <c r="R672" s="79"/>
      <c r="S672" s="80"/>
      <c r="T672" s="61">
        <f t="shared" si="78"/>
        <v>0</v>
      </c>
      <c r="U672" s="61">
        <f t="shared" si="79"/>
        <v>0</v>
      </c>
      <c r="V672" s="61">
        <f t="shared" si="80"/>
        <v>0</v>
      </c>
      <c r="W672" s="58"/>
      <c r="X672" s="58"/>
      <c r="Y672" s="53"/>
      <c r="Z672" s="57"/>
      <c r="AA672" s="62"/>
      <c r="AB672" s="62"/>
      <c r="AC672" s="62"/>
      <c r="AD672" s="62"/>
      <c r="AE672" s="62"/>
      <c r="AF672" s="63"/>
      <c r="AG672" s="64" t="str">
        <f t="shared" si="81"/>
        <v/>
      </c>
    </row>
    <row r="673" spans="1:33" x14ac:dyDescent="0.25">
      <c r="A673" s="46" t="str">
        <f>IF(ISBLANK(inbound_data[[#This Row],[Receiving Report ref.'#]]),"",IF(inbound_data[[#This Row],[Ending Quantity]]=0,"ZERO","INV"))</f>
        <v/>
      </c>
      <c r="B673" s="165" t="str">
        <f t="shared" si="75"/>
        <v/>
      </c>
      <c r="C673" s="165" t="str">
        <f>IF(ISBLANK(D673),"",inbound_data[[#This Row],[Pallet_Series]]&amp;inbound_data[[#This Row],[No.]])</f>
        <v/>
      </c>
      <c r="D673" s="54"/>
      <c r="E673" s="55"/>
      <c r="F673" s="56"/>
      <c r="G673" s="57"/>
      <c r="H673" s="53"/>
      <c r="I673" s="53"/>
      <c r="J673" s="55"/>
      <c r="K673" s="58"/>
      <c r="L673" s="59"/>
      <c r="M673" s="55"/>
      <c r="N673" s="60"/>
      <c r="O673" s="60"/>
      <c r="P673" s="165" t="str">
        <f t="shared" ca="1" si="76"/>
        <v/>
      </c>
      <c r="Q673" s="165" t="str">
        <f t="shared" ca="1" si="77"/>
        <v/>
      </c>
      <c r="R673" s="79"/>
      <c r="S673" s="80"/>
      <c r="T673" s="61">
        <f t="shared" si="78"/>
        <v>0</v>
      </c>
      <c r="U673" s="61">
        <f t="shared" si="79"/>
        <v>0</v>
      </c>
      <c r="V673" s="61">
        <f t="shared" si="80"/>
        <v>0</v>
      </c>
      <c r="W673" s="58"/>
      <c r="X673" s="58"/>
      <c r="Y673" s="53"/>
      <c r="Z673" s="57"/>
      <c r="AA673" s="62"/>
      <c r="AB673" s="62"/>
      <c r="AC673" s="62"/>
      <c r="AD673" s="62"/>
      <c r="AE673" s="62"/>
      <c r="AF673" s="63"/>
      <c r="AG673" s="64" t="str">
        <f t="shared" si="81"/>
        <v/>
      </c>
    </row>
    <row r="674" spans="1:33" x14ac:dyDescent="0.25">
      <c r="A674" s="46" t="str">
        <f>IF(ISBLANK(inbound_data[[#This Row],[Receiving Report ref.'#]]),"",IF(inbound_data[[#This Row],[Ending Quantity]]=0,"ZERO","INV"))</f>
        <v/>
      </c>
      <c r="B674" s="165" t="str">
        <f t="shared" si="75"/>
        <v/>
      </c>
      <c r="C674" s="165" t="str">
        <f>IF(ISBLANK(D674),"",inbound_data[[#This Row],[Pallet_Series]]&amp;inbound_data[[#This Row],[No.]])</f>
        <v/>
      </c>
      <c r="D674" s="54"/>
      <c r="E674" s="55"/>
      <c r="F674" s="56"/>
      <c r="G674" s="57"/>
      <c r="H674" s="53"/>
      <c r="I674" s="53"/>
      <c r="J674" s="55"/>
      <c r="K674" s="58"/>
      <c r="L674" s="59"/>
      <c r="M674" s="55"/>
      <c r="N674" s="60"/>
      <c r="O674" s="60"/>
      <c r="P674" s="165" t="str">
        <f t="shared" ca="1" si="76"/>
        <v/>
      </c>
      <c r="Q674" s="165" t="str">
        <f t="shared" ca="1" si="77"/>
        <v/>
      </c>
      <c r="R674" s="79"/>
      <c r="S674" s="80"/>
      <c r="T674" s="61">
        <f t="shared" si="78"/>
        <v>0</v>
      </c>
      <c r="U674" s="61">
        <f t="shared" si="79"/>
        <v>0</v>
      </c>
      <c r="V674" s="61">
        <f t="shared" si="80"/>
        <v>0</v>
      </c>
      <c r="W674" s="58"/>
      <c r="X674" s="58"/>
      <c r="Y674" s="53"/>
      <c r="Z674" s="57"/>
      <c r="AA674" s="62"/>
      <c r="AB674" s="62"/>
      <c r="AC674" s="62"/>
      <c r="AD674" s="62"/>
      <c r="AE674" s="62"/>
      <c r="AF674" s="63"/>
      <c r="AG674" s="64" t="str">
        <f t="shared" si="81"/>
        <v/>
      </c>
    </row>
    <row r="675" spans="1:33" x14ac:dyDescent="0.25">
      <c r="A675" s="46" t="str">
        <f>IF(ISBLANK(inbound_data[[#This Row],[Receiving Report ref.'#]]),"",IF(inbound_data[[#This Row],[Ending Quantity]]=0,"ZERO","INV"))</f>
        <v/>
      </c>
      <c r="B675" s="165" t="str">
        <f t="shared" si="75"/>
        <v/>
      </c>
      <c r="C675" s="165" t="str">
        <f>IF(ISBLANK(D675),"",inbound_data[[#This Row],[Pallet_Series]]&amp;inbound_data[[#This Row],[No.]])</f>
        <v/>
      </c>
      <c r="D675" s="54"/>
      <c r="E675" s="55"/>
      <c r="F675" s="56"/>
      <c r="G675" s="57"/>
      <c r="H675" s="53"/>
      <c r="I675" s="53"/>
      <c r="J675" s="55"/>
      <c r="K675" s="58"/>
      <c r="L675" s="59"/>
      <c r="M675" s="55"/>
      <c r="N675" s="60"/>
      <c r="O675" s="60"/>
      <c r="P675" s="165" t="str">
        <f t="shared" ca="1" si="76"/>
        <v/>
      </c>
      <c r="Q675" s="165" t="str">
        <f t="shared" ca="1" si="77"/>
        <v/>
      </c>
      <c r="R675" s="79"/>
      <c r="S675" s="80"/>
      <c r="T675" s="61">
        <f t="shared" si="78"/>
        <v>0</v>
      </c>
      <c r="U675" s="61">
        <f t="shared" si="79"/>
        <v>0</v>
      </c>
      <c r="V675" s="61">
        <f t="shared" si="80"/>
        <v>0</v>
      </c>
      <c r="W675" s="58"/>
      <c r="X675" s="58"/>
      <c r="Y675" s="53"/>
      <c r="Z675" s="57"/>
      <c r="AA675" s="62"/>
      <c r="AB675" s="62"/>
      <c r="AC675" s="62"/>
      <c r="AD675" s="62"/>
      <c r="AE675" s="62"/>
      <c r="AF675" s="63"/>
      <c r="AG675" s="64" t="str">
        <f t="shared" si="81"/>
        <v/>
      </c>
    </row>
    <row r="676" spans="1:33" x14ac:dyDescent="0.25">
      <c r="A676" s="46" t="str">
        <f>IF(ISBLANK(inbound_data[[#This Row],[Receiving Report ref.'#]]),"",IF(inbound_data[[#This Row],[Ending Quantity]]=0,"ZERO","INV"))</f>
        <v/>
      </c>
      <c r="B676" s="165" t="str">
        <f t="shared" si="75"/>
        <v/>
      </c>
      <c r="C676" s="165" t="str">
        <f>IF(ISBLANK(D676),"",inbound_data[[#This Row],[Pallet_Series]]&amp;inbound_data[[#This Row],[No.]])</f>
        <v/>
      </c>
      <c r="D676" s="54"/>
      <c r="E676" s="55"/>
      <c r="F676" s="56"/>
      <c r="G676" s="57"/>
      <c r="H676" s="53"/>
      <c r="I676" s="53"/>
      <c r="J676" s="55"/>
      <c r="K676" s="58"/>
      <c r="L676" s="59"/>
      <c r="M676" s="55"/>
      <c r="N676" s="60"/>
      <c r="O676" s="60"/>
      <c r="P676" s="165" t="str">
        <f t="shared" ca="1" si="76"/>
        <v/>
      </c>
      <c r="Q676" s="165" t="str">
        <f t="shared" ca="1" si="77"/>
        <v/>
      </c>
      <c r="R676" s="79"/>
      <c r="S676" s="80"/>
      <c r="T676" s="61">
        <f t="shared" si="78"/>
        <v>0</v>
      </c>
      <c r="U676" s="61">
        <f t="shared" si="79"/>
        <v>0</v>
      </c>
      <c r="V676" s="61">
        <f t="shared" si="80"/>
        <v>0</v>
      </c>
      <c r="W676" s="58"/>
      <c r="X676" s="58"/>
      <c r="Y676" s="53"/>
      <c r="Z676" s="57"/>
      <c r="AA676" s="62"/>
      <c r="AB676" s="62"/>
      <c r="AC676" s="62"/>
      <c r="AD676" s="62"/>
      <c r="AE676" s="62"/>
      <c r="AF676" s="63"/>
      <c r="AG676" s="64" t="str">
        <f t="shared" si="81"/>
        <v/>
      </c>
    </row>
    <row r="677" spans="1:33" x14ac:dyDescent="0.25">
      <c r="A677" s="46" t="str">
        <f>IF(ISBLANK(inbound_data[[#This Row],[Receiving Report ref.'#]]),"",IF(inbound_data[[#This Row],[Ending Quantity]]=0,"ZERO","INV"))</f>
        <v/>
      </c>
      <c r="B677" s="165" t="str">
        <f t="shared" si="75"/>
        <v/>
      </c>
      <c r="C677" s="165" t="str">
        <f>IF(ISBLANK(D677),"",inbound_data[[#This Row],[Pallet_Series]]&amp;inbound_data[[#This Row],[No.]])</f>
        <v/>
      </c>
      <c r="D677" s="54"/>
      <c r="E677" s="55"/>
      <c r="F677" s="56"/>
      <c r="G677" s="57"/>
      <c r="H677" s="53"/>
      <c r="I677" s="53"/>
      <c r="J677" s="55"/>
      <c r="K677" s="58"/>
      <c r="L677" s="59"/>
      <c r="M677" s="55"/>
      <c r="N677" s="60"/>
      <c r="O677" s="60"/>
      <c r="P677" s="165" t="str">
        <f t="shared" ca="1" si="76"/>
        <v/>
      </c>
      <c r="Q677" s="165" t="str">
        <f t="shared" ca="1" si="77"/>
        <v/>
      </c>
      <c r="R677" s="79"/>
      <c r="S677" s="80"/>
      <c r="T677" s="61">
        <f t="shared" si="78"/>
        <v>0</v>
      </c>
      <c r="U677" s="61">
        <f t="shared" si="79"/>
        <v>0</v>
      </c>
      <c r="V677" s="61">
        <f t="shared" si="80"/>
        <v>0</v>
      </c>
      <c r="W677" s="58"/>
      <c r="X677" s="58"/>
      <c r="Y677" s="53"/>
      <c r="Z677" s="57"/>
      <c r="AA677" s="62"/>
      <c r="AB677" s="62"/>
      <c r="AC677" s="62"/>
      <c r="AD677" s="62"/>
      <c r="AE677" s="62"/>
      <c r="AF677" s="63"/>
      <c r="AG677" s="64" t="str">
        <f t="shared" si="81"/>
        <v/>
      </c>
    </row>
    <row r="678" spans="1:33" x14ac:dyDescent="0.25">
      <c r="A678" s="46" t="str">
        <f>IF(ISBLANK(inbound_data[[#This Row],[Receiving Report ref.'#]]),"",IF(inbound_data[[#This Row],[Ending Quantity]]=0,"ZERO","INV"))</f>
        <v/>
      </c>
      <c r="B678" s="165" t="str">
        <f t="shared" si="75"/>
        <v/>
      </c>
      <c r="C678" s="165" t="str">
        <f>IF(ISBLANK(D678),"",inbound_data[[#This Row],[Pallet_Series]]&amp;inbound_data[[#This Row],[No.]])</f>
        <v/>
      </c>
      <c r="D678" s="54"/>
      <c r="E678" s="55"/>
      <c r="F678" s="56"/>
      <c r="G678" s="57"/>
      <c r="H678" s="53"/>
      <c r="I678" s="53"/>
      <c r="J678" s="55"/>
      <c r="K678" s="58"/>
      <c r="L678" s="59"/>
      <c r="M678" s="55"/>
      <c r="N678" s="60"/>
      <c r="O678" s="60"/>
      <c r="P678" s="165" t="str">
        <f t="shared" ca="1" si="76"/>
        <v/>
      </c>
      <c r="Q678" s="165" t="str">
        <f t="shared" ca="1" si="77"/>
        <v/>
      </c>
      <c r="R678" s="79"/>
      <c r="S678" s="80"/>
      <c r="T678" s="61">
        <f t="shared" si="78"/>
        <v>0</v>
      </c>
      <c r="U678" s="61">
        <f t="shared" si="79"/>
        <v>0</v>
      </c>
      <c r="V678" s="61">
        <f t="shared" si="80"/>
        <v>0</v>
      </c>
      <c r="W678" s="58"/>
      <c r="X678" s="58"/>
      <c r="Y678" s="53"/>
      <c r="Z678" s="57"/>
      <c r="AA678" s="62"/>
      <c r="AB678" s="62"/>
      <c r="AC678" s="62"/>
      <c r="AD678" s="62"/>
      <c r="AE678" s="62"/>
      <c r="AF678" s="63"/>
      <c r="AG678" s="64" t="str">
        <f t="shared" si="81"/>
        <v/>
      </c>
    </row>
    <row r="679" spans="1:33" x14ac:dyDescent="0.25">
      <c r="A679" s="46" t="str">
        <f>IF(ISBLANK(inbound_data[[#This Row],[Receiving Report ref.'#]]),"",IF(inbound_data[[#This Row],[Ending Quantity]]=0,"ZERO","INV"))</f>
        <v/>
      </c>
      <c r="B679" s="165" t="str">
        <f t="shared" si="75"/>
        <v/>
      </c>
      <c r="C679" s="165" t="str">
        <f>IF(ISBLANK(D679),"",inbound_data[[#This Row],[Pallet_Series]]&amp;inbound_data[[#This Row],[No.]])</f>
        <v/>
      </c>
      <c r="D679" s="54"/>
      <c r="E679" s="55"/>
      <c r="F679" s="56"/>
      <c r="G679" s="57"/>
      <c r="H679" s="53"/>
      <c r="I679" s="53"/>
      <c r="J679" s="55"/>
      <c r="K679" s="58"/>
      <c r="L679" s="59"/>
      <c r="M679" s="55"/>
      <c r="N679" s="60"/>
      <c r="O679" s="60"/>
      <c r="P679" s="165" t="str">
        <f t="shared" ca="1" si="76"/>
        <v/>
      </c>
      <c r="Q679" s="165" t="str">
        <f t="shared" ca="1" si="77"/>
        <v/>
      </c>
      <c r="R679" s="79"/>
      <c r="S679" s="80"/>
      <c r="T679" s="61">
        <f t="shared" si="78"/>
        <v>0</v>
      </c>
      <c r="U679" s="61">
        <f t="shared" si="79"/>
        <v>0</v>
      </c>
      <c r="V679" s="61">
        <f t="shared" si="80"/>
        <v>0</v>
      </c>
      <c r="W679" s="58"/>
      <c r="X679" s="58"/>
      <c r="Y679" s="53"/>
      <c r="Z679" s="57"/>
      <c r="AA679" s="62"/>
      <c r="AB679" s="62"/>
      <c r="AC679" s="62"/>
      <c r="AD679" s="62"/>
      <c r="AE679" s="62"/>
      <c r="AF679" s="63"/>
      <c r="AG679" s="64" t="str">
        <f t="shared" si="81"/>
        <v/>
      </c>
    </row>
    <row r="680" spans="1:33" x14ac:dyDescent="0.25">
      <c r="A680" s="46" t="str">
        <f>IF(ISBLANK(inbound_data[[#This Row],[Receiving Report ref.'#]]),"",IF(inbound_data[[#This Row],[Ending Quantity]]=0,"ZERO","INV"))</f>
        <v/>
      </c>
      <c r="B680" s="165" t="str">
        <f t="shared" si="75"/>
        <v/>
      </c>
      <c r="C680" s="165" t="str">
        <f>IF(ISBLANK(D680),"",inbound_data[[#This Row],[Pallet_Series]]&amp;inbound_data[[#This Row],[No.]])</f>
        <v/>
      </c>
      <c r="D680" s="54"/>
      <c r="E680" s="55"/>
      <c r="F680" s="56"/>
      <c r="G680" s="57"/>
      <c r="H680" s="53"/>
      <c r="I680" s="53"/>
      <c r="J680" s="55"/>
      <c r="K680" s="58"/>
      <c r="L680" s="59"/>
      <c r="M680" s="55"/>
      <c r="N680" s="60"/>
      <c r="O680" s="60"/>
      <c r="P680" s="165" t="str">
        <f t="shared" ca="1" si="76"/>
        <v/>
      </c>
      <c r="Q680" s="165" t="str">
        <f t="shared" ca="1" si="77"/>
        <v/>
      </c>
      <c r="R680" s="79"/>
      <c r="S680" s="80"/>
      <c r="T680" s="61">
        <f t="shared" si="78"/>
        <v>0</v>
      </c>
      <c r="U680" s="61">
        <f t="shared" si="79"/>
        <v>0</v>
      </c>
      <c r="V680" s="61">
        <f t="shared" si="80"/>
        <v>0</v>
      </c>
      <c r="W680" s="58"/>
      <c r="X680" s="58"/>
      <c r="Y680" s="53"/>
      <c r="Z680" s="57"/>
      <c r="AA680" s="62"/>
      <c r="AB680" s="62"/>
      <c r="AC680" s="62"/>
      <c r="AD680" s="62"/>
      <c r="AE680" s="62"/>
      <c r="AF680" s="63"/>
      <c r="AG680" s="64" t="str">
        <f t="shared" si="81"/>
        <v/>
      </c>
    </row>
    <row r="681" spans="1:33" x14ac:dyDescent="0.25">
      <c r="A681" s="46" t="str">
        <f>IF(ISBLANK(inbound_data[[#This Row],[Receiving Report ref.'#]]),"",IF(inbound_data[[#This Row],[Ending Quantity]]=0,"ZERO","INV"))</f>
        <v/>
      </c>
      <c r="B681" s="165" t="str">
        <f t="shared" si="75"/>
        <v/>
      </c>
      <c r="C681" s="165" t="str">
        <f>IF(ISBLANK(D681),"",inbound_data[[#This Row],[Pallet_Series]]&amp;inbound_data[[#This Row],[No.]])</f>
        <v/>
      </c>
      <c r="D681" s="54"/>
      <c r="E681" s="55"/>
      <c r="F681" s="56"/>
      <c r="G681" s="57"/>
      <c r="H681" s="53"/>
      <c r="I681" s="53"/>
      <c r="J681" s="55"/>
      <c r="K681" s="58"/>
      <c r="L681" s="59"/>
      <c r="M681" s="55"/>
      <c r="N681" s="60"/>
      <c r="O681" s="60"/>
      <c r="P681" s="165" t="str">
        <f t="shared" ca="1" si="76"/>
        <v/>
      </c>
      <c r="Q681" s="165" t="str">
        <f t="shared" ca="1" si="77"/>
        <v/>
      </c>
      <c r="R681" s="79"/>
      <c r="S681" s="80"/>
      <c r="T681" s="61">
        <f t="shared" si="78"/>
        <v>0</v>
      </c>
      <c r="U681" s="61">
        <f t="shared" si="79"/>
        <v>0</v>
      </c>
      <c r="V681" s="61">
        <f t="shared" si="80"/>
        <v>0</v>
      </c>
      <c r="W681" s="58"/>
      <c r="X681" s="58"/>
      <c r="Y681" s="53"/>
      <c r="Z681" s="57"/>
      <c r="AA681" s="62"/>
      <c r="AB681" s="62"/>
      <c r="AC681" s="62"/>
      <c r="AD681" s="62"/>
      <c r="AE681" s="62"/>
      <c r="AF681" s="63"/>
      <c r="AG681" s="64" t="str">
        <f t="shared" si="81"/>
        <v/>
      </c>
    </row>
    <row r="682" spans="1:33" x14ac:dyDescent="0.25">
      <c r="A682" s="46" t="str">
        <f>IF(ISBLANK(inbound_data[[#This Row],[Receiving Report ref.'#]]),"",IF(inbound_data[[#This Row],[Ending Quantity]]=0,"ZERO","INV"))</f>
        <v/>
      </c>
      <c r="B682" s="165" t="str">
        <f t="shared" si="75"/>
        <v/>
      </c>
      <c r="C682" s="165" t="str">
        <f>IF(ISBLANK(D682),"",inbound_data[[#This Row],[Pallet_Series]]&amp;inbound_data[[#This Row],[No.]])</f>
        <v/>
      </c>
      <c r="D682" s="54"/>
      <c r="E682" s="55"/>
      <c r="F682" s="56"/>
      <c r="G682" s="57"/>
      <c r="H682" s="53"/>
      <c r="I682" s="53"/>
      <c r="J682" s="55"/>
      <c r="K682" s="58"/>
      <c r="L682" s="59"/>
      <c r="M682" s="55"/>
      <c r="N682" s="60"/>
      <c r="O682" s="60"/>
      <c r="P682" s="165" t="str">
        <f t="shared" ca="1" si="76"/>
        <v/>
      </c>
      <c r="Q682" s="165" t="str">
        <f t="shared" ca="1" si="77"/>
        <v/>
      </c>
      <c r="R682" s="79"/>
      <c r="S682" s="80"/>
      <c r="T682" s="61">
        <f t="shared" si="78"/>
        <v>0</v>
      </c>
      <c r="U682" s="61">
        <f t="shared" si="79"/>
        <v>0</v>
      </c>
      <c r="V682" s="61">
        <f t="shared" si="80"/>
        <v>0</v>
      </c>
      <c r="W682" s="58"/>
      <c r="X682" s="58"/>
      <c r="Y682" s="53"/>
      <c r="Z682" s="57"/>
      <c r="AA682" s="62"/>
      <c r="AB682" s="62"/>
      <c r="AC682" s="62"/>
      <c r="AD682" s="62"/>
      <c r="AE682" s="62"/>
      <c r="AF682" s="63"/>
      <c r="AG682" s="64" t="str">
        <f t="shared" si="81"/>
        <v/>
      </c>
    </row>
    <row r="683" spans="1:33" x14ac:dyDescent="0.25">
      <c r="A683" s="46" t="str">
        <f>IF(ISBLANK(inbound_data[[#This Row],[Receiving Report ref.'#]]),"",IF(inbound_data[[#This Row],[Ending Quantity]]=0,"ZERO","INV"))</f>
        <v/>
      </c>
      <c r="B683" s="165" t="str">
        <f t="shared" si="75"/>
        <v/>
      </c>
      <c r="C683" s="165" t="str">
        <f>IF(ISBLANK(D683),"",inbound_data[[#This Row],[Pallet_Series]]&amp;inbound_data[[#This Row],[No.]])</f>
        <v/>
      </c>
      <c r="D683" s="54"/>
      <c r="E683" s="55"/>
      <c r="F683" s="56"/>
      <c r="G683" s="57"/>
      <c r="H683" s="53"/>
      <c r="I683" s="53"/>
      <c r="J683" s="55"/>
      <c r="K683" s="58"/>
      <c r="L683" s="59"/>
      <c r="M683" s="55"/>
      <c r="N683" s="60"/>
      <c r="O683" s="60"/>
      <c r="P683" s="165" t="str">
        <f t="shared" ca="1" si="76"/>
        <v/>
      </c>
      <c r="Q683" s="165" t="str">
        <f t="shared" ca="1" si="77"/>
        <v/>
      </c>
      <c r="R683" s="79"/>
      <c r="S683" s="80"/>
      <c r="T683" s="61">
        <f t="shared" si="78"/>
        <v>0</v>
      </c>
      <c r="U683" s="61">
        <f t="shared" si="79"/>
        <v>0</v>
      </c>
      <c r="V683" s="61">
        <f t="shared" si="80"/>
        <v>0</v>
      </c>
      <c r="W683" s="58"/>
      <c r="X683" s="58"/>
      <c r="Y683" s="53"/>
      <c r="Z683" s="57"/>
      <c r="AA683" s="62"/>
      <c r="AB683" s="62"/>
      <c r="AC683" s="62"/>
      <c r="AD683" s="62"/>
      <c r="AE683" s="62"/>
      <c r="AF683" s="63"/>
      <c r="AG683" s="64" t="str">
        <f t="shared" si="81"/>
        <v/>
      </c>
    </row>
    <row r="684" spans="1:33" x14ac:dyDescent="0.25">
      <c r="A684" s="46" t="str">
        <f>IF(ISBLANK(inbound_data[[#This Row],[Receiving Report ref.'#]]),"",IF(inbound_data[[#This Row],[Ending Quantity]]=0,"ZERO","INV"))</f>
        <v/>
      </c>
      <c r="B684" s="165" t="str">
        <f t="shared" si="75"/>
        <v/>
      </c>
      <c r="C684" s="165" t="str">
        <f>IF(ISBLANK(D684),"",inbound_data[[#This Row],[Pallet_Series]]&amp;inbound_data[[#This Row],[No.]])</f>
        <v/>
      </c>
      <c r="D684" s="54"/>
      <c r="E684" s="55"/>
      <c r="F684" s="56"/>
      <c r="G684" s="57"/>
      <c r="H684" s="53"/>
      <c r="I684" s="53"/>
      <c r="J684" s="55"/>
      <c r="K684" s="58"/>
      <c r="L684" s="59"/>
      <c r="M684" s="55"/>
      <c r="N684" s="60"/>
      <c r="O684" s="60"/>
      <c r="P684" s="165" t="str">
        <f t="shared" ca="1" si="76"/>
        <v/>
      </c>
      <c r="Q684" s="165" t="str">
        <f t="shared" ca="1" si="77"/>
        <v/>
      </c>
      <c r="R684" s="79"/>
      <c r="S684" s="80"/>
      <c r="T684" s="61">
        <f t="shared" si="78"/>
        <v>0</v>
      </c>
      <c r="U684" s="61">
        <f t="shared" si="79"/>
        <v>0</v>
      </c>
      <c r="V684" s="61">
        <f t="shared" si="80"/>
        <v>0</v>
      </c>
      <c r="W684" s="58"/>
      <c r="X684" s="58"/>
      <c r="Y684" s="53"/>
      <c r="Z684" s="57"/>
      <c r="AA684" s="62"/>
      <c r="AB684" s="62"/>
      <c r="AC684" s="62"/>
      <c r="AD684" s="62"/>
      <c r="AE684" s="62"/>
      <c r="AF684" s="63"/>
      <c r="AG684" s="64" t="str">
        <f t="shared" si="81"/>
        <v/>
      </c>
    </row>
    <row r="685" spans="1:33" x14ac:dyDescent="0.25">
      <c r="A685" s="46" t="str">
        <f>IF(ISBLANK(inbound_data[[#This Row],[Receiving Report ref.'#]]),"",IF(inbound_data[[#This Row],[Ending Quantity]]=0,"ZERO","INV"))</f>
        <v/>
      </c>
      <c r="B685" s="165" t="str">
        <f t="shared" si="75"/>
        <v/>
      </c>
      <c r="C685" s="165" t="str">
        <f>IF(ISBLANK(D685),"",inbound_data[[#This Row],[Pallet_Series]]&amp;inbound_data[[#This Row],[No.]])</f>
        <v/>
      </c>
      <c r="D685" s="54"/>
      <c r="E685" s="55"/>
      <c r="F685" s="56"/>
      <c r="G685" s="57"/>
      <c r="H685" s="53"/>
      <c r="I685" s="53"/>
      <c r="J685" s="55"/>
      <c r="K685" s="58"/>
      <c r="L685" s="59"/>
      <c r="M685" s="55"/>
      <c r="N685" s="60"/>
      <c r="O685" s="60"/>
      <c r="P685" s="165" t="str">
        <f t="shared" ca="1" si="76"/>
        <v/>
      </c>
      <c r="Q685" s="165" t="str">
        <f t="shared" ca="1" si="77"/>
        <v/>
      </c>
      <c r="R685" s="79"/>
      <c r="S685" s="80"/>
      <c r="T685" s="61">
        <f t="shared" si="78"/>
        <v>0</v>
      </c>
      <c r="U685" s="61">
        <f t="shared" si="79"/>
        <v>0</v>
      </c>
      <c r="V685" s="61">
        <f t="shared" si="80"/>
        <v>0</v>
      </c>
      <c r="W685" s="58"/>
      <c r="X685" s="58"/>
      <c r="Y685" s="53"/>
      <c r="Z685" s="57"/>
      <c r="AA685" s="62"/>
      <c r="AB685" s="62"/>
      <c r="AC685" s="62"/>
      <c r="AD685" s="62"/>
      <c r="AE685" s="62"/>
      <c r="AF685" s="63"/>
      <c r="AG685" s="64" t="str">
        <f t="shared" si="81"/>
        <v/>
      </c>
    </row>
    <row r="686" spans="1:33" x14ac:dyDescent="0.25">
      <c r="A686" s="46" t="str">
        <f>IF(ISBLANK(inbound_data[[#This Row],[Receiving Report ref.'#]]),"",IF(inbound_data[[#This Row],[Ending Quantity]]=0,"ZERO","INV"))</f>
        <v/>
      </c>
      <c r="B686" s="165" t="str">
        <f t="shared" si="75"/>
        <v/>
      </c>
      <c r="C686" s="165" t="str">
        <f>IF(ISBLANK(D686),"",inbound_data[[#This Row],[Pallet_Series]]&amp;inbound_data[[#This Row],[No.]])</f>
        <v/>
      </c>
      <c r="D686" s="54"/>
      <c r="E686" s="55"/>
      <c r="F686" s="56"/>
      <c r="G686" s="57"/>
      <c r="H686" s="53"/>
      <c r="I686" s="53"/>
      <c r="J686" s="55"/>
      <c r="K686" s="58"/>
      <c r="L686" s="59"/>
      <c r="M686" s="55"/>
      <c r="N686" s="60"/>
      <c r="O686" s="60"/>
      <c r="P686" s="165" t="str">
        <f t="shared" ca="1" si="76"/>
        <v/>
      </c>
      <c r="Q686" s="165" t="str">
        <f t="shared" ca="1" si="77"/>
        <v/>
      </c>
      <c r="R686" s="79"/>
      <c r="S686" s="80"/>
      <c r="T686" s="61">
        <f t="shared" si="78"/>
        <v>0</v>
      </c>
      <c r="U686" s="61">
        <f t="shared" si="79"/>
        <v>0</v>
      </c>
      <c r="V686" s="61">
        <f t="shared" si="80"/>
        <v>0</v>
      </c>
      <c r="W686" s="58"/>
      <c r="X686" s="58"/>
      <c r="Y686" s="53"/>
      <c r="Z686" s="57"/>
      <c r="AA686" s="62"/>
      <c r="AB686" s="62"/>
      <c r="AC686" s="62"/>
      <c r="AD686" s="62"/>
      <c r="AE686" s="62"/>
      <c r="AF686" s="63"/>
      <c r="AG686" s="64" t="str">
        <f t="shared" si="81"/>
        <v/>
      </c>
    </row>
    <row r="687" spans="1:33" x14ac:dyDescent="0.25">
      <c r="A687" s="46" t="str">
        <f>IF(ISBLANK(inbound_data[[#This Row],[Receiving Report ref.'#]]),"",IF(inbound_data[[#This Row],[Ending Quantity]]=0,"ZERO","INV"))</f>
        <v/>
      </c>
      <c r="B687" s="165" t="str">
        <f t="shared" si="75"/>
        <v/>
      </c>
      <c r="C687" s="165" t="str">
        <f>IF(ISBLANK(D687),"",inbound_data[[#This Row],[Pallet_Series]]&amp;inbound_data[[#This Row],[No.]])</f>
        <v/>
      </c>
      <c r="D687" s="54"/>
      <c r="E687" s="55"/>
      <c r="F687" s="56"/>
      <c r="G687" s="57"/>
      <c r="H687" s="53"/>
      <c r="I687" s="53"/>
      <c r="J687" s="55"/>
      <c r="K687" s="58"/>
      <c r="L687" s="59"/>
      <c r="M687" s="55"/>
      <c r="N687" s="60"/>
      <c r="O687" s="60"/>
      <c r="P687" s="165" t="str">
        <f t="shared" ca="1" si="76"/>
        <v/>
      </c>
      <c r="Q687" s="165" t="str">
        <f t="shared" ca="1" si="77"/>
        <v/>
      </c>
      <c r="R687" s="79"/>
      <c r="S687" s="80"/>
      <c r="T687" s="61">
        <f t="shared" si="78"/>
        <v>0</v>
      </c>
      <c r="U687" s="61">
        <f t="shared" si="79"/>
        <v>0</v>
      </c>
      <c r="V687" s="61">
        <f t="shared" si="80"/>
        <v>0</v>
      </c>
      <c r="W687" s="58"/>
      <c r="X687" s="58"/>
      <c r="Y687" s="53"/>
      <c r="Z687" s="57"/>
      <c r="AA687" s="62"/>
      <c r="AB687" s="62"/>
      <c r="AC687" s="62"/>
      <c r="AD687" s="62"/>
      <c r="AE687" s="62"/>
      <c r="AF687" s="63"/>
      <c r="AG687" s="64" t="str">
        <f t="shared" si="81"/>
        <v/>
      </c>
    </row>
    <row r="688" spans="1:33" x14ac:dyDescent="0.25">
      <c r="A688" s="46" t="str">
        <f>IF(ISBLANK(inbound_data[[#This Row],[Receiving Report ref.'#]]),"",IF(inbound_data[[#This Row],[Ending Quantity]]=0,"ZERO","INV"))</f>
        <v/>
      </c>
      <c r="B688" s="165" t="str">
        <f t="shared" si="75"/>
        <v/>
      </c>
      <c r="C688" s="165" t="str">
        <f>IF(ISBLANK(D688),"",inbound_data[[#This Row],[Pallet_Series]]&amp;inbound_data[[#This Row],[No.]])</f>
        <v/>
      </c>
      <c r="D688" s="54"/>
      <c r="E688" s="55"/>
      <c r="F688" s="56"/>
      <c r="G688" s="57"/>
      <c r="H688" s="53"/>
      <c r="I688" s="53"/>
      <c r="J688" s="55"/>
      <c r="K688" s="58"/>
      <c r="L688" s="59"/>
      <c r="M688" s="55"/>
      <c r="N688" s="60"/>
      <c r="O688" s="60"/>
      <c r="P688" s="165" t="str">
        <f t="shared" ca="1" si="76"/>
        <v/>
      </c>
      <c r="Q688" s="165" t="str">
        <f t="shared" ca="1" si="77"/>
        <v/>
      </c>
      <c r="R688" s="79"/>
      <c r="S688" s="80"/>
      <c r="T688" s="61">
        <f t="shared" si="78"/>
        <v>0</v>
      </c>
      <c r="U688" s="61">
        <f t="shared" si="79"/>
        <v>0</v>
      </c>
      <c r="V688" s="61">
        <f t="shared" si="80"/>
        <v>0</v>
      </c>
      <c r="W688" s="58"/>
      <c r="X688" s="58"/>
      <c r="Y688" s="53"/>
      <c r="Z688" s="57"/>
      <c r="AA688" s="62"/>
      <c r="AB688" s="62"/>
      <c r="AC688" s="62"/>
      <c r="AD688" s="62"/>
      <c r="AE688" s="62"/>
      <c r="AF688" s="63"/>
      <c r="AG688" s="64" t="str">
        <f t="shared" si="81"/>
        <v/>
      </c>
    </row>
    <row r="689" spans="1:33" x14ac:dyDescent="0.25">
      <c r="A689" s="46" t="str">
        <f>IF(ISBLANK(inbound_data[[#This Row],[Receiving Report ref.'#]]),"",IF(inbound_data[[#This Row],[Ending Quantity]]=0,"ZERO","INV"))</f>
        <v/>
      </c>
      <c r="B689" s="165" t="str">
        <f t="shared" si="75"/>
        <v/>
      </c>
      <c r="C689" s="165" t="str">
        <f>IF(ISBLANK(D689),"",inbound_data[[#This Row],[Pallet_Series]]&amp;inbound_data[[#This Row],[No.]])</f>
        <v/>
      </c>
      <c r="D689" s="54"/>
      <c r="E689" s="55"/>
      <c r="F689" s="56"/>
      <c r="G689" s="57"/>
      <c r="H689" s="53"/>
      <c r="I689" s="53"/>
      <c r="J689" s="55"/>
      <c r="K689" s="58"/>
      <c r="L689" s="59"/>
      <c r="M689" s="55"/>
      <c r="N689" s="60"/>
      <c r="O689" s="60"/>
      <c r="P689" s="165" t="str">
        <f t="shared" ca="1" si="76"/>
        <v/>
      </c>
      <c r="Q689" s="165" t="str">
        <f t="shared" ca="1" si="77"/>
        <v/>
      </c>
      <c r="R689" s="79"/>
      <c r="S689" s="80"/>
      <c r="T689" s="61">
        <f t="shared" si="78"/>
        <v>0</v>
      </c>
      <c r="U689" s="61">
        <f t="shared" si="79"/>
        <v>0</v>
      </c>
      <c r="V689" s="61">
        <f t="shared" si="80"/>
        <v>0</v>
      </c>
      <c r="W689" s="58"/>
      <c r="X689" s="58"/>
      <c r="Y689" s="53"/>
      <c r="Z689" s="57"/>
      <c r="AA689" s="62"/>
      <c r="AB689" s="62"/>
      <c r="AC689" s="62"/>
      <c r="AD689" s="62"/>
      <c r="AE689" s="62"/>
      <c r="AF689" s="63"/>
      <c r="AG689" s="64" t="str">
        <f t="shared" si="81"/>
        <v/>
      </c>
    </row>
    <row r="690" spans="1:33" x14ac:dyDescent="0.25">
      <c r="A690" s="46" t="str">
        <f>IF(ISBLANK(inbound_data[[#This Row],[Receiving Report ref.'#]]),"",IF(inbound_data[[#This Row],[Ending Quantity]]=0,"ZERO","INV"))</f>
        <v/>
      </c>
      <c r="B690" s="165" t="str">
        <f t="shared" si="75"/>
        <v/>
      </c>
      <c r="C690" s="165" t="str">
        <f>IF(ISBLANK(D690),"",inbound_data[[#This Row],[Pallet_Series]]&amp;inbound_data[[#This Row],[No.]])</f>
        <v/>
      </c>
      <c r="D690" s="54"/>
      <c r="E690" s="55"/>
      <c r="F690" s="56"/>
      <c r="G690" s="57"/>
      <c r="H690" s="53"/>
      <c r="I690" s="53"/>
      <c r="J690" s="55"/>
      <c r="K690" s="58"/>
      <c r="L690" s="59"/>
      <c r="M690" s="55"/>
      <c r="N690" s="60"/>
      <c r="O690" s="60"/>
      <c r="P690" s="165" t="str">
        <f t="shared" ca="1" si="76"/>
        <v/>
      </c>
      <c r="Q690" s="165" t="str">
        <f t="shared" ca="1" si="77"/>
        <v/>
      </c>
      <c r="R690" s="79"/>
      <c r="S690" s="80"/>
      <c r="T690" s="61">
        <f t="shared" si="78"/>
        <v>0</v>
      </c>
      <c r="U690" s="61">
        <f t="shared" si="79"/>
        <v>0</v>
      </c>
      <c r="V690" s="61">
        <f t="shared" si="80"/>
        <v>0</v>
      </c>
      <c r="W690" s="58"/>
      <c r="X690" s="58"/>
      <c r="Y690" s="53"/>
      <c r="Z690" s="57"/>
      <c r="AA690" s="62"/>
      <c r="AB690" s="62"/>
      <c r="AC690" s="62"/>
      <c r="AD690" s="62"/>
      <c r="AE690" s="62"/>
      <c r="AF690" s="63"/>
      <c r="AG690" s="64" t="str">
        <f t="shared" si="81"/>
        <v/>
      </c>
    </row>
    <row r="691" spans="1:33" x14ac:dyDescent="0.25">
      <c r="A691" s="46" t="str">
        <f>IF(ISBLANK(inbound_data[[#This Row],[Receiving Report ref.'#]]),"",IF(inbound_data[[#This Row],[Ending Quantity]]=0,"ZERO","INV"))</f>
        <v/>
      </c>
      <c r="B691" s="165" t="str">
        <f t="shared" si="75"/>
        <v/>
      </c>
      <c r="C691" s="165" t="str">
        <f>IF(ISBLANK(D691),"",inbound_data[[#This Row],[Pallet_Series]]&amp;inbound_data[[#This Row],[No.]])</f>
        <v/>
      </c>
      <c r="D691" s="54"/>
      <c r="E691" s="55"/>
      <c r="F691" s="56"/>
      <c r="G691" s="57"/>
      <c r="H691" s="53"/>
      <c r="I691" s="53"/>
      <c r="J691" s="55"/>
      <c r="K691" s="58"/>
      <c r="L691" s="59"/>
      <c r="M691" s="55"/>
      <c r="N691" s="60"/>
      <c r="O691" s="60"/>
      <c r="P691" s="165" t="str">
        <f t="shared" ca="1" si="76"/>
        <v/>
      </c>
      <c r="Q691" s="165" t="str">
        <f t="shared" ca="1" si="77"/>
        <v/>
      </c>
      <c r="R691" s="79"/>
      <c r="S691" s="80"/>
      <c r="T691" s="61">
        <f t="shared" si="78"/>
        <v>0</v>
      </c>
      <c r="U691" s="61">
        <f t="shared" si="79"/>
        <v>0</v>
      </c>
      <c r="V691" s="61">
        <f t="shared" si="80"/>
        <v>0</v>
      </c>
      <c r="W691" s="58"/>
      <c r="X691" s="58"/>
      <c r="Y691" s="53"/>
      <c r="Z691" s="57"/>
      <c r="AA691" s="62"/>
      <c r="AB691" s="62"/>
      <c r="AC691" s="62"/>
      <c r="AD691" s="62"/>
      <c r="AE691" s="62"/>
      <c r="AF691" s="63"/>
      <c r="AG691" s="64" t="str">
        <f t="shared" si="81"/>
        <v/>
      </c>
    </row>
    <row r="692" spans="1:33" x14ac:dyDescent="0.25">
      <c r="A692" s="46" t="str">
        <f>IF(ISBLANK(inbound_data[[#This Row],[Receiving Report ref.'#]]),"",IF(inbound_data[[#This Row],[Ending Quantity]]=0,"ZERO","INV"))</f>
        <v/>
      </c>
      <c r="B692" s="165" t="str">
        <f t="shared" si="75"/>
        <v/>
      </c>
      <c r="C692" s="165" t="str">
        <f>IF(ISBLANK(D692),"",inbound_data[[#This Row],[Pallet_Series]]&amp;inbound_data[[#This Row],[No.]])</f>
        <v/>
      </c>
      <c r="D692" s="54"/>
      <c r="E692" s="55"/>
      <c r="F692" s="56"/>
      <c r="G692" s="57"/>
      <c r="H692" s="53"/>
      <c r="I692" s="53"/>
      <c r="J692" s="55"/>
      <c r="K692" s="58"/>
      <c r="L692" s="59"/>
      <c r="M692" s="55"/>
      <c r="N692" s="60"/>
      <c r="O692" s="60"/>
      <c r="P692" s="165" t="str">
        <f t="shared" ca="1" si="76"/>
        <v/>
      </c>
      <c r="Q692" s="165" t="str">
        <f t="shared" ca="1" si="77"/>
        <v/>
      </c>
      <c r="R692" s="79"/>
      <c r="S692" s="80"/>
      <c r="T692" s="61">
        <f t="shared" si="78"/>
        <v>0</v>
      </c>
      <c r="U692" s="61">
        <f t="shared" si="79"/>
        <v>0</v>
      </c>
      <c r="V692" s="61">
        <f t="shared" si="80"/>
        <v>0</v>
      </c>
      <c r="W692" s="58"/>
      <c r="X692" s="58"/>
      <c r="Y692" s="53"/>
      <c r="Z692" s="57"/>
      <c r="AA692" s="62"/>
      <c r="AB692" s="62"/>
      <c r="AC692" s="62"/>
      <c r="AD692" s="62"/>
      <c r="AE692" s="62"/>
      <c r="AF692" s="63"/>
      <c r="AG692" s="64" t="str">
        <f t="shared" si="81"/>
        <v/>
      </c>
    </row>
    <row r="693" spans="1:33" x14ac:dyDescent="0.25">
      <c r="A693" s="46" t="str">
        <f>IF(ISBLANK(inbound_data[[#This Row],[Receiving Report ref.'#]]),"",IF(inbound_data[[#This Row],[Ending Quantity]]=0,"ZERO","INV"))</f>
        <v/>
      </c>
      <c r="B693" s="165" t="str">
        <f t="shared" si="75"/>
        <v/>
      </c>
      <c r="C693" s="165" t="str">
        <f>IF(ISBLANK(D693),"",inbound_data[[#This Row],[Pallet_Series]]&amp;inbound_data[[#This Row],[No.]])</f>
        <v/>
      </c>
      <c r="D693" s="54"/>
      <c r="E693" s="55"/>
      <c r="F693" s="56"/>
      <c r="G693" s="57"/>
      <c r="H693" s="53"/>
      <c r="I693" s="53"/>
      <c r="J693" s="55"/>
      <c r="K693" s="58"/>
      <c r="L693" s="59"/>
      <c r="M693" s="55"/>
      <c r="N693" s="60"/>
      <c r="O693" s="60"/>
      <c r="P693" s="165" t="str">
        <f t="shared" ca="1" si="76"/>
        <v/>
      </c>
      <c r="Q693" s="165" t="str">
        <f t="shared" ca="1" si="77"/>
        <v/>
      </c>
      <c r="R693" s="79"/>
      <c r="S693" s="80"/>
      <c r="T693" s="61">
        <f t="shared" si="78"/>
        <v>0</v>
      </c>
      <c r="U693" s="61">
        <f t="shared" si="79"/>
        <v>0</v>
      </c>
      <c r="V693" s="61">
        <f t="shared" si="80"/>
        <v>0</v>
      </c>
      <c r="W693" s="58"/>
      <c r="X693" s="58"/>
      <c r="Y693" s="53"/>
      <c r="Z693" s="57"/>
      <c r="AA693" s="62"/>
      <c r="AB693" s="62"/>
      <c r="AC693" s="62"/>
      <c r="AD693" s="62"/>
      <c r="AE693" s="62"/>
      <c r="AF693" s="63"/>
      <c r="AG693" s="64" t="str">
        <f t="shared" si="81"/>
        <v/>
      </c>
    </row>
    <row r="694" spans="1:33" x14ac:dyDescent="0.25">
      <c r="A694" s="46" t="str">
        <f>IF(ISBLANK(inbound_data[[#This Row],[Receiving Report ref.'#]]),"",IF(inbound_data[[#This Row],[Ending Quantity]]=0,"ZERO","INV"))</f>
        <v/>
      </c>
      <c r="B694" s="165" t="str">
        <f t="shared" si="75"/>
        <v/>
      </c>
      <c r="C694" s="165" t="str">
        <f>IF(ISBLANK(D694),"",inbound_data[[#This Row],[Pallet_Series]]&amp;inbound_data[[#This Row],[No.]])</f>
        <v/>
      </c>
      <c r="D694" s="54"/>
      <c r="E694" s="55"/>
      <c r="F694" s="56"/>
      <c r="G694" s="57"/>
      <c r="H694" s="53"/>
      <c r="I694" s="53"/>
      <c r="J694" s="55"/>
      <c r="K694" s="58"/>
      <c r="L694" s="59"/>
      <c r="M694" s="55"/>
      <c r="N694" s="60"/>
      <c r="O694" s="60"/>
      <c r="P694" s="165" t="str">
        <f t="shared" ca="1" si="76"/>
        <v/>
      </c>
      <c r="Q694" s="165" t="str">
        <f t="shared" ca="1" si="77"/>
        <v/>
      </c>
      <c r="R694" s="79"/>
      <c r="S694" s="80"/>
      <c r="T694" s="61">
        <f t="shared" si="78"/>
        <v>0</v>
      </c>
      <c r="U694" s="61">
        <f t="shared" si="79"/>
        <v>0</v>
      </c>
      <c r="V694" s="61">
        <f t="shared" si="80"/>
        <v>0</v>
      </c>
      <c r="W694" s="58"/>
      <c r="X694" s="58"/>
      <c r="Y694" s="53"/>
      <c r="Z694" s="57"/>
      <c r="AA694" s="62"/>
      <c r="AB694" s="62"/>
      <c r="AC694" s="62"/>
      <c r="AD694" s="62"/>
      <c r="AE694" s="62"/>
      <c r="AF694" s="63"/>
      <c r="AG694" s="64" t="str">
        <f t="shared" si="81"/>
        <v/>
      </c>
    </row>
    <row r="695" spans="1:33" x14ac:dyDescent="0.25">
      <c r="A695" s="46" t="str">
        <f>IF(ISBLANK(inbound_data[[#This Row],[Receiving Report ref.'#]]),"",IF(inbound_data[[#This Row],[Ending Quantity]]=0,"ZERO","INV"))</f>
        <v/>
      </c>
      <c r="B695" s="165" t="str">
        <f t="shared" si="75"/>
        <v/>
      </c>
      <c r="C695" s="165" t="str">
        <f>IF(ISBLANK(D695),"",inbound_data[[#This Row],[Pallet_Series]]&amp;inbound_data[[#This Row],[No.]])</f>
        <v/>
      </c>
      <c r="D695" s="54"/>
      <c r="E695" s="55"/>
      <c r="F695" s="56"/>
      <c r="G695" s="57"/>
      <c r="H695" s="53"/>
      <c r="I695" s="53"/>
      <c r="J695" s="55"/>
      <c r="K695" s="58"/>
      <c r="L695" s="59"/>
      <c r="M695" s="55"/>
      <c r="N695" s="60"/>
      <c r="O695" s="60"/>
      <c r="P695" s="165" t="str">
        <f t="shared" ca="1" si="76"/>
        <v/>
      </c>
      <c r="Q695" s="165" t="str">
        <f t="shared" ca="1" si="77"/>
        <v/>
      </c>
      <c r="R695" s="79"/>
      <c r="S695" s="80"/>
      <c r="T695" s="61">
        <f t="shared" si="78"/>
        <v>0</v>
      </c>
      <c r="U695" s="61">
        <f t="shared" si="79"/>
        <v>0</v>
      </c>
      <c r="V695" s="61">
        <f t="shared" si="80"/>
        <v>0</v>
      </c>
      <c r="W695" s="58"/>
      <c r="X695" s="58"/>
      <c r="Y695" s="53"/>
      <c r="Z695" s="57"/>
      <c r="AA695" s="62"/>
      <c r="AB695" s="62"/>
      <c r="AC695" s="62"/>
      <c r="AD695" s="62"/>
      <c r="AE695" s="62"/>
      <c r="AF695" s="63"/>
      <c r="AG695" s="64" t="str">
        <f t="shared" si="81"/>
        <v/>
      </c>
    </row>
    <row r="696" spans="1:33" x14ac:dyDescent="0.25">
      <c r="A696" s="46" t="str">
        <f>IF(ISBLANK(inbound_data[[#This Row],[Receiving Report ref.'#]]),"",IF(inbound_data[[#This Row],[Ending Quantity]]=0,"ZERO","INV"))</f>
        <v/>
      </c>
      <c r="B696" s="165" t="str">
        <f t="shared" si="75"/>
        <v/>
      </c>
      <c r="C696" s="165" t="str">
        <f>IF(ISBLANK(D696),"",inbound_data[[#This Row],[Pallet_Series]]&amp;inbound_data[[#This Row],[No.]])</f>
        <v/>
      </c>
      <c r="D696" s="54"/>
      <c r="E696" s="55"/>
      <c r="F696" s="56"/>
      <c r="G696" s="57"/>
      <c r="H696" s="53"/>
      <c r="I696" s="53"/>
      <c r="J696" s="55"/>
      <c r="K696" s="58"/>
      <c r="L696" s="59"/>
      <c r="M696" s="55"/>
      <c r="N696" s="60"/>
      <c r="O696" s="60"/>
      <c r="P696" s="165" t="str">
        <f t="shared" ca="1" si="76"/>
        <v/>
      </c>
      <c r="Q696" s="165" t="str">
        <f t="shared" ca="1" si="77"/>
        <v/>
      </c>
      <c r="R696" s="79"/>
      <c r="S696" s="80"/>
      <c r="T696" s="61">
        <f t="shared" si="78"/>
        <v>0</v>
      </c>
      <c r="U696" s="61">
        <f t="shared" si="79"/>
        <v>0</v>
      </c>
      <c r="V696" s="61">
        <f t="shared" si="80"/>
        <v>0</v>
      </c>
      <c r="W696" s="58"/>
      <c r="X696" s="58"/>
      <c r="Y696" s="53"/>
      <c r="Z696" s="57"/>
      <c r="AA696" s="62"/>
      <c r="AB696" s="62"/>
      <c r="AC696" s="62"/>
      <c r="AD696" s="62"/>
      <c r="AE696" s="62"/>
      <c r="AF696" s="63"/>
      <c r="AG696" s="64" t="str">
        <f t="shared" si="81"/>
        <v/>
      </c>
    </row>
    <row r="697" spans="1:33" x14ac:dyDescent="0.25">
      <c r="A697" s="46" t="str">
        <f>IF(ISBLANK(inbound_data[[#This Row],[Receiving Report ref.'#]]),"",IF(inbound_data[[#This Row],[Ending Quantity]]=0,"ZERO","INV"))</f>
        <v/>
      </c>
      <c r="B697" s="165" t="str">
        <f t="shared" si="75"/>
        <v/>
      </c>
      <c r="C697" s="165" t="str">
        <f>IF(ISBLANK(D697),"",inbound_data[[#This Row],[Pallet_Series]]&amp;inbound_data[[#This Row],[No.]])</f>
        <v/>
      </c>
      <c r="D697" s="54"/>
      <c r="E697" s="55"/>
      <c r="F697" s="56"/>
      <c r="G697" s="57"/>
      <c r="H697" s="53"/>
      <c r="I697" s="53"/>
      <c r="J697" s="55"/>
      <c r="K697" s="58"/>
      <c r="L697" s="59"/>
      <c r="M697" s="55"/>
      <c r="N697" s="60"/>
      <c r="O697" s="60"/>
      <c r="P697" s="165" t="str">
        <f t="shared" ca="1" si="76"/>
        <v/>
      </c>
      <c r="Q697" s="165" t="str">
        <f t="shared" ca="1" si="77"/>
        <v/>
      </c>
      <c r="R697" s="79"/>
      <c r="S697" s="80"/>
      <c r="T697" s="61">
        <f t="shared" si="78"/>
        <v>0</v>
      </c>
      <c r="U697" s="61">
        <f t="shared" si="79"/>
        <v>0</v>
      </c>
      <c r="V697" s="61">
        <f t="shared" si="80"/>
        <v>0</v>
      </c>
      <c r="W697" s="58"/>
      <c r="X697" s="58"/>
      <c r="Y697" s="53"/>
      <c r="Z697" s="57"/>
      <c r="AA697" s="62"/>
      <c r="AB697" s="62"/>
      <c r="AC697" s="62"/>
      <c r="AD697" s="62"/>
      <c r="AE697" s="62"/>
      <c r="AF697" s="63"/>
      <c r="AG697" s="64" t="str">
        <f t="shared" si="81"/>
        <v/>
      </c>
    </row>
    <row r="698" spans="1:33" x14ac:dyDescent="0.25">
      <c r="A698" s="46" t="str">
        <f>IF(ISBLANK(inbound_data[[#This Row],[Receiving Report ref.'#]]),"",IF(inbound_data[[#This Row],[Ending Quantity]]=0,"ZERO","INV"))</f>
        <v/>
      </c>
      <c r="B698" s="165" t="str">
        <f t="shared" si="75"/>
        <v/>
      </c>
      <c r="C698" s="165" t="str">
        <f>IF(ISBLANK(D698),"",inbound_data[[#This Row],[Pallet_Series]]&amp;inbound_data[[#This Row],[No.]])</f>
        <v/>
      </c>
      <c r="D698" s="54"/>
      <c r="E698" s="55"/>
      <c r="F698" s="56"/>
      <c r="G698" s="57"/>
      <c r="H698" s="53"/>
      <c r="I698" s="53"/>
      <c r="J698" s="55"/>
      <c r="K698" s="58"/>
      <c r="L698" s="59"/>
      <c r="M698" s="55"/>
      <c r="N698" s="60"/>
      <c r="O698" s="60"/>
      <c r="P698" s="165" t="str">
        <f t="shared" ca="1" si="76"/>
        <v/>
      </c>
      <c r="Q698" s="165" t="str">
        <f t="shared" ca="1" si="77"/>
        <v/>
      </c>
      <c r="R698" s="79"/>
      <c r="S698" s="80"/>
      <c r="T698" s="61">
        <f t="shared" si="78"/>
        <v>0</v>
      </c>
      <c r="U698" s="61">
        <f t="shared" si="79"/>
        <v>0</v>
      </c>
      <c r="V698" s="61">
        <f t="shared" si="80"/>
        <v>0</v>
      </c>
      <c r="W698" s="58"/>
      <c r="X698" s="58"/>
      <c r="Y698" s="53"/>
      <c r="Z698" s="57"/>
      <c r="AA698" s="62"/>
      <c r="AB698" s="62"/>
      <c r="AC698" s="62"/>
      <c r="AD698" s="62"/>
      <c r="AE698" s="62"/>
      <c r="AF698" s="63"/>
      <c r="AG698" s="64" t="str">
        <f t="shared" si="81"/>
        <v/>
      </c>
    </row>
    <row r="699" spans="1:33" x14ac:dyDescent="0.25">
      <c r="A699" s="46" t="str">
        <f>IF(ISBLANK(inbound_data[[#This Row],[Receiving Report ref.'#]]),"",IF(inbound_data[[#This Row],[Ending Quantity]]=0,"ZERO","INV"))</f>
        <v/>
      </c>
      <c r="B699" s="165" t="str">
        <f t="shared" si="75"/>
        <v/>
      </c>
      <c r="C699" s="165" t="str">
        <f>IF(ISBLANK(D699),"",inbound_data[[#This Row],[Pallet_Series]]&amp;inbound_data[[#This Row],[No.]])</f>
        <v/>
      </c>
      <c r="D699" s="54"/>
      <c r="E699" s="55"/>
      <c r="F699" s="56"/>
      <c r="G699" s="57"/>
      <c r="H699" s="53"/>
      <c r="I699" s="53"/>
      <c r="J699" s="55"/>
      <c r="K699" s="58"/>
      <c r="L699" s="59"/>
      <c r="M699" s="55"/>
      <c r="N699" s="60"/>
      <c r="O699" s="60"/>
      <c r="P699" s="165" t="str">
        <f t="shared" ca="1" si="76"/>
        <v/>
      </c>
      <c r="Q699" s="165" t="str">
        <f t="shared" ca="1" si="77"/>
        <v/>
      </c>
      <c r="R699" s="79"/>
      <c r="S699" s="80"/>
      <c r="T699" s="61">
        <f t="shared" si="78"/>
        <v>0</v>
      </c>
      <c r="U699" s="61">
        <f t="shared" si="79"/>
        <v>0</v>
      </c>
      <c r="V699" s="61">
        <f t="shared" si="80"/>
        <v>0</v>
      </c>
      <c r="W699" s="58"/>
      <c r="X699" s="58"/>
      <c r="Y699" s="53"/>
      <c r="Z699" s="57"/>
      <c r="AA699" s="62"/>
      <c r="AB699" s="62"/>
      <c r="AC699" s="62"/>
      <c r="AD699" s="62"/>
      <c r="AE699" s="62"/>
      <c r="AF699" s="63"/>
      <c r="AG699" s="64" t="str">
        <f t="shared" si="81"/>
        <v/>
      </c>
    </row>
    <row r="700" spans="1:33" x14ac:dyDescent="0.25">
      <c r="A700" s="46" t="str">
        <f>IF(ISBLANK(inbound_data[[#This Row],[Receiving Report ref.'#]]),"",IF(inbound_data[[#This Row],[Ending Quantity]]=0,"ZERO","INV"))</f>
        <v/>
      </c>
      <c r="B700" s="165" t="str">
        <f t="shared" si="75"/>
        <v/>
      </c>
      <c r="C700" s="165" t="str">
        <f>IF(ISBLANK(D700),"",inbound_data[[#This Row],[Pallet_Series]]&amp;inbound_data[[#This Row],[No.]])</f>
        <v/>
      </c>
      <c r="D700" s="54"/>
      <c r="E700" s="55"/>
      <c r="F700" s="56"/>
      <c r="G700" s="57"/>
      <c r="H700" s="53"/>
      <c r="I700" s="53"/>
      <c r="J700" s="55"/>
      <c r="K700" s="58"/>
      <c r="L700" s="59"/>
      <c r="M700" s="55"/>
      <c r="N700" s="60"/>
      <c r="O700" s="60"/>
      <c r="P700" s="165" t="str">
        <f t="shared" ca="1" si="76"/>
        <v/>
      </c>
      <c r="Q700" s="165" t="str">
        <f t="shared" ca="1" si="77"/>
        <v/>
      </c>
      <c r="R700" s="79"/>
      <c r="S700" s="80"/>
      <c r="T700" s="61">
        <f t="shared" si="78"/>
        <v>0</v>
      </c>
      <c r="U700" s="61">
        <f t="shared" si="79"/>
        <v>0</v>
      </c>
      <c r="V700" s="61">
        <f t="shared" si="80"/>
        <v>0</v>
      </c>
      <c r="W700" s="58"/>
      <c r="X700" s="58"/>
      <c r="Y700" s="53"/>
      <c r="Z700" s="57"/>
      <c r="AA700" s="62"/>
      <c r="AB700" s="62"/>
      <c r="AC700" s="62"/>
      <c r="AD700" s="62"/>
      <c r="AE700" s="62"/>
      <c r="AF700" s="63"/>
      <c r="AG700" s="64" t="str">
        <f t="shared" si="81"/>
        <v/>
      </c>
    </row>
    <row r="701" spans="1:33" x14ac:dyDescent="0.25">
      <c r="A701" s="46" t="str">
        <f>IF(ISBLANK(inbound_data[[#This Row],[Receiving Report ref.'#]]),"",IF(inbound_data[[#This Row],[Ending Quantity]]=0,"ZERO","INV"))</f>
        <v/>
      </c>
      <c r="B701" s="165" t="str">
        <f t="shared" si="75"/>
        <v/>
      </c>
      <c r="C701" s="165" t="str">
        <f>IF(ISBLANK(D701),"",inbound_data[[#This Row],[Pallet_Series]]&amp;inbound_data[[#This Row],[No.]])</f>
        <v/>
      </c>
      <c r="D701" s="54"/>
      <c r="E701" s="55"/>
      <c r="F701" s="56"/>
      <c r="G701" s="57"/>
      <c r="H701" s="53"/>
      <c r="I701" s="53"/>
      <c r="J701" s="55"/>
      <c r="K701" s="58"/>
      <c r="L701" s="59"/>
      <c r="M701" s="55"/>
      <c r="N701" s="60"/>
      <c r="O701" s="60"/>
      <c r="P701" s="165" t="str">
        <f t="shared" ca="1" si="76"/>
        <v/>
      </c>
      <c r="Q701" s="165" t="str">
        <f t="shared" ca="1" si="77"/>
        <v/>
      </c>
      <c r="R701" s="79"/>
      <c r="S701" s="80"/>
      <c r="T701" s="61">
        <f t="shared" si="78"/>
        <v>0</v>
      </c>
      <c r="U701" s="61">
        <f t="shared" si="79"/>
        <v>0</v>
      </c>
      <c r="V701" s="61">
        <f t="shared" si="80"/>
        <v>0</v>
      </c>
      <c r="W701" s="58"/>
      <c r="X701" s="58"/>
      <c r="Y701" s="53"/>
      <c r="Z701" s="57"/>
      <c r="AA701" s="62"/>
      <c r="AB701" s="62"/>
      <c r="AC701" s="62"/>
      <c r="AD701" s="62"/>
      <c r="AE701" s="62"/>
      <c r="AF701" s="63"/>
      <c r="AG701" s="64" t="str">
        <f t="shared" si="81"/>
        <v/>
      </c>
    </row>
    <row r="702" spans="1:33" x14ac:dyDescent="0.25">
      <c r="A702" s="46" t="str">
        <f>IF(ISBLANK(inbound_data[[#This Row],[Receiving Report ref.'#]]),"",IF(inbound_data[[#This Row],[Ending Quantity]]=0,"ZERO","INV"))</f>
        <v/>
      </c>
      <c r="B702" s="165" t="str">
        <f t="shared" si="75"/>
        <v/>
      </c>
      <c r="C702" s="165" t="str">
        <f>IF(ISBLANK(D702),"",inbound_data[[#This Row],[Pallet_Series]]&amp;inbound_data[[#This Row],[No.]])</f>
        <v/>
      </c>
      <c r="D702" s="54"/>
      <c r="E702" s="55"/>
      <c r="F702" s="56"/>
      <c r="G702" s="57"/>
      <c r="H702" s="53"/>
      <c r="I702" s="53"/>
      <c r="J702" s="55"/>
      <c r="K702" s="58"/>
      <c r="L702" s="59"/>
      <c r="M702" s="55"/>
      <c r="N702" s="60"/>
      <c r="O702" s="60"/>
      <c r="P702" s="165" t="str">
        <f t="shared" ca="1" si="76"/>
        <v/>
      </c>
      <c r="Q702" s="165" t="str">
        <f t="shared" ca="1" si="77"/>
        <v/>
      </c>
      <c r="R702" s="79"/>
      <c r="S702" s="80"/>
      <c r="T702" s="61">
        <f t="shared" si="78"/>
        <v>0</v>
      </c>
      <c r="U702" s="61">
        <f t="shared" si="79"/>
        <v>0</v>
      </c>
      <c r="V702" s="61">
        <f t="shared" si="80"/>
        <v>0</v>
      </c>
      <c r="W702" s="58"/>
      <c r="X702" s="58"/>
      <c r="Y702" s="53"/>
      <c r="Z702" s="57"/>
      <c r="AA702" s="62"/>
      <c r="AB702" s="62"/>
      <c r="AC702" s="62"/>
      <c r="AD702" s="62"/>
      <c r="AE702" s="62"/>
      <c r="AF702" s="63"/>
      <c r="AG702" s="64" t="str">
        <f t="shared" si="81"/>
        <v/>
      </c>
    </row>
    <row r="703" spans="1:33" x14ac:dyDescent="0.25">
      <c r="A703" s="46" t="str">
        <f>IF(ISBLANK(inbound_data[[#This Row],[Receiving Report ref.'#]]),"",IF(inbound_data[[#This Row],[Ending Quantity]]=0,"ZERO","INV"))</f>
        <v/>
      </c>
      <c r="B703" s="165" t="str">
        <f t="shared" si="75"/>
        <v/>
      </c>
      <c r="C703" s="165" t="str">
        <f>IF(ISBLANK(D703),"",inbound_data[[#This Row],[Pallet_Series]]&amp;inbound_data[[#This Row],[No.]])</f>
        <v/>
      </c>
      <c r="D703" s="54"/>
      <c r="E703" s="55"/>
      <c r="F703" s="56"/>
      <c r="G703" s="57"/>
      <c r="H703" s="53"/>
      <c r="I703" s="53"/>
      <c r="J703" s="55"/>
      <c r="K703" s="58"/>
      <c r="L703" s="59"/>
      <c r="M703" s="55"/>
      <c r="N703" s="60"/>
      <c r="O703" s="60"/>
      <c r="P703" s="165" t="str">
        <f t="shared" ca="1" si="76"/>
        <v/>
      </c>
      <c r="Q703" s="165" t="str">
        <f t="shared" ca="1" si="77"/>
        <v/>
      </c>
      <c r="R703" s="79"/>
      <c r="S703" s="80"/>
      <c r="T703" s="61">
        <f t="shared" si="78"/>
        <v>0</v>
      </c>
      <c r="U703" s="61">
        <f t="shared" si="79"/>
        <v>0</v>
      </c>
      <c r="V703" s="61">
        <f t="shared" si="80"/>
        <v>0</v>
      </c>
      <c r="W703" s="58"/>
      <c r="X703" s="58"/>
      <c r="Y703" s="53"/>
      <c r="Z703" s="57"/>
      <c r="AA703" s="62"/>
      <c r="AB703" s="62"/>
      <c r="AC703" s="62"/>
      <c r="AD703" s="62"/>
      <c r="AE703" s="62"/>
      <c r="AF703" s="63"/>
      <c r="AG703" s="64" t="str">
        <f t="shared" si="81"/>
        <v/>
      </c>
    </row>
    <row r="704" spans="1:33" x14ac:dyDescent="0.25">
      <c r="A704" s="46" t="str">
        <f>IF(ISBLANK(inbound_data[[#This Row],[Receiving Report ref.'#]]),"",IF(inbound_data[[#This Row],[Ending Quantity]]=0,"ZERO","INV"))</f>
        <v/>
      </c>
      <c r="B704" s="165" t="str">
        <f t="shared" si="75"/>
        <v/>
      </c>
      <c r="C704" s="165" t="str">
        <f>IF(ISBLANK(D704),"",inbound_data[[#This Row],[Pallet_Series]]&amp;inbound_data[[#This Row],[No.]])</f>
        <v/>
      </c>
      <c r="D704" s="54"/>
      <c r="E704" s="55"/>
      <c r="F704" s="56"/>
      <c r="G704" s="57"/>
      <c r="H704" s="53"/>
      <c r="I704" s="53"/>
      <c r="J704" s="55"/>
      <c r="K704" s="58"/>
      <c r="L704" s="59"/>
      <c r="M704" s="55"/>
      <c r="N704" s="60"/>
      <c r="O704" s="60"/>
      <c r="P704" s="165" t="str">
        <f t="shared" ca="1" si="76"/>
        <v/>
      </c>
      <c r="Q704" s="165" t="str">
        <f t="shared" ca="1" si="77"/>
        <v/>
      </c>
      <c r="R704" s="79"/>
      <c r="S704" s="80"/>
      <c r="T704" s="61">
        <f t="shared" si="78"/>
        <v>0</v>
      </c>
      <c r="U704" s="61">
        <f t="shared" si="79"/>
        <v>0</v>
      </c>
      <c r="V704" s="61">
        <f t="shared" si="80"/>
        <v>0</v>
      </c>
      <c r="W704" s="58"/>
      <c r="X704" s="58"/>
      <c r="Y704" s="53"/>
      <c r="Z704" s="57"/>
      <c r="AA704" s="62"/>
      <c r="AB704" s="62"/>
      <c r="AC704" s="62"/>
      <c r="AD704" s="62"/>
      <c r="AE704" s="62"/>
      <c r="AF704" s="63"/>
      <c r="AG704" s="64" t="str">
        <f t="shared" si="81"/>
        <v/>
      </c>
    </row>
    <row r="705" spans="1:33" x14ac:dyDescent="0.25">
      <c r="A705" s="46" t="str">
        <f>IF(ISBLANK(inbound_data[[#This Row],[Receiving Report ref.'#]]),"",IF(inbound_data[[#This Row],[Ending Quantity]]=0,"ZERO","INV"))</f>
        <v/>
      </c>
      <c r="B705" s="165" t="str">
        <f t="shared" si="75"/>
        <v/>
      </c>
      <c r="C705" s="165" t="str">
        <f>IF(ISBLANK(D705),"",inbound_data[[#This Row],[Pallet_Series]]&amp;inbound_data[[#This Row],[No.]])</f>
        <v/>
      </c>
      <c r="D705" s="54"/>
      <c r="E705" s="55"/>
      <c r="F705" s="56"/>
      <c r="G705" s="57"/>
      <c r="H705" s="53"/>
      <c r="I705" s="53"/>
      <c r="J705" s="55"/>
      <c r="K705" s="58"/>
      <c r="L705" s="59"/>
      <c r="M705" s="55"/>
      <c r="N705" s="60"/>
      <c r="O705" s="60"/>
      <c r="P705" s="165" t="str">
        <f t="shared" ca="1" si="76"/>
        <v/>
      </c>
      <c r="Q705" s="165" t="str">
        <f t="shared" ca="1" si="77"/>
        <v/>
      </c>
      <c r="R705" s="79"/>
      <c r="S705" s="80"/>
      <c r="T705" s="61">
        <f t="shared" si="78"/>
        <v>0</v>
      </c>
      <c r="U705" s="61">
        <f t="shared" si="79"/>
        <v>0</v>
      </c>
      <c r="V705" s="61">
        <f t="shared" si="80"/>
        <v>0</v>
      </c>
      <c r="W705" s="58"/>
      <c r="X705" s="58"/>
      <c r="Y705" s="53"/>
      <c r="Z705" s="57"/>
      <c r="AA705" s="62"/>
      <c r="AB705" s="62"/>
      <c r="AC705" s="62"/>
      <c r="AD705" s="62"/>
      <c r="AE705" s="62"/>
      <c r="AF705" s="63"/>
      <c r="AG705" s="64" t="str">
        <f t="shared" si="81"/>
        <v/>
      </c>
    </row>
    <row r="706" spans="1:33" x14ac:dyDescent="0.25">
      <c r="A706" s="46" t="str">
        <f>IF(ISBLANK(inbound_data[[#This Row],[Receiving Report ref.'#]]),"",IF(inbound_data[[#This Row],[Ending Quantity]]=0,"ZERO","INV"))</f>
        <v/>
      </c>
      <c r="B706" s="165" t="str">
        <f t="shared" si="75"/>
        <v/>
      </c>
      <c r="C706" s="165" t="str">
        <f>IF(ISBLANK(D706),"",inbound_data[[#This Row],[Pallet_Series]]&amp;inbound_data[[#This Row],[No.]])</f>
        <v/>
      </c>
      <c r="D706" s="54"/>
      <c r="E706" s="55"/>
      <c r="F706" s="56"/>
      <c r="G706" s="57"/>
      <c r="H706" s="53"/>
      <c r="I706" s="53"/>
      <c r="J706" s="55"/>
      <c r="K706" s="58"/>
      <c r="L706" s="59"/>
      <c r="M706" s="55"/>
      <c r="N706" s="60"/>
      <c r="O706" s="60"/>
      <c r="P706" s="165" t="str">
        <f t="shared" ca="1" si="76"/>
        <v/>
      </c>
      <c r="Q706" s="165" t="str">
        <f t="shared" ca="1" si="77"/>
        <v/>
      </c>
      <c r="R706" s="79"/>
      <c r="S706" s="80"/>
      <c r="T706" s="61">
        <f t="shared" si="78"/>
        <v>0</v>
      </c>
      <c r="U706" s="61">
        <f t="shared" si="79"/>
        <v>0</v>
      </c>
      <c r="V706" s="61">
        <f t="shared" si="80"/>
        <v>0</v>
      </c>
      <c r="W706" s="58"/>
      <c r="X706" s="58"/>
      <c r="Y706" s="53"/>
      <c r="Z706" s="57"/>
      <c r="AA706" s="62"/>
      <c r="AB706" s="62"/>
      <c r="AC706" s="62"/>
      <c r="AD706" s="62"/>
      <c r="AE706" s="62"/>
      <c r="AF706" s="63"/>
      <c r="AG706" s="64" t="str">
        <f t="shared" si="81"/>
        <v/>
      </c>
    </row>
    <row r="707" spans="1:33" x14ac:dyDescent="0.25">
      <c r="A707" s="46" t="str">
        <f>IF(ISBLANK(inbound_data[[#This Row],[Receiving Report ref.'#]]),"",IF(inbound_data[[#This Row],[Ending Quantity]]=0,"ZERO","INV"))</f>
        <v/>
      </c>
      <c r="B707" s="165" t="str">
        <f t="shared" si="75"/>
        <v/>
      </c>
      <c r="C707" s="165" t="str">
        <f>IF(ISBLANK(D707),"",inbound_data[[#This Row],[Pallet_Series]]&amp;inbound_data[[#This Row],[No.]])</f>
        <v/>
      </c>
      <c r="D707" s="54"/>
      <c r="E707" s="55"/>
      <c r="F707" s="56"/>
      <c r="G707" s="57"/>
      <c r="H707" s="53"/>
      <c r="I707" s="53"/>
      <c r="J707" s="55"/>
      <c r="K707" s="58"/>
      <c r="L707" s="59"/>
      <c r="M707" s="55"/>
      <c r="N707" s="60"/>
      <c r="O707" s="60"/>
      <c r="P707" s="165" t="str">
        <f t="shared" ca="1" si="76"/>
        <v/>
      </c>
      <c r="Q707" s="165" t="str">
        <f t="shared" ca="1" si="77"/>
        <v/>
      </c>
      <c r="R707" s="79"/>
      <c r="S707" s="80"/>
      <c r="T707" s="61">
        <f t="shared" si="78"/>
        <v>0</v>
      </c>
      <c r="U707" s="61">
        <f t="shared" si="79"/>
        <v>0</v>
      </c>
      <c r="V707" s="61">
        <f t="shared" si="80"/>
        <v>0</v>
      </c>
      <c r="W707" s="58"/>
      <c r="X707" s="58"/>
      <c r="Y707" s="53"/>
      <c r="Z707" s="57"/>
      <c r="AA707" s="62"/>
      <c r="AB707" s="62"/>
      <c r="AC707" s="62"/>
      <c r="AD707" s="62"/>
      <c r="AE707" s="62"/>
      <c r="AF707" s="63"/>
      <c r="AG707" s="64" t="str">
        <f t="shared" si="81"/>
        <v/>
      </c>
    </row>
    <row r="708" spans="1:33" x14ac:dyDescent="0.25">
      <c r="A708" s="46" t="str">
        <f>IF(ISBLANK(inbound_data[[#This Row],[Receiving Report ref.'#]]),"",IF(inbound_data[[#This Row],[Ending Quantity]]=0,"ZERO","INV"))</f>
        <v/>
      </c>
      <c r="B708" s="165" t="str">
        <f t="shared" si="75"/>
        <v/>
      </c>
      <c r="C708" s="165" t="str">
        <f>IF(ISBLANK(D708),"",inbound_data[[#This Row],[Pallet_Series]]&amp;inbound_data[[#This Row],[No.]])</f>
        <v/>
      </c>
      <c r="D708" s="54"/>
      <c r="E708" s="55"/>
      <c r="F708" s="56"/>
      <c r="G708" s="57"/>
      <c r="H708" s="53"/>
      <c r="I708" s="53"/>
      <c r="J708" s="55"/>
      <c r="K708" s="58"/>
      <c r="L708" s="59"/>
      <c r="M708" s="55"/>
      <c r="N708" s="60"/>
      <c r="O708" s="60"/>
      <c r="P708" s="165" t="str">
        <f t="shared" ca="1" si="76"/>
        <v/>
      </c>
      <c r="Q708" s="165" t="str">
        <f t="shared" ca="1" si="77"/>
        <v/>
      </c>
      <c r="R708" s="79"/>
      <c r="S708" s="80"/>
      <c r="T708" s="61">
        <f t="shared" si="78"/>
        <v>0</v>
      </c>
      <c r="U708" s="61">
        <f t="shared" si="79"/>
        <v>0</v>
      </c>
      <c r="V708" s="61">
        <f t="shared" si="80"/>
        <v>0</v>
      </c>
      <c r="W708" s="58"/>
      <c r="X708" s="58"/>
      <c r="Y708" s="53"/>
      <c r="Z708" s="57"/>
      <c r="AA708" s="62"/>
      <c r="AB708" s="62"/>
      <c r="AC708" s="62"/>
      <c r="AD708" s="62"/>
      <c r="AE708" s="62"/>
      <c r="AF708" s="63"/>
      <c r="AG708" s="64" t="str">
        <f t="shared" si="81"/>
        <v/>
      </c>
    </row>
    <row r="709" spans="1:33" x14ac:dyDescent="0.25">
      <c r="A709" s="46" t="str">
        <f>IF(ISBLANK(inbound_data[[#This Row],[Receiving Report ref.'#]]),"",IF(inbound_data[[#This Row],[Ending Quantity]]=0,"ZERO","INV"))</f>
        <v/>
      </c>
      <c r="B709" s="165" t="str">
        <f t="shared" si="75"/>
        <v/>
      </c>
      <c r="C709" s="165" t="str">
        <f>IF(ISBLANK(D709),"",inbound_data[[#This Row],[Pallet_Series]]&amp;inbound_data[[#This Row],[No.]])</f>
        <v/>
      </c>
      <c r="D709" s="54"/>
      <c r="E709" s="55"/>
      <c r="F709" s="56"/>
      <c r="G709" s="57"/>
      <c r="H709" s="53"/>
      <c r="I709" s="53"/>
      <c r="J709" s="55"/>
      <c r="K709" s="58"/>
      <c r="L709" s="59"/>
      <c r="M709" s="55"/>
      <c r="N709" s="60"/>
      <c r="O709" s="60"/>
      <c r="P709" s="165" t="str">
        <f t="shared" ca="1" si="76"/>
        <v/>
      </c>
      <c r="Q709" s="165" t="str">
        <f t="shared" ca="1" si="77"/>
        <v/>
      </c>
      <c r="R709" s="79"/>
      <c r="S709" s="80"/>
      <c r="T709" s="61">
        <f t="shared" si="78"/>
        <v>0</v>
      </c>
      <c r="U709" s="61">
        <f t="shared" si="79"/>
        <v>0</v>
      </c>
      <c r="V709" s="61">
        <f t="shared" si="80"/>
        <v>0</v>
      </c>
      <c r="W709" s="58"/>
      <c r="X709" s="58"/>
      <c r="Y709" s="53"/>
      <c r="Z709" s="57"/>
      <c r="AA709" s="62"/>
      <c r="AB709" s="62"/>
      <c r="AC709" s="62"/>
      <c r="AD709" s="62"/>
      <c r="AE709" s="62"/>
      <c r="AF709" s="63"/>
      <c r="AG709" s="64" t="str">
        <f t="shared" si="81"/>
        <v/>
      </c>
    </row>
    <row r="710" spans="1:33" x14ac:dyDescent="0.25">
      <c r="A710" s="46" t="str">
        <f>IF(ISBLANK(inbound_data[[#This Row],[Receiving Report ref.'#]]),"",IF(inbound_data[[#This Row],[Ending Quantity]]=0,"ZERO","INV"))</f>
        <v/>
      </c>
      <c r="B710" s="165" t="str">
        <f t="shared" si="75"/>
        <v/>
      </c>
      <c r="C710" s="165" t="str">
        <f>IF(ISBLANK(D710),"",inbound_data[[#This Row],[Pallet_Series]]&amp;inbound_data[[#This Row],[No.]])</f>
        <v/>
      </c>
      <c r="D710" s="54"/>
      <c r="E710" s="55"/>
      <c r="F710" s="56"/>
      <c r="G710" s="57"/>
      <c r="H710" s="53"/>
      <c r="I710" s="53"/>
      <c r="J710" s="55"/>
      <c r="K710" s="58"/>
      <c r="L710" s="59"/>
      <c r="M710" s="55"/>
      <c r="N710" s="60"/>
      <c r="O710" s="60"/>
      <c r="P710" s="165" t="str">
        <f t="shared" ca="1" si="76"/>
        <v/>
      </c>
      <c r="Q710" s="165" t="str">
        <f t="shared" ca="1" si="77"/>
        <v/>
      </c>
      <c r="R710" s="79"/>
      <c r="S710" s="80"/>
      <c r="T710" s="61">
        <f t="shared" si="78"/>
        <v>0</v>
      </c>
      <c r="U710" s="61">
        <f t="shared" si="79"/>
        <v>0</v>
      </c>
      <c r="V710" s="61">
        <f t="shared" si="80"/>
        <v>0</v>
      </c>
      <c r="W710" s="58"/>
      <c r="X710" s="58"/>
      <c r="Y710" s="53"/>
      <c r="Z710" s="57"/>
      <c r="AA710" s="62"/>
      <c r="AB710" s="62"/>
      <c r="AC710" s="62"/>
      <c r="AD710" s="62"/>
      <c r="AE710" s="62"/>
      <c r="AF710" s="63"/>
      <c r="AG710" s="64" t="str">
        <f t="shared" si="81"/>
        <v/>
      </c>
    </row>
    <row r="711" spans="1:33" x14ac:dyDescent="0.25">
      <c r="A711" s="46" t="str">
        <f>IF(ISBLANK(inbound_data[[#This Row],[Receiving Report ref.'#]]),"",IF(inbound_data[[#This Row],[Ending Quantity]]=0,"ZERO","INV"))</f>
        <v/>
      </c>
      <c r="B711" s="165" t="str">
        <f t="shared" si="75"/>
        <v/>
      </c>
      <c r="C711" s="165" t="str">
        <f>IF(ISBLANK(D711),"",inbound_data[[#This Row],[Pallet_Series]]&amp;inbound_data[[#This Row],[No.]])</f>
        <v/>
      </c>
      <c r="D711" s="54"/>
      <c r="E711" s="55"/>
      <c r="F711" s="56"/>
      <c r="G711" s="57"/>
      <c r="H711" s="53"/>
      <c r="I711" s="53"/>
      <c r="J711" s="55"/>
      <c r="K711" s="58"/>
      <c r="L711" s="59"/>
      <c r="M711" s="55"/>
      <c r="N711" s="60"/>
      <c r="O711" s="60"/>
      <c r="P711" s="165" t="str">
        <f t="shared" ca="1" si="76"/>
        <v/>
      </c>
      <c r="Q711" s="165" t="str">
        <f t="shared" ca="1" si="77"/>
        <v/>
      </c>
      <c r="R711" s="79"/>
      <c r="S711" s="80"/>
      <c r="T711" s="61">
        <f t="shared" si="78"/>
        <v>0</v>
      </c>
      <c r="U711" s="61">
        <f t="shared" si="79"/>
        <v>0</v>
      </c>
      <c r="V711" s="61">
        <f t="shared" si="80"/>
        <v>0</v>
      </c>
      <c r="W711" s="58"/>
      <c r="X711" s="58"/>
      <c r="Y711" s="53"/>
      <c r="Z711" s="57"/>
      <c r="AA711" s="62"/>
      <c r="AB711" s="62"/>
      <c r="AC711" s="62"/>
      <c r="AD711" s="62"/>
      <c r="AE711" s="62"/>
      <c r="AF711" s="63"/>
      <c r="AG711" s="64" t="str">
        <f t="shared" si="81"/>
        <v/>
      </c>
    </row>
    <row r="712" spans="1:33" x14ac:dyDescent="0.25">
      <c r="A712" s="46" t="str">
        <f>IF(ISBLANK(inbound_data[[#This Row],[Receiving Report ref.'#]]),"",IF(inbound_data[[#This Row],[Ending Quantity]]=0,"ZERO","INV"))</f>
        <v/>
      </c>
      <c r="B712" s="165" t="str">
        <f t="shared" si="75"/>
        <v/>
      </c>
      <c r="C712" s="165" t="str">
        <f>IF(ISBLANK(D712),"",inbound_data[[#This Row],[Pallet_Series]]&amp;inbound_data[[#This Row],[No.]])</f>
        <v/>
      </c>
      <c r="D712" s="54"/>
      <c r="E712" s="55"/>
      <c r="F712" s="56"/>
      <c r="G712" s="57"/>
      <c r="H712" s="53"/>
      <c r="I712" s="53"/>
      <c r="J712" s="55"/>
      <c r="K712" s="58"/>
      <c r="L712" s="59"/>
      <c r="M712" s="55"/>
      <c r="N712" s="60"/>
      <c r="O712" s="60"/>
      <c r="P712" s="165" t="str">
        <f t="shared" ca="1" si="76"/>
        <v/>
      </c>
      <c r="Q712" s="165" t="str">
        <f t="shared" ca="1" si="77"/>
        <v/>
      </c>
      <c r="R712" s="79"/>
      <c r="S712" s="80"/>
      <c r="T712" s="61">
        <f t="shared" si="78"/>
        <v>0</v>
      </c>
      <c r="U712" s="61">
        <f t="shared" si="79"/>
        <v>0</v>
      </c>
      <c r="V712" s="61">
        <f t="shared" si="80"/>
        <v>0</v>
      </c>
      <c r="W712" s="58"/>
      <c r="X712" s="58"/>
      <c r="Y712" s="53"/>
      <c r="Z712" s="57"/>
      <c r="AA712" s="62"/>
      <c r="AB712" s="62"/>
      <c r="AC712" s="62"/>
      <c r="AD712" s="62"/>
      <c r="AE712" s="62"/>
      <c r="AF712" s="63"/>
      <c r="AG712" s="64" t="str">
        <f t="shared" si="81"/>
        <v/>
      </c>
    </row>
    <row r="713" spans="1:33" x14ac:dyDescent="0.25">
      <c r="A713" s="46" t="str">
        <f>IF(ISBLANK(inbound_data[[#This Row],[Receiving Report ref.'#]]),"",IF(inbound_data[[#This Row],[Ending Quantity]]=0,"ZERO","INV"))</f>
        <v/>
      </c>
      <c r="B713" s="165" t="str">
        <f t="shared" ref="B713:B776" si="82">IF(ISBLANK(D713),"",TEXT(ROW(),"00000"))</f>
        <v/>
      </c>
      <c r="C713" s="165" t="str">
        <f>IF(ISBLANK(D713),"",inbound_data[[#This Row],[Pallet_Series]]&amp;inbound_data[[#This Row],[No.]])</f>
        <v/>
      </c>
      <c r="D713" s="54"/>
      <c r="E713" s="55"/>
      <c r="F713" s="56"/>
      <c r="G713" s="57"/>
      <c r="H713" s="53"/>
      <c r="I713" s="53"/>
      <c r="J713" s="55"/>
      <c r="K713" s="58"/>
      <c r="L713" s="59"/>
      <c r="M713" s="55"/>
      <c r="N713" s="60"/>
      <c r="O713" s="60"/>
      <c r="P713" s="165" t="str">
        <f t="shared" ref="P713:P776" ca="1" si="83">IF(A713="ZERO","",IF(O713="","",O713-TODAY()))</f>
        <v/>
      </c>
      <c r="Q713" s="165" t="str">
        <f t="shared" ref="Q713:Q776" ca="1" si="84">IF(A713="ZERO","",IF(P713&lt;0,"ALREADY EXPIRED",IF(P713&lt;60,"NEARLY EXPIRED","")))</f>
        <v/>
      </c>
      <c r="R713" s="79"/>
      <c r="S713" s="80"/>
      <c r="T713" s="61">
        <f t="shared" ref="T713:T776" si="85">IF(ISBLANK(R713),0,R713-SUMIF(STOCK_CODE_OUT,$C713,QTY_OUT))</f>
        <v>0</v>
      </c>
      <c r="U713" s="61">
        <f t="shared" ref="U713:U776" si="86">IF(ISBLANK(S713),0,S713-SUMIF(STOCK_CODE_OUT,$C713,KILOS_OUT))</f>
        <v>0</v>
      </c>
      <c r="V713" s="61">
        <f t="shared" ref="V713:V776" si="87">IF(ISBLANK(K713),0,K713-SUMIF(STOCK_CODE_OUT,$C713,PALLET_OUT))</f>
        <v>0</v>
      </c>
      <c r="W713" s="58"/>
      <c r="X713" s="58"/>
      <c r="Y713" s="53"/>
      <c r="Z713" s="57"/>
      <c r="AA713" s="62"/>
      <c r="AB713" s="62"/>
      <c r="AC713" s="62"/>
      <c r="AD713" s="62"/>
      <c r="AE713" s="62"/>
      <c r="AF713" s="63"/>
      <c r="AG713" s="64" t="str">
        <f t="shared" ref="AG713:AG776" si="88">IF(T713&gt;0,CONCATENATE(AA713,AB713,TEXT(AC713,"R00"),TEXT(AD713,"L0."),TEXT(AE713,"0")),"")</f>
        <v/>
      </c>
    </row>
    <row r="714" spans="1:33" x14ac:dyDescent="0.25">
      <c r="A714" s="46" t="str">
        <f>IF(ISBLANK(inbound_data[[#This Row],[Receiving Report ref.'#]]),"",IF(inbound_data[[#This Row],[Ending Quantity]]=0,"ZERO","INV"))</f>
        <v/>
      </c>
      <c r="B714" s="165" t="str">
        <f t="shared" si="82"/>
        <v/>
      </c>
      <c r="C714" s="165" t="str">
        <f>IF(ISBLANK(D714),"",inbound_data[[#This Row],[Pallet_Series]]&amp;inbound_data[[#This Row],[No.]])</f>
        <v/>
      </c>
      <c r="D714" s="54"/>
      <c r="E714" s="55"/>
      <c r="F714" s="56"/>
      <c r="G714" s="57"/>
      <c r="H714" s="53"/>
      <c r="I714" s="53"/>
      <c r="J714" s="55"/>
      <c r="K714" s="58"/>
      <c r="L714" s="59"/>
      <c r="M714" s="55"/>
      <c r="N714" s="60"/>
      <c r="O714" s="60"/>
      <c r="P714" s="165" t="str">
        <f t="shared" ca="1" si="83"/>
        <v/>
      </c>
      <c r="Q714" s="165" t="str">
        <f t="shared" ca="1" si="84"/>
        <v/>
      </c>
      <c r="R714" s="79"/>
      <c r="S714" s="80"/>
      <c r="T714" s="61">
        <f t="shared" si="85"/>
        <v>0</v>
      </c>
      <c r="U714" s="61">
        <f t="shared" si="86"/>
        <v>0</v>
      </c>
      <c r="V714" s="61">
        <f t="shared" si="87"/>
        <v>0</v>
      </c>
      <c r="W714" s="58"/>
      <c r="X714" s="58"/>
      <c r="Y714" s="53"/>
      <c r="Z714" s="57"/>
      <c r="AA714" s="62"/>
      <c r="AB714" s="62"/>
      <c r="AC714" s="62"/>
      <c r="AD714" s="62"/>
      <c r="AE714" s="62"/>
      <c r="AF714" s="63"/>
      <c r="AG714" s="64" t="str">
        <f t="shared" si="88"/>
        <v/>
      </c>
    </row>
    <row r="715" spans="1:33" x14ac:dyDescent="0.25">
      <c r="A715" s="46" t="str">
        <f>IF(ISBLANK(inbound_data[[#This Row],[Receiving Report ref.'#]]),"",IF(inbound_data[[#This Row],[Ending Quantity]]=0,"ZERO","INV"))</f>
        <v/>
      </c>
      <c r="B715" s="165" t="str">
        <f t="shared" si="82"/>
        <v/>
      </c>
      <c r="C715" s="165" t="str">
        <f>IF(ISBLANK(D715),"",inbound_data[[#This Row],[Pallet_Series]]&amp;inbound_data[[#This Row],[No.]])</f>
        <v/>
      </c>
      <c r="D715" s="54"/>
      <c r="E715" s="55"/>
      <c r="F715" s="56"/>
      <c r="G715" s="57"/>
      <c r="H715" s="53"/>
      <c r="I715" s="53"/>
      <c r="J715" s="55"/>
      <c r="K715" s="58"/>
      <c r="L715" s="59"/>
      <c r="M715" s="55"/>
      <c r="N715" s="60"/>
      <c r="O715" s="60"/>
      <c r="P715" s="165" t="str">
        <f t="shared" ca="1" si="83"/>
        <v/>
      </c>
      <c r="Q715" s="165" t="str">
        <f t="shared" ca="1" si="84"/>
        <v/>
      </c>
      <c r="R715" s="79"/>
      <c r="S715" s="80"/>
      <c r="T715" s="61">
        <f t="shared" si="85"/>
        <v>0</v>
      </c>
      <c r="U715" s="61">
        <f t="shared" si="86"/>
        <v>0</v>
      </c>
      <c r="V715" s="61">
        <f t="shared" si="87"/>
        <v>0</v>
      </c>
      <c r="W715" s="58"/>
      <c r="X715" s="58"/>
      <c r="Y715" s="53"/>
      <c r="Z715" s="57"/>
      <c r="AA715" s="62"/>
      <c r="AB715" s="62"/>
      <c r="AC715" s="62"/>
      <c r="AD715" s="62"/>
      <c r="AE715" s="62"/>
      <c r="AF715" s="63"/>
      <c r="AG715" s="64" t="str">
        <f t="shared" si="88"/>
        <v/>
      </c>
    </row>
    <row r="716" spans="1:33" x14ac:dyDescent="0.25">
      <c r="A716" s="46" t="str">
        <f>IF(ISBLANK(inbound_data[[#This Row],[Receiving Report ref.'#]]),"",IF(inbound_data[[#This Row],[Ending Quantity]]=0,"ZERO","INV"))</f>
        <v/>
      </c>
      <c r="B716" s="165" t="str">
        <f t="shared" si="82"/>
        <v/>
      </c>
      <c r="C716" s="165" t="str">
        <f>IF(ISBLANK(D716),"",inbound_data[[#This Row],[Pallet_Series]]&amp;inbound_data[[#This Row],[No.]])</f>
        <v/>
      </c>
      <c r="D716" s="54"/>
      <c r="E716" s="55"/>
      <c r="F716" s="56"/>
      <c r="G716" s="57"/>
      <c r="H716" s="53"/>
      <c r="I716" s="53"/>
      <c r="J716" s="55"/>
      <c r="K716" s="58"/>
      <c r="L716" s="59"/>
      <c r="M716" s="55"/>
      <c r="N716" s="60"/>
      <c r="O716" s="60"/>
      <c r="P716" s="165" t="str">
        <f t="shared" ca="1" si="83"/>
        <v/>
      </c>
      <c r="Q716" s="165" t="str">
        <f t="shared" ca="1" si="84"/>
        <v/>
      </c>
      <c r="R716" s="79"/>
      <c r="S716" s="80"/>
      <c r="T716" s="61">
        <f t="shared" si="85"/>
        <v>0</v>
      </c>
      <c r="U716" s="61">
        <f t="shared" si="86"/>
        <v>0</v>
      </c>
      <c r="V716" s="61">
        <f t="shared" si="87"/>
        <v>0</v>
      </c>
      <c r="W716" s="58"/>
      <c r="X716" s="58"/>
      <c r="Y716" s="53"/>
      <c r="Z716" s="57"/>
      <c r="AA716" s="62"/>
      <c r="AB716" s="62"/>
      <c r="AC716" s="62"/>
      <c r="AD716" s="62"/>
      <c r="AE716" s="62"/>
      <c r="AF716" s="63"/>
      <c r="AG716" s="64" t="str">
        <f t="shared" si="88"/>
        <v/>
      </c>
    </row>
    <row r="717" spans="1:33" x14ac:dyDescent="0.25">
      <c r="A717" s="46" t="str">
        <f>IF(ISBLANK(inbound_data[[#This Row],[Receiving Report ref.'#]]),"",IF(inbound_data[[#This Row],[Ending Quantity]]=0,"ZERO","INV"))</f>
        <v/>
      </c>
      <c r="B717" s="165" t="str">
        <f t="shared" si="82"/>
        <v/>
      </c>
      <c r="C717" s="165" t="str">
        <f>IF(ISBLANK(D717),"",inbound_data[[#This Row],[Pallet_Series]]&amp;inbound_data[[#This Row],[No.]])</f>
        <v/>
      </c>
      <c r="D717" s="54"/>
      <c r="E717" s="55"/>
      <c r="F717" s="56"/>
      <c r="G717" s="57"/>
      <c r="H717" s="53"/>
      <c r="I717" s="53"/>
      <c r="J717" s="55"/>
      <c r="K717" s="58"/>
      <c r="L717" s="59"/>
      <c r="M717" s="55"/>
      <c r="N717" s="60"/>
      <c r="O717" s="60"/>
      <c r="P717" s="165" t="str">
        <f t="shared" ca="1" si="83"/>
        <v/>
      </c>
      <c r="Q717" s="165" t="str">
        <f t="shared" ca="1" si="84"/>
        <v/>
      </c>
      <c r="R717" s="79"/>
      <c r="S717" s="80"/>
      <c r="T717" s="61">
        <f t="shared" si="85"/>
        <v>0</v>
      </c>
      <c r="U717" s="61">
        <f t="shared" si="86"/>
        <v>0</v>
      </c>
      <c r="V717" s="61">
        <f t="shared" si="87"/>
        <v>0</v>
      </c>
      <c r="W717" s="58"/>
      <c r="X717" s="58"/>
      <c r="Y717" s="53"/>
      <c r="Z717" s="57"/>
      <c r="AA717" s="62"/>
      <c r="AB717" s="62"/>
      <c r="AC717" s="62"/>
      <c r="AD717" s="62"/>
      <c r="AE717" s="62"/>
      <c r="AF717" s="63"/>
      <c r="AG717" s="64" t="str">
        <f t="shared" si="88"/>
        <v/>
      </c>
    </row>
    <row r="718" spans="1:33" x14ac:dyDescent="0.25">
      <c r="A718" s="46" t="str">
        <f>IF(ISBLANK(inbound_data[[#This Row],[Receiving Report ref.'#]]),"",IF(inbound_data[[#This Row],[Ending Quantity]]=0,"ZERO","INV"))</f>
        <v/>
      </c>
      <c r="B718" s="165" t="str">
        <f t="shared" si="82"/>
        <v/>
      </c>
      <c r="C718" s="165" t="str">
        <f>IF(ISBLANK(D718),"",inbound_data[[#This Row],[Pallet_Series]]&amp;inbound_data[[#This Row],[No.]])</f>
        <v/>
      </c>
      <c r="D718" s="54"/>
      <c r="E718" s="55"/>
      <c r="F718" s="56"/>
      <c r="G718" s="57"/>
      <c r="H718" s="53"/>
      <c r="I718" s="53"/>
      <c r="J718" s="55"/>
      <c r="K718" s="58"/>
      <c r="L718" s="59"/>
      <c r="M718" s="55"/>
      <c r="N718" s="60"/>
      <c r="O718" s="60"/>
      <c r="P718" s="165" t="str">
        <f t="shared" ca="1" si="83"/>
        <v/>
      </c>
      <c r="Q718" s="165" t="str">
        <f t="shared" ca="1" si="84"/>
        <v/>
      </c>
      <c r="R718" s="79"/>
      <c r="S718" s="80"/>
      <c r="T718" s="61">
        <f t="shared" si="85"/>
        <v>0</v>
      </c>
      <c r="U718" s="61">
        <f t="shared" si="86"/>
        <v>0</v>
      </c>
      <c r="V718" s="61">
        <f t="shared" si="87"/>
        <v>0</v>
      </c>
      <c r="W718" s="58"/>
      <c r="X718" s="58"/>
      <c r="Y718" s="53"/>
      <c r="Z718" s="57"/>
      <c r="AA718" s="62"/>
      <c r="AB718" s="62"/>
      <c r="AC718" s="62"/>
      <c r="AD718" s="62"/>
      <c r="AE718" s="62"/>
      <c r="AF718" s="63"/>
      <c r="AG718" s="64" t="str">
        <f t="shared" si="88"/>
        <v/>
      </c>
    </row>
    <row r="719" spans="1:33" x14ac:dyDescent="0.25">
      <c r="A719" s="46" t="str">
        <f>IF(ISBLANK(inbound_data[[#This Row],[Receiving Report ref.'#]]),"",IF(inbound_data[[#This Row],[Ending Quantity]]=0,"ZERO","INV"))</f>
        <v/>
      </c>
      <c r="B719" s="165" t="str">
        <f t="shared" si="82"/>
        <v/>
      </c>
      <c r="C719" s="165" t="str">
        <f>IF(ISBLANK(D719),"",inbound_data[[#This Row],[Pallet_Series]]&amp;inbound_data[[#This Row],[No.]])</f>
        <v/>
      </c>
      <c r="D719" s="54"/>
      <c r="E719" s="55"/>
      <c r="F719" s="56"/>
      <c r="G719" s="57"/>
      <c r="H719" s="53"/>
      <c r="I719" s="53"/>
      <c r="J719" s="55"/>
      <c r="K719" s="58"/>
      <c r="L719" s="59"/>
      <c r="M719" s="55"/>
      <c r="N719" s="60"/>
      <c r="O719" s="60"/>
      <c r="P719" s="165" t="str">
        <f t="shared" ca="1" si="83"/>
        <v/>
      </c>
      <c r="Q719" s="165" t="str">
        <f t="shared" ca="1" si="84"/>
        <v/>
      </c>
      <c r="R719" s="79"/>
      <c r="S719" s="80"/>
      <c r="T719" s="61">
        <f t="shared" si="85"/>
        <v>0</v>
      </c>
      <c r="U719" s="61">
        <f t="shared" si="86"/>
        <v>0</v>
      </c>
      <c r="V719" s="61">
        <f t="shared" si="87"/>
        <v>0</v>
      </c>
      <c r="W719" s="58"/>
      <c r="X719" s="58"/>
      <c r="Y719" s="53"/>
      <c r="Z719" s="57"/>
      <c r="AA719" s="62"/>
      <c r="AB719" s="62"/>
      <c r="AC719" s="62"/>
      <c r="AD719" s="62"/>
      <c r="AE719" s="62"/>
      <c r="AF719" s="63"/>
      <c r="AG719" s="64" t="str">
        <f t="shared" si="88"/>
        <v/>
      </c>
    </row>
    <row r="720" spans="1:33" x14ac:dyDescent="0.25">
      <c r="A720" s="46" t="str">
        <f>IF(ISBLANK(inbound_data[[#This Row],[Receiving Report ref.'#]]),"",IF(inbound_data[[#This Row],[Ending Quantity]]=0,"ZERO","INV"))</f>
        <v/>
      </c>
      <c r="B720" s="165" t="str">
        <f t="shared" si="82"/>
        <v/>
      </c>
      <c r="C720" s="165" t="str">
        <f>IF(ISBLANK(D720),"",inbound_data[[#This Row],[Pallet_Series]]&amp;inbound_data[[#This Row],[No.]])</f>
        <v/>
      </c>
      <c r="D720" s="54"/>
      <c r="E720" s="55"/>
      <c r="F720" s="56"/>
      <c r="G720" s="57"/>
      <c r="H720" s="53"/>
      <c r="I720" s="53"/>
      <c r="J720" s="55"/>
      <c r="K720" s="58"/>
      <c r="L720" s="59"/>
      <c r="M720" s="55"/>
      <c r="N720" s="60"/>
      <c r="O720" s="60"/>
      <c r="P720" s="165" t="str">
        <f t="shared" ca="1" si="83"/>
        <v/>
      </c>
      <c r="Q720" s="165" t="str">
        <f t="shared" ca="1" si="84"/>
        <v/>
      </c>
      <c r="R720" s="79"/>
      <c r="S720" s="80"/>
      <c r="T720" s="61">
        <f t="shared" si="85"/>
        <v>0</v>
      </c>
      <c r="U720" s="61">
        <f t="shared" si="86"/>
        <v>0</v>
      </c>
      <c r="V720" s="61">
        <f t="shared" si="87"/>
        <v>0</v>
      </c>
      <c r="W720" s="58"/>
      <c r="X720" s="58"/>
      <c r="Y720" s="53"/>
      <c r="Z720" s="57"/>
      <c r="AA720" s="62"/>
      <c r="AB720" s="62"/>
      <c r="AC720" s="62"/>
      <c r="AD720" s="62"/>
      <c r="AE720" s="62"/>
      <c r="AF720" s="63"/>
      <c r="AG720" s="64" t="str">
        <f t="shared" si="88"/>
        <v/>
      </c>
    </row>
    <row r="721" spans="1:33" x14ac:dyDescent="0.25">
      <c r="A721" s="46" t="str">
        <f>IF(ISBLANK(inbound_data[[#This Row],[Receiving Report ref.'#]]),"",IF(inbound_data[[#This Row],[Ending Quantity]]=0,"ZERO","INV"))</f>
        <v/>
      </c>
      <c r="B721" s="165" t="str">
        <f t="shared" si="82"/>
        <v/>
      </c>
      <c r="C721" s="165" t="str">
        <f>IF(ISBLANK(D721),"",inbound_data[[#This Row],[Pallet_Series]]&amp;inbound_data[[#This Row],[No.]])</f>
        <v/>
      </c>
      <c r="D721" s="54"/>
      <c r="E721" s="55"/>
      <c r="F721" s="56"/>
      <c r="G721" s="57"/>
      <c r="H721" s="53"/>
      <c r="I721" s="53"/>
      <c r="J721" s="55"/>
      <c r="K721" s="58"/>
      <c r="L721" s="59"/>
      <c r="M721" s="55"/>
      <c r="N721" s="60"/>
      <c r="O721" s="60"/>
      <c r="P721" s="165" t="str">
        <f t="shared" ca="1" si="83"/>
        <v/>
      </c>
      <c r="Q721" s="165" t="str">
        <f t="shared" ca="1" si="84"/>
        <v/>
      </c>
      <c r="R721" s="79"/>
      <c r="S721" s="80"/>
      <c r="T721" s="61">
        <f t="shared" si="85"/>
        <v>0</v>
      </c>
      <c r="U721" s="61">
        <f t="shared" si="86"/>
        <v>0</v>
      </c>
      <c r="V721" s="61">
        <f t="shared" si="87"/>
        <v>0</v>
      </c>
      <c r="W721" s="58"/>
      <c r="X721" s="58"/>
      <c r="Y721" s="53"/>
      <c r="Z721" s="57"/>
      <c r="AA721" s="62"/>
      <c r="AB721" s="62"/>
      <c r="AC721" s="62"/>
      <c r="AD721" s="62"/>
      <c r="AE721" s="62"/>
      <c r="AF721" s="63"/>
      <c r="AG721" s="64" t="str">
        <f t="shared" si="88"/>
        <v/>
      </c>
    </row>
    <row r="722" spans="1:33" x14ac:dyDescent="0.25">
      <c r="A722" s="46" t="str">
        <f>IF(ISBLANK(inbound_data[[#This Row],[Receiving Report ref.'#]]),"",IF(inbound_data[[#This Row],[Ending Quantity]]=0,"ZERO","INV"))</f>
        <v/>
      </c>
      <c r="B722" s="165" t="str">
        <f t="shared" si="82"/>
        <v/>
      </c>
      <c r="C722" s="165" t="str">
        <f>IF(ISBLANK(D722),"",inbound_data[[#This Row],[Pallet_Series]]&amp;inbound_data[[#This Row],[No.]])</f>
        <v/>
      </c>
      <c r="D722" s="54"/>
      <c r="E722" s="55"/>
      <c r="F722" s="56"/>
      <c r="G722" s="57"/>
      <c r="H722" s="53"/>
      <c r="I722" s="53"/>
      <c r="J722" s="55"/>
      <c r="K722" s="58"/>
      <c r="L722" s="59"/>
      <c r="M722" s="55"/>
      <c r="N722" s="60"/>
      <c r="O722" s="60"/>
      <c r="P722" s="165" t="str">
        <f t="shared" ca="1" si="83"/>
        <v/>
      </c>
      <c r="Q722" s="165" t="str">
        <f t="shared" ca="1" si="84"/>
        <v/>
      </c>
      <c r="R722" s="79"/>
      <c r="S722" s="80"/>
      <c r="T722" s="61">
        <f t="shared" si="85"/>
        <v>0</v>
      </c>
      <c r="U722" s="61">
        <f t="shared" si="86"/>
        <v>0</v>
      </c>
      <c r="V722" s="61">
        <f t="shared" si="87"/>
        <v>0</v>
      </c>
      <c r="W722" s="58"/>
      <c r="X722" s="58"/>
      <c r="Y722" s="53"/>
      <c r="Z722" s="57"/>
      <c r="AA722" s="62"/>
      <c r="AB722" s="62"/>
      <c r="AC722" s="62"/>
      <c r="AD722" s="62"/>
      <c r="AE722" s="62"/>
      <c r="AF722" s="63"/>
      <c r="AG722" s="64" t="str">
        <f t="shared" si="88"/>
        <v/>
      </c>
    </row>
    <row r="723" spans="1:33" x14ac:dyDescent="0.25">
      <c r="A723" s="46" t="str">
        <f>IF(ISBLANK(inbound_data[[#This Row],[Receiving Report ref.'#]]),"",IF(inbound_data[[#This Row],[Ending Quantity]]=0,"ZERO","INV"))</f>
        <v/>
      </c>
      <c r="B723" s="165" t="str">
        <f t="shared" si="82"/>
        <v/>
      </c>
      <c r="C723" s="165" t="str">
        <f>IF(ISBLANK(D723),"",inbound_data[[#This Row],[Pallet_Series]]&amp;inbound_data[[#This Row],[No.]])</f>
        <v/>
      </c>
      <c r="D723" s="54"/>
      <c r="E723" s="55"/>
      <c r="F723" s="56"/>
      <c r="G723" s="57"/>
      <c r="H723" s="53"/>
      <c r="I723" s="53"/>
      <c r="J723" s="55"/>
      <c r="K723" s="58"/>
      <c r="L723" s="59"/>
      <c r="M723" s="55"/>
      <c r="N723" s="60"/>
      <c r="O723" s="60"/>
      <c r="P723" s="165" t="str">
        <f t="shared" ca="1" si="83"/>
        <v/>
      </c>
      <c r="Q723" s="165" t="str">
        <f t="shared" ca="1" si="84"/>
        <v/>
      </c>
      <c r="R723" s="79"/>
      <c r="S723" s="80"/>
      <c r="T723" s="61">
        <f t="shared" si="85"/>
        <v>0</v>
      </c>
      <c r="U723" s="61">
        <f t="shared" si="86"/>
        <v>0</v>
      </c>
      <c r="V723" s="61">
        <f t="shared" si="87"/>
        <v>0</v>
      </c>
      <c r="W723" s="58"/>
      <c r="X723" s="58"/>
      <c r="Y723" s="53"/>
      <c r="Z723" s="57"/>
      <c r="AA723" s="62"/>
      <c r="AB723" s="62"/>
      <c r="AC723" s="62"/>
      <c r="AD723" s="62"/>
      <c r="AE723" s="62"/>
      <c r="AF723" s="63"/>
      <c r="AG723" s="64" t="str">
        <f t="shared" si="88"/>
        <v/>
      </c>
    </row>
    <row r="724" spans="1:33" x14ac:dyDescent="0.25">
      <c r="A724" s="46" t="str">
        <f>IF(ISBLANK(inbound_data[[#This Row],[Receiving Report ref.'#]]),"",IF(inbound_data[[#This Row],[Ending Quantity]]=0,"ZERO","INV"))</f>
        <v/>
      </c>
      <c r="B724" s="165" t="str">
        <f t="shared" si="82"/>
        <v/>
      </c>
      <c r="C724" s="165" t="str">
        <f>IF(ISBLANK(D724),"",inbound_data[[#This Row],[Pallet_Series]]&amp;inbound_data[[#This Row],[No.]])</f>
        <v/>
      </c>
      <c r="D724" s="54"/>
      <c r="E724" s="55"/>
      <c r="F724" s="56"/>
      <c r="G724" s="57"/>
      <c r="H724" s="53"/>
      <c r="I724" s="53"/>
      <c r="J724" s="55"/>
      <c r="K724" s="58"/>
      <c r="L724" s="59"/>
      <c r="M724" s="55"/>
      <c r="N724" s="60"/>
      <c r="O724" s="60"/>
      <c r="P724" s="165" t="str">
        <f t="shared" ca="1" si="83"/>
        <v/>
      </c>
      <c r="Q724" s="165" t="str">
        <f t="shared" ca="1" si="84"/>
        <v/>
      </c>
      <c r="R724" s="79"/>
      <c r="S724" s="80"/>
      <c r="T724" s="61">
        <f t="shared" si="85"/>
        <v>0</v>
      </c>
      <c r="U724" s="61">
        <f t="shared" si="86"/>
        <v>0</v>
      </c>
      <c r="V724" s="61">
        <f t="shared" si="87"/>
        <v>0</v>
      </c>
      <c r="W724" s="58"/>
      <c r="X724" s="58"/>
      <c r="Y724" s="53"/>
      <c r="Z724" s="57"/>
      <c r="AA724" s="62"/>
      <c r="AB724" s="62"/>
      <c r="AC724" s="62"/>
      <c r="AD724" s="62"/>
      <c r="AE724" s="62"/>
      <c r="AF724" s="63"/>
      <c r="AG724" s="64" t="str">
        <f t="shared" si="88"/>
        <v/>
      </c>
    </row>
    <row r="725" spans="1:33" x14ac:dyDescent="0.25">
      <c r="A725" s="46" t="str">
        <f>IF(ISBLANK(inbound_data[[#This Row],[Receiving Report ref.'#]]),"",IF(inbound_data[[#This Row],[Ending Quantity]]=0,"ZERO","INV"))</f>
        <v/>
      </c>
      <c r="B725" s="165" t="str">
        <f t="shared" si="82"/>
        <v/>
      </c>
      <c r="C725" s="165" t="str">
        <f>IF(ISBLANK(D725),"",inbound_data[[#This Row],[Pallet_Series]]&amp;inbound_data[[#This Row],[No.]])</f>
        <v/>
      </c>
      <c r="D725" s="54"/>
      <c r="E725" s="55"/>
      <c r="F725" s="56"/>
      <c r="G725" s="57"/>
      <c r="H725" s="53"/>
      <c r="I725" s="53"/>
      <c r="J725" s="55"/>
      <c r="K725" s="58"/>
      <c r="L725" s="59"/>
      <c r="M725" s="55"/>
      <c r="N725" s="60"/>
      <c r="O725" s="60"/>
      <c r="P725" s="165" t="str">
        <f t="shared" ca="1" si="83"/>
        <v/>
      </c>
      <c r="Q725" s="165" t="str">
        <f t="shared" ca="1" si="84"/>
        <v/>
      </c>
      <c r="R725" s="79"/>
      <c r="S725" s="80"/>
      <c r="T725" s="61">
        <f t="shared" si="85"/>
        <v>0</v>
      </c>
      <c r="U725" s="61">
        <f t="shared" si="86"/>
        <v>0</v>
      </c>
      <c r="V725" s="61">
        <f t="shared" si="87"/>
        <v>0</v>
      </c>
      <c r="W725" s="58"/>
      <c r="X725" s="58"/>
      <c r="Y725" s="53"/>
      <c r="Z725" s="57"/>
      <c r="AA725" s="62"/>
      <c r="AB725" s="62"/>
      <c r="AC725" s="62"/>
      <c r="AD725" s="62"/>
      <c r="AE725" s="62"/>
      <c r="AF725" s="63"/>
      <c r="AG725" s="64" t="str">
        <f t="shared" si="88"/>
        <v/>
      </c>
    </row>
    <row r="726" spans="1:33" x14ac:dyDescent="0.25">
      <c r="A726" s="46" t="str">
        <f>IF(ISBLANK(inbound_data[[#This Row],[Receiving Report ref.'#]]),"",IF(inbound_data[[#This Row],[Ending Quantity]]=0,"ZERO","INV"))</f>
        <v/>
      </c>
      <c r="B726" s="165" t="str">
        <f t="shared" si="82"/>
        <v/>
      </c>
      <c r="C726" s="165" t="str">
        <f>IF(ISBLANK(D726),"",inbound_data[[#This Row],[Pallet_Series]]&amp;inbound_data[[#This Row],[No.]])</f>
        <v/>
      </c>
      <c r="D726" s="54"/>
      <c r="E726" s="55"/>
      <c r="F726" s="56"/>
      <c r="G726" s="57"/>
      <c r="H726" s="53"/>
      <c r="I726" s="53"/>
      <c r="J726" s="55"/>
      <c r="K726" s="58"/>
      <c r="L726" s="59"/>
      <c r="M726" s="55"/>
      <c r="N726" s="60"/>
      <c r="O726" s="60"/>
      <c r="P726" s="165" t="str">
        <f t="shared" ca="1" si="83"/>
        <v/>
      </c>
      <c r="Q726" s="165" t="str">
        <f t="shared" ca="1" si="84"/>
        <v/>
      </c>
      <c r="R726" s="79"/>
      <c r="S726" s="80"/>
      <c r="T726" s="61">
        <f t="shared" si="85"/>
        <v>0</v>
      </c>
      <c r="U726" s="61">
        <f t="shared" si="86"/>
        <v>0</v>
      </c>
      <c r="V726" s="61">
        <f t="shared" si="87"/>
        <v>0</v>
      </c>
      <c r="W726" s="58"/>
      <c r="X726" s="58"/>
      <c r="Y726" s="53"/>
      <c r="Z726" s="57"/>
      <c r="AA726" s="62"/>
      <c r="AB726" s="62"/>
      <c r="AC726" s="62"/>
      <c r="AD726" s="62"/>
      <c r="AE726" s="62"/>
      <c r="AF726" s="63"/>
      <c r="AG726" s="64" t="str">
        <f t="shared" si="88"/>
        <v/>
      </c>
    </row>
    <row r="727" spans="1:33" x14ac:dyDescent="0.25">
      <c r="A727" s="46" t="str">
        <f>IF(ISBLANK(inbound_data[[#This Row],[Receiving Report ref.'#]]),"",IF(inbound_data[[#This Row],[Ending Quantity]]=0,"ZERO","INV"))</f>
        <v/>
      </c>
      <c r="B727" s="165" t="str">
        <f t="shared" si="82"/>
        <v/>
      </c>
      <c r="C727" s="165" t="str">
        <f>IF(ISBLANK(D727),"",inbound_data[[#This Row],[Pallet_Series]]&amp;inbound_data[[#This Row],[No.]])</f>
        <v/>
      </c>
      <c r="D727" s="54"/>
      <c r="E727" s="55"/>
      <c r="F727" s="56"/>
      <c r="G727" s="57"/>
      <c r="H727" s="53"/>
      <c r="I727" s="53"/>
      <c r="J727" s="55"/>
      <c r="K727" s="58"/>
      <c r="L727" s="59"/>
      <c r="M727" s="55"/>
      <c r="N727" s="60"/>
      <c r="O727" s="60"/>
      <c r="P727" s="165" t="str">
        <f t="shared" ca="1" si="83"/>
        <v/>
      </c>
      <c r="Q727" s="165" t="str">
        <f t="shared" ca="1" si="84"/>
        <v/>
      </c>
      <c r="R727" s="79"/>
      <c r="S727" s="80"/>
      <c r="T727" s="61">
        <f t="shared" si="85"/>
        <v>0</v>
      </c>
      <c r="U727" s="61">
        <f t="shared" si="86"/>
        <v>0</v>
      </c>
      <c r="V727" s="61">
        <f t="shared" si="87"/>
        <v>0</v>
      </c>
      <c r="W727" s="58"/>
      <c r="X727" s="58"/>
      <c r="Y727" s="53"/>
      <c r="Z727" s="57"/>
      <c r="AA727" s="62"/>
      <c r="AB727" s="62"/>
      <c r="AC727" s="62"/>
      <c r="AD727" s="62"/>
      <c r="AE727" s="62"/>
      <c r="AF727" s="63"/>
      <c r="AG727" s="64" t="str">
        <f t="shared" si="88"/>
        <v/>
      </c>
    </row>
    <row r="728" spans="1:33" x14ac:dyDescent="0.25">
      <c r="A728" s="46" t="str">
        <f>IF(ISBLANK(inbound_data[[#This Row],[Receiving Report ref.'#]]),"",IF(inbound_data[[#This Row],[Ending Quantity]]=0,"ZERO","INV"))</f>
        <v/>
      </c>
      <c r="B728" s="165" t="str">
        <f t="shared" si="82"/>
        <v/>
      </c>
      <c r="C728" s="165" t="str">
        <f>IF(ISBLANK(D728),"",inbound_data[[#This Row],[Pallet_Series]]&amp;inbound_data[[#This Row],[No.]])</f>
        <v/>
      </c>
      <c r="D728" s="54"/>
      <c r="E728" s="55"/>
      <c r="F728" s="56"/>
      <c r="G728" s="57"/>
      <c r="H728" s="53"/>
      <c r="I728" s="53"/>
      <c r="J728" s="55"/>
      <c r="K728" s="58"/>
      <c r="L728" s="59"/>
      <c r="M728" s="55"/>
      <c r="N728" s="60"/>
      <c r="O728" s="60"/>
      <c r="P728" s="165" t="str">
        <f t="shared" ca="1" si="83"/>
        <v/>
      </c>
      <c r="Q728" s="165" t="str">
        <f t="shared" ca="1" si="84"/>
        <v/>
      </c>
      <c r="R728" s="79"/>
      <c r="S728" s="80"/>
      <c r="T728" s="61">
        <f t="shared" si="85"/>
        <v>0</v>
      </c>
      <c r="U728" s="61">
        <f t="shared" si="86"/>
        <v>0</v>
      </c>
      <c r="V728" s="61">
        <f t="shared" si="87"/>
        <v>0</v>
      </c>
      <c r="W728" s="58"/>
      <c r="X728" s="58"/>
      <c r="Y728" s="53"/>
      <c r="Z728" s="57"/>
      <c r="AA728" s="62"/>
      <c r="AB728" s="62"/>
      <c r="AC728" s="62"/>
      <c r="AD728" s="62"/>
      <c r="AE728" s="62"/>
      <c r="AF728" s="63"/>
      <c r="AG728" s="64" t="str">
        <f t="shared" si="88"/>
        <v/>
      </c>
    </row>
    <row r="729" spans="1:33" x14ac:dyDescent="0.25">
      <c r="A729" s="46" t="str">
        <f>IF(ISBLANK(inbound_data[[#This Row],[Receiving Report ref.'#]]),"",IF(inbound_data[[#This Row],[Ending Quantity]]=0,"ZERO","INV"))</f>
        <v/>
      </c>
      <c r="B729" s="165" t="str">
        <f t="shared" si="82"/>
        <v/>
      </c>
      <c r="C729" s="165" t="str">
        <f>IF(ISBLANK(D729),"",inbound_data[[#This Row],[Pallet_Series]]&amp;inbound_data[[#This Row],[No.]])</f>
        <v/>
      </c>
      <c r="D729" s="54"/>
      <c r="E729" s="55"/>
      <c r="F729" s="56"/>
      <c r="G729" s="57"/>
      <c r="H729" s="53"/>
      <c r="I729" s="53"/>
      <c r="J729" s="55"/>
      <c r="K729" s="58"/>
      <c r="L729" s="59"/>
      <c r="M729" s="55"/>
      <c r="N729" s="60"/>
      <c r="O729" s="60"/>
      <c r="P729" s="165" t="str">
        <f t="shared" ca="1" si="83"/>
        <v/>
      </c>
      <c r="Q729" s="165" t="str">
        <f t="shared" ca="1" si="84"/>
        <v/>
      </c>
      <c r="R729" s="79"/>
      <c r="S729" s="80"/>
      <c r="T729" s="61">
        <f t="shared" si="85"/>
        <v>0</v>
      </c>
      <c r="U729" s="61">
        <f t="shared" si="86"/>
        <v>0</v>
      </c>
      <c r="V729" s="61">
        <f t="shared" si="87"/>
        <v>0</v>
      </c>
      <c r="W729" s="58"/>
      <c r="X729" s="58"/>
      <c r="Y729" s="53"/>
      <c r="Z729" s="57"/>
      <c r="AA729" s="62"/>
      <c r="AB729" s="62"/>
      <c r="AC729" s="62"/>
      <c r="AD729" s="62"/>
      <c r="AE729" s="62"/>
      <c r="AF729" s="63"/>
      <c r="AG729" s="64" t="str">
        <f t="shared" si="88"/>
        <v/>
      </c>
    </row>
    <row r="730" spans="1:33" x14ac:dyDescent="0.25">
      <c r="A730" s="46" t="str">
        <f>IF(ISBLANK(inbound_data[[#This Row],[Receiving Report ref.'#]]),"",IF(inbound_data[[#This Row],[Ending Quantity]]=0,"ZERO","INV"))</f>
        <v/>
      </c>
      <c r="B730" s="165" t="str">
        <f t="shared" si="82"/>
        <v/>
      </c>
      <c r="C730" s="165" t="str">
        <f>IF(ISBLANK(D730),"",inbound_data[[#This Row],[Pallet_Series]]&amp;inbound_data[[#This Row],[No.]])</f>
        <v/>
      </c>
      <c r="D730" s="54"/>
      <c r="E730" s="55"/>
      <c r="F730" s="56"/>
      <c r="G730" s="57"/>
      <c r="H730" s="53"/>
      <c r="I730" s="53"/>
      <c r="J730" s="55"/>
      <c r="K730" s="58"/>
      <c r="L730" s="59"/>
      <c r="M730" s="55"/>
      <c r="N730" s="60"/>
      <c r="O730" s="60"/>
      <c r="P730" s="165" t="str">
        <f t="shared" ca="1" si="83"/>
        <v/>
      </c>
      <c r="Q730" s="165" t="str">
        <f t="shared" ca="1" si="84"/>
        <v/>
      </c>
      <c r="R730" s="79"/>
      <c r="S730" s="80"/>
      <c r="T730" s="61">
        <f t="shared" si="85"/>
        <v>0</v>
      </c>
      <c r="U730" s="61">
        <f t="shared" si="86"/>
        <v>0</v>
      </c>
      <c r="V730" s="61">
        <f t="shared" si="87"/>
        <v>0</v>
      </c>
      <c r="W730" s="58"/>
      <c r="X730" s="58"/>
      <c r="Y730" s="53"/>
      <c r="Z730" s="57"/>
      <c r="AA730" s="62"/>
      <c r="AB730" s="62"/>
      <c r="AC730" s="62"/>
      <c r="AD730" s="62"/>
      <c r="AE730" s="62"/>
      <c r="AF730" s="63"/>
      <c r="AG730" s="64" t="str">
        <f t="shared" si="88"/>
        <v/>
      </c>
    </row>
    <row r="731" spans="1:33" x14ac:dyDescent="0.25">
      <c r="A731" s="46" t="str">
        <f>IF(ISBLANK(inbound_data[[#This Row],[Receiving Report ref.'#]]),"",IF(inbound_data[[#This Row],[Ending Quantity]]=0,"ZERO","INV"))</f>
        <v/>
      </c>
      <c r="B731" s="165" t="str">
        <f t="shared" si="82"/>
        <v/>
      </c>
      <c r="C731" s="165" t="str">
        <f>IF(ISBLANK(D731),"",inbound_data[[#This Row],[Pallet_Series]]&amp;inbound_data[[#This Row],[No.]])</f>
        <v/>
      </c>
      <c r="D731" s="54"/>
      <c r="E731" s="55"/>
      <c r="F731" s="56"/>
      <c r="G731" s="57"/>
      <c r="H731" s="53"/>
      <c r="I731" s="53"/>
      <c r="J731" s="55"/>
      <c r="K731" s="58"/>
      <c r="L731" s="59"/>
      <c r="M731" s="55"/>
      <c r="N731" s="60"/>
      <c r="O731" s="60"/>
      <c r="P731" s="165" t="str">
        <f t="shared" ca="1" si="83"/>
        <v/>
      </c>
      <c r="Q731" s="165" t="str">
        <f t="shared" ca="1" si="84"/>
        <v/>
      </c>
      <c r="R731" s="79"/>
      <c r="S731" s="80"/>
      <c r="T731" s="61">
        <f t="shared" si="85"/>
        <v>0</v>
      </c>
      <c r="U731" s="61">
        <f t="shared" si="86"/>
        <v>0</v>
      </c>
      <c r="V731" s="61">
        <f t="shared" si="87"/>
        <v>0</v>
      </c>
      <c r="W731" s="58"/>
      <c r="X731" s="58"/>
      <c r="Y731" s="53"/>
      <c r="Z731" s="57"/>
      <c r="AA731" s="62"/>
      <c r="AB731" s="62"/>
      <c r="AC731" s="62"/>
      <c r="AD731" s="62"/>
      <c r="AE731" s="62"/>
      <c r="AF731" s="63"/>
      <c r="AG731" s="64" t="str">
        <f t="shared" si="88"/>
        <v/>
      </c>
    </row>
    <row r="732" spans="1:33" x14ac:dyDescent="0.25">
      <c r="A732" s="46" t="str">
        <f>IF(ISBLANK(inbound_data[[#This Row],[Receiving Report ref.'#]]),"",IF(inbound_data[[#This Row],[Ending Quantity]]=0,"ZERO","INV"))</f>
        <v/>
      </c>
      <c r="B732" s="165" t="str">
        <f t="shared" si="82"/>
        <v/>
      </c>
      <c r="C732" s="165" t="str">
        <f>IF(ISBLANK(D732),"",inbound_data[[#This Row],[Pallet_Series]]&amp;inbound_data[[#This Row],[No.]])</f>
        <v/>
      </c>
      <c r="D732" s="54"/>
      <c r="E732" s="55"/>
      <c r="F732" s="56"/>
      <c r="G732" s="57"/>
      <c r="H732" s="53"/>
      <c r="I732" s="53"/>
      <c r="J732" s="55"/>
      <c r="K732" s="58"/>
      <c r="L732" s="59"/>
      <c r="M732" s="55"/>
      <c r="N732" s="60"/>
      <c r="O732" s="60"/>
      <c r="P732" s="165" t="str">
        <f t="shared" ca="1" si="83"/>
        <v/>
      </c>
      <c r="Q732" s="165" t="str">
        <f t="shared" ca="1" si="84"/>
        <v/>
      </c>
      <c r="R732" s="79"/>
      <c r="S732" s="80"/>
      <c r="T732" s="61">
        <f t="shared" si="85"/>
        <v>0</v>
      </c>
      <c r="U732" s="61">
        <f t="shared" si="86"/>
        <v>0</v>
      </c>
      <c r="V732" s="61">
        <f t="shared" si="87"/>
        <v>0</v>
      </c>
      <c r="W732" s="58"/>
      <c r="X732" s="58"/>
      <c r="Y732" s="53"/>
      <c r="Z732" s="57"/>
      <c r="AA732" s="62"/>
      <c r="AB732" s="62"/>
      <c r="AC732" s="62"/>
      <c r="AD732" s="62"/>
      <c r="AE732" s="62"/>
      <c r="AF732" s="63"/>
      <c r="AG732" s="64" t="str">
        <f t="shared" si="88"/>
        <v/>
      </c>
    </row>
    <row r="733" spans="1:33" x14ac:dyDescent="0.25">
      <c r="A733" s="46" t="str">
        <f>IF(ISBLANK(inbound_data[[#This Row],[Receiving Report ref.'#]]),"",IF(inbound_data[[#This Row],[Ending Quantity]]=0,"ZERO","INV"))</f>
        <v/>
      </c>
      <c r="B733" s="165" t="str">
        <f t="shared" si="82"/>
        <v/>
      </c>
      <c r="C733" s="165" t="str">
        <f>IF(ISBLANK(D733),"",inbound_data[[#This Row],[Pallet_Series]]&amp;inbound_data[[#This Row],[No.]])</f>
        <v/>
      </c>
      <c r="D733" s="54"/>
      <c r="E733" s="55"/>
      <c r="F733" s="56"/>
      <c r="G733" s="57"/>
      <c r="H733" s="53"/>
      <c r="I733" s="53"/>
      <c r="J733" s="55"/>
      <c r="K733" s="58"/>
      <c r="L733" s="59"/>
      <c r="M733" s="55"/>
      <c r="N733" s="60"/>
      <c r="O733" s="60"/>
      <c r="P733" s="165" t="str">
        <f t="shared" ca="1" si="83"/>
        <v/>
      </c>
      <c r="Q733" s="165" t="str">
        <f t="shared" ca="1" si="84"/>
        <v/>
      </c>
      <c r="R733" s="79"/>
      <c r="S733" s="80"/>
      <c r="T733" s="61">
        <f t="shared" si="85"/>
        <v>0</v>
      </c>
      <c r="U733" s="61">
        <f t="shared" si="86"/>
        <v>0</v>
      </c>
      <c r="V733" s="61">
        <f t="shared" si="87"/>
        <v>0</v>
      </c>
      <c r="W733" s="58"/>
      <c r="X733" s="58"/>
      <c r="Y733" s="53"/>
      <c r="Z733" s="57"/>
      <c r="AA733" s="62"/>
      <c r="AB733" s="62"/>
      <c r="AC733" s="62"/>
      <c r="AD733" s="62"/>
      <c r="AE733" s="62"/>
      <c r="AF733" s="63"/>
      <c r="AG733" s="64" t="str">
        <f t="shared" si="88"/>
        <v/>
      </c>
    </row>
    <row r="734" spans="1:33" x14ac:dyDescent="0.25">
      <c r="A734" s="46" t="str">
        <f>IF(ISBLANK(inbound_data[[#This Row],[Receiving Report ref.'#]]),"",IF(inbound_data[[#This Row],[Ending Quantity]]=0,"ZERO","INV"))</f>
        <v/>
      </c>
      <c r="B734" s="165" t="str">
        <f t="shared" si="82"/>
        <v/>
      </c>
      <c r="C734" s="165" t="str">
        <f>IF(ISBLANK(D734),"",inbound_data[[#This Row],[Pallet_Series]]&amp;inbound_data[[#This Row],[No.]])</f>
        <v/>
      </c>
      <c r="D734" s="54"/>
      <c r="E734" s="55"/>
      <c r="F734" s="56"/>
      <c r="G734" s="57"/>
      <c r="H734" s="53"/>
      <c r="I734" s="53"/>
      <c r="J734" s="55"/>
      <c r="K734" s="58"/>
      <c r="L734" s="59"/>
      <c r="M734" s="55"/>
      <c r="N734" s="60"/>
      <c r="O734" s="60"/>
      <c r="P734" s="165" t="str">
        <f t="shared" ca="1" si="83"/>
        <v/>
      </c>
      <c r="Q734" s="165" t="str">
        <f t="shared" ca="1" si="84"/>
        <v/>
      </c>
      <c r="R734" s="79"/>
      <c r="S734" s="80"/>
      <c r="T734" s="61">
        <f t="shared" si="85"/>
        <v>0</v>
      </c>
      <c r="U734" s="61">
        <f t="shared" si="86"/>
        <v>0</v>
      </c>
      <c r="V734" s="61">
        <f t="shared" si="87"/>
        <v>0</v>
      </c>
      <c r="W734" s="58"/>
      <c r="X734" s="58"/>
      <c r="Y734" s="53"/>
      <c r="Z734" s="57"/>
      <c r="AA734" s="62"/>
      <c r="AB734" s="62"/>
      <c r="AC734" s="62"/>
      <c r="AD734" s="62"/>
      <c r="AE734" s="62"/>
      <c r="AF734" s="63"/>
      <c r="AG734" s="64" t="str">
        <f t="shared" si="88"/>
        <v/>
      </c>
    </row>
    <row r="735" spans="1:33" x14ac:dyDescent="0.25">
      <c r="A735" s="46" t="str">
        <f>IF(ISBLANK(inbound_data[[#This Row],[Receiving Report ref.'#]]),"",IF(inbound_data[[#This Row],[Ending Quantity]]=0,"ZERO","INV"))</f>
        <v/>
      </c>
      <c r="B735" s="165" t="str">
        <f t="shared" si="82"/>
        <v/>
      </c>
      <c r="C735" s="165" t="str">
        <f>IF(ISBLANK(D735),"",inbound_data[[#This Row],[Pallet_Series]]&amp;inbound_data[[#This Row],[No.]])</f>
        <v/>
      </c>
      <c r="D735" s="54"/>
      <c r="E735" s="55"/>
      <c r="F735" s="56"/>
      <c r="G735" s="57"/>
      <c r="H735" s="53"/>
      <c r="I735" s="53"/>
      <c r="J735" s="55"/>
      <c r="K735" s="58"/>
      <c r="L735" s="59"/>
      <c r="M735" s="55"/>
      <c r="N735" s="60"/>
      <c r="O735" s="60"/>
      <c r="P735" s="165" t="str">
        <f t="shared" ca="1" si="83"/>
        <v/>
      </c>
      <c r="Q735" s="165" t="str">
        <f t="shared" ca="1" si="84"/>
        <v/>
      </c>
      <c r="R735" s="79"/>
      <c r="S735" s="80"/>
      <c r="T735" s="61">
        <f t="shared" si="85"/>
        <v>0</v>
      </c>
      <c r="U735" s="61">
        <f t="shared" si="86"/>
        <v>0</v>
      </c>
      <c r="V735" s="61">
        <f t="shared" si="87"/>
        <v>0</v>
      </c>
      <c r="W735" s="58"/>
      <c r="X735" s="58"/>
      <c r="Y735" s="53"/>
      <c r="Z735" s="57"/>
      <c r="AA735" s="62"/>
      <c r="AB735" s="62"/>
      <c r="AC735" s="62"/>
      <c r="AD735" s="62"/>
      <c r="AE735" s="62"/>
      <c r="AF735" s="63"/>
      <c r="AG735" s="64" t="str">
        <f t="shared" si="88"/>
        <v/>
      </c>
    </row>
    <row r="736" spans="1:33" x14ac:dyDescent="0.25">
      <c r="A736" s="46" t="str">
        <f>IF(ISBLANK(inbound_data[[#This Row],[Receiving Report ref.'#]]),"",IF(inbound_data[[#This Row],[Ending Quantity]]=0,"ZERO","INV"))</f>
        <v/>
      </c>
      <c r="B736" s="165" t="str">
        <f t="shared" si="82"/>
        <v/>
      </c>
      <c r="C736" s="165" t="str">
        <f>IF(ISBLANK(D736),"",inbound_data[[#This Row],[Pallet_Series]]&amp;inbound_data[[#This Row],[No.]])</f>
        <v/>
      </c>
      <c r="D736" s="54"/>
      <c r="E736" s="55"/>
      <c r="F736" s="56"/>
      <c r="G736" s="57"/>
      <c r="H736" s="53"/>
      <c r="I736" s="53"/>
      <c r="J736" s="55"/>
      <c r="K736" s="58"/>
      <c r="L736" s="59"/>
      <c r="M736" s="55"/>
      <c r="N736" s="60"/>
      <c r="O736" s="60"/>
      <c r="P736" s="165" t="str">
        <f t="shared" ca="1" si="83"/>
        <v/>
      </c>
      <c r="Q736" s="165" t="str">
        <f t="shared" ca="1" si="84"/>
        <v/>
      </c>
      <c r="R736" s="79"/>
      <c r="S736" s="80"/>
      <c r="T736" s="61">
        <f t="shared" si="85"/>
        <v>0</v>
      </c>
      <c r="U736" s="61">
        <f t="shared" si="86"/>
        <v>0</v>
      </c>
      <c r="V736" s="61">
        <f t="shared" si="87"/>
        <v>0</v>
      </c>
      <c r="W736" s="58"/>
      <c r="X736" s="58"/>
      <c r="Y736" s="53"/>
      <c r="Z736" s="57"/>
      <c r="AA736" s="62"/>
      <c r="AB736" s="62"/>
      <c r="AC736" s="62"/>
      <c r="AD736" s="62"/>
      <c r="AE736" s="62"/>
      <c r="AF736" s="63"/>
      <c r="AG736" s="64" t="str">
        <f t="shared" si="88"/>
        <v/>
      </c>
    </row>
    <row r="737" spans="1:33" x14ac:dyDescent="0.25">
      <c r="A737" s="46" t="str">
        <f>IF(ISBLANK(inbound_data[[#This Row],[Receiving Report ref.'#]]),"",IF(inbound_data[[#This Row],[Ending Quantity]]=0,"ZERO","INV"))</f>
        <v/>
      </c>
      <c r="B737" s="165" t="str">
        <f t="shared" si="82"/>
        <v/>
      </c>
      <c r="C737" s="165" t="str">
        <f>IF(ISBLANK(D737),"",inbound_data[[#This Row],[Pallet_Series]]&amp;inbound_data[[#This Row],[No.]])</f>
        <v/>
      </c>
      <c r="D737" s="54"/>
      <c r="E737" s="55"/>
      <c r="F737" s="56"/>
      <c r="G737" s="57"/>
      <c r="H737" s="53"/>
      <c r="I737" s="53"/>
      <c r="J737" s="55"/>
      <c r="K737" s="58"/>
      <c r="L737" s="59"/>
      <c r="M737" s="55"/>
      <c r="N737" s="60"/>
      <c r="O737" s="60"/>
      <c r="P737" s="165" t="str">
        <f t="shared" ca="1" si="83"/>
        <v/>
      </c>
      <c r="Q737" s="165" t="str">
        <f t="shared" ca="1" si="84"/>
        <v/>
      </c>
      <c r="R737" s="79"/>
      <c r="S737" s="80"/>
      <c r="T737" s="61">
        <f t="shared" si="85"/>
        <v>0</v>
      </c>
      <c r="U737" s="61">
        <f t="shared" si="86"/>
        <v>0</v>
      </c>
      <c r="V737" s="61">
        <f t="shared" si="87"/>
        <v>0</v>
      </c>
      <c r="W737" s="58"/>
      <c r="X737" s="58"/>
      <c r="Y737" s="53"/>
      <c r="Z737" s="57"/>
      <c r="AA737" s="62"/>
      <c r="AB737" s="62"/>
      <c r="AC737" s="62"/>
      <c r="AD737" s="62"/>
      <c r="AE737" s="62"/>
      <c r="AF737" s="63"/>
      <c r="AG737" s="64" t="str">
        <f t="shared" si="88"/>
        <v/>
      </c>
    </row>
    <row r="738" spans="1:33" x14ac:dyDescent="0.25">
      <c r="A738" s="46" t="str">
        <f>IF(ISBLANK(inbound_data[[#This Row],[Receiving Report ref.'#]]),"",IF(inbound_data[[#This Row],[Ending Quantity]]=0,"ZERO","INV"))</f>
        <v/>
      </c>
      <c r="B738" s="165" t="str">
        <f t="shared" si="82"/>
        <v/>
      </c>
      <c r="C738" s="165" t="str">
        <f>IF(ISBLANK(D738),"",inbound_data[[#This Row],[Pallet_Series]]&amp;inbound_data[[#This Row],[No.]])</f>
        <v/>
      </c>
      <c r="D738" s="54"/>
      <c r="E738" s="55"/>
      <c r="F738" s="56"/>
      <c r="G738" s="57"/>
      <c r="H738" s="53"/>
      <c r="I738" s="53"/>
      <c r="J738" s="55"/>
      <c r="K738" s="58"/>
      <c r="L738" s="59"/>
      <c r="M738" s="55"/>
      <c r="N738" s="60"/>
      <c r="O738" s="60"/>
      <c r="P738" s="165" t="str">
        <f t="shared" ca="1" si="83"/>
        <v/>
      </c>
      <c r="Q738" s="165" t="str">
        <f t="shared" ca="1" si="84"/>
        <v/>
      </c>
      <c r="R738" s="79"/>
      <c r="S738" s="80"/>
      <c r="T738" s="61">
        <f t="shared" si="85"/>
        <v>0</v>
      </c>
      <c r="U738" s="61">
        <f t="shared" si="86"/>
        <v>0</v>
      </c>
      <c r="V738" s="61">
        <f t="shared" si="87"/>
        <v>0</v>
      </c>
      <c r="W738" s="58"/>
      <c r="X738" s="58"/>
      <c r="Y738" s="53"/>
      <c r="Z738" s="57"/>
      <c r="AA738" s="62"/>
      <c r="AB738" s="62"/>
      <c r="AC738" s="62"/>
      <c r="AD738" s="62"/>
      <c r="AE738" s="62"/>
      <c r="AF738" s="63"/>
      <c r="AG738" s="64" t="str">
        <f t="shared" si="88"/>
        <v/>
      </c>
    </row>
    <row r="739" spans="1:33" x14ac:dyDescent="0.25">
      <c r="A739" s="46" t="str">
        <f>IF(ISBLANK(inbound_data[[#This Row],[Receiving Report ref.'#]]),"",IF(inbound_data[[#This Row],[Ending Quantity]]=0,"ZERO","INV"))</f>
        <v/>
      </c>
      <c r="B739" s="165" t="str">
        <f t="shared" si="82"/>
        <v/>
      </c>
      <c r="C739" s="165" t="str">
        <f>IF(ISBLANK(D739),"",inbound_data[[#This Row],[Pallet_Series]]&amp;inbound_data[[#This Row],[No.]])</f>
        <v/>
      </c>
      <c r="D739" s="54"/>
      <c r="E739" s="55"/>
      <c r="F739" s="56"/>
      <c r="G739" s="57"/>
      <c r="H739" s="53"/>
      <c r="I739" s="53"/>
      <c r="J739" s="55"/>
      <c r="K739" s="58"/>
      <c r="L739" s="59"/>
      <c r="M739" s="55"/>
      <c r="N739" s="60"/>
      <c r="O739" s="60"/>
      <c r="P739" s="165" t="str">
        <f t="shared" ca="1" si="83"/>
        <v/>
      </c>
      <c r="Q739" s="165" t="str">
        <f t="shared" ca="1" si="84"/>
        <v/>
      </c>
      <c r="R739" s="79"/>
      <c r="S739" s="80"/>
      <c r="T739" s="61">
        <f t="shared" si="85"/>
        <v>0</v>
      </c>
      <c r="U739" s="61">
        <f t="shared" si="86"/>
        <v>0</v>
      </c>
      <c r="V739" s="61">
        <f t="shared" si="87"/>
        <v>0</v>
      </c>
      <c r="W739" s="58"/>
      <c r="X739" s="58"/>
      <c r="Y739" s="53"/>
      <c r="Z739" s="57"/>
      <c r="AA739" s="62"/>
      <c r="AB739" s="62"/>
      <c r="AC739" s="62"/>
      <c r="AD739" s="62"/>
      <c r="AE739" s="62"/>
      <c r="AF739" s="63"/>
      <c r="AG739" s="64" t="str">
        <f t="shared" si="88"/>
        <v/>
      </c>
    </row>
    <row r="740" spans="1:33" x14ac:dyDescent="0.25">
      <c r="A740" s="46" t="str">
        <f>IF(ISBLANK(inbound_data[[#This Row],[Receiving Report ref.'#]]),"",IF(inbound_data[[#This Row],[Ending Quantity]]=0,"ZERO","INV"))</f>
        <v/>
      </c>
      <c r="B740" s="165" t="str">
        <f t="shared" si="82"/>
        <v/>
      </c>
      <c r="C740" s="165" t="str">
        <f>IF(ISBLANK(D740),"",inbound_data[[#This Row],[Pallet_Series]]&amp;inbound_data[[#This Row],[No.]])</f>
        <v/>
      </c>
      <c r="D740" s="54"/>
      <c r="E740" s="55"/>
      <c r="F740" s="56"/>
      <c r="G740" s="57"/>
      <c r="H740" s="53"/>
      <c r="I740" s="53"/>
      <c r="J740" s="55"/>
      <c r="K740" s="58"/>
      <c r="L740" s="59"/>
      <c r="M740" s="55"/>
      <c r="N740" s="60"/>
      <c r="O740" s="60"/>
      <c r="P740" s="165" t="str">
        <f t="shared" ca="1" si="83"/>
        <v/>
      </c>
      <c r="Q740" s="165" t="str">
        <f t="shared" ca="1" si="84"/>
        <v/>
      </c>
      <c r="R740" s="79"/>
      <c r="S740" s="80"/>
      <c r="T740" s="61">
        <f t="shared" si="85"/>
        <v>0</v>
      </c>
      <c r="U740" s="61">
        <f t="shared" si="86"/>
        <v>0</v>
      </c>
      <c r="V740" s="61">
        <f t="shared" si="87"/>
        <v>0</v>
      </c>
      <c r="W740" s="58"/>
      <c r="X740" s="58"/>
      <c r="Y740" s="53"/>
      <c r="Z740" s="57"/>
      <c r="AA740" s="62"/>
      <c r="AB740" s="62"/>
      <c r="AC740" s="62"/>
      <c r="AD740" s="62"/>
      <c r="AE740" s="62"/>
      <c r="AF740" s="63"/>
      <c r="AG740" s="64" t="str">
        <f t="shared" si="88"/>
        <v/>
      </c>
    </row>
    <row r="741" spans="1:33" x14ac:dyDescent="0.25">
      <c r="A741" s="46" t="str">
        <f>IF(ISBLANK(inbound_data[[#This Row],[Receiving Report ref.'#]]),"",IF(inbound_data[[#This Row],[Ending Quantity]]=0,"ZERO","INV"))</f>
        <v/>
      </c>
      <c r="B741" s="165" t="str">
        <f t="shared" si="82"/>
        <v/>
      </c>
      <c r="C741" s="165" t="str">
        <f>IF(ISBLANK(D741),"",inbound_data[[#This Row],[Pallet_Series]]&amp;inbound_data[[#This Row],[No.]])</f>
        <v/>
      </c>
      <c r="D741" s="54"/>
      <c r="E741" s="55"/>
      <c r="F741" s="56"/>
      <c r="G741" s="57"/>
      <c r="H741" s="53"/>
      <c r="I741" s="53"/>
      <c r="J741" s="55"/>
      <c r="K741" s="58"/>
      <c r="L741" s="59"/>
      <c r="M741" s="55"/>
      <c r="N741" s="60"/>
      <c r="O741" s="60"/>
      <c r="P741" s="165" t="str">
        <f t="shared" ca="1" si="83"/>
        <v/>
      </c>
      <c r="Q741" s="165" t="str">
        <f t="shared" ca="1" si="84"/>
        <v/>
      </c>
      <c r="R741" s="79"/>
      <c r="S741" s="80"/>
      <c r="T741" s="61">
        <f t="shared" si="85"/>
        <v>0</v>
      </c>
      <c r="U741" s="61">
        <f t="shared" si="86"/>
        <v>0</v>
      </c>
      <c r="V741" s="61">
        <f t="shared" si="87"/>
        <v>0</v>
      </c>
      <c r="W741" s="58"/>
      <c r="X741" s="58"/>
      <c r="Y741" s="53"/>
      <c r="Z741" s="57"/>
      <c r="AA741" s="62"/>
      <c r="AB741" s="62"/>
      <c r="AC741" s="62"/>
      <c r="AD741" s="62"/>
      <c r="AE741" s="62"/>
      <c r="AF741" s="63"/>
      <c r="AG741" s="64" t="str">
        <f t="shared" si="88"/>
        <v/>
      </c>
    </row>
    <row r="742" spans="1:33" x14ac:dyDescent="0.25">
      <c r="A742" s="46" t="str">
        <f>IF(ISBLANK(inbound_data[[#This Row],[Receiving Report ref.'#]]),"",IF(inbound_data[[#This Row],[Ending Quantity]]=0,"ZERO","INV"))</f>
        <v/>
      </c>
      <c r="B742" s="165" t="str">
        <f t="shared" si="82"/>
        <v/>
      </c>
      <c r="C742" s="165" t="str">
        <f>IF(ISBLANK(D742),"",inbound_data[[#This Row],[Pallet_Series]]&amp;inbound_data[[#This Row],[No.]])</f>
        <v/>
      </c>
      <c r="D742" s="54"/>
      <c r="E742" s="55"/>
      <c r="F742" s="56"/>
      <c r="G742" s="57"/>
      <c r="H742" s="53"/>
      <c r="I742" s="53"/>
      <c r="J742" s="55"/>
      <c r="K742" s="58"/>
      <c r="L742" s="59"/>
      <c r="M742" s="55"/>
      <c r="N742" s="60"/>
      <c r="O742" s="60"/>
      <c r="P742" s="165" t="str">
        <f t="shared" ca="1" si="83"/>
        <v/>
      </c>
      <c r="Q742" s="165" t="str">
        <f t="shared" ca="1" si="84"/>
        <v/>
      </c>
      <c r="R742" s="79"/>
      <c r="S742" s="80"/>
      <c r="T742" s="61">
        <f t="shared" si="85"/>
        <v>0</v>
      </c>
      <c r="U742" s="61">
        <f t="shared" si="86"/>
        <v>0</v>
      </c>
      <c r="V742" s="61">
        <f t="shared" si="87"/>
        <v>0</v>
      </c>
      <c r="W742" s="58"/>
      <c r="X742" s="58"/>
      <c r="Y742" s="53"/>
      <c r="Z742" s="57"/>
      <c r="AA742" s="62"/>
      <c r="AB742" s="62"/>
      <c r="AC742" s="62"/>
      <c r="AD742" s="62"/>
      <c r="AE742" s="62"/>
      <c r="AF742" s="63"/>
      <c r="AG742" s="64" t="str">
        <f t="shared" si="88"/>
        <v/>
      </c>
    </row>
    <row r="743" spans="1:33" x14ac:dyDescent="0.25">
      <c r="A743" s="46" t="str">
        <f>IF(ISBLANK(inbound_data[[#This Row],[Receiving Report ref.'#]]),"",IF(inbound_data[[#This Row],[Ending Quantity]]=0,"ZERO","INV"))</f>
        <v/>
      </c>
      <c r="B743" s="165" t="str">
        <f t="shared" si="82"/>
        <v/>
      </c>
      <c r="C743" s="165" t="str">
        <f>IF(ISBLANK(D743),"",inbound_data[[#This Row],[Pallet_Series]]&amp;inbound_data[[#This Row],[No.]])</f>
        <v/>
      </c>
      <c r="D743" s="54"/>
      <c r="E743" s="55"/>
      <c r="F743" s="56"/>
      <c r="G743" s="57"/>
      <c r="H743" s="53"/>
      <c r="I743" s="53"/>
      <c r="J743" s="55"/>
      <c r="K743" s="58"/>
      <c r="L743" s="59"/>
      <c r="M743" s="55"/>
      <c r="N743" s="60"/>
      <c r="O743" s="60"/>
      <c r="P743" s="165" t="str">
        <f t="shared" ca="1" si="83"/>
        <v/>
      </c>
      <c r="Q743" s="165" t="str">
        <f t="shared" ca="1" si="84"/>
        <v/>
      </c>
      <c r="R743" s="79"/>
      <c r="S743" s="80"/>
      <c r="T743" s="61">
        <f t="shared" si="85"/>
        <v>0</v>
      </c>
      <c r="U743" s="61">
        <f t="shared" si="86"/>
        <v>0</v>
      </c>
      <c r="V743" s="61">
        <f t="shared" si="87"/>
        <v>0</v>
      </c>
      <c r="W743" s="58"/>
      <c r="X743" s="58"/>
      <c r="Y743" s="53"/>
      <c r="Z743" s="57"/>
      <c r="AA743" s="62"/>
      <c r="AB743" s="62"/>
      <c r="AC743" s="62"/>
      <c r="AD743" s="62"/>
      <c r="AE743" s="62"/>
      <c r="AF743" s="63"/>
      <c r="AG743" s="64" t="str">
        <f t="shared" si="88"/>
        <v/>
      </c>
    </row>
    <row r="744" spans="1:33" x14ac:dyDescent="0.25">
      <c r="A744" s="46" t="str">
        <f>IF(ISBLANK(inbound_data[[#This Row],[Receiving Report ref.'#]]),"",IF(inbound_data[[#This Row],[Ending Quantity]]=0,"ZERO","INV"))</f>
        <v/>
      </c>
      <c r="B744" s="165" t="str">
        <f t="shared" si="82"/>
        <v/>
      </c>
      <c r="C744" s="165" t="str">
        <f>IF(ISBLANK(D744),"",inbound_data[[#This Row],[Pallet_Series]]&amp;inbound_data[[#This Row],[No.]])</f>
        <v/>
      </c>
      <c r="D744" s="54"/>
      <c r="E744" s="55"/>
      <c r="F744" s="56"/>
      <c r="G744" s="57"/>
      <c r="H744" s="53"/>
      <c r="I744" s="53"/>
      <c r="J744" s="55"/>
      <c r="K744" s="58"/>
      <c r="L744" s="59"/>
      <c r="M744" s="55"/>
      <c r="N744" s="60"/>
      <c r="O744" s="60"/>
      <c r="P744" s="165" t="str">
        <f t="shared" ca="1" si="83"/>
        <v/>
      </c>
      <c r="Q744" s="165" t="str">
        <f t="shared" ca="1" si="84"/>
        <v/>
      </c>
      <c r="R744" s="79"/>
      <c r="S744" s="80"/>
      <c r="T744" s="61">
        <f t="shared" si="85"/>
        <v>0</v>
      </c>
      <c r="U744" s="61">
        <f t="shared" si="86"/>
        <v>0</v>
      </c>
      <c r="V744" s="61">
        <f t="shared" si="87"/>
        <v>0</v>
      </c>
      <c r="W744" s="58"/>
      <c r="X744" s="58"/>
      <c r="Y744" s="53"/>
      <c r="Z744" s="57"/>
      <c r="AA744" s="62"/>
      <c r="AB744" s="62"/>
      <c r="AC744" s="62"/>
      <c r="AD744" s="62"/>
      <c r="AE744" s="62"/>
      <c r="AF744" s="63"/>
      <c r="AG744" s="64" t="str">
        <f t="shared" si="88"/>
        <v/>
      </c>
    </row>
    <row r="745" spans="1:33" x14ac:dyDescent="0.25">
      <c r="A745" s="46" t="str">
        <f>IF(ISBLANK(inbound_data[[#This Row],[Receiving Report ref.'#]]),"",IF(inbound_data[[#This Row],[Ending Quantity]]=0,"ZERO","INV"))</f>
        <v/>
      </c>
      <c r="B745" s="165" t="str">
        <f t="shared" si="82"/>
        <v/>
      </c>
      <c r="C745" s="165" t="str">
        <f>IF(ISBLANK(D745),"",inbound_data[[#This Row],[Pallet_Series]]&amp;inbound_data[[#This Row],[No.]])</f>
        <v/>
      </c>
      <c r="D745" s="54"/>
      <c r="E745" s="55"/>
      <c r="F745" s="56"/>
      <c r="G745" s="57"/>
      <c r="H745" s="53"/>
      <c r="I745" s="53"/>
      <c r="J745" s="55"/>
      <c r="K745" s="58"/>
      <c r="L745" s="59"/>
      <c r="M745" s="55"/>
      <c r="N745" s="60"/>
      <c r="O745" s="60"/>
      <c r="P745" s="165" t="str">
        <f t="shared" ca="1" si="83"/>
        <v/>
      </c>
      <c r="Q745" s="165" t="str">
        <f t="shared" ca="1" si="84"/>
        <v/>
      </c>
      <c r="R745" s="79"/>
      <c r="S745" s="80"/>
      <c r="T745" s="61">
        <f t="shared" si="85"/>
        <v>0</v>
      </c>
      <c r="U745" s="61">
        <f t="shared" si="86"/>
        <v>0</v>
      </c>
      <c r="V745" s="61">
        <f t="shared" si="87"/>
        <v>0</v>
      </c>
      <c r="W745" s="58"/>
      <c r="X745" s="58"/>
      <c r="Y745" s="53"/>
      <c r="Z745" s="57"/>
      <c r="AA745" s="62"/>
      <c r="AB745" s="62"/>
      <c r="AC745" s="62"/>
      <c r="AD745" s="62"/>
      <c r="AE745" s="62"/>
      <c r="AF745" s="63"/>
      <c r="AG745" s="64" t="str">
        <f t="shared" si="88"/>
        <v/>
      </c>
    </row>
    <row r="746" spans="1:33" x14ac:dyDescent="0.25">
      <c r="A746" s="46" t="str">
        <f>IF(ISBLANK(inbound_data[[#This Row],[Receiving Report ref.'#]]),"",IF(inbound_data[[#This Row],[Ending Quantity]]=0,"ZERO","INV"))</f>
        <v/>
      </c>
      <c r="B746" s="165" t="str">
        <f t="shared" si="82"/>
        <v/>
      </c>
      <c r="C746" s="165" t="str">
        <f>IF(ISBLANK(D746),"",inbound_data[[#This Row],[Pallet_Series]]&amp;inbound_data[[#This Row],[No.]])</f>
        <v/>
      </c>
      <c r="D746" s="54"/>
      <c r="E746" s="55"/>
      <c r="F746" s="56"/>
      <c r="G746" s="57"/>
      <c r="H746" s="53"/>
      <c r="I746" s="53"/>
      <c r="J746" s="55"/>
      <c r="K746" s="58"/>
      <c r="L746" s="59"/>
      <c r="M746" s="55"/>
      <c r="N746" s="60"/>
      <c r="O746" s="60"/>
      <c r="P746" s="165" t="str">
        <f t="shared" ca="1" si="83"/>
        <v/>
      </c>
      <c r="Q746" s="165" t="str">
        <f t="shared" ca="1" si="84"/>
        <v/>
      </c>
      <c r="R746" s="79"/>
      <c r="S746" s="80"/>
      <c r="T746" s="61">
        <f t="shared" si="85"/>
        <v>0</v>
      </c>
      <c r="U746" s="61">
        <f t="shared" si="86"/>
        <v>0</v>
      </c>
      <c r="V746" s="61">
        <f t="shared" si="87"/>
        <v>0</v>
      </c>
      <c r="W746" s="58"/>
      <c r="X746" s="58"/>
      <c r="Y746" s="53"/>
      <c r="Z746" s="57"/>
      <c r="AA746" s="62"/>
      <c r="AB746" s="62"/>
      <c r="AC746" s="62"/>
      <c r="AD746" s="62"/>
      <c r="AE746" s="62"/>
      <c r="AF746" s="63"/>
      <c r="AG746" s="64" t="str">
        <f t="shared" si="88"/>
        <v/>
      </c>
    </row>
    <row r="747" spans="1:33" x14ac:dyDescent="0.25">
      <c r="A747" s="46" t="str">
        <f>IF(ISBLANK(inbound_data[[#This Row],[Receiving Report ref.'#]]),"",IF(inbound_data[[#This Row],[Ending Quantity]]=0,"ZERO","INV"))</f>
        <v/>
      </c>
      <c r="B747" s="165" t="str">
        <f t="shared" si="82"/>
        <v/>
      </c>
      <c r="C747" s="165" t="str">
        <f>IF(ISBLANK(D747),"",inbound_data[[#This Row],[Pallet_Series]]&amp;inbound_data[[#This Row],[No.]])</f>
        <v/>
      </c>
      <c r="D747" s="54"/>
      <c r="E747" s="55"/>
      <c r="F747" s="56"/>
      <c r="G747" s="57"/>
      <c r="H747" s="53"/>
      <c r="I747" s="53"/>
      <c r="J747" s="55"/>
      <c r="K747" s="58"/>
      <c r="L747" s="59"/>
      <c r="M747" s="55"/>
      <c r="N747" s="60"/>
      <c r="O747" s="60"/>
      <c r="P747" s="165" t="str">
        <f t="shared" ca="1" si="83"/>
        <v/>
      </c>
      <c r="Q747" s="165" t="str">
        <f t="shared" ca="1" si="84"/>
        <v/>
      </c>
      <c r="R747" s="79"/>
      <c r="S747" s="80"/>
      <c r="T747" s="61">
        <f t="shared" si="85"/>
        <v>0</v>
      </c>
      <c r="U747" s="61">
        <f t="shared" si="86"/>
        <v>0</v>
      </c>
      <c r="V747" s="61">
        <f t="shared" si="87"/>
        <v>0</v>
      </c>
      <c r="W747" s="58"/>
      <c r="X747" s="58"/>
      <c r="Y747" s="53"/>
      <c r="Z747" s="57"/>
      <c r="AA747" s="62"/>
      <c r="AB747" s="62"/>
      <c r="AC747" s="62"/>
      <c r="AD747" s="62"/>
      <c r="AE747" s="62"/>
      <c r="AF747" s="63"/>
      <c r="AG747" s="64" t="str">
        <f t="shared" si="88"/>
        <v/>
      </c>
    </row>
    <row r="748" spans="1:33" x14ac:dyDescent="0.25">
      <c r="A748" s="46" t="str">
        <f>IF(ISBLANK(inbound_data[[#This Row],[Receiving Report ref.'#]]),"",IF(inbound_data[[#This Row],[Ending Quantity]]=0,"ZERO","INV"))</f>
        <v/>
      </c>
      <c r="B748" s="165" t="str">
        <f t="shared" si="82"/>
        <v/>
      </c>
      <c r="C748" s="165" t="str">
        <f>IF(ISBLANK(D748),"",inbound_data[[#This Row],[Pallet_Series]]&amp;inbound_data[[#This Row],[No.]])</f>
        <v/>
      </c>
      <c r="D748" s="54"/>
      <c r="E748" s="55"/>
      <c r="F748" s="56"/>
      <c r="G748" s="57"/>
      <c r="H748" s="53"/>
      <c r="I748" s="53"/>
      <c r="J748" s="55"/>
      <c r="K748" s="58"/>
      <c r="L748" s="59"/>
      <c r="M748" s="55"/>
      <c r="N748" s="60"/>
      <c r="O748" s="60"/>
      <c r="P748" s="165" t="str">
        <f t="shared" ca="1" si="83"/>
        <v/>
      </c>
      <c r="Q748" s="165" t="str">
        <f t="shared" ca="1" si="84"/>
        <v/>
      </c>
      <c r="R748" s="79"/>
      <c r="S748" s="80"/>
      <c r="T748" s="61">
        <f t="shared" si="85"/>
        <v>0</v>
      </c>
      <c r="U748" s="61">
        <f t="shared" si="86"/>
        <v>0</v>
      </c>
      <c r="V748" s="61">
        <f t="shared" si="87"/>
        <v>0</v>
      </c>
      <c r="W748" s="58"/>
      <c r="X748" s="58"/>
      <c r="Y748" s="53"/>
      <c r="Z748" s="57"/>
      <c r="AA748" s="62"/>
      <c r="AB748" s="62"/>
      <c r="AC748" s="62"/>
      <c r="AD748" s="62"/>
      <c r="AE748" s="62"/>
      <c r="AF748" s="63"/>
      <c r="AG748" s="64" t="str">
        <f t="shared" si="88"/>
        <v/>
      </c>
    </row>
    <row r="749" spans="1:33" x14ac:dyDescent="0.25">
      <c r="A749" s="46" t="str">
        <f>IF(ISBLANK(inbound_data[[#This Row],[Receiving Report ref.'#]]),"",IF(inbound_data[[#This Row],[Ending Quantity]]=0,"ZERO","INV"))</f>
        <v/>
      </c>
      <c r="B749" s="165" t="str">
        <f t="shared" si="82"/>
        <v/>
      </c>
      <c r="C749" s="165" t="str">
        <f>IF(ISBLANK(D749),"",inbound_data[[#This Row],[Pallet_Series]]&amp;inbound_data[[#This Row],[No.]])</f>
        <v/>
      </c>
      <c r="D749" s="54"/>
      <c r="E749" s="55"/>
      <c r="F749" s="56"/>
      <c r="G749" s="57"/>
      <c r="H749" s="53"/>
      <c r="I749" s="53"/>
      <c r="J749" s="55"/>
      <c r="K749" s="58"/>
      <c r="L749" s="59"/>
      <c r="M749" s="55"/>
      <c r="N749" s="60"/>
      <c r="O749" s="60"/>
      <c r="P749" s="165" t="str">
        <f t="shared" ca="1" si="83"/>
        <v/>
      </c>
      <c r="Q749" s="165" t="str">
        <f t="shared" ca="1" si="84"/>
        <v/>
      </c>
      <c r="R749" s="79"/>
      <c r="S749" s="80"/>
      <c r="T749" s="61">
        <f t="shared" si="85"/>
        <v>0</v>
      </c>
      <c r="U749" s="61">
        <f t="shared" si="86"/>
        <v>0</v>
      </c>
      <c r="V749" s="61">
        <f t="shared" si="87"/>
        <v>0</v>
      </c>
      <c r="W749" s="58"/>
      <c r="X749" s="58"/>
      <c r="Y749" s="53"/>
      <c r="Z749" s="57"/>
      <c r="AA749" s="62"/>
      <c r="AB749" s="62"/>
      <c r="AC749" s="62"/>
      <c r="AD749" s="62"/>
      <c r="AE749" s="62"/>
      <c r="AF749" s="63"/>
      <c r="AG749" s="64" t="str">
        <f t="shared" si="88"/>
        <v/>
      </c>
    </row>
    <row r="750" spans="1:33" x14ac:dyDescent="0.25">
      <c r="A750" s="46" t="str">
        <f>IF(ISBLANK(inbound_data[[#This Row],[Receiving Report ref.'#]]),"",IF(inbound_data[[#This Row],[Ending Quantity]]=0,"ZERO","INV"))</f>
        <v/>
      </c>
      <c r="B750" s="165" t="str">
        <f t="shared" si="82"/>
        <v/>
      </c>
      <c r="C750" s="165" t="str">
        <f>IF(ISBLANK(D750),"",inbound_data[[#This Row],[Pallet_Series]]&amp;inbound_data[[#This Row],[No.]])</f>
        <v/>
      </c>
      <c r="D750" s="54"/>
      <c r="E750" s="55"/>
      <c r="F750" s="56"/>
      <c r="G750" s="57"/>
      <c r="H750" s="53"/>
      <c r="I750" s="53"/>
      <c r="J750" s="55"/>
      <c r="K750" s="58"/>
      <c r="L750" s="59"/>
      <c r="M750" s="55"/>
      <c r="N750" s="60"/>
      <c r="O750" s="60"/>
      <c r="P750" s="165" t="str">
        <f t="shared" ca="1" si="83"/>
        <v/>
      </c>
      <c r="Q750" s="165" t="str">
        <f t="shared" ca="1" si="84"/>
        <v/>
      </c>
      <c r="R750" s="79"/>
      <c r="S750" s="80"/>
      <c r="T750" s="61">
        <f t="shared" si="85"/>
        <v>0</v>
      </c>
      <c r="U750" s="61">
        <f t="shared" si="86"/>
        <v>0</v>
      </c>
      <c r="V750" s="61">
        <f t="shared" si="87"/>
        <v>0</v>
      </c>
      <c r="W750" s="58"/>
      <c r="X750" s="58"/>
      <c r="Y750" s="53"/>
      <c r="Z750" s="57"/>
      <c r="AA750" s="62"/>
      <c r="AB750" s="62"/>
      <c r="AC750" s="62"/>
      <c r="AD750" s="62"/>
      <c r="AE750" s="62"/>
      <c r="AF750" s="63"/>
      <c r="AG750" s="64" t="str">
        <f t="shared" si="88"/>
        <v/>
      </c>
    </row>
    <row r="751" spans="1:33" x14ac:dyDescent="0.25">
      <c r="A751" s="46" t="str">
        <f>IF(ISBLANK(inbound_data[[#This Row],[Receiving Report ref.'#]]),"",IF(inbound_data[[#This Row],[Ending Quantity]]=0,"ZERO","INV"))</f>
        <v/>
      </c>
      <c r="B751" s="165" t="str">
        <f t="shared" si="82"/>
        <v/>
      </c>
      <c r="C751" s="165" t="str">
        <f>IF(ISBLANK(D751),"",inbound_data[[#This Row],[Pallet_Series]]&amp;inbound_data[[#This Row],[No.]])</f>
        <v/>
      </c>
      <c r="D751" s="54"/>
      <c r="E751" s="55"/>
      <c r="F751" s="56"/>
      <c r="G751" s="57"/>
      <c r="H751" s="53"/>
      <c r="I751" s="53"/>
      <c r="J751" s="55"/>
      <c r="K751" s="58"/>
      <c r="L751" s="59"/>
      <c r="M751" s="55"/>
      <c r="N751" s="60"/>
      <c r="O751" s="60"/>
      <c r="P751" s="165" t="str">
        <f t="shared" ca="1" si="83"/>
        <v/>
      </c>
      <c r="Q751" s="165" t="str">
        <f t="shared" ca="1" si="84"/>
        <v/>
      </c>
      <c r="R751" s="79"/>
      <c r="S751" s="80"/>
      <c r="T751" s="61">
        <f t="shared" si="85"/>
        <v>0</v>
      </c>
      <c r="U751" s="61">
        <f t="shared" si="86"/>
        <v>0</v>
      </c>
      <c r="V751" s="61">
        <f t="shared" si="87"/>
        <v>0</v>
      </c>
      <c r="W751" s="58"/>
      <c r="X751" s="58"/>
      <c r="Y751" s="53"/>
      <c r="Z751" s="57"/>
      <c r="AA751" s="62"/>
      <c r="AB751" s="62"/>
      <c r="AC751" s="62"/>
      <c r="AD751" s="62"/>
      <c r="AE751" s="62"/>
      <c r="AF751" s="63"/>
      <c r="AG751" s="64" t="str">
        <f t="shared" si="88"/>
        <v/>
      </c>
    </row>
    <row r="752" spans="1:33" x14ac:dyDescent="0.25">
      <c r="A752" s="46" t="str">
        <f>IF(ISBLANK(inbound_data[[#This Row],[Receiving Report ref.'#]]),"",IF(inbound_data[[#This Row],[Ending Quantity]]=0,"ZERO","INV"))</f>
        <v/>
      </c>
      <c r="B752" s="165" t="str">
        <f t="shared" si="82"/>
        <v/>
      </c>
      <c r="C752" s="165" t="str">
        <f>IF(ISBLANK(D752),"",inbound_data[[#This Row],[Pallet_Series]]&amp;inbound_data[[#This Row],[No.]])</f>
        <v/>
      </c>
      <c r="D752" s="54"/>
      <c r="E752" s="55"/>
      <c r="F752" s="56"/>
      <c r="G752" s="57"/>
      <c r="H752" s="53"/>
      <c r="I752" s="53"/>
      <c r="J752" s="55"/>
      <c r="K752" s="58"/>
      <c r="L752" s="59"/>
      <c r="M752" s="55"/>
      <c r="N752" s="60"/>
      <c r="O752" s="60"/>
      <c r="P752" s="165" t="str">
        <f t="shared" ca="1" si="83"/>
        <v/>
      </c>
      <c r="Q752" s="165" t="str">
        <f t="shared" ca="1" si="84"/>
        <v/>
      </c>
      <c r="R752" s="79"/>
      <c r="S752" s="80"/>
      <c r="T752" s="61">
        <f t="shared" si="85"/>
        <v>0</v>
      </c>
      <c r="U752" s="61">
        <f t="shared" si="86"/>
        <v>0</v>
      </c>
      <c r="V752" s="61">
        <f t="shared" si="87"/>
        <v>0</v>
      </c>
      <c r="W752" s="58"/>
      <c r="X752" s="58"/>
      <c r="Y752" s="53"/>
      <c r="Z752" s="57"/>
      <c r="AA752" s="62"/>
      <c r="AB752" s="62"/>
      <c r="AC752" s="62"/>
      <c r="AD752" s="62"/>
      <c r="AE752" s="62"/>
      <c r="AF752" s="63"/>
      <c r="AG752" s="64" t="str">
        <f t="shared" si="88"/>
        <v/>
      </c>
    </row>
    <row r="753" spans="1:33" x14ac:dyDescent="0.25">
      <c r="A753" s="46" t="str">
        <f>IF(ISBLANK(inbound_data[[#This Row],[Receiving Report ref.'#]]),"",IF(inbound_data[[#This Row],[Ending Quantity]]=0,"ZERO","INV"))</f>
        <v/>
      </c>
      <c r="B753" s="165" t="str">
        <f t="shared" si="82"/>
        <v/>
      </c>
      <c r="C753" s="165" t="str">
        <f>IF(ISBLANK(D753),"",inbound_data[[#This Row],[Pallet_Series]]&amp;inbound_data[[#This Row],[No.]])</f>
        <v/>
      </c>
      <c r="D753" s="54"/>
      <c r="E753" s="55"/>
      <c r="F753" s="56"/>
      <c r="G753" s="57"/>
      <c r="H753" s="53"/>
      <c r="I753" s="53"/>
      <c r="J753" s="55"/>
      <c r="K753" s="58"/>
      <c r="L753" s="59"/>
      <c r="M753" s="55"/>
      <c r="N753" s="60"/>
      <c r="O753" s="60"/>
      <c r="P753" s="165" t="str">
        <f t="shared" ca="1" si="83"/>
        <v/>
      </c>
      <c r="Q753" s="165" t="str">
        <f t="shared" ca="1" si="84"/>
        <v/>
      </c>
      <c r="R753" s="79"/>
      <c r="S753" s="80"/>
      <c r="T753" s="61">
        <f t="shared" si="85"/>
        <v>0</v>
      </c>
      <c r="U753" s="61">
        <f t="shared" si="86"/>
        <v>0</v>
      </c>
      <c r="V753" s="61">
        <f t="shared" si="87"/>
        <v>0</v>
      </c>
      <c r="W753" s="58"/>
      <c r="X753" s="58"/>
      <c r="Y753" s="53"/>
      <c r="Z753" s="57"/>
      <c r="AA753" s="62"/>
      <c r="AB753" s="62"/>
      <c r="AC753" s="62"/>
      <c r="AD753" s="62"/>
      <c r="AE753" s="62"/>
      <c r="AF753" s="63"/>
      <c r="AG753" s="64" t="str">
        <f t="shared" si="88"/>
        <v/>
      </c>
    </row>
    <row r="754" spans="1:33" x14ac:dyDescent="0.25">
      <c r="A754" s="46" t="str">
        <f>IF(ISBLANK(inbound_data[[#This Row],[Receiving Report ref.'#]]),"",IF(inbound_data[[#This Row],[Ending Quantity]]=0,"ZERO","INV"))</f>
        <v/>
      </c>
      <c r="B754" s="165" t="str">
        <f t="shared" si="82"/>
        <v/>
      </c>
      <c r="C754" s="165" t="str">
        <f>IF(ISBLANK(D754),"",inbound_data[[#This Row],[Pallet_Series]]&amp;inbound_data[[#This Row],[No.]])</f>
        <v/>
      </c>
      <c r="D754" s="54"/>
      <c r="E754" s="55"/>
      <c r="F754" s="56"/>
      <c r="G754" s="57"/>
      <c r="H754" s="53"/>
      <c r="I754" s="53"/>
      <c r="J754" s="55"/>
      <c r="K754" s="58"/>
      <c r="L754" s="59"/>
      <c r="M754" s="55"/>
      <c r="N754" s="60"/>
      <c r="O754" s="60"/>
      <c r="P754" s="165" t="str">
        <f t="shared" ca="1" si="83"/>
        <v/>
      </c>
      <c r="Q754" s="165" t="str">
        <f t="shared" ca="1" si="84"/>
        <v/>
      </c>
      <c r="R754" s="79"/>
      <c r="S754" s="80"/>
      <c r="T754" s="61">
        <f t="shared" si="85"/>
        <v>0</v>
      </c>
      <c r="U754" s="61">
        <f t="shared" si="86"/>
        <v>0</v>
      </c>
      <c r="V754" s="61">
        <f t="shared" si="87"/>
        <v>0</v>
      </c>
      <c r="W754" s="58"/>
      <c r="X754" s="58"/>
      <c r="Y754" s="53"/>
      <c r="Z754" s="57"/>
      <c r="AA754" s="62"/>
      <c r="AB754" s="62"/>
      <c r="AC754" s="62"/>
      <c r="AD754" s="62"/>
      <c r="AE754" s="62"/>
      <c r="AF754" s="63"/>
      <c r="AG754" s="64" t="str">
        <f t="shared" si="88"/>
        <v/>
      </c>
    </row>
    <row r="755" spans="1:33" x14ac:dyDescent="0.25">
      <c r="A755" s="46" t="str">
        <f>IF(ISBLANK(inbound_data[[#This Row],[Receiving Report ref.'#]]),"",IF(inbound_data[[#This Row],[Ending Quantity]]=0,"ZERO","INV"))</f>
        <v/>
      </c>
      <c r="B755" s="165" t="str">
        <f t="shared" si="82"/>
        <v/>
      </c>
      <c r="C755" s="165" t="str">
        <f>IF(ISBLANK(D755),"",inbound_data[[#This Row],[Pallet_Series]]&amp;inbound_data[[#This Row],[No.]])</f>
        <v/>
      </c>
      <c r="D755" s="54"/>
      <c r="E755" s="55"/>
      <c r="F755" s="56"/>
      <c r="G755" s="57"/>
      <c r="H755" s="53"/>
      <c r="I755" s="53"/>
      <c r="J755" s="55"/>
      <c r="K755" s="58"/>
      <c r="L755" s="59"/>
      <c r="M755" s="55"/>
      <c r="N755" s="60"/>
      <c r="O755" s="60"/>
      <c r="P755" s="165" t="str">
        <f t="shared" ca="1" si="83"/>
        <v/>
      </c>
      <c r="Q755" s="165" t="str">
        <f t="shared" ca="1" si="84"/>
        <v/>
      </c>
      <c r="R755" s="79"/>
      <c r="S755" s="80"/>
      <c r="T755" s="61">
        <f t="shared" si="85"/>
        <v>0</v>
      </c>
      <c r="U755" s="61">
        <f t="shared" si="86"/>
        <v>0</v>
      </c>
      <c r="V755" s="61">
        <f t="shared" si="87"/>
        <v>0</v>
      </c>
      <c r="W755" s="58"/>
      <c r="X755" s="58"/>
      <c r="Y755" s="53"/>
      <c r="Z755" s="57"/>
      <c r="AA755" s="62"/>
      <c r="AB755" s="62"/>
      <c r="AC755" s="62"/>
      <c r="AD755" s="62"/>
      <c r="AE755" s="62"/>
      <c r="AF755" s="63"/>
      <c r="AG755" s="64" t="str">
        <f t="shared" si="88"/>
        <v/>
      </c>
    </row>
    <row r="756" spans="1:33" x14ac:dyDescent="0.25">
      <c r="A756" s="46" t="str">
        <f>IF(ISBLANK(inbound_data[[#This Row],[Receiving Report ref.'#]]),"",IF(inbound_data[[#This Row],[Ending Quantity]]=0,"ZERO","INV"))</f>
        <v/>
      </c>
      <c r="B756" s="165" t="str">
        <f t="shared" si="82"/>
        <v/>
      </c>
      <c r="C756" s="165" t="str">
        <f>IF(ISBLANK(D756),"",inbound_data[[#This Row],[Pallet_Series]]&amp;inbound_data[[#This Row],[No.]])</f>
        <v/>
      </c>
      <c r="D756" s="54"/>
      <c r="E756" s="55"/>
      <c r="F756" s="56"/>
      <c r="G756" s="57"/>
      <c r="H756" s="53"/>
      <c r="I756" s="53"/>
      <c r="J756" s="55"/>
      <c r="K756" s="58"/>
      <c r="L756" s="59"/>
      <c r="M756" s="55"/>
      <c r="N756" s="60"/>
      <c r="O756" s="60"/>
      <c r="P756" s="165" t="str">
        <f t="shared" ca="1" si="83"/>
        <v/>
      </c>
      <c r="Q756" s="165" t="str">
        <f t="shared" ca="1" si="84"/>
        <v/>
      </c>
      <c r="R756" s="79"/>
      <c r="S756" s="80"/>
      <c r="T756" s="61">
        <f t="shared" si="85"/>
        <v>0</v>
      </c>
      <c r="U756" s="61">
        <f t="shared" si="86"/>
        <v>0</v>
      </c>
      <c r="V756" s="61">
        <f t="shared" si="87"/>
        <v>0</v>
      </c>
      <c r="W756" s="58"/>
      <c r="X756" s="58"/>
      <c r="Y756" s="53"/>
      <c r="Z756" s="57"/>
      <c r="AA756" s="62"/>
      <c r="AB756" s="62"/>
      <c r="AC756" s="62"/>
      <c r="AD756" s="62"/>
      <c r="AE756" s="62"/>
      <c r="AF756" s="63"/>
      <c r="AG756" s="64" t="str">
        <f t="shared" si="88"/>
        <v/>
      </c>
    </row>
    <row r="757" spans="1:33" x14ac:dyDescent="0.25">
      <c r="A757" s="46" t="str">
        <f>IF(ISBLANK(inbound_data[[#This Row],[Receiving Report ref.'#]]),"",IF(inbound_data[[#This Row],[Ending Quantity]]=0,"ZERO","INV"))</f>
        <v/>
      </c>
      <c r="B757" s="165" t="str">
        <f t="shared" si="82"/>
        <v/>
      </c>
      <c r="C757" s="165" t="str">
        <f>IF(ISBLANK(D757),"",inbound_data[[#This Row],[Pallet_Series]]&amp;inbound_data[[#This Row],[No.]])</f>
        <v/>
      </c>
      <c r="D757" s="54"/>
      <c r="E757" s="55"/>
      <c r="F757" s="56"/>
      <c r="G757" s="57"/>
      <c r="H757" s="53"/>
      <c r="I757" s="53"/>
      <c r="J757" s="55"/>
      <c r="K757" s="58"/>
      <c r="L757" s="59"/>
      <c r="M757" s="55"/>
      <c r="N757" s="60"/>
      <c r="O757" s="60"/>
      <c r="P757" s="165" t="str">
        <f t="shared" ca="1" si="83"/>
        <v/>
      </c>
      <c r="Q757" s="165" t="str">
        <f t="shared" ca="1" si="84"/>
        <v/>
      </c>
      <c r="R757" s="79"/>
      <c r="S757" s="80"/>
      <c r="T757" s="61">
        <f t="shared" si="85"/>
        <v>0</v>
      </c>
      <c r="U757" s="61">
        <f t="shared" si="86"/>
        <v>0</v>
      </c>
      <c r="V757" s="61">
        <f t="shared" si="87"/>
        <v>0</v>
      </c>
      <c r="W757" s="58"/>
      <c r="X757" s="58"/>
      <c r="Y757" s="53"/>
      <c r="Z757" s="57"/>
      <c r="AA757" s="62"/>
      <c r="AB757" s="62"/>
      <c r="AC757" s="62"/>
      <c r="AD757" s="62"/>
      <c r="AE757" s="62"/>
      <c r="AF757" s="63"/>
      <c r="AG757" s="64" t="str">
        <f t="shared" si="88"/>
        <v/>
      </c>
    </row>
    <row r="758" spans="1:33" x14ac:dyDescent="0.25">
      <c r="A758" s="46" t="str">
        <f>IF(ISBLANK(inbound_data[[#This Row],[Receiving Report ref.'#]]),"",IF(inbound_data[[#This Row],[Ending Quantity]]=0,"ZERO","INV"))</f>
        <v/>
      </c>
      <c r="B758" s="165" t="str">
        <f t="shared" si="82"/>
        <v/>
      </c>
      <c r="C758" s="165" t="str">
        <f>IF(ISBLANK(D758),"",inbound_data[[#This Row],[Pallet_Series]]&amp;inbound_data[[#This Row],[No.]])</f>
        <v/>
      </c>
      <c r="D758" s="54"/>
      <c r="E758" s="55"/>
      <c r="F758" s="56"/>
      <c r="G758" s="57"/>
      <c r="H758" s="53"/>
      <c r="I758" s="53"/>
      <c r="J758" s="55"/>
      <c r="K758" s="58"/>
      <c r="L758" s="59"/>
      <c r="M758" s="55"/>
      <c r="N758" s="60"/>
      <c r="O758" s="60"/>
      <c r="P758" s="165" t="str">
        <f t="shared" ca="1" si="83"/>
        <v/>
      </c>
      <c r="Q758" s="165" t="str">
        <f t="shared" ca="1" si="84"/>
        <v/>
      </c>
      <c r="R758" s="79"/>
      <c r="S758" s="80"/>
      <c r="T758" s="61">
        <f t="shared" si="85"/>
        <v>0</v>
      </c>
      <c r="U758" s="61">
        <f t="shared" si="86"/>
        <v>0</v>
      </c>
      <c r="V758" s="61">
        <f t="shared" si="87"/>
        <v>0</v>
      </c>
      <c r="W758" s="58"/>
      <c r="X758" s="58"/>
      <c r="Y758" s="53"/>
      <c r="Z758" s="57"/>
      <c r="AA758" s="62"/>
      <c r="AB758" s="62"/>
      <c r="AC758" s="62"/>
      <c r="AD758" s="62"/>
      <c r="AE758" s="62"/>
      <c r="AF758" s="63"/>
      <c r="AG758" s="64" t="str">
        <f t="shared" si="88"/>
        <v/>
      </c>
    </row>
    <row r="759" spans="1:33" x14ac:dyDescent="0.25">
      <c r="A759" s="46" t="str">
        <f>IF(ISBLANK(inbound_data[[#This Row],[Receiving Report ref.'#]]),"",IF(inbound_data[[#This Row],[Ending Quantity]]=0,"ZERO","INV"))</f>
        <v/>
      </c>
      <c r="B759" s="165" t="str">
        <f t="shared" si="82"/>
        <v/>
      </c>
      <c r="C759" s="165" t="str">
        <f>IF(ISBLANK(D759),"",inbound_data[[#This Row],[Pallet_Series]]&amp;inbound_data[[#This Row],[No.]])</f>
        <v/>
      </c>
      <c r="D759" s="54"/>
      <c r="E759" s="55"/>
      <c r="F759" s="56"/>
      <c r="G759" s="57"/>
      <c r="H759" s="53"/>
      <c r="I759" s="53"/>
      <c r="J759" s="55"/>
      <c r="K759" s="58"/>
      <c r="L759" s="59"/>
      <c r="M759" s="55"/>
      <c r="N759" s="60"/>
      <c r="O759" s="60"/>
      <c r="P759" s="165" t="str">
        <f t="shared" ca="1" si="83"/>
        <v/>
      </c>
      <c r="Q759" s="165" t="str">
        <f t="shared" ca="1" si="84"/>
        <v/>
      </c>
      <c r="R759" s="79"/>
      <c r="S759" s="80"/>
      <c r="T759" s="61">
        <f t="shared" si="85"/>
        <v>0</v>
      </c>
      <c r="U759" s="61">
        <f t="shared" si="86"/>
        <v>0</v>
      </c>
      <c r="V759" s="61">
        <f t="shared" si="87"/>
        <v>0</v>
      </c>
      <c r="W759" s="58"/>
      <c r="X759" s="58"/>
      <c r="Y759" s="53"/>
      <c r="Z759" s="57"/>
      <c r="AA759" s="62"/>
      <c r="AB759" s="62"/>
      <c r="AC759" s="62"/>
      <c r="AD759" s="62"/>
      <c r="AE759" s="62"/>
      <c r="AF759" s="63"/>
      <c r="AG759" s="64" t="str">
        <f t="shared" si="88"/>
        <v/>
      </c>
    </row>
    <row r="760" spans="1:33" x14ac:dyDescent="0.25">
      <c r="A760" s="46" t="str">
        <f>IF(ISBLANK(inbound_data[[#This Row],[Receiving Report ref.'#]]),"",IF(inbound_data[[#This Row],[Ending Quantity]]=0,"ZERO","INV"))</f>
        <v/>
      </c>
      <c r="B760" s="165" t="str">
        <f t="shared" si="82"/>
        <v/>
      </c>
      <c r="C760" s="165" t="str">
        <f>IF(ISBLANK(D760),"",inbound_data[[#This Row],[Pallet_Series]]&amp;inbound_data[[#This Row],[No.]])</f>
        <v/>
      </c>
      <c r="D760" s="54"/>
      <c r="E760" s="55"/>
      <c r="F760" s="56"/>
      <c r="G760" s="57"/>
      <c r="H760" s="53"/>
      <c r="I760" s="53"/>
      <c r="J760" s="55"/>
      <c r="K760" s="58"/>
      <c r="L760" s="59"/>
      <c r="M760" s="55"/>
      <c r="N760" s="60"/>
      <c r="O760" s="60"/>
      <c r="P760" s="165" t="str">
        <f t="shared" ca="1" si="83"/>
        <v/>
      </c>
      <c r="Q760" s="165" t="str">
        <f t="shared" ca="1" si="84"/>
        <v/>
      </c>
      <c r="R760" s="79"/>
      <c r="S760" s="80"/>
      <c r="T760" s="61">
        <f t="shared" si="85"/>
        <v>0</v>
      </c>
      <c r="U760" s="61">
        <f t="shared" si="86"/>
        <v>0</v>
      </c>
      <c r="V760" s="61">
        <f t="shared" si="87"/>
        <v>0</v>
      </c>
      <c r="W760" s="58"/>
      <c r="X760" s="58"/>
      <c r="Y760" s="53"/>
      <c r="Z760" s="57"/>
      <c r="AA760" s="62"/>
      <c r="AB760" s="62"/>
      <c r="AC760" s="62"/>
      <c r="AD760" s="62"/>
      <c r="AE760" s="62"/>
      <c r="AF760" s="63"/>
      <c r="AG760" s="64" t="str">
        <f t="shared" si="88"/>
        <v/>
      </c>
    </row>
    <row r="761" spans="1:33" x14ac:dyDescent="0.25">
      <c r="A761" s="46" t="str">
        <f>IF(ISBLANK(inbound_data[[#This Row],[Receiving Report ref.'#]]),"",IF(inbound_data[[#This Row],[Ending Quantity]]=0,"ZERO","INV"))</f>
        <v/>
      </c>
      <c r="B761" s="165" t="str">
        <f t="shared" si="82"/>
        <v/>
      </c>
      <c r="C761" s="165" t="str">
        <f>IF(ISBLANK(D761),"",inbound_data[[#This Row],[Pallet_Series]]&amp;inbound_data[[#This Row],[No.]])</f>
        <v/>
      </c>
      <c r="D761" s="54"/>
      <c r="E761" s="55"/>
      <c r="F761" s="56"/>
      <c r="G761" s="57"/>
      <c r="H761" s="53"/>
      <c r="I761" s="53"/>
      <c r="J761" s="55"/>
      <c r="K761" s="58"/>
      <c r="L761" s="59"/>
      <c r="M761" s="55"/>
      <c r="N761" s="60"/>
      <c r="O761" s="60"/>
      <c r="P761" s="165" t="str">
        <f t="shared" ca="1" si="83"/>
        <v/>
      </c>
      <c r="Q761" s="165" t="str">
        <f t="shared" ca="1" si="84"/>
        <v/>
      </c>
      <c r="R761" s="79"/>
      <c r="S761" s="80"/>
      <c r="T761" s="61">
        <f t="shared" si="85"/>
        <v>0</v>
      </c>
      <c r="U761" s="61">
        <f t="shared" si="86"/>
        <v>0</v>
      </c>
      <c r="V761" s="61">
        <f t="shared" si="87"/>
        <v>0</v>
      </c>
      <c r="W761" s="58"/>
      <c r="X761" s="58"/>
      <c r="Y761" s="53"/>
      <c r="Z761" s="57"/>
      <c r="AA761" s="62"/>
      <c r="AB761" s="62"/>
      <c r="AC761" s="62"/>
      <c r="AD761" s="62"/>
      <c r="AE761" s="62"/>
      <c r="AF761" s="63"/>
      <c r="AG761" s="64" t="str">
        <f t="shared" si="88"/>
        <v/>
      </c>
    </row>
    <row r="762" spans="1:33" x14ac:dyDescent="0.25">
      <c r="A762" s="46" t="str">
        <f>IF(ISBLANK(inbound_data[[#This Row],[Receiving Report ref.'#]]),"",IF(inbound_data[[#This Row],[Ending Quantity]]=0,"ZERO","INV"))</f>
        <v/>
      </c>
      <c r="B762" s="165" t="str">
        <f t="shared" si="82"/>
        <v/>
      </c>
      <c r="C762" s="165" t="str">
        <f>IF(ISBLANK(D762),"",inbound_data[[#This Row],[Pallet_Series]]&amp;inbound_data[[#This Row],[No.]])</f>
        <v/>
      </c>
      <c r="D762" s="54"/>
      <c r="E762" s="55"/>
      <c r="F762" s="56"/>
      <c r="G762" s="57"/>
      <c r="H762" s="53"/>
      <c r="I762" s="53"/>
      <c r="J762" s="55"/>
      <c r="K762" s="58"/>
      <c r="L762" s="59"/>
      <c r="M762" s="55"/>
      <c r="N762" s="60"/>
      <c r="O762" s="60"/>
      <c r="P762" s="165" t="str">
        <f t="shared" ca="1" si="83"/>
        <v/>
      </c>
      <c r="Q762" s="165" t="str">
        <f t="shared" ca="1" si="84"/>
        <v/>
      </c>
      <c r="R762" s="79"/>
      <c r="S762" s="80"/>
      <c r="T762" s="61">
        <f t="shared" si="85"/>
        <v>0</v>
      </c>
      <c r="U762" s="61">
        <f t="shared" si="86"/>
        <v>0</v>
      </c>
      <c r="V762" s="61">
        <f t="shared" si="87"/>
        <v>0</v>
      </c>
      <c r="W762" s="58"/>
      <c r="X762" s="58"/>
      <c r="Y762" s="53"/>
      <c r="Z762" s="57"/>
      <c r="AA762" s="62"/>
      <c r="AB762" s="62"/>
      <c r="AC762" s="62"/>
      <c r="AD762" s="62"/>
      <c r="AE762" s="62"/>
      <c r="AF762" s="63"/>
      <c r="AG762" s="64" t="str">
        <f t="shared" si="88"/>
        <v/>
      </c>
    </row>
    <row r="763" spans="1:33" x14ac:dyDescent="0.25">
      <c r="A763" s="46" t="str">
        <f>IF(ISBLANK(inbound_data[[#This Row],[Receiving Report ref.'#]]),"",IF(inbound_data[[#This Row],[Ending Quantity]]=0,"ZERO","INV"))</f>
        <v/>
      </c>
      <c r="B763" s="165" t="str">
        <f t="shared" si="82"/>
        <v/>
      </c>
      <c r="C763" s="165" t="str">
        <f>IF(ISBLANK(D763),"",inbound_data[[#This Row],[Pallet_Series]]&amp;inbound_data[[#This Row],[No.]])</f>
        <v/>
      </c>
      <c r="D763" s="54"/>
      <c r="E763" s="55"/>
      <c r="F763" s="56"/>
      <c r="G763" s="57"/>
      <c r="H763" s="53"/>
      <c r="I763" s="53"/>
      <c r="J763" s="55"/>
      <c r="K763" s="58"/>
      <c r="L763" s="59"/>
      <c r="M763" s="55"/>
      <c r="N763" s="60"/>
      <c r="O763" s="60"/>
      <c r="P763" s="165" t="str">
        <f t="shared" ca="1" si="83"/>
        <v/>
      </c>
      <c r="Q763" s="165" t="str">
        <f t="shared" ca="1" si="84"/>
        <v/>
      </c>
      <c r="R763" s="79"/>
      <c r="S763" s="80"/>
      <c r="T763" s="61">
        <f t="shared" si="85"/>
        <v>0</v>
      </c>
      <c r="U763" s="61">
        <f t="shared" si="86"/>
        <v>0</v>
      </c>
      <c r="V763" s="61">
        <f t="shared" si="87"/>
        <v>0</v>
      </c>
      <c r="W763" s="58"/>
      <c r="X763" s="58"/>
      <c r="Y763" s="53"/>
      <c r="Z763" s="57"/>
      <c r="AA763" s="62"/>
      <c r="AB763" s="62"/>
      <c r="AC763" s="62"/>
      <c r="AD763" s="62"/>
      <c r="AE763" s="62"/>
      <c r="AF763" s="63"/>
      <c r="AG763" s="64" t="str">
        <f t="shared" si="88"/>
        <v/>
      </c>
    </row>
    <row r="764" spans="1:33" x14ac:dyDescent="0.25">
      <c r="A764" s="46" t="str">
        <f>IF(ISBLANK(inbound_data[[#This Row],[Receiving Report ref.'#]]),"",IF(inbound_data[[#This Row],[Ending Quantity]]=0,"ZERO","INV"))</f>
        <v/>
      </c>
      <c r="B764" s="165" t="str">
        <f t="shared" si="82"/>
        <v/>
      </c>
      <c r="C764" s="165" t="str">
        <f>IF(ISBLANK(D764),"",inbound_data[[#This Row],[Pallet_Series]]&amp;inbound_data[[#This Row],[No.]])</f>
        <v/>
      </c>
      <c r="D764" s="54"/>
      <c r="E764" s="55"/>
      <c r="F764" s="56"/>
      <c r="G764" s="57"/>
      <c r="H764" s="53"/>
      <c r="I764" s="53"/>
      <c r="J764" s="55"/>
      <c r="K764" s="58"/>
      <c r="L764" s="59"/>
      <c r="M764" s="55"/>
      <c r="N764" s="60"/>
      <c r="O764" s="60"/>
      <c r="P764" s="165" t="str">
        <f t="shared" ca="1" si="83"/>
        <v/>
      </c>
      <c r="Q764" s="165" t="str">
        <f t="shared" ca="1" si="84"/>
        <v/>
      </c>
      <c r="R764" s="79"/>
      <c r="S764" s="80"/>
      <c r="T764" s="61">
        <f t="shared" si="85"/>
        <v>0</v>
      </c>
      <c r="U764" s="61">
        <f t="shared" si="86"/>
        <v>0</v>
      </c>
      <c r="V764" s="61">
        <f t="shared" si="87"/>
        <v>0</v>
      </c>
      <c r="W764" s="58"/>
      <c r="X764" s="58"/>
      <c r="Y764" s="53"/>
      <c r="Z764" s="57"/>
      <c r="AA764" s="62"/>
      <c r="AB764" s="62"/>
      <c r="AC764" s="62"/>
      <c r="AD764" s="62"/>
      <c r="AE764" s="62"/>
      <c r="AF764" s="63"/>
      <c r="AG764" s="64" t="str">
        <f t="shared" si="88"/>
        <v/>
      </c>
    </row>
    <row r="765" spans="1:33" x14ac:dyDescent="0.25">
      <c r="A765" s="46" t="str">
        <f>IF(ISBLANK(inbound_data[[#This Row],[Receiving Report ref.'#]]),"",IF(inbound_data[[#This Row],[Ending Quantity]]=0,"ZERO","INV"))</f>
        <v/>
      </c>
      <c r="B765" s="165" t="str">
        <f t="shared" si="82"/>
        <v/>
      </c>
      <c r="C765" s="165" t="str">
        <f>IF(ISBLANK(D765),"",inbound_data[[#This Row],[Pallet_Series]]&amp;inbound_data[[#This Row],[No.]])</f>
        <v/>
      </c>
      <c r="D765" s="54"/>
      <c r="E765" s="55"/>
      <c r="F765" s="56"/>
      <c r="G765" s="57"/>
      <c r="H765" s="53"/>
      <c r="I765" s="53"/>
      <c r="J765" s="55"/>
      <c r="K765" s="58"/>
      <c r="L765" s="59"/>
      <c r="M765" s="55"/>
      <c r="N765" s="60"/>
      <c r="O765" s="60"/>
      <c r="P765" s="165" t="str">
        <f t="shared" ca="1" si="83"/>
        <v/>
      </c>
      <c r="Q765" s="165" t="str">
        <f t="shared" ca="1" si="84"/>
        <v/>
      </c>
      <c r="R765" s="79"/>
      <c r="S765" s="80"/>
      <c r="T765" s="61">
        <f t="shared" si="85"/>
        <v>0</v>
      </c>
      <c r="U765" s="61">
        <f t="shared" si="86"/>
        <v>0</v>
      </c>
      <c r="V765" s="61">
        <f t="shared" si="87"/>
        <v>0</v>
      </c>
      <c r="W765" s="58"/>
      <c r="X765" s="58"/>
      <c r="Y765" s="53"/>
      <c r="Z765" s="57"/>
      <c r="AA765" s="62"/>
      <c r="AB765" s="62"/>
      <c r="AC765" s="62"/>
      <c r="AD765" s="62"/>
      <c r="AE765" s="62"/>
      <c r="AF765" s="63"/>
      <c r="AG765" s="64" t="str">
        <f t="shared" si="88"/>
        <v/>
      </c>
    </row>
    <row r="766" spans="1:33" x14ac:dyDescent="0.25">
      <c r="A766" s="46" t="str">
        <f>IF(ISBLANK(inbound_data[[#This Row],[Receiving Report ref.'#]]),"",IF(inbound_data[[#This Row],[Ending Quantity]]=0,"ZERO","INV"))</f>
        <v/>
      </c>
      <c r="B766" s="165" t="str">
        <f t="shared" si="82"/>
        <v/>
      </c>
      <c r="C766" s="165" t="str">
        <f>IF(ISBLANK(D766),"",inbound_data[[#This Row],[Pallet_Series]]&amp;inbound_data[[#This Row],[No.]])</f>
        <v/>
      </c>
      <c r="D766" s="54"/>
      <c r="E766" s="55"/>
      <c r="F766" s="56"/>
      <c r="G766" s="57"/>
      <c r="H766" s="53"/>
      <c r="I766" s="53"/>
      <c r="J766" s="55"/>
      <c r="K766" s="58"/>
      <c r="L766" s="59"/>
      <c r="M766" s="55"/>
      <c r="N766" s="60"/>
      <c r="O766" s="60"/>
      <c r="P766" s="165" t="str">
        <f t="shared" ca="1" si="83"/>
        <v/>
      </c>
      <c r="Q766" s="165" t="str">
        <f t="shared" ca="1" si="84"/>
        <v/>
      </c>
      <c r="R766" s="79"/>
      <c r="S766" s="80"/>
      <c r="T766" s="61">
        <f t="shared" si="85"/>
        <v>0</v>
      </c>
      <c r="U766" s="61">
        <f t="shared" si="86"/>
        <v>0</v>
      </c>
      <c r="V766" s="61">
        <f t="shared" si="87"/>
        <v>0</v>
      </c>
      <c r="W766" s="58"/>
      <c r="X766" s="58"/>
      <c r="Y766" s="53"/>
      <c r="Z766" s="57"/>
      <c r="AA766" s="62"/>
      <c r="AB766" s="62"/>
      <c r="AC766" s="62"/>
      <c r="AD766" s="62"/>
      <c r="AE766" s="62"/>
      <c r="AF766" s="63"/>
      <c r="AG766" s="64" t="str">
        <f t="shared" si="88"/>
        <v/>
      </c>
    </row>
    <row r="767" spans="1:33" x14ac:dyDescent="0.25">
      <c r="A767" s="46" t="str">
        <f>IF(ISBLANK(inbound_data[[#This Row],[Receiving Report ref.'#]]),"",IF(inbound_data[[#This Row],[Ending Quantity]]=0,"ZERO","INV"))</f>
        <v/>
      </c>
      <c r="B767" s="165" t="str">
        <f t="shared" si="82"/>
        <v/>
      </c>
      <c r="C767" s="165" t="str">
        <f>IF(ISBLANK(D767),"",inbound_data[[#This Row],[Pallet_Series]]&amp;inbound_data[[#This Row],[No.]])</f>
        <v/>
      </c>
      <c r="D767" s="54"/>
      <c r="E767" s="55"/>
      <c r="F767" s="56"/>
      <c r="G767" s="57"/>
      <c r="H767" s="53"/>
      <c r="I767" s="53"/>
      <c r="J767" s="55"/>
      <c r="K767" s="58"/>
      <c r="L767" s="59"/>
      <c r="M767" s="55"/>
      <c r="N767" s="60"/>
      <c r="O767" s="60"/>
      <c r="P767" s="165" t="str">
        <f t="shared" ca="1" si="83"/>
        <v/>
      </c>
      <c r="Q767" s="165" t="str">
        <f t="shared" ca="1" si="84"/>
        <v/>
      </c>
      <c r="R767" s="79"/>
      <c r="S767" s="80"/>
      <c r="T767" s="61">
        <f t="shared" si="85"/>
        <v>0</v>
      </c>
      <c r="U767" s="61">
        <f t="shared" si="86"/>
        <v>0</v>
      </c>
      <c r="V767" s="61">
        <f t="shared" si="87"/>
        <v>0</v>
      </c>
      <c r="W767" s="58"/>
      <c r="X767" s="58"/>
      <c r="Y767" s="53"/>
      <c r="Z767" s="57"/>
      <c r="AA767" s="62"/>
      <c r="AB767" s="62"/>
      <c r="AC767" s="62"/>
      <c r="AD767" s="62"/>
      <c r="AE767" s="62"/>
      <c r="AF767" s="63"/>
      <c r="AG767" s="64" t="str">
        <f t="shared" si="88"/>
        <v/>
      </c>
    </row>
    <row r="768" spans="1:33" x14ac:dyDescent="0.25">
      <c r="A768" s="46" t="str">
        <f>IF(ISBLANK(inbound_data[[#This Row],[Receiving Report ref.'#]]),"",IF(inbound_data[[#This Row],[Ending Quantity]]=0,"ZERO","INV"))</f>
        <v/>
      </c>
      <c r="B768" s="165" t="str">
        <f t="shared" si="82"/>
        <v/>
      </c>
      <c r="C768" s="165" t="str">
        <f>IF(ISBLANK(D768),"",inbound_data[[#This Row],[Pallet_Series]]&amp;inbound_data[[#This Row],[No.]])</f>
        <v/>
      </c>
      <c r="D768" s="54"/>
      <c r="E768" s="55"/>
      <c r="F768" s="56"/>
      <c r="G768" s="57"/>
      <c r="H768" s="53"/>
      <c r="I768" s="53"/>
      <c r="J768" s="55"/>
      <c r="K768" s="58"/>
      <c r="L768" s="59"/>
      <c r="M768" s="55"/>
      <c r="N768" s="60"/>
      <c r="O768" s="60"/>
      <c r="P768" s="165" t="str">
        <f t="shared" ca="1" si="83"/>
        <v/>
      </c>
      <c r="Q768" s="165" t="str">
        <f t="shared" ca="1" si="84"/>
        <v/>
      </c>
      <c r="R768" s="79"/>
      <c r="S768" s="80"/>
      <c r="T768" s="61">
        <f t="shared" si="85"/>
        <v>0</v>
      </c>
      <c r="U768" s="61">
        <f t="shared" si="86"/>
        <v>0</v>
      </c>
      <c r="V768" s="61">
        <f t="shared" si="87"/>
        <v>0</v>
      </c>
      <c r="W768" s="58"/>
      <c r="X768" s="58"/>
      <c r="Y768" s="53"/>
      <c r="Z768" s="57"/>
      <c r="AA768" s="62"/>
      <c r="AB768" s="62"/>
      <c r="AC768" s="62"/>
      <c r="AD768" s="62"/>
      <c r="AE768" s="62"/>
      <c r="AF768" s="63"/>
      <c r="AG768" s="64" t="str">
        <f t="shared" si="88"/>
        <v/>
      </c>
    </row>
    <row r="769" spans="1:33" x14ac:dyDescent="0.25">
      <c r="A769" s="46" t="str">
        <f>IF(ISBLANK(inbound_data[[#This Row],[Receiving Report ref.'#]]),"",IF(inbound_data[[#This Row],[Ending Quantity]]=0,"ZERO","INV"))</f>
        <v/>
      </c>
      <c r="B769" s="165" t="str">
        <f t="shared" si="82"/>
        <v/>
      </c>
      <c r="C769" s="165" t="str">
        <f>IF(ISBLANK(D769),"",inbound_data[[#This Row],[Pallet_Series]]&amp;inbound_data[[#This Row],[No.]])</f>
        <v/>
      </c>
      <c r="D769" s="54"/>
      <c r="E769" s="55"/>
      <c r="F769" s="56"/>
      <c r="G769" s="57"/>
      <c r="H769" s="53"/>
      <c r="I769" s="53"/>
      <c r="J769" s="55"/>
      <c r="K769" s="58"/>
      <c r="L769" s="59"/>
      <c r="M769" s="55"/>
      <c r="N769" s="60"/>
      <c r="O769" s="60"/>
      <c r="P769" s="165" t="str">
        <f t="shared" ca="1" si="83"/>
        <v/>
      </c>
      <c r="Q769" s="165" t="str">
        <f t="shared" ca="1" si="84"/>
        <v/>
      </c>
      <c r="R769" s="79"/>
      <c r="S769" s="80"/>
      <c r="T769" s="61">
        <f t="shared" si="85"/>
        <v>0</v>
      </c>
      <c r="U769" s="61">
        <f t="shared" si="86"/>
        <v>0</v>
      </c>
      <c r="V769" s="61">
        <f t="shared" si="87"/>
        <v>0</v>
      </c>
      <c r="W769" s="58"/>
      <c r="X769" s="58"/>
      <c r="Y769" s="53"/>
      <c r="Z769" s="57"/>
      <c r="AA769" s="62"/>
      <c r="AB769" s="62"/>
      <c r="AC769" s="62"/>
      <c r="AD769" s="62"/>
      <c r="AE769" s="62"/>
      <c r="AF769" s="63"/>
      <c r="AG769" s="64" t="str">
        <f t="shared" si="88"/>
        <v/>
      </c>
    </row>
    <row r="770" spans="1:33" x14ac:dyDescent="0.25">
      <c r="A770" s="46" t="str">
        <f>IF(ISBLANK(inbound_data[[#This Row],[Receiving Report ref.'#]]),"",IF(inbound_data[[#This Row],[Ending Quantity]]=0,"ZERO","INV"))</f>
        <v/>
      </c>
      <c r="B770" s="165" t="str">
        <f t="shared" si="82"/>
        <v/>
      </c>
      <c r="C770" s="165" t="str">
        <f>IF(ISBLANK(D770),"",inbound_data[[#This Row],[Pallet_Series]]&amp;inbound_data[[#This Row],[No.]])</f>
        <v/>
      </c>
      <c r="D770" s="54"/>
      <c r="E770" s="55"/>
      <c r="F770" s="56"/>
      <c r="G770" s="57"/>
      <c r="H770" s="53"/>
      <c r="I770" s="53"/>
      <c r="J770" s="55"/>
      <c r="K770" s="58"/>
      <c r="L770" s="59"/>
      <c r="M770" s="55"/>
      <c r="N770" s="60"/>
      <c r="O770" s="60"/>
      <c r="P770" s="165" t="str">
        <f t="shared" ca="1" si="83"/>
        <v/>
      </c>
      <c r="Q770" s="165" t="str">
        <f t="shared" ca="1" si="84"/>
        <v/>
      </c>
      <c r="R770" s="79"/>
      <c r="S770" s="80"/>
      <c r="T770" s="61">
        <f t="shared" si="85"/>
        <v>0</v>
      </c>
      <c r="U770" s="61">
        <f t="shared" si="86"/>
        <v>0</v>
      </c>
      <c r="V770" s="61">
        <f t="shared" si="87"/>
        <v>0</v>
      </c>
      <c r="W770" s="58"/>
      <c r="X770" s="58"/>
      <c r="Y770" s="53"/>
      <c r="Z770" s="57"/>
      <c r="AA770" s="62"/>
      <c r="AB770" s="62"/>
      <c r="AC770" s="62"/>
      <c r="AD770" s="62"/>
      <c r="AE770" s="62"/>
      <c r="AF770" s="63"/>
      <c r="AG770" s="64" t="str">
        <f t="shared" si="88"/>
        <v/>
      </c>
    </row>
    <row r="771" spans="1:33" x14ac:dyDescent="0.25">
      <c r="A771" s="46" t="str">
        <f>IF(ISBLANK(inbound_data[[#This Row],[Receiving Report ref.'#]]),"",IF(inbound_data[[#This Row],[Ending Quantity]]=0,"ZERO","INV"))</f>
        <v/>
      </c>
      <c r="B771" s="165" t="str">
        <f t="shared" si="82"/>
        <v/>
      </c>
      <c r="C771" s="165" t="str">
        <f>IF(ISBLANK(D771),"",inbound_data[[#This Row],[Pallet_Series]]&amp;inbound_data[[#This Row],[No.]])</f>
        <v/>
      </c>
      <c r="D771" s="54"/>
      <c r="E771" s="55"/>
      <c r="F771" s="56"/>
      <c r="G771" s="57"/>
      <c r="H771" s="53"/>
      <c r="I771" s="53"/>
      <c r="J771" s="55"/>
      <c r="K771" s="58"/>
      <c r="L771" s="59"/>
      <c r="M771" s="55"/>
      <c r="N771" s="60"/>
      <c r="O771" s="60"/>
      <c r="P771" s="165" t="str">
        <f t="shared" ca="1" si="83"/>
        <v/>
      </c>
      <c r="Q771" s="165" t="str">
        <f t="shared" ca="1" si="84"/>
        <v/>
      </c>
      <c r="R771" s="79"/>
      <c r="S771" s="80"/>
      <c r="T771" s="61">
        <f t="shared" si="85"/>
        <v>0</v>
      </c>
      <c r="U771" s="61">
        <f t="shared" si="86"/>
        <v>0</v>
      </c>
      <c r="V771" s="61">
        <f t="shared" si="87"/>
        <v>0</v>
      </c>
      <c r="W771" s="58"/>
      <c r="X771" s="58"/>
      <c r="Y771" s="53"/>
      <c r="Z771" s="57"/>
      <c r="AA771" s="62"/>
      <c r="AB771" s="62"/>
      <c r="AC771" s="62"/>
      <c r="AD771" s="62"/>
      <c r="AE771" s="62"/>
      <c r="AF771" s="63"/>
      <c r="AG771" s="64" t="str">
        <f t="shared" si="88"/>
        <v/>
      </c>
    </row>
    <row r="772" spans="1:33" x14ac:dyDescent="0.25">
      <c r="A772" s="46" t="str">
        <f>IF(ISBLANK(inbound_data[[#This Row],[Receiving Report ref.'#]]),"",IF(inbound_data[[#This Row],[Ending Quantity]]=0,"ZERO","INV"))</f>
        <v/>
      </c>
      <c r="B772" s="165" t="str">
        <f t="shared" si="82"/>
        <v/>
      </c>
      <c r="C772" s="165" t="str">
        <f>IF(ISBLANK(D772),"",inbound_data[[#This Row],[Pallet_Series]]&amp;inbound_data[[#This Row],[No.]])</f>
        <v/>
      </c>
      <c r="D772" s="54"/>
      <c r="E772" s="55"/>
      <c r="F772" s="56"/>
      <c r="G772" s="57"/>
      <c r="H772" s="53"/>
      <c r="I772" s="53"/>
      <c r="J772" s="55"/>
      <c r="K772" s="58"/>
      <c r="L772" s="59"/>
      <c r="M772" s="55"/>
      <c r="N772" s="60"/>
      <c r="O772" s="60"/>
      <c r="P772" s="165" t="str">
        <f t="shared" ca="1" si="83"/>
        <v/>
      </c>
      <c r="Q772" s="165" t="str">
        <f t="shared" ca="1" si="84"/>
        <v/>
      </c>
      <c r="R772" s="79"/>
      <c r="S772" s="80"/>
      <c r="T772" s="61">
        <f t="shared" si="85"/>
        <v>0</v>
      </c>
      <c r="U772" s="61">
        <f t="shared" si="86"/>
        <v>0</v>
      </c>
      <c r="V772" s="61">
        <f t="shared" si="87"/>
        <v>0</v>
      </c>
      <c r="W772" s="58"/>
      <c r="X772" s="58"/>
      <c r="Y772" s="53"/>
      <c r="Z772" s="57"/>
      <c r="AA772" s="62"/>
      <c r="AB772" s="62"/>
      <c r="AC772" s="62"/>
      <c r="AD772" s="62"/>
      <c r="AE772" s="62"/>
      <c r="AF772" s="63"/>
      <c r="AG772" s="64" t="str">
        <f t="shared" si="88"/>
        <v/>
      </c>
    </row>
    <row r="773" spans="1:33" x14ac:dyDescent="0.25">
      <c r="A773" s="46" t="str">
        <f>IF(ISBLANK(inbound_data[[#This Row],[Receiving Report ref.'#]]),"",IF(inbound_data[[#This Row],[Ending Quantity]]=0,"ZERO","INV"))</f>
        <v/>
      </c>
      <c r="B773" s="165" t="str">
        <f t="shared" si="82"/>
        <v/>
      </c>
      <c r="C773" s="165" t="str">
        <f>IF(ISBLANK(D773),"",inbound_data[[#This Row],[Pallet_Series]]&amp;inbound_data[[#This Row],[No.]])</f>
        <v/>
      </c>
      <c r="D773" s="54"/>
      <c r="E773" s="55"/>
      <c r="F773" s="56"/>
      <c r="G773" s="57"/>
      <c r="H773" s="53"/>
      <c r="I773" s="53"/>
      <c r="J773" s="55"/>
      <c r="K773" s="58"/>
      <c r="L773" s="59"/>
      <c r="M773" s="55"/>
      <c r="N773" s="60"/>
      <c r="O773" s="60"/>
      <c r="P773" s="165" t="str">
        <f t="shared" ca="1" si="83"/>
        <v/>
      </c>
      <c r="Q773" s="165" t="str">
        <f t="shared" ca="1" si="84"/>
        <v/>
      </c>
      <c r="R773" s="79"/>
      <c r="S773" s="80"/>
      <c r="T773" s="61">
        <f t="shared" si="85"/>
        <v>0</v>
      </c>
      <c r="U773" s="61">
        <f t="shared" si="86"/>
        <v>0</v>
      </c>
      <c r="V773" s="61">
        <f t="shared" si="87"/>
        <v>0</v>
      </c>
      <c r="W773" s="58"/>
      <c r="X773" s="58"/>
      <c r="Y773" s="53"/>
      <c r="Z773" s="57"/>
      <c r="AA773" s="62"/>
      <c r="AB773" s="62"/>
      <c r="AC773" s="62"/>
      <c r="AD773" s="62"/>
      <c r="AE773" s="62"/>
      <c r="AF773" s="63"/>
      <c r="AG773" s="64" t="str">
        <f t="shared" si="88"/>
        <v/>
      </c>
    </row>
    <row r="774" spans="1:33" x14ac:dyDescent="0.25">
      <c r="A774" s="46" t="str">
        <f>IF(ISBLANK(inbound_data[[#This Row],[Receiving Report ref.'#]]),"",IF(inbound_data[[#This Row],[Ending Quantity]]=0,"ZERO","INV"))</f>
        <v/>
      </c>
      <c r="B774" s="165" t="str">
        <f t="shared" si="82"/>
        <v/>
      </c>
      <c r="C774" s="165" t="str">
        <f>IF(ISBLANK(D774),"",inbound_data[[#This Row],[Pallet_Series]]&amp;inbound_data[[#This Row],[No.]])</f>
        <v/>
      </c>
      <c r="D774" s="54"/>
      <c r="E774" s="55"/>
      <c r="F774" s="56"/>
      <c r="G774" s="57"/>
      <c r="H774" s="53"/>
      <c r="I774" s="53"/>
      <c r="J774" s="55"/>
      <c r="K774" s="58"/>
      <c r="L774" s="59"/>
      <c r="M774" s="55"/>
      <c r="N774" s="60"/>
      <c r="O774" s="60"/>
      <c r="P774" s="165" t="str">
        <f t="shared" ca="1" si="83"/>
        <v/>
      </c>
      <c r="Q774" s="165" t="str">
        <f t="shared" ca="1" si="84"/>
        <v/>
      </c>
      <c r="R774" s="79"/>
      <c r="S774" s="80"/>
      <c r="T774" s="61">
        <f t="shared" si="85"/>
        <v>0</v>
      </c>
      <c r="U774" s="61">
        <f t="shared" si="86"/>
        <v>0</v>
      </c>
      <c r="V774" s="61">
        <f t="shared" si="87"/>
        <v>0</v>
      </c>
      <c r="W774" s="58"/>
      <c r="X774" s="58"/>
      <c r="Y774" s="53"/>
      <c r="Z774" s="57"/>
      <c r="AA774" s="62"/>
      <c r="AB774" s="62"/>
      <c r="AC774" s="62"/>
      <c r="AD774" s="62"/>
      <c r="AE774" s="62"/>
      <c r="AF774" s="63"/>
      <c r="AG774" s="64" t="str">
        <f t="shared" si="88"/>
        <v/>
      </c>
    </row>
    <row r="775" spans="1:33" x14ac:dyDescent="0.25">
      <c r="A775" s="46" t="str">
        <f>IF(ISBLANK(inbound_data[[#This Row],[Receiving Report ref.'#]]),"",IF(inbound_data[[#This Row],[Ending Quantity]]=0,"ZERO","INV"))</f>
        <v/>
      </c>
      <c r="B775" s="165" t="str">
        <f t="shared" si="82"/>
        <v/>
      </c>
      <c r="C775" s="165" t="str">
        <f>IF(ISBLANK(D775),"",inbound_data[[#This Row],[Pallet_Series]]&amp;inbound_data[[#This Row],[No.]])</f>
        <v/>
      </c>
      <c r="D775" s="54"/>
      <c r="E775" s="55"/>
      <c r="F775" s="56"/>
      <c r="G775" s="57"/>
      <c r="H775" s="53"/>
      <c r="I775" s="53"/>
      <c r="J775" s="55"/>
      <c r="K775" s="58"/>
      <c r="L775" s="59"/>
      <c r="M775" s="55"/>
      <c r="N775" s="60"/>
      <c r="O775" s="60"/>
      <c r="P775" s="165" t="str">
        <f t="shared" ca="1" si="83"/>
        <v/>
      </c>
      <c r="Q775" s="165" t="str">
        <f t="shared" ca="1" si="84"/>
        <v/>
      </c>
      <c r="R775" s="79"/>
      <c r="S775" s="80"/>
      <c r="T775" s="61">
        <f t="shared" si="85"/>
        <v>0</v>
      </c>
      <c r="U775" s="61">
        <f t="shared" si="86"/>
        <v>0</v>
      </c>
      <c r="V775" s="61">
        <f t="shared" si="87"/>
        <v>0</v>
      </c>
      <c r="W775" s="58"/>
      <c r="X775" s="58"/>
      <c r="Y775" s="53"/>
      <c r="Z775" s="57"/>
      <c r="AA775" s="62"/>
      <c r="AB775" s="62"/>
      <c r="AC775" s="62"/>
      <c r="AD775" s="62"/>
      <c r="AE775" s="62"/>
      <c r="AF775" s="63"/>
      <c r="AG775" s="64" t="str">
        <f t="shared" si="88"/>
        <v/>
      </c>
    </row>
    <row r="776" spans="1:33" x14ac:dyDescent="0.25">
      <c r="A776" s="46" t="str">
        <f>IF(ISBLANK(inbound_data[[#This Row],[Receiving Report ref.'#]]),"",IF(inbound_data[[#This Row],[Ending Quantity]]=0,"ZERO","INV"))</f>
        <v/>
      </c>
      <c r="B776" s="165" t="str">
        <f t="shared" si="82"/>
        <v/>
      </c>
      <c r="C776" s="165" t="str">
        <f>IF(ISBLANK(D776),"",inbound_data[[#This Row],[Pallet_Series]]&amp;inbound_data[[#This Row],[No.]])</f>
        <v/>
      </c>
      <c r="D776" s="54"/>
      <c r="E776" s="55"/>
      <c r="F776" s="56"/>
      <c r="G776" s="57"/>
      <c r="H776" s="53"/>
      <c r="I776" s="53"/>
      <c r="J776" s="55"/>
      <c r="K776" s="58"/>
      <c r="L776" s="59"/>
      <c r="M776" s="55"/>
      <c r="N776" s="60"/>
      <c r="O776" s="60"/>
      <c r="P776" s="165" t="str">
        <f t="shared" ca="1" si="83"/>
        <v/>
      </c>
      <c r="Q776" s="165" t="str">
        <f t="shared" ca="1" si="84"/>
        <v/>
      </c>
      <c r="R776" s="79"/>
      <c r="S776" s="80"/>
      <c r="T776" s="61">
        <f t="shared" si="85"/>
        <v>0</v>
      </c>
      <c r="U776" s="61">
        <f t="shared" si="86"/>
        <v>0</v>
      </c>
      <c r="V776" s="61">
        <f t="shared" si="87"/>
        <v>0</v>
      </c>
      <c r="W776" s="58"/>
      <c r="X776" s="58"/>
      <c r="Y776" s="53"/>
      <c r="Z776" s="57"/>
      <c r="AA776" s="62"/>
      <c r="AB776" s="62"/>
      <c r="AC776" s="62"/>
      <c r="AD776" s="62"/>
      <c r="AE776" s="62"/>
      <c r="AF776" s="63"/>
      <c r="AG776" s="64" t="str">
        <f t="shared" si="88"/>
        <v/>
      </c>
    </row>
    <row r="777" spans="1:33" x14ac:dyDescent="0.25">
      <c r="A777" s="46" t="str">
        <f>IF(ISBLANK(inbound_data[[#This Row],[Receiving Report ref.'#]]),"",IF(inbound_data[[#This Row],[Ending Quantity]]=0,"ZERO","INV"))</f>
        <v/>
      </c>
      <c r="B777" s="165" t="str">
        <f t="shared" ref="B777:B840" si="89">IF(ISBLANK(D777),"",TEXT(ROW(),"00000"))</f>
        <v/>
      </c>
      <c r="C777" s="165" t="str">
        <f>IF(ISBLANK(D777),"",inbound_data[[#This Row],[Pallet_Series]]&amp;inbound_data[[#This Row],[No.]])</f>
        <v/>
      </c>
      <c r="D777" s="54"/>
      <c r="E777" s="55"/>
      <c r="F777" s="56"/>
      <c r="G777" s="57"/>
      <c r="H777" s="53"/>
      <c r="I777" s="53"/>
      <c r="J777" s="55"/>
      <c r="K777" s="58"/>
      <c r="L777" s="59"/>
      <c r="M777" s="55"/>
      <c r="N777" s="60"/>
      <c r="O777" s="60"/>
      <c r="P777" s="165" t="str">
        <f t="shared" ref="P777:P840" ca="1" si="90">IF(A777="ZERO","",IF(O777="","",O777-TODAY()))</f>
        <v/>
      </c>
      <c r="Q777" s="165" t="str">
        <f t="shared" ref="Q777:Q840" ca="1" si="91">IF(A777="ZERO","",IF(P777&lt;0,"ALREADY EXPIRED",IF(P777&lt;60,"NEARLY EXPIRED","")))</f>
        <v/>
      </c>
      <c r="R777" s="79"/>
      <c r="S777" s="80"/>
      <c r="T777" s="61">
        <f t="shared" ref="T777:T840" si="92">IF(ISBLANK(R777),0,R777-SUMIF(STOCK_CODE_OUT,$C777,QTY_OUT))</f>
        <v>0</v>
      </c>
      <c r="U777" s="61">
        <f t="shared" ref="U777:U840" si="93">IF(ISBLANK(S777),0,S777-SUMIF(STOCK_CODE_OUT,$C777,KILOS_OUT))</f>
        <v>0</v>
      </c>
      <c r="V777" s="61">
        <f t="shared" ref="V777:V840" si="94">IF(ISBLANK(K777),0,K777-SUMIF(STOCK_CODE_OUT,$C777,PALLET_OUT))</f>
        <v>0</v>
      </c>
      <c r="W777" s="58"/>
      <c r="X777" s="58"/>
      <c r="Y777" s="53"/>
      <c r="Z777" s="57"/>
      <c r="AA777" s="62"/>
      <c r="AB777" s="62"/>
      <c r="AC777" s="62"/>
      <c r="AD777" s="62"/>
      <c r="AE777" s="62"/>
      <c r="AF777" s="63"/>
      <c r="AG777" s="64" t="str">
        <f t="shared" ref="AG777:AG840" si="95">IF(T777&gt;0,CONCATENATE(AA777,AB777,TEXT(AC777,"R00"),TEXT(AD777,"L0."),TEXT(AE777,"0")),"")</f>
        <v/>
      </c>
    </row>
    <row r="778" spans="1:33" x14ac:dyDescent="0.25">
      <c r="A778" s="46" t="str">
        <f>IF(ISBLANK(inbound_data[[#This Row],[Receiving Report ref.'#]]),"",IF(inbound_data[[#This Row],[Ending Quantity]]=0,"ZERO","INV"))</f>
        <v/>
      </c>
      <c r="B778" s="165" t="str">
        <f t="shared" si="89"/>
        <v/>
      </c>
      <c r="C778" s="165" t="str">
        <f>IF(ISBLANK(D778),"",inbound_data[[#This Row],[Pallet_Series]]&amp;inbound_data[[#This Row],[No.]])</f>
        <v/>
      </c>
      <c r="D778" s="54"/>
      <c r="E778" s="55"/>
      <c r="F778" s="56"/>
      <c r="G778" s="57"/>
      <c r="H778" s="53"/>
      <c r="I778" s="53"/>
      <c r="J778" s="55"/>
      <c r="K778" s="58"/>
      <c r="L778" s="59"/>
      <c r="M778" s="55"/>
      <c r="N778" s="60"/>
      <c r="O778" s="60"/>
      <c r="P778" s="165" t="str">
        <f t="shared" ca="1" si="90"/>
        <v/>
      </c>
      <c r="Q778" s="165" t="str">
        <f t="shared" ca="1" si="91"/>
        <v/>
      </c>
      <c r="R778" s="79"/>
      <c r="S778" s="80"/>
      <c r="T778" s="61">
        <f t="shared" si="92"/>
        <v>0</v>
      </c>
      <c r="U778" s="61">
        <f t="shared" si="93"/>
        <v>0</v>
      </c>
      <c r="V778" s="61">
        <f t="shared" si="94"/>
        <v>0</v>
      </c>
      <c r="W778" s="58"/>
      <c r="X778" s="58"/>
      <c r="Y778" s="53"/>
      <c r="Z778" s="57"/>
      <c r="AA778" s="62"/>
      <c r="AB778" s="62"/>
      <c r="AC778" s="62"/>
      <c r="AD778" s="62"/>
      <c r="AE778" s="62"/>
      <c r="AF778" s="63"/>
      <c r="AG778" s="64" t="str">
        <f t="shared" si="95"/>
        <v/>
      </c>
    </row>
    <row r="779" spans="1:33" x14ac:dyDescent="0.25">
      <c r="A779" s="46" t="str">
        <f>IF(ISBLANK(inbound_data[[#This Row],[Receiving Report ref.'#]]),"",IF(inbound_data[[#This Row],[Ending Quantity]]=0,"ZERO","INV"))</f>
        <v/>
      </c>
      <c r="B779" s="165" t="str">
        <f t="shared" si="89"/>
        <v/>
      </c>
      <c r="C779" s="165" t="str">
        <f>IF(ISBLANK(D779),"",inbound_data[[#This Row],[Pallet_Series]]&amp;inbound_data[[#This Row],[No.]])</f>
        <v/>
      </c>
      <c r="D779" s="54"/>
      <c r="E779" s="55"/>
      <c r="F779" s="56"/>
      <c r="G779" s="57"/>
      <c r="H779" s="53"/>
      <c r="I779" s="53"/>
      <c r="J779" s="55"/>
      <c r="K779" s="58"/>
      <c r="L779" s="59"/>
      <c r="M779" s="55"/>
      <c r="N779" s="60"/>
      <c r="O779" s="60"/>
      <c r="P779" s="165" t="str">
        <f t="shared" ca="1" si="90"/>
        <v/>
      </c>
      <c r="Q779" s="165" t="str">
        <f t="shared" ca="1" si="91"/>
        <v/>
      </c>
      <c r="R779" s="79"/>
      <c r="S779" s="80"/>
      <c r="T779" s="61">
        <f t="shared" si="92"/>
        <v>0</v>
      </c>
      <c r="U779" s="61">
        <f t="shared" si="93"/>
        <v>0</v>
      </c>
      <c r="V779" s="61">
        <f t="shared" si="94"/>
        <v>0</v>
      </c>
      <c r="W779" s="58"/>
      <c r="X779" s="58"/>
      <c r="Y779" s="53"/>
      <c r="Z779" s="57"/>
      <c r="AA779" s="62"/>
      <c r="AB779" s="62"/>
      <c r="AC779" s="62"/>
      <c r="AD779" s="62"/>
      <c r="AE779" s="62"/>
      <c r="AF779" s="63"/>
      <c r="AG779" s="64" t="str">
        <f t="shared" si="95"/>
        <v/>
      </c>
    </row>
    <row r="780" spans="1:33" x14ac:dyDescent="0.25">
      <c r="A780" s="46" t="str">
        <f>IF(ISBLANK(inbound_data[[#This Row],[Receiving Report ref.'#]]),"",IF(inbound_data[[#This Row],[Ending Quantity]]=0,"ZERO","INV"))</f>
        <v/>
      </c>
      <c r="B780" s="165" t="str">
        <f t="shared" si="89"/>
        <v/>
      </c>
      <c r="C780" s="165" t="str">
        <f>IF(ISBLANK(D780),"",inbound_data[[#This Row],[Pallet_Series]]&amp;inbound_data[[#This Row],[No.]])</f>
        <v/>
      </c>
      <c r="D780" s="54"/>
      <c r="E780" s="55"/>
      <c r="F780" s="56"/>
      <c r="G780" s="57"/>
      <c r="H780" s="53"/>
      <c r="I780" s="53"/>
      <c r="J780" s="55"/>
      <c r="K780" s="58"/>
      <c r="L780" s="59"/>
      <c r="M780" s="55"/>
      <c r="N780" s="60"/>
      <c r="O780" s="60"/>
      <c r="P780" s="165" t="str">
        <f t="shared" ca="1" si="90"/>
        <v/>
      </c>
      <c r="Q780" s="165" t="str">
        <f t="shared" ca="1" si="91"/>
        <v/>
      </c>
      <c r="R780" s="79"/>
      <c r="S780" s="80"/>
      <c r="T780" s="61">
        <f t="shared" si="92"/>
        <v>0</v>
      </c>
      <c r="U780" s="61">
        <f t="shared" si="93"/>
        <v>0</v>
      </c>
      <c r="V780" s="61">
        <f t="shared" si="94"/>
        <v>0</v>
      </c>
      <c r="W780" s="58"/>
      <c r="X780" s="58"/>
      <c r="Y780" s="53"/>
      <c r="Z780" s="57"/>
      <c r="AA780" s="62"/>
      <c r="AB780" s="62"/>
      <c r="AC780" s="62"/>
      <c r="AD780" s="62"/>
      <c r="AE780" s="62"/>
      <c r="AF780" s="63"/>
      <c r="AG780" s="64" t="str">
        <f t="shared" si="95"/>
        <v/>
      </c>
    </row>
    <row r="781" spans="1:33" x14ac:dyDescent="0.25">
      <c r="A781" s="46" t="str">
        <f>IF(ISBLANK(inbound_data[[#This Row],[Receiving Report ref.'#]]),"",IF(inbound_data[[#This Row],[Ending Quantity]]=0,"ZERO","INV"))</f>
        <v/>
      </c>
      <c r="B781" s="165" t="str">
        <f t="shared" si="89"/>
        <v/>
      </c>
      <c r="C781" s="165" t="str">
        <f>IF(ISBLANK(D781),"",inbound_data[[#This Row],[Pallet_Series]]&amp;inbound_data[[#This Row],[No.]])</f>
        <v/>
      </c>
      <c r="D781" s="54"/>
      <c r="E781" s="55"/>
      <c r="F781" s="56"/>
      <c r="G781" s="57"/>
      <c r="H781" s="53"/>
      <c r="I781" s="53"/>
      <c r="J781" s="55"/>
      <c r="K781" s="58"/>
      <c r="L781" s="59"/>
      <c r="M781" s="55"/>
      <c r="N781" s="60"/>
      <c r="O781" s="60"/>
      <c r="P781" s="165" t="str">
        <f t="shared" ca="1" si="90"/>
        <v/>
      </c>
      <c r="Q781" s="165" t="str">
        <f t="shared" ca="1" si="91"/>
        <v/>
      </c>
      <c r="R781" s="79"/>
      <c r="S781" s="80"/>
      <c r="T781" s="61">
        <f t="shared" si="92"/>
        <v>0</v>
      </c>
      <c r="U781" s="61">
        <f t="shared" si="93"/>
        <v>0</v>
      </c>
      <c r="V781" s="61">
        <f t="shared" si="94"/>
        <v>0</v>
      </c>
      <c r="W781" s="58"/>
      <c r="X781" s="58"/>
      <c r="Y781" s="53"/>
      <c r="Z781" s="57"/>
      <c r="AA781" s="62"/>
      <c r="AB781" s="62"/>
      <c r="AC781" s="62"/>
      <c r="AD781" s="62"/>
      <c r="AE781" s="62"/>
      <c r="AF781" s="63"/>
      <c r="AG781" s="64" t="str">
        <f t="shared" si="95"/>
        <v/>
      </c>
    </row>
    <row r="782" spans="1:33" x14ac:dyDescent="0.25">
      <c r="A782" s="46" t="str">
        <f>IF(ISBLANK(inbound_data[[#This Row],[Receiving Report ref.'#]]),"",IF(inbound_data[[#This Row],[Ending Quantity]]=0,"ZERO","INV"))</f>
        <v/>
      </c>
      <c r="B782" s="165" t="str">
        <f t="shared" si="89"/>
        <v/>
      </c>
      <c r="C782" s="165" t="str">
        <f>IF(ISBLANK(D782),"",inbound_data[[#This Row],[Pallet_Series]]&amp;inbound_data[[#This Row],[No.]])</f>
        <v/>
      </c>
      <c r="D782" s="54"/>
      <c r="E782" s="55"/>
      <c r="F782" s="56"/>
      <c r="G782" s="57"/>
      <c r="H782" s="53"/>
      <c r="I782" s="53"/>
      <c r="J782" s="55"/>
      <c r="K782" s="58"/>
      <c r="L782" s="59"/>
      <c r="M782" s="55"/>
      <c r="N782" s="60"/>
      <c r="O782" s="60"/>
      <c r="P782" s="165" t="str">
        <f t="shared" ca="1" si="90"/>
        <v/>
      </c>
      <c r="Q782" s="165" t="str">
        <f t="shared" ca="1" si="91"/>
        <v/>
      </c>
      <c r="R782" s="79"/>
      <c r="S782" s="80"/>
      <c r="T782" s="61">
        <f t="shared" si="92"/>
        <v>0</v>
      </c>
      <c r="U782" s="61">
        <f t="shared" si="93"/>
        <v>0</v>
      </c>
      <c r="V782" s="61">
        <f t="shared" si="94"/>
        <v>0</v>
      </c>
      <c r="W782" s="58"/>
      <c r="X782" s="58"/>
      <c r="Y782" s="53"/>
      <c r="Z782" s="57"/>
      <c r="AA782" s="62"/>
      <c r="AB782" s="62"/>
      <c r="AC782" s="62"/>
      <c r="AD782" s="62"/>
      <c r="AE782" s="62"/>
      <c r="AF782" s="63"/>
      <c r="AG782" s="64" t="str">
        <f t="shared" si="95"/>
        <v/>
      </c>
    </row>
    <row r="783" spans="1:33" x14ac:dyDescent="0.25">
      <c r="A783" s="46" t="str">
        <f>IF(ISBLANK(inbound_data[[#This Row],[Receiving Report ref.'#]]),"",IF(inbound_data[[#This Row],[Ending Quantity]]=0,"ZERO","INV"))</f>
        <v/>
      </c>
      <c r="B783" s="165" t="str">
        <f t="shared" si="89"/>
        <v/>
      </c>
      <c r="C783" s="165" t="str">
        <f>IF(ISBLANK(D783),"",inbound_data[[#This Row],[Pallet_Series]]&amp;inbound_data[[#This Row],[No.]])</f>
        <v/>
      </c>
      <c r="D783" s="54"/>
      <c r="E783" s="55"/>
      <c r="F783" s="56"/>
      <c r="G783" s="57"/>
      <c r="H783" s="53"/>
      <c r="I783" s="53"/>
      <c r="J783" s="55"/>
      <c r="K783" s="58"/>
      <c r="L783" s="59"/>
      <c r="M783" s="55"/>
      <c r="N783" s="60"/>
      <c r="O783" s="60"/>
      <c r="P783" s="165" t="str">
        <f t="shared" ca="1" si="90"/>
        <v/>
      </c>
      <c r="Q783" s="165" t="str">
        <f t="shared" ca="1" si="91"/>
        <v/>
      </c>
      <c r="R783" s="79"/>
      <c r="S783" s="80"/>
      <c r="T783" s="61">
        <f t="shared" si="92"/>
        <v>0</v>
      </c>
      <c r="U783" s="61">
        <f t="shared" si="93"/>
        <v>0</v>
      </c>
      <c r="V783" s="61">
        <f t="shared" si="94"/>
        <v>0</v>
      </c>
      <c r="W783" s="58"/>
      <c r="X783" s="58"/>
      <c r="Y783" s="53"/>
      <c r="Z783" s="57"/>
      <c r="AA783" s="62"/>
      <c r="AB783" s="62"/>
      <c r="AC783" s="62"/>
      <c r="AD783" s="62"/>
      <c r="AE783" s="62"/>
      <c r="AF783" s="63"/>
      <c r="AG783" s="64" t="str">
        <f t="shared" si="95"/>
        <v/>
      </c>
    </row>
    <row r="784" spans="1:33" x14ac:dyDescent="0.25">
      <c r="A784" s="46" t="str">
        <f>IF(ISBLANK(inbound_data[[#This Row],[Receiving Report ref.'#]]),"",IF(inbound_data[[#This Row],[Ending Quantity]]=0,"ZERO","INV"))</f>
        <v/>
      </c>
      <c r="B784" s="165" t="str">
        <f t="shared" si="89"/>
        <v/>
      </c>
      <c r="C784" s="165" t="str">
        <f>IF(ISBLANK(D784),"",inbound_data[[#This Row],[Pallet_Series]]&amp;inbound_data[[#This Row],[No.]])</f>
        <v/>
      </c>
      <c r="D784" s="54"/>
      <c r="E784" s="55"/>
      <c r="F784" s="56"/>
      <c r="G784" s="57"/>
      <c r="H784" s="53"/>
      <c r="I784" s="53"/>
      <c r="J784" s="55"/>
      <c r="K784" s="58"/>
      <c r="L784" s="59"/>
      <c r="M784" s="55"/>
      <c r="N784" s="60"/>
      <c r="O784" s="60"/>
      <c r="P784" s="165" t="str">
        <f t="shared" ca="1" si="90"/>
        <v/>
      </c>
      <c r="Q784" s="165" t="str">
        <f t="shared" ca="1" si="91"/>
        <v/>
      </c>
      <c r="R784" s="79"/>
      <c r="S784" s="80"/>
      <c r="T784" s="61">
        <f t="shared" si="92"/>
        <v>0</v>
      </c>
      <c r="U784" s="61">
        <f t="shared" si="93"/>
        <v>0</v>
      </c>
      <c r="V784" s="61">
        <f t="shared" si="94"/>
        <v>0</v>
      </c>
      <c r="W784" s="58"/>
      <c r="X784" s="58"/>
      <c r="Y784" s="53"/>
      <c r="Z784" s="57"/>
      <c r="AA784" s="62"/>
      <c r="AB784" s="62"/>
      <c r="AC784" s="62"/>
      <c r="AD784" s="62"/>
      <c r="AE784" s="62"/>
      <c r="AF784" s="63"/>
      <c r="AG784" s="64" t="str">
        <f t="shared" si="95"/>
        <v/>
      </c>
    </row>
    <row r="785" spans="1:33" x14ac:dyDescent="0.25">
      <c r="A785" s="46" t="str">
        <f>IF(ISBLANK(inbound_data[[#This Row],[Receiving Report ref.'#]]),"",IF(inbound_data[[#This Row],[Ending Quantity]]=0,"ZERO","INV"))</f>
        <v/>
      </c>
      <c r="B785" s="165" t="str">
        <f t="shared" si="89"/>
        <v/>
      </c>
      <c r="C785" s="165" t="str">
        <f>IF(ISBLANK(D785),"",inbound_data[[#This Row],[Pallet_Series]]&amp;inbound_data[[#This Row],[No.]])</f>
        <v/>
      </c>
      <c r="D785" s="54"/>
      <c r="E785" s="55"/>
      <c r="F785" s="56"/>
      <c r="G785" s="57"/>
      <c r="H785" s="53"/>
      <c r="I785" s="53"/>
      <c r="J785" s="55"/>
      <c r="K785" s="58"/>
      <c r="L785" s="59"/>
      <c r="M785" s="55"/>
      <c r="N785" s="60"/>
      <c r="O785" s="60"/>
      <c r="P785" s="165" t="str">
        <f t="shared" ca="1" si="90"/>
        <v/>
      </c>
      <c r="Q785" s="165" t="str">
        <f t="shared" ca="1" si="91"/>
        <v/>
      </c>
      <c r="R785" s="79"/>
      <c r="S785" s="80"/>
      <c r="T785" s="61">
        <f t="shared" si="92"/>
        <v>0</v>
      </c>
      <c r="U785" s="61">
        <f t="shared" si="93"/>
        <v>0</v>
      </c>
      <c r="V785" s="61">
        <f t="shared" si="94"/>
        <v>0</v>
      </c>
      <c r="W785" s="58"/>
      <c r="X785" s="58"/>
      <c r="Y785" s="53"/>
      <c r="Z785" s="57"/>
      <c r="AA785" s="62"/>
      <c r="AB785" s="62"/>
      <c r="AC785" s="62"/>
      <c r="AD785" s="62"/>
      <c r="AE785" s="62"/>
      <c r="AF785" s="63"/>
      <c r="AG785" s="64" t="str">
        <f t="shared" si="95"/>
        <v/>
      </c>
    </row>
    <row r="786" spans="1:33" x14ac:dyDescent="0.25">
      <c r="A786" s="46" t="str">
        <f>IF(ISBLANK(inbound_data[[#This Row],[Receiving Report ref.'#]]),"",IF(inbound_data[[#This Row],[Ending Quantity]]=0,"ZERO","INV"))</f>
        <v/>
      </c>
      <c r="B786" s="165" t="str">
        <f t="shared" si="89"/>
        <v/>
      </c>
      <c r="C786" s="165" t="str">
        <f>IF(ISBLANK(D786),"",inbound_data[[#This Row],[Pallet_Series]]&amp;inbound_data[[#This Row],[No.]])</f>
        <v/>
      </c>
      <c r="D786" s="54"/>
      <c r="E786" s="55"/>
      <c r="F786" s="56"/>
      <c r="G786" s="57"/>
      <c r="H786" s="53"/>
      <c r="I786" s="53"/>
      <c r="J786" s="55"/>
      <c r="K786" s="58"/>
      <c r="L786" s="59"/>
      <c r="M786" s="55"/>
      <c r="N786" s="60"/>
      <c r="O786" s="60"/>
      <c r="P786" s="165" t="str">
        <f t="shared" ca="1" si="90"/>
        <v/>
      </c>
      <c r="Q786" s="165" t="str">
        <f t="shared" ca="1" si="91"/>
        <v/>
      </c>
      <c r="R786" s="79"/>
      <c r="S786" s="80"/>
      <c r="T786" s="61">
        <f t="shared" si="92"/>
        <v>0</v>
      </c>
      <c r="U786" s="61">
        <f t="shared" si="93"/>
        <v>0</v>
      </c>
      <c r="V786" s="61">
        <f t="shared" si="94"/>
        <v>0</v>
      </c>
      <c r="W786" s="58"/>
      <c r="X786" s="58"/>
      <c r="Y786" s="53"/>
      <c r="Z786" s="57"/>
      <c r="AA786" s="62"/>
      <c r="AB786" s="62"/>
      <c r="AC786" s="62"/>
      <c r="AD786" s="62"/>
      <c r="AE786" s="62"/>
      <c r="AF786" s="63"/>
      <c r="AG786" s="64" t="str">
        <f t="shared" si="95"/>
        <v/>
      </c>
    </row>
    <row r="787" spans="1:33" x14ac:dyDescent="0.25">
      <c r="A787" s="46" t="str">
        <f>IF(ISBLANK(inbound_data[[#This Row],[Receiving Report ref.'#]]),"",IF(inbound_data[[#This Row],[Ending Quantity]]=0,"ZERO","INV"))</f>
        <v/>
      </c>
      <c r="B787" s="165" t="str">
        <f t="shared" si="89"/>
        <v/>
      </c>
      <c r="C787" s="165" t="str">
        <f>IF(ISBLANK(D787),"",inbound_data[[#This Row],[Pallet_Series]]&amp;inbound_data[[#This Row],[No.]])</f>
        <v/>
      </c>
      <c r="D787" s="54"/>
      <c r="E787" s="55"/>
      <c r="F787" s="56"/>
      <c r="G787" s="57"/>
      <c r="H787" s="53"/>
      <c r="I787" s="53"/>
      <c r="J787" s="55"/>
      <c r="K787" s="58"/>
      <c r="L787" s="59"/>
      <c r="M787" s="55"/>
      <c r="N787" s="60"/>
      <c r="O787" s="60"/>
      <c r="P787" s="165" t="str">
        <f t="shared" ca="1" si="90"/>
        <v/>
      </c>
      <c r="Q787" s="165" t="str">
        <f t="shared" ca="1" si="91"/>
        <v/>
      </c>
      <c r="R787" s="79"/>
      <c r="S787" s="80"/>
      <c r="T787" s="61">
        <f t="shared" si="92"/>
        <v>0</v>
      </c>
      <c r="U787" s="61">
        <f t="shared" si="93"/>
        <v>0</v>
      </c>
      <c r="V787" s="61">
        <f t="shared" si="94"/>
        <v>0</v>
      </c>
      <c r="W787" s="58"/>
      <c r="X787" s="58"/>
      <c r="Y787" s="53"/>
      <c r="Z787" s="57"/>
      <c r="AA787" s="62"/>
      <c r="AB787" s="62"/>
      <c r="AC787" s="62"/>
      <c r="AD787" s="62"/>
      <c r="AE787" s="62"/>
      <c r="AF787" s="63"/>
      <c r="AG787" s="64" t="str">
        <f t="shared" si="95"/>
        <v/>
      </c>
    </row>
    <row r="788" spans="1:33" x14ac:dyDescent="0.25">
      <c r="A788" s="46" t="str">
        <f>IF(ISBLANK(inbound_data[[#This Row],[Receiving Report ref.'#]]),"",IF(inbound_data[[#This Row],[Ending Quantity]]=0,"ZERO","INV"))</f>
        <v/>
      </c>
      <c r="B788" s="165" t="str">
        <f t="shared" si="89"/>
        <v/>
      </c>
      <c r="C788" s="165" t="str">
        <f>IF(ISBLANK(D788),"",inbound_data[[#This Row],[Pallet_Series]]&amp;inbound_data[[#This Row],[No.]])</f>
        <v/>
      </c>
      <c r="D788" s="54"/>
      <c r="E788" s="55"/>
      <c r="F788" s="56"/>
      <c r="G788" s="57"/>
      <c r="H788" s="53"/>
      <c r="I788" s="53"/>
      <c r="J788" s="55"/>
      <c r="K788" s="58"/>
      <c r="L788" s="59"/>
      <c r="M788" s="55"/>
      <c r="N788" s="60"/>
      <c r="O788" s="60"/>
      <c r="P788" s="165" t="str">
        <f t="shared" ca="1" si="90"/>
        <v/>
      </c>
      <c r="Q788" s="165" t="str">
        <f t="shared" ca="1" si="91"/>
        <v/>
      </c>
      <c r="R788" s="79"/>
      <c r="S788" s="80"/>
      <c r="T788" s="61">
        <f t="shared" si="92"/>
        <v>0</v>
      </c>
      <c r="U788" s="61">
        <f t="shared" si="93"/>
        <v>0</v>
      </c>
      <c r="V788" s="61">
        <f t="shared" si="94"/>
        <v>0</v>
      </c>
      <c r="W788" s="58"/>
      <c r="X788" s="58"/>
      <c r="Y788" s="53"/>
      <c r="Z788" s="57"/>
      <c r="AA788" s="62"/>
      <c r="AB788" s="62"/>
      <c r="AC788" s="62"/>
      <c r="AD788" s="62"/>
      <c r="AE788" s="62"/>
      <c r="AF788" s="63"/>
      <c r="AG788" s="64" t="str">
        <f t="shared" si="95"/>
        <v/>
      </c>
    </row>
    <row r="789" spans="1:33" x14ac:dyDescent="0.25">
      <c r="A789" s="46" t="str">
        <f>IF(ISBLANK(inbound_data[[#This Row],[Receiving Report ref.'#]]),"",IF(inbound_data[[#This Row],[Ending Quantity]]=0,"ZERO","INV"))</f>
        <v/>
      </c>
      <c r="B789" s="165" t="str">
        <f t="shared" si="89"/>
        <v/>
      </c>
      <c r="C789" s="165" t="str">
        <f>IF(ISBLANK(D789),"",inbound_data[[#This Row],[Pallet_Series]]&amp;inbound_data[[#This Row],[No.]])</f>
        <v/>
      </c>
      <c r="D789" s="54"/>
      <c r="E789" s="55"/>
      <c r="F789" s="56"/>
      <c r="G789" s="57"/>
      <c r="H789" s="53"/>
      <c r="I789" s="53"/>
      <c r="J789" s="55"/>
      <c r="K789" s="58"/>
      <c r="L789" s="59"/>
      <c r="M789" s="55"/>
      <c r="N789" s="60"/>
      <c r="O789" s="60"/>
      <c r="P789" s="165" t="str">
        <f t="shared" ca="1" si="90"/>
        <v/>
      </c>
      <c r="Q789" s="165" t="str">
        <f t="shared" ca="1" si="91"/>
        <v/>
      </c>
      <c r="R789" s="79"/>
      <c r="S789" s="80"/>
      <c r="T789" s="61">
        <f t="shared" si="92"/>
        <v>0</v>
      </c>
      <c r="U789" s="61">
        <f t="shared" si="93"/>
        <v>0</v>
      </c>
      <c r="V789" s="61">
        <f t="shared" si="94"/>
        <v>0</v>
      </c>
      <c r="W789" s="58"/>
      <c r="X789" s="58"/>
      <c r="Y789" s="53"/>
      <c r="Z789" s="57"/>
      <c r="AA789" s="62"/>
      <c r="AB789" s="62"/>
      <c r="AC789" s="62"/>
      <c r="AD789" s="62"/>
      <c r="AE789" s="62"/>
      <c r="AF789" s="63"/>
      <c r="AG789" s="64" t="str">
        <f t="shared" si="95"/>
        <v/>
      </c>
    </row>
    <row r="790" spans="1:33" x14ac:dyDescent="0.25">
      <c r="A790" s="46" t="str">
        <f>IF(ISBLANK(inbound_data[[#This Row],[Receiving Report ref.'#]]),"",IF(inbound_data[[#This Row],[Ending Quantity]]=0,"ZERO","INV"))</f>
        <v/>
      </c>
      <c r="B790" s="165" t="str">
        <f t="shared" si="89"/>
        <v/>
      </c>
      <c r="C790" s="165" t="str">
        <f>IF(ISBLANK(D790),"",inbound_data[[#This Row],[Pallet_Series]]&amp;inbound_data[[#This Row],[No.]])</f>
        <v/>
      </c>
      <c r="D790" s="54"/>
      <c r="E790" s="55"/>
      <c r="F790" s="56"/>
      <c r="G790" s="57"/>
      <c r="H790" s="53"/>
      <c r="I790" s="53"/>
      <c r="J790" s="55"/>
      <c r="K790" s="58"/>
      <c r="L790" s="59"/>
      <c r="M790" s="55"/>
      <c r="N790" s="60"/>
      <c r="O790" s="60"/>
      <c r="P790" s="165" t="str">
        <f t="shared" ca="1" si="90"/>
        <v/>
      </c>
      <c r="Q790" s="165" t="str">
        <f t="shared" ca="1" si="91"/>
        <v/>
      </c>
      <c r="R790" s="79"/>
      <c r="S790" s="80"/>
      <c r="T790" s="61">
        <f t="shared" si="92"/>
        <v>0</v>
      </c>
      <c r="U790" s="61">
        <f t="shared" si="93"/>
        <v>0</v>
      </c>
      <c r="V790" s="61">
        <f t="shared" si="94"/>
        <v>0</v>
      </c>
      <c r="W790" s="58"/>
      <c r="X790" s="58"/>
      <c r="Y790" s="53"/>
      <c r="Z790" s="57"/>
      <c r="AA790" s="62"/>
      <c r="AB790" s="62"/>
      <c r="AC790" s="62"/>
      <c r="AD790" s="62"/>
      <c r="AE790" s="62"/>
      <c r="AF790" s="63"/>
      <c r="AG790" s="64" t="str">
        <f t="shared" si="95"/>
        <v/>
      </c>
    </row>
    <row r="791" spans="1:33" x14ac:dyDescent="0.25">
      <c r="A791" s="46" t="str">
        <f>IF(ISBLANK(inbound_data[[#This Row],[Receiving Report ref.'#]]),"",IF(inbound_data[[#This Row],[Ending Quantity]]=0,"ZERO","INV"))</f>
        <v/>
      </c>
      <c r="B791" s="165" t="str">
        <f t="shared" si="89"/>
        <v/>
      </c>
      <c r="C791" s="165" t="str">
        <f>IF(ISBLANK(D791),"",inbound_data[[#This Row],[Pallet_Series]]&amp;inbound_data[[#This Row],[No.]])</f>
        <v/>
      </c>
      <c r="D791" s="54"/>
      <c r="E791" s="55"/>
      <c r="F791" s="56"/>
      <c r="G791" s="57"/>
      <c r="H791" s="53"/>
      <c r="I791" s="53"/>
      <c r="J791" s="55"/>
      <c r="K791" s="58"/>
      <c r="L791" s="59"/>
      <c r="M791" s="55"/>
      <c r="N791" s="60"/>
      <c r="O791" s="60"/>
      <c r="P791" s="165" t="str">
        <f t="shared" ca="1" si="90"/>
        <v/>
      </c>
      <c r="Q791" s="165" t="str">
        <f t="shared" ca="1" si="91"/>
        <v/>
      </c>
      <c r="R791" s="79"/>
      <c r="S791" s="80"/>
      <c r="T791" s="61">
        <f t="shared" si="92"/>
        <v>0</v>
      </c>
      <c r="U791" s="61">
        <f t="shared" si="93"/>
        <v>0</v>
      </c>
      <c r="V791" s="61">
        <f t="shared" si="94"/>
        <v>0</v>
      </c>
      <c r="W791" s="58"/>
      <c r="X791" s="58"/>
      <c r="Y791" s="53"/>
      <c r="Z791" s="57"/>
      <c r="AA791" s="62"/>
      <c r="AB791" s="62"/>
      <c r="AC791" s="62"/>
      <c r="AD791" s="62"/>
      <c r="AE791" s="62"/>
      <c r="AF791" s="63"/>
      <c r="AG791" s="64" t="str">
        <f t="shared" si="95"/>
        <v/>
      </c>
    </row>
    <row r="792" spans="1:33" x14ac:dyDescent="0.25">
      <c r="A792" s="46" t="str">
        <f>IF(ISBLANK(inbound_data[[#This Row],[Receiving Report ref.'#]]),"",IF(inbound_data[[#This Row],[Ending Quantity]]=0,"ZERO","INV"))</f>
        <v/>
      </c>
      <c r="B792" s="165" t="str">
        <f t="shared" si="89"/>
        <v/>
      </c>
      <c r="C792" s="165" t="str">
        <f>IF(ISBLANK(D792),"",inbound_data[[#This Row],[Pallet_Series]]&amp;inbound_data[[#This Row],[No.]])</f>
        <v/>
      </c>
      <c r="D792" s="54"/>
      <c r="E792" s="55"/>
      <c r="F792" s="56"/>
      <c r="G792" s="57"/>
      <c r="H792" s="53"/>
      <c r="I792" s="53"/>
      <c r="J792" s="55"/>
      <c r="K792" s="58"/>
      <c r="L792" s="59"/>
      <c r="M792" s="55"/>
      <c r="N792" s="60"/>
      <c r="O792" s="60"/>
      <c r="P792" s="165" t="str">
        <f t="shared" ca="1" si="90"/>
        <v/>
      </c>
      <c r="Q792" s="165" t="str">
        <f t="shared" ca="1" si="91"/>
        <v/>
      </c>
      <c r="R792" s="79"/>
      <c r="S792" s="80"/>
      <c r="T792" s="61">
        <f t="shared" si="92"/>
        <v>0</v>
      </c>
      <c r="U792" s="61">
        <f t="shared" si="93"/>
        <v>0</v>
      </c>
      <c r="V792" s="61">
        <f t="shared" si="94"/>
        <v>0</v>
      </c>
      <c r="W792" s="58"/>
      <c r="X792" s="58"/>
      <c r="Y792" s="53"/>
      <c r="Z792" s="57"/>
      <c r="AA792" s="62"/>
      <c r="AB792" s="62"/>
      <c r="AC792" s="62"/>
      <c r="AD792" s="62"/>
      <c r="AE792" s="62"/>
      <c r="AF792" s="63"/>
      <c r="AG792" s="64" t="str">
        <f t="shared" si="95"/>
        <v/>
      </c>
    </row>
    <row r="793" spans="1:33" x14ac:dyDescent="0.25">
      <c r="A793" s="46" t="str">
        <f>IF(ISBLANK(inbound_data[[#This Row],[Receiving Report ref.'#]]),"",IF(inbound_data[[#This Row],[Ending Quantity]]=0,"ZERO","INV"))</f>
        <v/>
      </c>
      <c r="B793" s="165" t="str">
        <f t="shared" si="89"/>
        <v/>
      </c>
      <c r="C793" s="165" t="str">
        <f>IF(ISBLANK(D793),"",inbound_data[[#This Row],[Pallet_Series]]&amp;inbound_data[[#This Row],[No.]])</f>
        <v/>
      </c>
      <c r="D793" s="54"/>
      <c r="E793" s="55"/>
      <c r="F793" s="56"/>
      <c r="G793" s="57"/>
      <c r="H793" s="53"/>
      <c r="I793" s="53"/>
      <c r="J793" s="55"/>
      <c r="K793" s="58"/>
      <c r="L793" s="59"/>
      <c r="M793" s="55"/>
      <c r="N793" s="60"/>
      <c r="O793" s="60"/>
      <c r="P793" s="165" t="str">
        <f t="shared" ca="1" si="90"/>
        <v/>
      </c>
      <c r="Q793" s="165" t="str">
        <f t="shared" ca="1" si="91"/>
        <v/>
      </c>
      <c r="R793" s="79"/>
      <c r="S793" s="80"/>
      <c r="T793" s="61">
        <f t="shared" si="92"/>
        <v>0</v>
      </c>
      <c r="U793" s="61">
        <f t="shared" si="93"/>
        <v>0</v>
      </c>
      <c r="V793" s="61">
        <f t="shared" si="94"/>
        <v>0</v>
      </c>
      <c r="W793" s="58"/>
      <c r="X793" s="58"/>
      <c r="Y793" s="53"/>
      <c r="Z793" s="57"/>
      <c r="AA793" s="62"/>
      <c r="AB793" s="62"/>
      <c r="AC793" s="62"/>
      <c r="AD793" s="62"/>
      <c r="AE793" s="62"/>
      <c r="AF793" s="63"/>
      <c r="AG793" s="64" t="str">
        <f t="shared" si="95"/>
        <v/>
      </c>
    </row>
    <row r="794" spans="1:33" x14ac:dyDescent="0.25">
      <c r="A794" s="46" t="str">
        <f>IF(ISBLANK(inbound_data[[#This Row],[Receiving Report ref.'#]]),"",IF(inbound_data[[#This Row],[Ending Quantity]]=0,"ZERO","INV"))</f>
        <v/>
      </c>
      <c r="B794" s="165" t="str">
        <f t="shared" si="89"/>
        <v/>
      </c>
      <c r="C794" s="165" t="str">
        <f>IF(ISBLANK(D794),"",inbound_data[[#This Row],[Pallet_Series]]&amp;inbound_data[[#This Row],[No.]])</f>
        <v/>
      </c>
      <c r="D794" s="54"/>
      <c r="E794" s="55"/>
      <c r="F794" s="56"/>
      <c r="G794" s="57"/>
      <c r="H794" s="53"/>
      <c r="I794" s="53"/>
      <c r="J794" s="55"/>
      <c r="K794" s="58"/>
      <c r="L794" s="59"/>
      <c r="M794" s="55"/>
      <c r="N794" s="60"/>
      <c r="O794" s="60"/>
      <c r="P794" s="165" t="str">
        <f t="shared" ca="1" si="90"/>
        <v/>
      </c>
      <c r="Q794" s="165" t="str">
        <f t="shared" ca="1" si="91"/>
        <v/>
      </c>
      <c r="R794" s="79"/>
      <c r="S794" s="80"/>
      <c r="T794" s="61">
        <f t="shared" si="92"/>
        <v>0</v>
      </c>
      <c r="U794" s="61">
        <f t="shared" si="93"/>
        <v>0</v>
      </c>
      <c r="V794" s="61">
        <f t="shared" si="94"/>
        <v>0</v>
      </c>
      <c r="W794" s="58"/>
      <c r="X794" s="58"/>
      <c r="Y794" s="53"/>
      <c r="Z794" s="57"/>
      <c r="AA794" s="62"/>
      <c r="AB794" s="62"/>
      <c r="AC794" s="62"/>
      <c r="AD794" s="62"/>
      <c r="AE794" s="62"/>
      <c r="AF794" s="63"/>
      <c r="AG794" s="64" t="str">
        <f t="shared" si="95"/>
        <v/>
      </c>
    </row>
    <row r="795" spans="1:33" x14ac:dyDescent="0.25">
      <c r="A795" s="46" t="str">
        <f>IF(ISBLANK(inbound_data[[#This Row],[Receiving Report ref.'#]]),"",IF(inbound_data[[#This Row],[Ending Quantity]]=0,"ZERO","INV"))</f>
        <v/>
      </c>
      <c r="B795" s="165" t="str">
        <f t="shared" si="89"/>
        <v/>
      </c>
      <c r="C795" s="165" t="str">
        <f>IF(ISBLANK(D795),"",inbound_data[[#This Row],[Pallet_Series]]&amp;inbound_data[[#This Row],[No.]])</f>
        <v/>
      </c>
      <c r="D795" s="54"/>
      <c r="E795" s="55"/>
      <c r="F795" s="56"/>
      <c r="G795" s="57"/>
      <c r="H795" s="53"/>
      <c r="I795" s="53"/>
      <c r="J795" s="55"/>
      <c r="K795" s="58"/>
      <c r="L795" s="59"/>
      <c r="M795" s="55"/>
      <c r="N795" s="60"/>
      <c r="O795" s="60"/>
      <c r="P795" s="165" t="str">
        <f t="shared" ca="1" si="90"/>
        <v/>
      </c>
      <c r="Q795" s="165" t="str">
        <f t="shared" ca="1" si="91"/>
        <v/>
      </c>
      <c r="R795" s="79"/>
      <c r="S795" s="80"/>
      <c r="T795" s="61">
        <f t="shared" si="92"/>
        <v>0</v>
      </c>
      <c r="U795" s="61">
        <f t="shared" si="93"/>
        <v>0</v>
      </c>
      <c r="V795" s="61">
        <f t="shared" si="94"/>
        <v>0</v>
      </c>
      <c r="W795" s="58"/>
      <c r="X795" s="58"/>
      <c r="Y795" s="53"/>
      <c r="Z795" s="57"/>
      <c r="AA795" s="62"/>
      <c r="AB795" s="62"/>
      <c r="AC795" s="62"/>
      <c r="AD795" s="62"/>
      <c r="AE795" s="62"/>
      <c r="AF795" s="63"/>
      <c r="AG795" s="64" t="str">
        <f t="shared" si="95"/>
        <v/>
      </c>
    </row>
    <row r="796" spans="1:33" x14ac:dyDescent="0.25">
      <c r="A796" s="46" t="str">
        <f>IF(ISBLANK(inbound_data[[#This Row],[Receiving Report ref.'#]]),"",IF(inbound_data[[#This Row],[Ending Quantity]]=0,"ZERO","INV"))</f>
        <v/>
      </c>
      <c r="B796" s="165" t="str">
        <f t="shared" si="89"/>
        <v/>
      </c>
      <c r="C796" s="165" t="str">
        <f>IF(ISBLANK(D796),"",inbound_data[[#This Row],[Pallet_Series]]&amp;inbound_data[[#This Row],[No.]])</f>
        <v/>
      </c>
      <c r="D796" s="54"/>
      <c r="E796" s="55"/>
      <c r="F796" s="56"/>
      <c r="G796" s="57"/>
      <c r="H796" s="53"/>
      <c r="I796" s="53"/>
      <c r="J796" s="55"/>
      <c r="K796" s="58"/>
      <c r="L796" s="59"/>
      <c r="M796" s="55"/>
      <c r="N796" s="60"/>
      <c r="O796" s="60"/>
      <c r="P796" s="165" t="str">
        <f t="shared" ca="1" si="90"/>
        <v/>
      </c>
      <c r="Q796" s="165" t="str">
        <f t="shared" ca="1" si="91"/>
        <v/>
      </c>
      <c r="R796" s="79"/>
      <c r="S796" s="80"/>
      <c r="T796" s="61">
        <f t="shared" si="92"/>
        <v>0</v>
      </c>
      <c r="U796" s="61">
        <f t="shared" si="93"/>
        <v>0</v>
      </c>
      <c r="V796" s="61">
        <f t="shared" si="94"/>
        <v>0</v>
      </c>
      <c r="W796" s="58"/>
      <c r="X796" s="58"/>
      <c r="Y796" s="53"/>
      <c r="Z796" s="57"/>
      <c r="AA796" s="62"/>
      <c r="AB796" s="62"/>
      <c r="AC796" s="62"/>
      <c r="AD796" s="62"/>
      <c r="AE796" s="62"/>
      <c r="AF796" s="63"/>
      <c r="AG796" s="64" t="str">
        <f t="shared" si="95"/>
        <v/>
      </c>
    </row>
    <row r="797" spans="1:33" x14ac:dyDescent="0.25">
      <c r="A797" s="46" t="str">
        <f>IF(ISBLANK(inbound_data[[#This Row],[Receiving Report ref.'#]]),"",IF(inbound_data[[#This Row],[Ending Quantity]]=0,"ZERO","INV"))</f>
        <v/>
      </c>
      <c r="B797" s="165" t="str">
        <f t="shared" si="89"/>
        <v/>
      </c>
      <c r="C797" s="165" t="str">
        <f>IF(ISBLANK(D797),"",inbound_data[[#This Row],[Pallet_Series]]&amp;inbound_data[[#This Row],[No.]])</f>
        <v/>
      </c>
      <c r="D797" s="54"/>
      <c r="E797" s="55"/>
      <c r="F797" s="56"/>
      <c r="G797" s="57"/>
      <c r="H797" s="53"/>
      <c r="I797" s="53"/>
      <c r="J797" s="55"/>
      <c r="K797" s="58"/>
      <c r="L797" s="59"/>
      <c r="M797" s="55"/>
      <c r="N797" s="60"/>
      <c r="O797" s="60"/>
      <c r="P797" s="165" t="str">
        <f t="shared" ca="1" si="90"/>
        <v/>
      </c>
      <c r="Q797" s="165" t="str">
        <f t="shared" ca="1" si="91"/>
        <v/>
      </c>
      <c r="R797" s="79"/>
      <c r="S797" s="80"/>
      <c r="T797" s="61">
        <f t="shared" si="92"/>
        <v>0</v>
      </c>
      <c r="U797" s="61">
        <f t="shared" si="93"/>
        <v>0</v>
      </c>
      <c r="V797" s="61">
        <f t="shared" si="94"/>
        <v>0</v>
      </c>
      <c r="W797" s="58"/>
      <c r="X797" s="58"/>
      <c r="Y797" s="53"/>
      <c r="Z797" s="57"/>
      <c r="AA797" s="62"/>
      <c r="AB797" s="62"/>
      <c r="AC797" s="62"/>
      <c r="AD797" s="62"/>
      <c r="AE797" s="62"/>
      <c r="AF797" s="63"/>
      <c r="AG797" s="64" t="str">
        <f t="shared" si="95"/>
        <v/>
      </c>
    </row>
    <row r="798" spans="1:33" x14ac:dyDescent="0.25">
      <c r="A798" s="46" t="str">
        <f>IF(ISBLANK(inbound_data[[#This Row],[Receiving Report ref.'#]]),"",IF(inbound_data[[#This Row],[Ending Quantity]]=0,"ZERO","INV"))</f>
        <v/>
      </c>
      <c r="B798" s="165" t="str">
        <f t="shared" si="89"/>
        <v/>
      </c>
      <c r="C798" s="165" t="str">
        <f>IF(ISBLANK(D798),"",inbound_data[[#This Row],[Pallet_Series]]&amp;inbound_data[[#This Row],[No.]])</f>
        <v/>
      </c>
      <c r="D798" s="54"/>
      <c r="E798" s="55"/>
      <c r="F798" s="56"/>
      <c r="G798" s="57"/>
      <c r="H798" s="53"/>
      <c r="I798" s="53"/>
      <c r="J798" s="55"/>
      <c r="K798" s="58"/>
      <c r="L798" s="59"/>
      <c r="M798" s="55"/>
      <c r="N798" s="60"/>
      <c r="O798" s="60"/>
      <c r="P798" s="165" t="str">
        <f t="shared" ca="1" si="90"/>
        <v/>
      </c>
      <c r="Q798" s="165" t="str">
        <f t="shared" ca="1" si="91"/>
        <v/>
      </c>
      <c r="R798" s="79"/>
      <c r="S798" s="80"/>
      <c r="T798" s="61">
        <f t="shared" si="92"/>
        <v>0</v>
      </c>
      <c r="U798" s="61">
        <f t="shared" si="93"/>
        <v>0</v>
      </c>
      <c r="V798" s="61">
        <f t="shared" si="94"/>
        <v>0</v>
      </c>
      <c r="W798" s="58"/>
      <c r="X798" s="58"/>
      <c r="Y798" s="53"/>
      <c r="Z798" s="57"/>
      <c r="AA798" s="62"/>
      <c r="AB798" s="62"/>
      <c r="AC798" s="62"/>
      <c r="AD798" s="62"/>
      <c r="AE798" s="62"/>
      <c r="AF798" s="63"/>
      <c r="AG798" s="64" t="str">
        <f t="shared" si="95"/>
        <v/>
      </c>
    </row>
    <row r="799" spans="1:33" x14ac:dyDescent="0.25">
      <c r="A799" s="46" t="str">
        <f>IF(ISBLANK(inbound_data[[#This Row],[Receiving Report ref.'#]]),"",IF(inbound_data[[#This Row],[Ending Quantity]]=0,"ZERO","INV"))</f>
        <v/>
      </c>
      <c r="B799" s="165" t="str">
        <f t="shared" si="89"/>
        <v/>
      </c>
      <c r="C799" s="165" t="str">
        <f>IF(ISBLANK(D799),"",inbound_data[[#This Row],[Pallet_Series]]&amp;inbound_data[[#This Row],[No.]])</f>
        <v/>
      </c>
      <c r="D799" s="54"/>
      <c r="E799" s="55"/>
      <c r="F799" s="56"/>
      <c r="G799" s="57"/>
      <c r="H799" s="53"/>
      <c r="I799" s="53"/>
      <c r="J799" s="55"/>
      <c r="K799" s="58"/>
      <c r="L799" s="59"/>
      <c r="M799" s="55"/>
      <c r="N799" s="60"/>
      <c r="O799" s="60"/>
      <c r="P799" s="165" t="str">
        <f t="shared" ca="1" si="90"/>
        <v/>
      </c>
      <c r="Q799" s="165" t="str">
        <f t="shared" ca="1" si="91"/>
        <v/>
      </c>
      <c r="R799" s="79"/>
      <c r="S799" s="80"/>
      <c r="T799" s="61">
        <f t="shared" si="92"/>
        <v>0</v>
      </c>
      <c r="U799" s="61">
        <f t="shared" si="93"/>
        <v>0</v>
      </c>
      <c r="V799" s="61">
        <f t="shared" si="94"/>
        <v>0</v>
      </c>
      <c r="W799" s="58"/>
      <c r="X799" s="58"/>
      <c r="Y799" s="53"/>
      <c r="Z799" s="57"/>
      <c r="AA799" s="62"/>
      <c r="AB799" s="62"/>
      <c r="AC799" s="62"/>
      <c r="AD799" s="62"/>
      <c r="AE799" s="62"/>
      <c r="AF799" s="63"/>
      <c r="AG799" s="64" t="str">
        <f t="shared" si="95"/>
        <v/>
      </c>
    </row>
    <row r="800" spans="1:33" x14ac:dyDescent="0.25">
      <c r="A800" s="46" t="str">
        <f>IF(ISBLANK(inbound_data[[#This Row],[Receiving Report ref.'#]]),"",IF(inbound_data[[#This Row],[Ending Quantity]]=0,"ZERO","INV"))</f>
        <v/>
      </c>
      <c r="B800" s="165" t="str">
        <f t="shared" si="89"/>
        <v/>
      </c>
      <c r="C800" s="165" t="str">
        <f>IF(ISBLANK(D800),"",inbound_data[[#This Row],[Pallet_Series]]&amp;inbound_data[[#This Row],[No.]])</f>
        <v/>
      </c>
      <c r="D800" s="54"/>
      <c r="E800" s="55"/>
      <c r="F800" s="56"/>
      <c r="G800" s="57"/>
      <c r="H800" s="53"/>
      <c r="I800" s="53"/>
      <c r="J800" s="55"/>
      <c r="K800" s="58"/>
      <c r="L800" s="59"/>
      <c r="M800" s="55"/>
      <c r="N800" s="60"/>
      <c r="O800" s="60"/>
      <c r="P800" s="165" t="str">
        <f t="shared" ca="1" si="90"/>
        <v/>
      </c>
      <c r="Q800" s="165" t="str">
        <f t="shared" ca="1" si="91"/>
        <v/>
      </c>
      <c r="R800" s="79"/>
      <c r="S800" s="80"/>
      <c r="T800" s="61">
        <f t="shared" si="92"/>
        <v>0</v>
      </c>
      <c r="U800" s="61">
        <f t="shared" si="93"/>
        <v>0</v>
      </c>
      <c r="V800" s="61">
        <f t="shared" si="94"/>
        <v>0</v>
      </c>
      <c r="W800" s="58"/>
      <c r="X800" s="58"/>
      <c r="Y800" s="53"/>
      <c r="Z800" s="57"/>
      <c r="AA800" s="62"/>
      <c r="AB800" s="62"/>
      <c r="AC800" s="62"/>
      <c r="AD800" s="62"/>
      <c r="AE800" s="62"/>
      <c r="AF800" s="63"/>
      <c r="AG800" s="64" t="str">
        <f t="shared" si="95"/>
        <v/>
      </c>
    </row>
    <row r="801" spans="1:33" x14ac:dyDescent="0.25">
      <c r="A801" s="46" t="str">
        <f>IF(ISBLANK(inbound_data[[#This Row],[Receiving Report ref.'#]]),"",IF(inbound_data[[#This Row],[Ending Quantity]]=0,"ZERO","INV"))</f>
        <v/>
      </c>
      <c r="B801" s="165" t="str">
        <f t="shared" si="89"/>
        <v/>
      </c>
      <c r="C801" s="165" t="str">
        <f>IF(ISBLANK(D801),"",inbound_data[[#This Row],[Pallet_Series]]&amp;inbound_data[[#This Row],[No.]])</f>
        <v/>
      </c>
      <c r="D801" s="54"/>
      <c r="E801" s="55"/>
      <c r="F801" s="56"/>
      <c r="G801" s="57"/>
      <c r="H801" s="53"/>
      <c r="I801" s="53"/>
      <c r="J801" s="55"/>
      <c r="K801" s="58"/>
      <c r="L801" s="59"/>
      <c r="M801" s="55"/>
      <c r="N801" s="60"/>
      <c r="O801" s="60"/>
      <c r="P801" s="165" t="str">
        <f t="shared" ca="1" si="90"/>
        <v/>
      </c>
      <c r="Q801" s="165" t="str">
        <f t="shared" ca="1" si="91"/>
        <v/>
      </c>
      <c r="R801" s="79"/>
      <c r="S801" s="80"/>
      <c r="T801" s="61">
        <f t="shared" si="92"/>
        <v>0</v>
      </c>
      <c r="U801" s="61">
        <f t="shared" si="93"/>
        <v>0</v>
      </c>
      <c r="V801" s="61">
        <f t="shared" si="94"/>
        <v>0</v>
      </c>
      <c r="W801" s="58"/>
      <c r="X801" s="58"/>
      <c r="Y801" s="53"/>
      <c r="Z801" s="57"/>
      <c r="AA801" s="62"/>
      <c r="AB801" s="62"/>
      <c r="AC801" s="62"/>
      <c r="AD801" s="62"/>
      <c r="AE801" s="62"/>
      <c r="AF801" s="63"/>
      <c r="AG801" s="64" t="str">
        <f t="shared" si="95"/>
        <v/>
      </c>
    </row>
    <row r="802" spans="1:33" x14ac:dyDescent="0.25">
      <c r="A802" s="46" t="str">
        <f>IF(ISBLANK(inbound_data[[#This Row],[Receiving Report ref.'#]]),"",IF(inbound_data[[#This Row],[Ending Quantity]]=0,"ZERO","INV"))</f>
        <v/>
      </c>
      <c r="B802" s="165" t="str">
        <f t="shared" si="89"/>
        <v/>
      </c>
      <c r="C802" s="165" t="str">
        <f>IF(ISBLANK(D802),"",inbound_data[[#This Row],[Pallet_Series]]&amp;inbound_data[[#This Row],[No.]])</f>
        <v/>
      </c>
      <c r="D802" s="54"/>
      <c r="E802" s="55"/>
      <c r="F802" s="56"/>
      <c r="G802" s="57"/>
      <c r="H802" s="53"/>
      <c r="I802" s="53"/>
      <c r="J802" s="55"/>
      <c r="K802" s="58"/>
      <c r="L802" s="59"/>
      <c r="M802" s="55"/>
      <c r="N802" s="60"/>
      <c r="O802" s="60"/>
      <c r="P802" s="165" t="str">
        <f t="shared" ca="1" si="90"/>
        <v/>
      </c>
      <c r="Q802" s="165" t="str">
        <f t="shared" ca="1" si="91"/>
        <v/>
      </c>
      <c r="R802" s="79"/>
      <c r="S802" s="80"/>
      <c r="T802" s="61">
        <f t="shared" si="92"/>
        <v>0</v>
      </c>
      <c r="U802" s="61">
        <f t="shared" si="93"/>
        <v>0</v>
      </c>
      <c r="V802" s="61">
        <f t="shared" si="94"/>
        <v>0</v>
      </c>
      <c r="W802" s="58"/>
      <c r="X802" s="58"/>
      <c r="Y802" s="53"/>
      <c r="Z802" s="57"/>
      <c r="AA802" s="62"/>
      <c r="AB802" s="62"/>
      <c r="AC802" s="62"/>
      <c r="AD802" s="62"/>
      <c r="AE802" s="62"/>
      <c r="AF802" s="63"/>
      <c r="AG802" s="64" t="str">
        <f t="shared" si="95"/>
        <v/>
      </c>
    </row>
    <row r="803" spans="1:33" x14ac:dyDescent="0.25">
      <c r="A803" s="46" t="str">
        <f>IF(ISBLANK(inbound_data[[#This Row],[Receiving Report ref.'#]]),"",IF(inbound_data[[#This Row],[Ending Quantity]]=0,"ZERO","INV"))</f>
        <v/>
      </c>
      <c r="B803" s="165" t="str">
        <f t="shared" si="89"/>
        <v/>
      </c>
      <c r="C803" s="165" t="str">
        <f>IF(ISBLANK(D803),"",inbound_data[[#This Row],[Pallet_Series]]&amp;inbound_data[[#This Row],[No.]])</f>
        <v/>
      </c>
      <c r="D803" s="54"/>
      <c r="E803" s="55"/>
      <c r="F803" s="56"/>
      <c r="G803" s="57"/>
      <c r="H803" s="53"/>
      <c r="I803" s="53"/>
      <c r="J803" s="55"/>
      <c r="K803" s="58"/>
      <c r="L803" s="59"/>
      <c r="M803" s="55"/>
      <c r="N803" s="60"/>
      <c r="O803" s="60"/>
      <c r="P803" s="165" t="str">
        <f t="shared" ca="1" si="90"/>
        <v/>
      </c>
      <c r="Q803" s="165" t="str">
        <f t="shared" ca="1" si="91"/>
        <v/>
      </c>
      <c r="R803" s="79"/>
      <c r="S803" s="80"/>
      <c r="T803" s="61">
        <f t="shared" si="92"/>
        <v>0</v>
      </c>
      <c r="U803" s="61">
        <f t="shared" si="93"/>
        <v>0</v>
      </c>
      <c r="V803" s="61">
        <f t="shared" si="94"/>
        <v>0</v>
      </c>
      <c r="W803" s="58"/>
      <c r="X803" s="58"/>
      <c r="Y803" s="53"/>
      <c r="Z803" s="57"/>
      <c r="AA803" s="62"/>
      <c r="AB803" s="62"/>
      <c r="AC803" s="62"/>
      <c r="AD803" s="62"/>
      <c r="AE803" s="62"/>
      <c r="AF803" s="63"/>
      <c r="AG803" s="64" t="str">
        <f t="shared" si="95"/>
        <v/>
      </c>
    </row>
    <row r="804" spans="1:33" x14ac:dyDescent="0.25">
      <c r="A804" s="46" t="str">
        <f>IF(ISBLANK(inbound_data[[#This Row],[Receiving Report ref.'#]]),"",IF(inbound_data[[#This Row],[Ending Quantity]]=0,"ZERO","INV"))</f>
        <v/>
      </c>
      <c r="B804" s="165" t="str">
        <f t="shared" si="89"/>
        <v/>
      </c>
      <c r="C804" s="165" t="str">
        <f>IF(ISBLANK(D804),"",inbound_data[[#This Row],[Pallet_Series]]&amp;inbound_data[[#This Row],[No.]])</f>
        <v/>
      </c>
      <c r="D804" s="54"/>
      <c r="E804" s="55"/>
      <c r="F804" s="56"/>
      <c r="G804" s="57"/>
      <c r="H804" s="53"/>
      <c r="I804" s="53"/>
      <c r="J804" s="55"/>
      <c r="K804" s="58"/>
      <c r="L804" s="59"/>
      <c r="M804" s="55"/>
      <c r="N804" s="60"/>
      <c r="O804" s="60"/>
      <c r="P804" s="165" t="str">
        <f t="shared" ca="1" si="90"/>
        <v/>
      </c>
      <c r="Q804" s="165" t="str">
        <f t="shared" ca="1" si="91"/>
        <v/>
      </c>
      <c r="R804" s="79"/>
      <c r="S804" s="80"/>
      <c r="T804" s="61">
        <f t="shared" si="92"/>
        <v>0</v>
      </c>
      <c r="U804" s="61">
        <f t="shared" si="93"/>
        <v>0</v>
      </c>
      <c r="V804" s="61">
        <f t="shared" si="94"/>
        <v>0</v>
      </c>
      <c r="W804" s="58"/>
      <c r="X804" s="58"/>
      <c r="Y804" s="53"/>
      <c r="Z804" s="57"/>
      <c r="AA804" s="62"/>
      <c r="AB804" s="62"/>
      <c r="AC804" s="62"/>
      <c r="AD804" s="62"/>
      <c r="AE804" s="62"/>
      <c r="AF804" s="63"/>
      <c r="AG804" s="64" t="str">
        <f t="shared" si="95"/>
        <v/>
      </c>
    </row>
    <row r="805" spans="1:33" x14ac:dyDescent="0.25">
      <c r="A805" s="46" t="str">
        <f>IF(ISBLANK(inbound_data[[#This Row],[Receiving Report ref.'#]]),"",IF(inbound_data[[#This Row],[Ending Quantity]]=0,"ZERO","INV"))</f>
        <v/>
      </c>
      <c r="B805" s="165" t="str">
        <f t="shared" si="89"/>
        <v/>
      </c>
      <c r="C805" s="165" t="str">
        <f>IF(ISBLANK(D805),"",inbound_data[[#This Row],[Pallet_Series]]&amp;inbound_data[[#This Row],[No.]])</f>
        <v/>
      </c>
      <c r="D805" s="54"/>
      <c r="E805" s="55"/>
      <c r="F805" s="56"/>
      <c r="G805" s="57"/>
      <c r="H805" s="53"/>
      <c r="I805" s="53"/>
      <c r="J805" s="55"/>
      <c r="K805" s="58"/>
      <c r="L805" s="59"/>
      <c r="M805" s="55"/>
      <c r="N805" s="60"/>
      <c r="O805" s="60"/>
      <c r="P805" s="165" t="str">
        <f t="shared" ca="1" si="90"/>
        <v/>
      </c>
      <c r="Q805" s="165" t="str">
        <f t="shared" ca="1" si="91"/>
        <v/>
      </c>
      <c r="R805" s="79"/>
      <c r="S805" s="80"/>
      <c r="T805" s="61">
        <f t="shared" si="92"/>
        <v>0</v>
      </c>
      <c r="U805" s="61">
        <f t="shared" si="93"/>
        <v>0</v>
      </c>
      <c r="V805" s="61">
        <f t="shared" si="94"/>
        <v>0</v>
      </c>
      <c r="W805" s="58"/>
      <c r="X805" s="58"/>
      <c r="Y805" s="53"/>
      <c r="Z805" s="57"/>
      <c r="AA805" s="62"/>
      <c r="AB805" s="62"/>
      <c r="AC805" s="62"/>
      <c r="AD805" s="62"/>
      <c r="AE805" s="62"/>
      <c r="AF805" s="63"/>
      <c r="AG805" s="64" t="str">
        <f t="shared" si="95"/>
        <v/>
      </c>
    </row>
    <row r="806" spans="1:33" x14ac:dyDescent="0.25">
      <c r="A806" s="46" t="str">
        <f>IF(ISBLANK(inbound_data[[#This Row],[Receiving Report ref.'#]]),"",IF(inbound_data[[#This Row],[Ending Quantity]]=0,"ZERO","INV"))</f>
        <v/>
      </c>
      <c r="B806" s="165" t="str">
        <f t="shared" si="89"/>
        <v/>
      </c>
      <c r="C806" s="165" t="str">
        <f>IF(ISBLANK(D806),"",inbound_data[[#This Row],[Pallet_Series]]&amp;inbound_data[[#This Row],[No.]])</f>
        <v/>
      </c>
      <c r="D806" s="54"/>
      <c r="E806" s="55"/>
      <c r="F806" s="56"/>
      <c r="G806" s="57"/>
      <c r="H806" s="53"/>
      <c r="I806" s="53"/>
      <c r="J806" s="55"/>
      <c r="K806" s="58"/>
      <c r="L806" s="59"/>
      <c r="M806" s="55"/>
      <c r="N806" s="60"/>
      <c r="O806" s="60"/>
      <c r="P806" s="165" t="str">
        <f t="shared" ca="1" si="90"/>
        <v/>
      </c>
      <c r="Q806" s="165" t="str">
        <f t="shared" ca="1" si="91"/>
        <v/>
      </c>
      <c r="R806" s="79"/>
      <c r="S806" s="80"/>
      <c r="T806" s="61">
        <f t="shared" si="92"/>
        <v>0</v>
      </c>
      <c r="U806" s="61">
        <f t="shared" si="93"/>
        <v>0</v>
      </c>
      <c r="V806" s="61">
        <f t="shared" si="94"/>
        <v>0</v>
      </c>
      <c r="W806" s="58"/>
      <c r="X806" s="58"/>
      <c r="Y806" s="53"/>
      <c r="Z806" s="57"/>
      <c r="AA806" s="62"/>
      <c r="AB806" s="62"/>
      <c r="AC806" s="62"/>
      <c r="AD806" s="62"/>
      <c r="AE806" s="62"/>
      <c r="AF806" s="63"/>
      <c r="AG806" s="64" t="str">
        <f t="shared" si="95"/>
        <v/>
      </c>
    </row>
    <row r="807" spans="1:33" x14ac:dyDescent="0.25">
      <c r="A807" s="46" t="str">
        <f>IF(ISBLANK(inbound_data[[#This Row],[Receiving Report ref.'#]]),"",IF(inbound_data[[#This Row],[Ending Quantity]]=0,"ZERO","INV"))</f>
        <v/>
      </c>
      <c r="B807" s="165" t="str">
        <f t="shared" si="89"/>
        <v/>
      </c>
      <c r="C807" s="165" t="str">
        <f>IF(ISBLANK(D807),"",inbound_data[[#This Row],[Pallet_Series]]&amp;inbound_data[[#This Row],[No.]])</f>
        <v/>
      </c>
      <c r="D807" s="54"/>
      <c r="E807" s="55"/>
      <c r="F807" s="56"/>
      <c r="G807" s="57"/>
      <c r="H807" s="53"/>
      <c r="I807" s="53"/>
      <c r="J807" s="55"/>
      <c r="K807" s="58"/>
      <c r="L807" s="59"/>
      <c r="M807" s="55"/>
      <c r="N807" s="60"/>
      <c r="O807" s="60"/>
      <c r="P807" s="165" t="str">
        <f t="shared" ca="1" si="90"/>
        <v/>
      </c>
      <c r="Q807" s="165" t="str">
        <f t="shared" ca="1" si="91"/>
        <v/>
      </c>
      <c r="R807" s="79"/>
      <c r="S807" s="80"/>
      <c r="T807" s="61">
        <f t="shared" si="92"/>
        <v>0</v>
      </c>
      <c r="U807" s="61">
        <f t="shared" si="93"/>
        <v>0</v>
      </c>
      <c r="V807" s="61">
        <f t="shared" si="94"/>
        <v>0</v>
      </c>
      <c r="W807" s="58"/>
      <c r="X807" s="58"/>
      <c r="Y807" s="53"/>
      <c r="Z807" s="57"/>
      <c r="AA807" s="62"/>
      <c r="AB807" s="62"/>
      <c r="AC807" s="62"/>
      <c r="AD807" s="62"/>
      <c r="AE807" s="62"/>
      <c r="AF807" s="63"/>
      <c r="AG807" s="64" t="str">
        <f t="shared" si="95"/>
        <v/>
      </c>
    </row>
    <row r="808" spans="1:33" x14ac:dyDescent="0.25">
      <c r="A808" s="46" t="str">
        <f>IF(ISBLANK(inbound_data[[#This Row],[Receiving Report ref.'#]]),"",IF(inbound_data[[#This Row],[Ending Quantity]]=0,"ZERO","INV"))</f>
        <v/>
      </c>
      <c r="B808" s="165" t="str">
        <f t="shared" si="89"/>
        <v/>
      </c>
      <c r="C808" s="165" t="str">
        <f>IF(ISBLANK(D808),"",inbound_data[[#This Row],[Pallet_Series]]&amp;inbound_data[[#This Row],[No.]])</f>
        <v/>
      </c>
      <c r="D808" s="54"/>
      <c r="E808" s="55"/>
      <c r="F808" s="56"/>
      <c r="G808" s="57"/>
      <c r="H808" s="53"/>
      <c r="I808" s="53"/>
      <c r="J808" s="55"/>
      <c r="K808" s="58"/>
      <c r="L808" s="59"/>
      <c r="M808" s="55"/>
      <c r="N808" s="60"/>
      <c r="O808" s="60"/>
      <c r="P808" s="165" t="str">
        <f t="shared" ca="1" si="90"/>
        <v/>
      </c>
      <c r="Q808" s="165" t="str">
        <f t="shared" ca="1" si="91"/>
        <v/>
      </c>
      <c r="R808" s="79"/>
      <c r="S808" s="80"/>
      <c r="T808" s="61">
        <f t="shared" si="92"/>
        <v>0</v>
      </c>
      <c r="U808" s="61">
        <f t="shared" si="93"/>
        <v>0</v>
      </c>
      <c r="V808" s="61">
        <f t="shared" si="94"/>
        <v>0</v>
      </c>
      <c r="W808" s="58"/>
      <c r="X808" s="58"/>
      <c r="Y808" s="53"/>
      <c r="Z808" s="57"/>
      <c r="AA808" s="62"/>
      <c r="AB808" s="62"/>
      <c r="AC808" s="62"/>
      <c r="AD808" s="62"/>
      <c r="AE808" s="62"/>
      <c r="AF808" s="63"/>
      <c r="AG808" s="64" t="str">
        <f t="shared" si="95"/>
        <v/>
      </c>
    </row>
    <row r="809" spans="1:33" x14ac:dyDescent="0.25">
      <c r="A809" s="46" t="str">
        <f>IF(ISBLANK(inbound_data[[#This Row],[Receiving Report ref.'#]]),"",IF(inbound_data[[#This Row],[Ending Quantity]]=0,"ZERO","INV"))</f>
        <v/>
      </c>
      <c r="B809" s="165" t="str">
        <f t="shared" si="89"/>
        <v/>
      </c>
      <c r="C809" s="165" t="str">
        <f>IF(ISBLANK(D809),"",inbound_data[[#This Row],[Pallet_Series]]&amp;inbound_data[[#This Row],[No.]])</f>
        <v/>
      </c>
      <c r="D809" s="54"/>
      <c r="E809" s="55"/>
      <c r="F809" s="56"/>
      <c r="G809" s="57"/>
      <c r="H809" s="53"/>
      <c r="I809" s="53"/>
      <c r="J809" s="55"/>
      <c r="K809" s="58"/>
      <c r="L809" s="59"/>
      <c r="M809" s="55"/>
      <c r="N809" s="60"/>
      <c r="O809" s="60"/>
      <c r="P809" s="165" t="str">
        <f t="shared" ca="1" si="90"/>
        <v/>
      </c>
      <c r="Q809" s="165" t="str">
        <f t="shared" ca="1" si="91"/>
        <v/>
      </c>
      <c r="R809" s="79"/>
      <c r="S809" s="80"/>
      <c r="T809" s="61">
        <f t="shared" si="92"/>
        <v>0</v>
      </c>
      <c r="U809" s="61">
        <f t="shared" si="93"/>
        <v>0</v>
      </c>
      <c r="V809" s="61">
        <f t="shared" si="94"/>
        <v>0</v>
      </c>
      <c r="W809" s="58"/>
      <c r="X809" s="58"/>
      <c r="Y809" s="53"/>
      <c r="Z809" s="57"/>
      <c r="AA809" s="62"/>
      <c r="AB809" s="62"/>
      <c r="AC809" s="62"/>
      <c r="AD809" s="62"/>
      <c r="AE809" s="62"/>
      <c r="AF809" s="63"/>
      <c r="AG809" s="64" t="str">
        <f t="shared" si="95"/>
        <v/>
      </c>
    </row>
    <row r="810" spans="1:33" x14ac:dyDescent="0.25">
      <c r="A810" s="46" t="str">
        <f>IF(ISBLANK(inbound_data[[#This Row],[Receiving Report ref.'#]]),"",IF(inbound_data[[#This Row],[Ending Quantity]]=0,"ZERO","INV"))</f>
        <v/>
      </c>
      <c r="B810" s="165" t="str">
        <f t="shared" si="89"/>
        <v/>
      </c>
      <c r="C810" s="165" t="str">
        <f>IF(ISBLANK(D810),"",inbound_data[[#This Row],[Pallet_Series]]&amp;inbound_data[[#This Row],[No.]])</f>
        <v/>
      </c>
      <c r="D810" s="54"/>
      <c r="E810" s="55"/>
      <c r="F810" s="56"/>
      <c r="G810" s="57"/>
      <c r="H810" s="53"/>
      <c r="I810" s="53"/>
      <c r="J810" s="55"/>
      <c r="K810" s="58"/>
      <c r="L810" s="59"/>
      <c r="M810" s="55"/>
      <c r="N810" s="60"/>
      <c r="O810" s="60"/>
      <c r="P810" s="165" t="str">
        <f t="shared" ca="1" si="90"/>
        <v/>
      </c>
      <c r="Q810" s="165" t="str">
        <f t="shared" ca="1" si="91"/>
        <v/>
      </c>
      <c r="R810" s="79"/>
      <c r="S810" s="80"/>
      <c r="T810" s="61">
        <f t="shared" si="92"/>
        <v>0</v>
      </c>
      <c r="U810" s="61">
        <f t="shared" si="93"/>
        <v>0</v>
      </c>
      <c r="V810" s="61">
        <f t="shared" si="94"/>
        <v>0</v>
      </c>
      <c r="W810" s="58"/>
      <c r="X810" s="58"/>
      <c r="Y810" s="53"/>
      <c r="Z810" s="57"/>
      <c r="AA810" s="62"/>
      <c r="AB810" s="62"/>
      <c r="AC810" s="62"/>
      <c r="AD810" s="62"/>
      <c r="AE810" s="62"/>
      <c r="AF810" s="63"/>
      <c r="AG810" s="64" t="str">
        <f t="shared" si="95"/>
        <v/>
      </c>
    </row>
    <row r="811" spans="1:33" x14ac:dyDescent="0.25">
      <c r="A811" s="46" t="str">
        <f>IF(ISBLANK(inbound_data[[#This Row],[Receiving Report ref.'#]]),"",IF(inbound_data[[#This Row],[Ending Quantity]]=0,"ZERO","INV"))</f>
        <v/>
      </c>
      <c r="B811" s="165" t="str">
        <f t="shared" si="89"/>
        <v/>
      </c>
      <c r="C811" s="165" t="str">
        <f>IF(ISBLANK(D811),"",inbound_data[[#This Row],[Pallet_Series]]&amp;inbound_data[[#This Row],[No.]])</f>
        <v/>
      </c>
      <c r="D811" s="54"/>
      <c r="E811" s="55"/>
      <c r="F811" s="56"/>
      <c r="G811" s="57"/>
      <c r="H811" s="53"/>
      <c r="I811" s="53"/>
      <c r="J811" s="55"/>
      <c r="K811" s="58"/>
      <c r="L811" s="59"/>
      <c r="M811" s="55"/>
      <c r="N811" s="60"/>
      <c r="O811" s="60"/>
      <c r="P811" s="165" t="str">
        <f t="shared" ca="1" si="90"/>
        <v/>
      </c>
      <c r="Q811" s="165" t="str">
        <f t="shared" ca="1" si="91"/>
        <v/>
      </c>
      <c r="R811" s="79"/>
      <c r="S811" s="80"/>
      <c r="T811" s="61">
        <f t="shared" si="92"/>
        <v>0</v>
      </c>
      <c r="U811" s="61">
        <f t="shared" si="93"/>
        <v>0</v>
      </c>
      <c r="V811" s="61">
        <f t="shared" si="94"/>
        <v>0</v>
      </c>
      <c r="W811" s="58"/>
      <c r="X811" s="58"/>
      <c r="Y811" s="53"/>
      <c r="Z811" s="57"/>
      <c r="AA811" s="62"/>
      <c r="AB811" s="62"/>
      <c r="AC811" s="62"/>
      <c r="AD811" s="62"/>
      <c r="AE811" s="62"/>
      <c r="AF811" s="63"/>
      <c r="AG811" s="64" t="str">
        <f t="shared" si="95"/>
        <v/>
      </c>
    </row>
    <row r="812" spans="1:33" x14ac:dyDescent="0.25">
      <c r="A812" s="46" t="str">
        <f>IF(ISBLANK(inbound_data[[#This Row],[Receiving Report ref.'#]]),"",IF(inbound_data[[#This Row],[Ending Quantity]]=0,"ZERO","INV"))</f>
        <v/>
      </c>
      <c r="B812" s="165" t="str">
        <f t="shared" si="89"/>
        <v/>
      </c>
      <c r="C812" s="165" t="str">
        <f>IF(ISBLANK(D812),"",inbound_data[[#This Row],[Pallet_Series]]&amp;inbound_data[[#This Row],[No.]])</f>
        <v/>
      </c>
      <c r="D812" s="54"/>
      <c r="E812" s="55"/>
      <c r="F812" s="56"/>
      <c r="G812" s="57"/>
      <c r="H812" s="53"/>
      <c r="I812" s="53"/>
      <c r="J812" s="55"/>
      <c r="K812" s="58"/>
      <c r="L812" s="59"/>
      <c r="M812" s="55"/>
      <c r="N812" s="60"/>
      <c r="O812" s="60"/>
      <c r="P812" s="165" t="str">
        <f t="shared" ca="1" si="90"/>
        <v/>
      </c>
      <c r="Q812" s="165" t="str">
        <f t="shared" ca="1" si="91"/>
        <v/>
      </c>
      <c r="R812" s="79"/>
      <c r="S812" s="80"/>
      <c r="T812" s="61">
        <f t="shared" si="92"/>
        <v>0</v>
      </c>
      <c r="U812" s="61">
        <f t="shared" si="93"/>
        <v>0</v>
      </c>
      <c r="V812" s="61">
        <f t="shared" si="94"/>
        <v>0</v>
      </c>
      <c r="W812" s="58"/>
      <c r="X812" s="58"/>
      <c r="Y812" s="53"/>
      <c r="Z812" s="57"/>
      <c r="AA812" s="62"/>
      <c r="AB812" s="62"/>
      <c r="AC812" s="62"/>
      <c r="AD812" s="62"/>
      <c r="AE812" s="62"/>
      <c r="AF812" s="63"/>
      <c r="AG812" s="64" t="str">
        <f t="shared" si="95"/>
        <v/>
      </c>
    </row>
    <row r="813" spans="1:33" x14ac:dyDescent="0.25">
      <c r="A813" s="46" t="str">
        <f>IF(ISBLANK(inbound_data[[#This Row],[Receiving Report ref.'#]]),"",IF(inbound_data[[#This Row],[Ending Quantity]]=0,"ZERO","INV"))</f>
        <v/>
      </c>
      <c r="B813" s="165" t="str">
        <f t="shared" si="89"/>
        <v/>
      </c>
      <c r="C813" s="165" t="str">
        <f>IF(ISBLANK(D813),"",inbound_data[[#This Row],[Pallet_Series]]&amp;inbound_data[[#This Row],[No.]])</f>
        <v/>
      </c>
      <c r="D813" s="54"/>
      <c r="E813" s="55"/>
      <c r="F813" s="56"/>
      <c r="G813" s="57"/>
      <c r="H813" s="53"/>
      <c r="I813" s="53"/>
      <c r="J813" s="55"/>
      <c r="K813" s="58"/>
      <c r="L813" s="59"/>
      <c r="M813" s="55"/>
      <c r="N813" s="60"/>
      <c r="O813" s="60"/>
      <c r="P813" s="165" t="str">
        <f t="shared" ca="1" si="90"/>
        <v/>
      </c>
      <c r="Q813" s="165" t="str">
        <f t="shared" ca="1" si="91"/>
        <v/>
      </c>
      <c r="R813" s="79"/>
      <c r="S813" s="80"/>
      <c r="T813" s="61">
        <f t="shared" si="92"/>
        <v>0</v>
      </c>
      <c r="U813" s="61">
        <f t="shared" si="93"/>
        <v>0</v>
      </c>
      <c r="V813" s="61">
        <f t="shared" si="94"/>
        <v>0</v>
      </c>
      <c r="W813" s="58"/>
      <c r="X813" s="58"/>
      <c r="Y813" s="53"/>
      <c r="Z813" s="57"/>
      <c r="AA813" s="62"/>
      <c r="AB813" s="62"/>
      <c r="AC813" s="62"/>
      <c r="AD813" s="62"/>
      <c r="AE813" s="62"/>
      <c r="AF813" s="63"/>
      <c r="AG813" s="64" t="str">
        <f t="shared" si="95"/>
        <v/>
      </c>
    </row>
    <row r="814" spans="1:33" x14ac:dyDescent="0.25">
      <c r="A814" s="46" t="str">
        <f>IF(ISBLANK(inbound_data[[#This Row],[Receiving Report ref.'#]]),"",IF(inbound_data[[#This Row],[Ending Quantity]]=0,"ZERO","INV"))</f>
        <v/>
      </c>
      <c r="B814" s="165" t="str">
        <f t="shared" si="89"/>
        <v/>
      </c>
      <c r="C814" s="165" t="str">
        <f>IF(ISBLANK(D814),"",inbound_data[[#This Row],[Pallet_Series]]&amp;inbound_data[[#This Row],[No.]])</f>
        <v/>
      </c>
      <c r="D814" s="54"/>
      <c r="E814" s="55"/>
      <c r="F814" s="56"/>
      <c r="G814" s="57"/>
      <c r="H814" s="53"/>
      <c r="I814" s="53"/>
      <c r="J814" s="55"/>
      <c r="K814" s="58"/>
      <c r="L814" s="59"/>
      <c r="M814" s="55"/>
      <c r="N814" s="60"/>
      <c r="O814" s="60"/>
      <c r="P814" s="165" t="str">
        <f t="shared" ca="1" si="90"/>
        <v/>
      </c>
      <c r="Q814" s="165" t="str">
        <f t="shared" ca="1" si="91"/>
        <v/>
      </c>
      <c r="R814" s="79"/>
      <c r="S814" s="80"/>
      <c r="T814" s="61">
        <f t="shared" si="92"/>
        <v>0</v>
      </c>
      <c r="U814" s="61">
        <f t="shared" si="93"/>
        <v>0</v>
      </c>
      <c r="V814" s="61">
        <f t="shared" si="94"/>
        <v>0</v>
      </c>
      <c r="W814" s="58"/>
      <c r="X814" s="58"/>
      <c r="Y814" s="53"/>
      <c r="Z814" s="57"/>
      <c r="AA814" s="62"/>
      <c r="AB814" s="62"/>
      <c r="AC814" s="62"/>
      <c r="AD814" s="62"/>
      <c r="AE814" s="62"/>
      <c r="AF814" s="63"/>
      <c r="AG814" s="64" t="str">
        <f t="shared" si="95"/>
        <v/>
      </c>
    </row>
    <row r="815" spans="1:33" x14ac:dyDescent="0.25">
      <c r="A815" s="46" t="str">
        <f>IF(ISBLANK(inbound_data[[#This Row],[Receiving Report ref.'#]]),"",IF(inbound_data[[#This Row],[Ending Quantity]]=0,"ZERO","INV"))</f>
        <v/>
      </c>
      <c r="B815" s="165" t="str">
        <f t="shared" si="89"/>
        <v/>
      </c>
      <c r="C815" s="165" t="str">
        <f>IF(ISBLANK(D815),"",inbound_data[[#This Row],[Pallet_Series]]&amp;inbound_data[[#This Row],[No.]])</f>
        <v/>
      </c>
      <c r="D815" s="54"/>
      <c r="E815" s="55"/>
      <c r="F815" s="56"/>
      <c r="G815" s="57"/>
      <c r="H815" s="53"/>
      <c r="I815" s="53"/>
      <c r="J815" s="55"/>
      <c r="K815" s="58"/>
      <c r="L815" s="59"/>
      <c r="M815" s="55"/>
      <c r="N815" s="60"/>
      <c r="O815" s="60"/>
      <c r="P815" s="165" t="str">
        <f t="shared" ca="1" si="90"/>
        <v/>
      </c>
      <c r="Q815" s="165" t="str">
        <f t="shared" ca="1" si="91"/>
        <v/>
      </c>
      <c r="R815" s="79"/>
      <c r="S815" s="80"/>
      <c r="T815" s="61">
        <f t="shared" si="92"/>
        <v>0</v>
      </c>
      <c r="U815" s="61">
        <f t="shared" si="93"/>
        <v>0</v>
      </c>
      <c r="V815" s="61">
        <f t="shared" si="94"/>
        <v>0</v>
      </c>
      <c r="W815" s="58"/>
      <c r="X815" s="58"/>
      <c r="Y815" s="53"/>
      <c r="Z815" s="57"/>
      <c r="AA815" s="62"/>
      <c r="AB815" s="62"/>
      <c r="AC815" s="62"/>
      <c r="AD815" s="62"/>
      <c r="AE815" s="62"/>
      <c r="AF815" s="63"/>
      <c r="AG815" s="64" t="str">
        <f t="shared" si="95"/>
        <v/>
      </c>
    </row>
    <row r="816" spans="1:33" x14ac:dyDescent="0.25">
      <c r="A816" s="46" t="str">
        <f>IF(ISBLANK(inbound_data[[#This Row],[Receiving Report ref.'#]]),"",IF(inbound_data[[#This Row],[Ending Quantity]]=0,"ZERO","INV"))</f>
        <v/>
      </c>
      <c r="B816" s="165" t="str">
        <f t="shared" si="89"/>
        <v/>
      </c>
      <c r="C816" s="165" t="str">
        <f>IF(ISBLANK(D816),"",inbound_data[[#This Row],[Pallet_Series]]&amp;inbound_data[[#This Row],[No.]])</f>
        <v/>
      </c>
      <c r="D816" s="54"/>
      <c r="E816" s="55"/>
      <c r="F816" s="56"/>
      <c r="G816" s="57"/>
      <c r="H816" s="53"/>
      <c r="I816" s="53"/>
      <c r="J816" s="55"/>
      <c r="K816" s="58"/>
      <c r="L816" s="59"/>
      <c r="M816" s="55"/>
      <c r="N816" s="60"/>
      <c r="O816" s="60"/>
      <c r="P816" s="165" t="str">
        <f t="shared" ca="1" si="90"/>
        <v/>
      </c>
      <c r="Q816" s="165" t="str">
        <f t="shared" ca="1" si="91"/>
        <v/>
      </c>
      <c r="R816" s="79"/>
      <c r="S816" s="80"/>
      <c r="T816" s="61">
        <f t="shared" si="92"/>
        <v>0</v>
      </c>
      <c r="U816" s="61">
        <f t="shared" si="93"/>
        <v>0</v>
      </c>
      <c r="V816" s="61">
        <f t="shared" si="94"/>
        <v>0</v>
      </c>
      <c r="W816" s="58"/>
      <c r="X816" s="58"/>
      <c r="Y816" s="53"/>
      <c r="Z816" s="57"/>
      <c r="AA816" s="62"/>
      <c r="AB816" s="62"/>
      <c r="AC816" s="62"/>
      <c r="AD816" s="62"/>
      <c r="AE816" s="62"/>
      <c r="AF816" s="63"/>
      <c r="AG816" s="64" t="str">
        <f t="shared" si="95"/>
        <v/>
      </c>
    </row>
    <row r="817" spans="1:33" x14ac:dyDescent="0.25">
      <c r="A817" s="46" t="str">
        <f>IF(ISBLANK(inbound_data[[#This Row],[Receiving Report ref.'#]]),"",IF(inbound_data[[#This Row],[Ending Quantity]]=0,"ZERO","INV"))</f>
        <v/>
      </c>
      <c r="B817" s="165" t="str">
        <f t="shared" si="89"/>
        <v/>
      </c>
      <c r="C817" s="165" t="str">
        <f>IF(ISBLANK(D817),"",inbound_data[[#This Row],[Pallet_Series]]&amp;inbound_data[[#This Row],[No.]])</f>
        <v/>
      </c>
      <c r="D817" s="54"/>
      <c r="E817" s="55"/>
      <c r="F817" s="56"/>
      <c r="G817" s="57"/>
      <c r="H817" s="53"/>
      <c r="I817" s="53"/>
      <c r="J817" s="55"/>
      <c r="K817" s="58"/>
      <c r="L817" s="59"/>
      <c r="M817" s="55"/>
      <c r="N817" s="60"/>
      <c r="O817" s="60"/>
      <c r="P817" s="165" t="str">
        <f t="shared" ca="1" si="90"/>
        <v/>
      </c>
      <c r="Q817" s="165" t="str">
        <f t="shared" ca="1" si="91"/>
        <v/>
      </c>
      <c r="R817" s="79"/>
      <c r="S817" s="80"/>
      <c r="T817" s="61">
        <f t="shared" si="92"/>
        <v>0</v>
      </c>
      <c r="U817" s="61">
        <f t="shared" si="93"/>
        <v>0</v>
      </c>
      <c r="V817" s="61">
        <f t="shared" si="94"/>
        <v>0</v>
      </c>
      <c r="W817" s="58"/>
      <c r="X817" s="58"/>
      <c r="Y817" s="53"/>
      <c r="Z817" s="57"/>
      <c r="AA817" s="62"/>
      <c r="AB817" s="62"/>
      <c r="AC817" s="62"/>
      <c r="AD817" s="62"/>
      <c r="AE817" s="62"/>
      <c r="AF817" s="63"/>
      <c r="AG817" s="64" t="str">
        <f t="shared" si="95"/>
        <v/>
      </c>
    </row>
    <row r="818" spans="1:33" x14ac:dyDescent="0.25">
      <c r="A818" s="46" t="str">
        <f>IF(ISBLANK(inbound_data[[#This Row],[Receiving Report ref.'#]]),"",IF(inbound_data[[#This Row],[Ending Quantity]]=0,"ZERO","INV"))</f>
        <v/>
      </c>
      <c r="B818" s="165" t="str">
        <f t="shared" si="89"/>
        <v/>
      </c>
      <c r="C818" s="165" t="str">
        <f>IF(ISBLANK(D818),"",inbound_data[[#This Row],[Pallet_Series]]&amp;inbound_data[[#This Row],[No.]])</f>
        <v/>
      </c>
      <c r="D818" s="54"/>
      <c r="E818" s="55"/>
      <c r="F818" s="56"/>
      <c r="G818" s="57"/>
      <c r="H818" s="53"/>
      <c r="I818" s="53"/>
      <c r="J818" s="55"/>
      <c r="K818" s="58"/>
      <c r="L818" s="59"/>
      <c r="M818" s="55"/>
      <c r="N818" s="60"/>
      <c r="O818" s="60"/>
      <c r="P818" s="165" t="str">
        <f t="shared" ca="1" si="90"/>
        <v/>
      </c>
      <c r="Q818" s="165" t="str">
        <f t="shared" ca="1" si="91"/>
        <v/>
      </c>
      <c r="R818" s="79"/>
      <c r="S818" s="80"/>
      <c r="T818" s="61">
        <f t="shared" si="92"/>
        <v>0</v>
      </c>
      <c r="U818" s="61">
        <f t="shared" si="93"/>
        <v>0</v>
      </c>
      <c r="V818" s="61">
        <f t="shared" si="94"/>
        <v>0</v>
      </c>
      <c r="W818" s="58"/>
      <c r="X818" s="58"/>
      <c r="Y818" s="53"/>
      <c r="Z818" s="57"/>
      <c r="AA818" s="62"/>
      <c r="AB818" s="62"/>
      <c r="AC818" s="62"/>
      <c r="AD818" s="62"/>
      <c r="AE818" s="62"/>
      <c r="AF818" s="63"/>
      <c r="AG818" s="64" t="str">
        <f t="shared" si="95"/>
        <v/>
      </c>
    </row>
    <row r="819" spans="1:33" x14ac:dyDescent="0.25">
      <c r="A819" s="46" t="str">
        <f>IF(ISBLANK(inbound_data[[#This Row],[Receiving Report ref.'#]]),"",IF(inbound_data[[#This Row],[Ending Quantity]]=0,"ZERO","INV"))</f>
        <v/>
      </c>
      <c r="B819" s="165" t="str">
        <f t="shared" si="89"/>
        <v/>
      </c>
      <c r="C819" s="165" t="str">
        <f>IF(ISBLANK(D819),"",inbound_data[[#This Row],[Pallet_Series]]&amp;inbound_data[[#This Row],[No.]])</f>
        <v/>
      </c>
      <c r="D819" s="54"/>
      <c r="E819" s="55"/>
      <c r="F819" s="56"/>
      <c r="G819" s="57"/>
      <c r="H819" s="53"/>
      <c r="I819" s="53"/>
      <c r="J819" s="55"/>
      <c r="K819" s="58"/>
      <c r="L819" s="59"/>
      <c r="M819" s="55"/>
      <c r="N819" s="60"/>
      <c r="O819" s="60"/>
      <c r="P819" s="165" t="str">
        <f t="shared" ca="1" si="90"/>
        <v/>
      </c>
      <c r="Q819" s="165" t="str">
        <f t="shared" ca="1" si="91"/>
        <v/>
      </c>
      <c r="R819" s="79"/>
      <c r="S819" s="80"/>
      <c r="T819" s="61">
        <f t="shared" si="92"/>
        <v>0</v>
      </c>
      <c r="U819" s="61">
        <f t="shared" si="93"/>
        <v>0</v>
      </c>
      <c r="V819" s="61">
        <f t="shared" si="94"/>
        <v>0</v>
      </c>
      <c r="W819" s="58"/>
      <c r="X819" s="58"/>
      <c r="Y819" s="53"/>
      <c r="Z819" s="57"/>
      <c r="AA819" s="62"/>
      <c r="AB819" s="62"/>
      <c r="AC819" s="62"/>
      <c r="AD819" s="62"/>
      <c r="AE819" s="62"/>
      <c r="AF819" s="63"/>
      <c r="AG819" s="64" t="str">
        <f t="shared" si="95"/>
        <v/>
      </c>
    </row>
    <row r="820" spans="1:33" x14ac:dyDescent="0.25">
      <c r="A820" s="46" t="str">
        <f>IF(ISBLANK(inbound_data[[#This Row],[Receiving Report ref.'#]]),"",IF(inbound_data[[#This Row],[Ending Quantity]]=0,"ZERO","INV"))</f>
        <v/>
      </c>
      <c r="B820" s="165" t="str">
        <f t="shared" si="89"/>
        <v/>
      </c>
      <c r="C820" s="165" t="str">
        <f>IF(ISBLANK(D820),"",inbound_data[[#This Row],[Pallet_Series]]&amp;inbound_data[[#This Row],[No.]])</f>
        <v/>
      </c>
      <c r="D820" s="54"/>
      <c r="E820" s="55"/>
      <c r="F820" s="56"/>
      <c r="G820" s="57"/>
      <c r="H820" s="53"/>
      <c r="I820" s="53"/>
      <c r="J820" s="55"/>
      <c r="K820" s="58"/>
      <c r="L820" s="59"/>
      <c r="M820" s="55"/>
      <c r="N820" s="60"/>
      <c r="O820" s="60"/>
      <c r="P820" s="165" t="str">
        <f t="shared" ca="1" si="90"/>
        <v/>
      </c>
      <c r="Q820" s="165" t="str">
        <f t="shared" ca="1" si="91"/>
        <v/>
      </c>
      <c r="R820" s="79"/>
      <c r="S820" s="80"/>
      <c r="T820" s="61">
        <f t="shared" si="92"/>
        <v>0</v>
      </c>
      <c r="U820" s="61">
        <f t="shared" si="93"/>
        <v>0</v>
      </c>
      <c r="V820" s="61">
        <f t="shared" si="94"/>
        <v>0</v>
      </c>
      <c r="W820" s="58"/>
      <c r="X820" s="58"/>
      <c r="Y820" s="53"/>
      <c r="Z820" s="57"/>
      <c r="AA820" s="62"/>
      <c r="AB820" s="62"/>
      <c r="AC820" s="62"/>
      <c r="AD820" s="62"/>
      <c r="AE820" s="62"/>
      <c r="AF820" s="63"/>
      <c r="AG820" s="64" t="str">
        <f t="shared" si="95"/>
        <v/>
      </c>
    </row>
    <row r="821" spans="1:33" x14ac:dyDescent="0.25">
      <c r="A821" s="46" t="str">
        <f>IF(ISBLANK(inbound_data[[#This Row],[Receiving Report ref.'#]]),"",IF(inbound_data[[#This Row],[Ending Quantity]]=0,"ZERO","INV"))</f>
        <v/>
      </c>
      <c r="B821" s="165" t="str">
        <f t="shared" si="89"/>
        <v/>
      </c>
      <c r="C821" s="165" t="str">
        <f>IF(ISBLANK(D821),"",inbound_data[[#This Row],[Pallet_Series]]&amp;inbound_data[[#This Row],[No.]])</f>
        <v/>
      </c>
      <c r="D821" s="54"/>
      <c r="E821" s="55"/>
      <c r="F821" s="56"/>
      <c r="G821" s="57"/>
      <c r="H821" s="53"/>
      <c r="I821" s="53"/>
      <c r="J821" s="55"/>
      <c r="K821" s="58"/>
      <c r="L821" s="59"/>
      <c r="M821" s="55"/>
      <c r="N821" s="60"/>
      <c r="O821" s="60"/>
      <c r="P821" s="165" t="str">
        <f t="shared" ca="1" si="90"/>
        <v/>
      </c>
      <c r="Q821" s="165" t="str">
        <f t="shared" ca="1" si="91"/>
        <v/>
      </c>
      <c r="R821" s="79"/>
      <c r="S821" s="80"/>
      <c r="T821" s="61">
        <f t="shared" si="92"/>
        <v>0</v>
      </c>
      <c r="U821" s="61">
        <f t="shared" si="93"/>
        <v>0</v>
      </c>
      <c r="V821" s="61">
        <f t="shared" si="94"/>
        <v>0</v>
      </c>
      <c r="W821" s="58"/>
      <c r="X821" s="58"/>
      <c r="Y821" s="53"/>
      <c r="Z821" s="57"/>
      <c r="AA821" s="62"/>
      <c r="AB821" s="62"/>
      <c r="AC821" s="62"/>
      <c r="AD821" s="62"/>
      <c r="AE821" s="62"/>
      <c r="AF821" s="63"/>
      <c r="AG821" s="64" t="str">
        <f t="shared" si="95"/>
        <v/>
      </c>
    </row>
    <row r="822" spans="1:33" x14ac:dyDescent="0.25">
      <c r="A822" s="46" t="str">
        <f>IF(ISBLANK(inbound_data[[#This Row],[Receiving Report ref.'#]]),"",IF(inbound_data[[#This Row],[Ending Quantity]]=0,"ZERO","INV"))</f>
        <v/>
      </c>
      <c r="B822" s="165" t="str">
        <f t="shared" si="89"/>
        <v/>
      </c>
      <c r="C822" s="165" t="str">
        <f>IF(ISBLANK(D822),"",inbound_data[[#This Row],[Pallet_Series]]&amp;inbound_data[[#This Row],[No.]])</f>
        <v/>
      </c>
      <c r="D822" s="54"/>
      <c r="E822" s="55"/>
      <c r="F822" s="56"/>
      <c r="G822" s="57"/>
      <c r="H822" s="53"/>
      <c r="I822" s="53"/>
      <c r="J822" s="55"/>
      <c r="K822" s="58"/>
      <c r="L822" s="59"/>
      <c r="M822" s="55"/>
      <c r="N822" s="60"/>
      <c r="O822" s="60"/>
      <c r="P822" s="165" t="str">
        <f t="shared" ca="1" si="90"/>
        <v/>
      </c>
      <c r="Q822" s="165" t="str">
        <f t="shared" ca="1" si="91"/>
        <v/>
      </c>
      <c r="R822" s="79"/>
      <c r="S822" s="80"/>
      <c r="T822" s="61">
        <f t="shared" si="92"/>
        <v>0</v>
      </c>
      <c r="U822" s="61">
        <f t="shared" si="93"/>
        <v>0</v>
      </c>
      <c r="V822" s="61">
        <f t="shared" si="94"/>
        <v>0</v>
      </c>
      <c r="W822" s="58"/>
      <c r="X822" s="58"/>
      <c r="Y822" s="53"/>
      <c r="Z822" s="57"/>
      <c r="AA822" s="62"/>
      <c r="AB822" s="62"/>
      <c r="AC822" s="62"/>
      <c r="AD822" s="62"/>
      <c r="AE822" s="62"/>
      <c r="AF822" s="63"/>
      <c r="AG822" s="64" t="str">
        <f t="shared" si="95"/>
        <v/>
      </c>
    </row>
    <row r="823" spans="1:33" x14ac:dyDescent="0.25">
      <c r="A823" s="46" t="str">
        <f>IF(ISBLANK(inbound_data[[#This Row],[Receiving Report ref.'#]]),"",IF(inbound_data[[#This Row],[Ending Quantity]]=0,"ZERO","INV"))</f>
        <v/>
      </c>
      <c r="B823" s="165" t="str">
        <f t="shared" si="89"/>
        <v/>
      </c>
      <c r="C823" s="165" t="str">
        <f>IF(ISBLANK(D823),"",inbound_data[[#This Row],[Pallet_Series]]&amp;inbound_data[[#This Row],[No.]])</f>
        <v/>
      </c>
      <c r="D823" s="54"/>
      <c r="E823" s="55"/>
      <c r="F823" s="56"/>
      <c r="G823" s="57"/>
      <c r="H823" s="53"/>
      <c r="I823" s="53"/>
      <c r="J823" s="55"/>
      <c r="K823" s="58"/>
      <c r="L823" s="59"/>
      <c r="M823" s="55"/>
      <c r="N823" s="60"/>
      <c r="O823" s="60"/>
      <c r="P823" s="165" t="str">
        <f t="shared" ca="1" si="90"/>
        <v/>
      </c>
      <c r="Q823" s="165" t="str">
        <f t="shared" ca="1" si="91"/>
        <v/>
      </c>
      <c r="R823" s="79"/>
      <c r="S823" s="80"/>
      <c r="T823" s="61">
        <f t="shared" si="92"/>
        <v>0</v>
      </c>
      <c r="U823" s="61">
        <f t="shared" si="93"/>
        <v>0</v>
      </c>
      <c r="V823" s="61">
        <f t="shared" si="94"/>
        <v>0</v>
      </c>
      <c r="W823" s="58"/>
      <c r="X823" s="58"/>
      <c r="Y823" s="53"/>
      <c r="Z823" s="57"/>
      <c r="AA823" s="62"/>
      <c r="AB823" s="62"/>
      <c r="AC823" s="62"/>
      <c r="AD823" s="62"/>
      <c r="AE823" s="62"/>
      <c r="AF823" s="63"/>
      <c r="AG823" s="64" t="str">
        <f t="shared" si="95"/>
        <v/>
      </c>
    </row>
    <row r="824" spans="1:33" x14ac:dyDescent="0.25">
      <c r="A824" s="46" t="str">
        <f>IF(ISBLANK(inbound_data[[#This Row],[Receiving Report ref.'#]]),"",IF(inbound_data[[#This Row],[Ending Quantity]]=0,"ZERO","INV"))</f>
        <v/>
      </c>
      <c r="B824" s="165" t="str">
        <f t="shared" si="89"/>
        <v/>
      </c>
      <c r="C824" s="165" t="str">
        <f>IF(ISBLANK(D824),"",inbound_data[[#This Row],[Pallet_Series]]&amp;inbound_data[[#This Row],[No.]])</f>
        <v/>
      </c>
      <c r="D824" s="54"/>
      <c r="E824" s="55"/>
      <c r="F824" s="56"/>
      <c r="G824" s="57"/>
      <c r="H824" s="53"/>
      <c r="I824" s="53"/>
      <c r="J824" s="55"/>
      <c r="K824" s="58"/>
      <c r="L824" s="59"/>
      <c r="M824" s="55"/>
      <c r="N824" s="60"/>
      <c r="O824" s="60"/>
      <c r="P824" s="165" t="str">
        <f t="shared" ca="1" si="90"/>
        <v/>
      </c>
      <c r="Q824" s="165" t="str">
        <f t="shared" ca="1" si="91"/>
        <v/>
      </c>
      <c r="R824" s="79"/>
      <c r="S824" s="80"/>
      <c r="T824" s="61">
        <f t="shared" si="92"/>
        <v>0</v>
      </c>
      <c r="U824" s="61">
        <f t="shared" si="93"/>
        <v>0</v>
      </c>
      <c r="V824" s="61">
        <f t="shared" si="94"/>
        <v>0</v>
      </c>
      <c r="W824" s="58"/>
      <c r="X824" s="58"/>
      <c r="Y824" s="53"/>
      <c r="Z824" s="57"/>
      <c r="AA824" s="62"/>
      <c r="AB824" s="62"/>
      <c r="AC824" s="62"/>
      <c r="AD824" s="62"/>
      <c r="AE824" s="62"/>
      <c r="AF824" s="63"/>
      <c r="AG824" s="64" t="str">
        <f t="shared" si="95"/>
        <v/>
      </c>
    </row>
    <row r="825" spans="1:33" x14ac:dyDescent="0.25">
      <c r="A825" s="46" t="str">
        <f>IF(ISBLANK(inbound_data[[#This Row],[Receiving Report ref.'#]]),"",IF(inbound_data[[#This Row],[Ending Quantity]]=0,"ZERO","INV"))</f>
        <v/>
      </c>
      <c r="B825" s="165" t="str">
        <f t="shared" si="89"/>
        <v/>
      </c>
      <c r="C825" s="165" t="str">
        <f>IF(ISBLANK(D825),"",inbound_data[[#This Row],[Pallet_Series]]&amp;inbound_data[[#This Row],[No.]])</f>
        <v/>
      </c>
      <c r="D825" s="54"/>
      <c r="E825" s="55"/>
      <c r="F825" s="56"/>
      <c r="G825" s="57"/>
      <c r="H825" s="53"/>
      <c r="I825" s="53"/>
      <c r="J825" s="55"/>
      <c r="K825" s="58"/>
      <c r="L825" s="59"/>
      <c r="M825" s="55"/>
      <c r="N825" s="60"/>
      <c r="O825" s="60"/>
      <c r="P825" s="165" t="str">
        <f t="shared" ca="1" si="90"/>
        <v/>
      </c>
      <c r="Q825" s="165" t="str">
        <f t="shared" ca="1" si="91"/>
        <v/>
      </c>
      <c r="R825" s="79"/>
      <c r="S825" s="80"/>
      <c r="T825" s="61">
        <f t="shared" si="92"/>
        <v>0</v>
      </c>
      <c r="U825" s="61">
        <f t="shared" si="93"/>
        <v>0</v>
      </c>
      <c r="V825" s="61">
        <f t="shared" si="94"/>
        <v>0</v>
      </c>
      <c r="W825" s="58"/>
      <c r="X825" s="58"/>
      <c r="Y825" s="53"/>
      <c r="Z825" s="57"/>
      <c r="AA825" s="62"/>
      <c r="AB825" s="62"/>
      <c r="AC825" s="62"/>
      <c r="AD825" s="62"/>
      <c r="AE825" s="62"/>
      <c r="AF825" s="63"/>
      <c r="AG825" s="64" t="str">
        <f t="shared" si="95"/>
        <v/>
      </c>
    </row>
    <row r="826" spans="1:33" x14ac:dyDescent="0.25">
      <c r="A826" s="46" t="str">
        <f>IF(ISBLANK(inbound_data[[#This Row],[Receiving Report ref.'#]]),"",IF(inbound_data[[#This Row],[Ending Quantity]]=0,"ZERO","INV"))</f>
        <v/>
      </c>
      <c r="B826" s="165" t="str">
        <f t="shared" si="89"/>
        <v/>
      </c>
      <c r="C826" s="165" t="str">
        <f>IF(ISBLANK(D826),"",inbound_data[[#This Row],[Pallet_Series]]&amp;inbound_data[[#This Row],[No.]])</f>
        <v/>
      </c>
      <c r="D826" s="54"/>
      <c r="E826" s="55"/>
      <c r="F826" s="56"/>
      <c r="G826" s="57"/>
      <c r="H826" s="53"/>
      <c r="I826" s="53"/>
      <c r="J826" s="55"/>
      <c r="K826" s="58"/>
      <c r="L826" s="59"/>
      <c r="M826" s="55"/>
      <c r="N826" s="60"/>
      <c r="O826" s="60"/>
      <c r="P826" s="165" t="str">
        <f t="shared" ca="1" si="90"/>
        <v/>
      </c>
      <c r="Q826" s="165" t="str">
        <f t="shared" ca="1" si="91"/>
        <v/>
      </c>
      <c r="R826" s="79"/>
      <c r="S826" s="80"/>
      <c r="T826" s="61">
        <f t="shared" si="92"/>
        <v>0</v>
      </c>
      <c r="U826" s="61">
        <f t="shared" si="93"/>
        <v>0</v>
      </c>
      <c r="V826" s="61">
        <f t="shared" si="94"/>
        <v>0</v>
      </c>
      <c r="W826" s="58"/>
      <c r="X826" s="58"/>
      <c r="Y826" s="53"/>
      <c r="Z826" s="57"/>
      <c r="AA826" s="62"/>
      <c r="AB826" s="62"/>
      <c r="AC826" s="62"/>
      <c r="AD826" s="62"/>
      <c r="AE826" s="62"/>
      <c r="AF826" s="63"/>
      <c r="AG826" s="64" t="str">
        <f t="shared" si="95"/>
        <v/>
      </c>
    </row>
    <row r="827" spans="1:33" x14ac:dyDescent="0.25">
      <c r="A827" s="46" t="str">
        <f>IF(ISBLANK(inbound_data[[#This Row],[Receiving Report ref.'#]]),"",IF(inbound_data[[#This Row],[Ending Quantity]]=0,"ZERO","INV"))</f>
        <v/>
      </c>
      <c r="B827" s="165" t="str">
        <f t="shared" si="89"/>
        <v/>
      </c>
      <c r="C827" s="165" t="str">
        <f>IF(ISBLANK(D827),"",inbound_data[[#This Row],[Pallet_Series]]&amp;inbound_data[[#This Row],[No.]])</f>
        <v/>
      </c>
      <c r="D827" s="54"/>
      <c r="E827" s="55"/>
      <c r="F827" s="56"/>
      <c r="G827" s="57"/>
      <c r="H827" s="53"/>
      <c r="I827" s="53"/>
      <c r="J827" s="55"/>
      <c r="K827" s="58"/>
      <c r="L827" s="59"/>
      <c r="M827" s="55"/>
      <c r="N827" s="60"/>
      <c r="O827" s="60"/>
      <c r="P827" s="165" t="str">
        <f t="shared" ca="1" si="90"/>
        <v/>
      </c>
      <c r="Q827" s="165" t="str">
        <f t="shared" ca="1" si="91"/>
        <v/>
      </c>
      <c r="R827" s="79"/>
      <c r="S827" s="80"/>
      <c r="T827" s="61">
        <f t="shared" si="92"/>
        <v>0</v>
      </c>
      <c r="U827" s="61">
        <f t="shared" si="93"/>
        <v>0</v>
      </c>
      <c r="V827" s="61">
        <f t="shared" si="94"/>
        <v>0</v>
      </c>
      <c r="W827" s="58"/>
      <c r="X827" s="58"/>
      <c r="Y827" s="53"/>
      <c r="Z827" s="57"/>
      <c r="AA827" s="62"/>
      <c r="AB827" s="62"/>
      <c r="AC827" s="62"/>
      <c r="AD827" s="62"/>
      <c r="AE827" s="62"/>
      <c r="AF827" s="63"/>
      <c r="AG827" s="64" t="str">
        <f t="shared" si="95"/>
        <v/>
      </c>
    </row>
    <row r="828" spans="1:33" x14ac:dyDescent="0.25">
      <c r="A828" s="46" t="str">
        <f>IF(ISBLANK(inbound_data[[#This Row],[Receiving Report ref.'#]]),"",IF(inbound_data[[#This Row],[Ending Quantity]]=0,"ZERO","INV"))</f>
        <v/>
      </c>
      <c r="B828" s="165" t="str">
        <f t="shared" si="89"/>
        <v/>
      </c>
      <c r="C828" s="165" t="str">
        <f>IF(ISBLANK(D828),"",inbound_data[[#This Row],[Pallet_Series]]&amp;inbound_data[[#This Row],[No.]])</f>
        <v/>
      </c>
      <c r="D828" s="54"/>
      <c r="E828" s="55"/>
      <c r="F828" s="56"/>
      <c r="G828" s="57"/>
      <c r="H828" s="53"/>
      <c r="I828" s="53"/>
      <c r="J828" s="55"/>
      <c r="K828" s="58"/>
      <c r="L828" s="59"/>
      <c r="M828" s="55"/>
      <c r="N828" s="60"/>
      <c r="O828" s="60"/>
      <c r="P828" s="165" t="str">
        <f t="shared" ca="1" si="90"/>
        <v/>
      </c>
      <c r="Q828" s="165" t="str">
        <f t="shared" ca="1" si="91"/>
        <v/>
      </c>
      <c r="R828" s="79"/>
      <c r="S828" s="80"/>
      <c r="T828" s="61">
        <f t="shared" si="92"/>
        <v>0</v>
      </c>
      <c r="U828" s="61">
        <f t="shared" si="93"/>
        <v>0</v>
      </c>
      <c r="V828" s="61">
        <f t="shared" si="94"/>
        <v>0</v>
      </c>
      <c r="W828" s="58"/>
      <c r="X828" s="58"/>
      <c r="Y828" s="53"/>
      <c r="Z828" s="57"/>
      <c r="AA828" s="62"/>
      <c r="AB828" s="62"/>
      <c r="AC828" s="62"/>
      <c r="AD828" s="62"/>
      <c r="AE828" s="62"/>
      <c r="AF828" s="63"/>
      <c r="AG828" s="64" t="str">
        <f t="shared" si="95"/>
        <v/>
      </c>
    </row>
    <row r="829" spans="1:33" x14ac:dyDescent="0.25">
      <c r="A829" s="46" t="str">
        <f>IF(ISBLANK(inbound_data[[#This Row],[Receiving Report ref.'#]]),"",IF(inbound_data[[#This Row],[Ending Quantity]]=0,"ZERO","INV"))</f>
        <v/>
      </c>
      <c r="B829" s="165" t="str">
        <f t="shared" si="89"/>
        <v/>
      </c>
      <c r="C829" s="165" t="str">
        <f>IF(ISBLANK(D829),"",inbound_data[[#This Row],[Pallet_Series]]&amp;inbound_data[[#This Row],[No.]])</f>
        <v/>
      </c>
      <c r="D829" s="54"/>
      <c r="E829" s="55"/>
      <c r="F829" s="56"/>
      <c r="G829" s="57"/>
      <c r="H829" s="53"/>
      <c r="I829" s="53"/>
      <c r="J829" s="55"/>
      <c r="K829" s="58"/>
      <c r="L829" s="59"/>
      <c r="M829" s="55"/>
      <c r="N829" s="60"/>
      <c r="O829" s="60"/>
      <c r="P829" s="165" t="str">
        <f t="shared" ca="1" si="90"/>
        <v/>
      </c>
      <c r="Q829" s="165" t="str">
        <f t="shared" ca="1" si="91"/>
        <v/>
      </c>
      <c r="R829" s="79"/>
      <c r="S829" s="80"/>
      <c r="T829" s="61">
        <f t="shared" si="92"/>
        <v>0</v>
      </c>
      <c r="U829" s="61">
        <f t="shared" si="93"/>
        <v>0</v>
      </c>
      <c r="V829" s="61">
        <f t="shared" si="94"/>
        <v>0</v>
      </c>
      <c r="W829" s="58"/>
      <c r="X829" s="58"/>
      <c r="Y829" s="53"/>
      <c r="Z829" s="57"/>
      <c r="AA829" s="62"/>
      <c r="AB829" s="62"/>
      <c r="AC829" s="62"/>
      <c r="AD829" s="62"/>
      <c r="AE829" s="62"/>
      <c r="AF829" s="63"/>
      <c r="AG829" s="64" t="str">
        <f t="shared" si="95"/>
        <v/>
      </c>
    </row>
    <row r="830" spans="1:33" x14ac:dyDescent="0.25">
      <c r="A830" s="46" t="str">
        <f>IF(ISBLANK(inbound_data[[#This Row],[Receiving Report ref.'#]]),"",IF(inbound_data[[#This Row],[Ending Quantity]]=0,"ZERO","INV"))</f>
        <v/>
      </c>
      <c r="B830" s="165" t="str">
        <f t="shared" si="89"/>
        <v/>
      </c>
      <c r="C830" s="165" t="str">
        <f>IF(ISBLANK(D830),"",inbound_data[[#This Row],[Pallet_Series]]&amp;inbound_data[[#This Row],[No.]])</f>
        <v/>
      </c>
      <c r="D830" s="54"/>
      <c r="E830" s="55"/>
      <c r="F830" s="56"/>
      <c r="G830" s="57"/>
      <c r="H830" s="53"/>
      <c r="I830" s="53"/>
      <c r="J830" s="55"/>
      <c r="K830" s="58"/>
      <c r="L830" s="59"/>
      <c r="M830" s="55"/>
      <c r="N830" s="60"/>
      <c r="O830" s="60"/>
      <c r="P830" s="165" t="str">
        <f t="shared" ca="1" si="90"/>
        <v/>
      </c>
      <c r="Q830" s="165" t="str">
        <f t="shared" ca="1" si="91"/>
        <v/>
      </c>
      <c r="R830" s="79"/>
      <c r="S830" s="80"/>
      <c r="T830" s="61">
        <f t="shared" si="92"/>
        <v>0</v>
      </c>
      <c r="U830" s="61">
        <f t="shared" si="93"/>
        <v>0</v>
      </c>
      <c r="V830" s="61">
        <f t="shared" si="94"/>
        <v>0</v>
      </c>
      <c r="W830" s="58"/>
      <c r="X830" s="58"/>
      <c r="Y830" s="53"/>
      <c r="Z830" s="57"/>
      <c r="AA830" s="62"/>
      <c r="AB830" s="62"/>
      <c r="AC830" s="62"/>
      <c r="AD830" s="62"/>
      <c r="AE830" s="62"/>
      <c r="AF830" s="63"/>
      <c r="AG830" s="64" t="str">
        <f t="shared" si="95"/>
        <v/>
      </c>
    </row>
    <row r="831" spans="1:33" x14ac:dyDescent="0.25">
      <c r="A831" s="46" t="str">
        <f>IF(ISBLANK(inbound_data[[#This Row],[Receiving Report ref.'#]]),"",IF(inbound_data[[#This Row],[Ending Quantity]]=0,"ZERO","INV"))</f>
        <v/>
      </c>
      <c r="B831" s="165" t="str">
        <f t="shared" si="89"/>
        <v/>
      </c>
      <c r="C831" s="165" t="str">
        <f>IF(ISBLANK(D831),"",inbound_data[[#This Row],[Pallet_Series]]&amp;inbound_data[[#This Row],[No.]])</f>
        <v/>
      </c>
      <c r="D831" s="54"/>
      <c r="E831" s="55"/>
      <c r="F831" s="56"/>
      <c r="G831" s="57"/>
      <c r="H831" s="53"/>
      <c r="I831" s="53"/>
      <c r="J831" s="55"/>
      <c r="K831" s="58"/>
      <c r="L831" s="59"/>
      <c r="M831" s="55"/>
      <c r="N831" s="60"/>
      <c r="O831" s="60"/>
      <c r="P831" s="165" t="str">
        <f t="shared" ca="1" si="90"/>
        <v/>
      </c>
      <c r="Q831" s="165" t="str">
        <f t="shared" ca="1" si="91"/>
        <v/>
      </c>
      <c r="R831" s="79"/>
      <c r="S831" s="80"/>
      <c r="T831" s="61">
        <f t="shared" si="92"/>
        <v>0</v>
      </c>
      <c r="U831" s="61">
        <f t="shared" si="93"/>
        <v>0</v>
      </c>
      <c r="V831" s="61">
        <f t="shared" si="94"/>
        <v>0</v>
      </c>
      <c r="W831" s="58"/>
      <c r="X831" s="58"/>
      <c r="Y831" s="53"/>
      <c r="Z831" s="57"/>
      <c r="AA831" s="62"/>
      <c r="AB831" s="62"/>
      <c r="AC831" s="62"/>
      <c r="AD831" s="62"/>
      <c r="AE831" s="62"/>
      <c r="AF831" s="63"/>
      <c r="AG831" s="64" t="str">
        <f t="shared" si="95"/>
        <v/>
      </c>
    </row>
    <row r="832" spans="1:33" x14ac:dyDescent="0.25">
      <c r="A832" s="46" t="str">
        <f>IF(ISBLANK(inbound_data[[#This Row],[Receiving Report ref.'#]]),"",IF(inbound_data[[#This Row],[Ending Quantity]]=0,"ZERO","INV"))</f>
        <v/>
      </c>
      <c r="B832" s="165" t="str">
        <f t="shared" si="89"/>
        <v/>
      </c>
      <c r="C832" s="165" t="str">
        <f>IF(ISBLANK(D832),"",inbound_data[[#This Row],[Pallet_Series]]&amp;inbound_data[[#This Row],[No.]])</f>
        <v/>
      </c>
      <c r="D832" s="54"/>
      <c r="E832" s="55"/>
      <c r="F832" s="56"/>
      <c r="G832" s="57"/>
      <c r="H832" s="53"/>
      <c r="I832" s="53"/>
      <c r="J832" s="55"/>
      <c r="K832" s="58"/>
      <c r="L832" s="59"/>
      <c r="M832" s="55"/>
      <c r="N832" s="60"/>
      <c r="O832" s="60"/>
      <c r="P832" s="165" t="str">
        <f t="shared" ca="1" si="90"/>
        <v/>
      </c>
      <c r="Q832" s="165" t="str">
        <f t="shared" ca="1" si="91"/>
        <v/>
      </c>
      <c r="R832" s="79"/>
      <c r="S832" s="80"/>
      <c r="T832" s="61">
        <f t="shared" si="92"/>
        <v>0</v>
      </c>
      <c r="U832" s="61">
        <f t="shared" si="93"/>
        <v>0</v>
      </c>
      <c r="V832" s="61">
        <f t="shared" si="94"/>
        <v>0</v>
      </c>
      <c r="W832" s="58"/>
      <c r="X832" s="58"/>
      <c r="Y832" s="53"/>
      <c r="Z832" s="57"/>
      <c r="AA832" s="62"/>
      <c r="AB832" s="62"/>
      <c r="AC832" s="62"/>
      <c r="AD832" s="62"/>
      <c r="AE832" s="62"/>
      <c r="AF832" s="63"/>
      <c r="AG832" s="64" t="str">
        <f t="shared" si="95"/>
        <v/>
      </c>
    </row>
    <row r="833" spans="1:33" x14ac:dyDescent="0.25">
      <c r="A833" s="46" t="str">
        <f>IF(ISBLANK(inbound_data[[#This Row],[Receiving Report ref.'#]]),"",IF(inbound_data[[#This Row],[Ending Quantity]]=0,"ZERO","INV"))</f>
        <v/>
      </c>
      <c r="B833" s="165" t="str">
        <f t="shared" si="89"/>
        <v/>
      </c>
      <c r="C833" s="165" t="str">
        <f>IF(ISBLANK(D833),"",inbound_data[[#This Row],[Pallet_Series]]&amp;inbound_data[[#This Row],[No.]])</f>
        <v/>
      </c>
      <c r="D833" s="54"/>
      <c r="E833" s="55"/>
      <c r="F833" s="56"/>
      <c r="G833" s="57"/>
      <c r="H833" s="53"/>
      <c r="I833" s="53"/>
      <c r="J833" s="55"/>
      <c r="K833" s="58"/>
      <c r="L833" s="59"/>
      <c r="M833" s="55"/>
      <c r="N833" s="60"/>
      <c r="O833" s="60"/>
      <c r="P833" s="165" t="str">
        <f t="shared" ca="1" si="90"/>
        <v/>
      </c>
      <c r="Q833" s="165" t="str">
        <f t="shared" ca="1" si="91"/>
        <v/>
      </c>
      <c r="R833" s="79"/>
      <c r="S833" s="80"/>
      <c r="T833" s="61">
        <f t="shared" si="92"/>
        <v>0</v>
      </c>
      <c r="U833" s="61">
        <f t="shared" si="93"/>
        <v>0</v>
      </c>
      <c r="V833" s="61">
        <f t="shared" si="94"/>
        <v>0</v>
      </c>
      <c r="W833" s="58"/>
      <c r="X833" s="58"/>
      <c r="Y833" s="53"/>
      <c r="Z833" s="57"/>
      <c r="AA833" s="62"/>
      <c r="AB833" s="62"/>
      <c r="AC833" s="62"/>
      <c r="AD833" s="62"/>
      <c r="AE833" s="62"/>
      <c r="AF833" s="63"/>
      <c r="AG833" s="64" t="str">
        <f t="shared" si="95"/>
        <v/>
      </c>
    </row>
    <row r="834" spans="1:33" x14ac:dyDescent="0.25">
      <c r="A834" s="46" t="str">
        <f>IF(ISBLANK(inbound_data[[#This Row],[Receiving Report ref.'#]]),"",IF(inbound_data[[#This Row],[Ending Quantity]]=0,"ZERO","INV"))</f>
        <v/>
      </c>
      <c r="B834" s="165" t="str">
        <f t="shared" si="89"/>
        <v/>
      </c>
      <c r="C834" s="165" t="str">
        <f>IF(ISBLANK(D834),"",inbound_data[[#This Row],[Pallet_Series]]&amp;inbound_data[[#This Row],[No.]])</f>
        <v/>
      </c>
      <c r="D834" s="54"/>
      <c r="E834" s="55"/>
      <c r="F834" s="56"/>
      <c r="G834" s="57"/>
      <c r="H834" s="53"/>
      <c r="I834" s="53"/>
      <c r="J834" s="55"/>
      <c r="K834" s="58"/>
      <c r="L834" s="59"/>
      <c r="M834" s="55"/>
      <c r="N834" s="60"/>
      <c r="O834" s="60"/>
      <c r="P834" s="165" t="str">
        <f t="shared" ca="1" si="90"/>
        <v/>
      </c>
      <c r="Q834" s="165" t="str">
        <f t="shared" ca="1" si="91"/>
        <v/>
      </c>
      <c r="R834" s="79"/>
      <c r="S834" s="80"/>
      <c r="T834" s="61">
        <f t="shared" si="92"/>
        <v>0</v>
      </c>
      <c r="U834" s="61">
        <f t="shared" si="93"/>
        <v>0</v>
      </c>
      <c r="V834" s="61">
        <f t="shared" si="94"/>
        <v>0</v>
      </c>
      <c r="W834" s="58"/>
      <c r="X834" s="58"/>
      <c r="Y834" s="53"/>
      <c r="Z834" s="57"/>
      <c r="AA834" s="62"/>
      <c r="AB834" s="62"/>
      <c r="AC834" s="62"/>
      <c r="AD834" s="62"/>
      <c r="AE834" s="62"/>
      <c r="AF834" s="63"/>
      <c r="AG834" s="64" t="str">
        <f t="shared" si="95"/>
        <v/>
      </c>
    </row>
    <row r="835" spans="1:33" x14ac:dyDescent="0.25">
      <c r="A835" s="46" t="str">
        <f>IF(ISBLANK(inbound_data[[#This Row],[Receiving Report ref.'#]]),"",IF(inbound_data[[#This Row],[Ending Quantity]]=0,"ZERO","INV"))</f>
        <v/>
      </c>
      <c r="B835" s="165" t="str">
        <f t="shared" si="89"/>
        <v/>
      </c>
      <c r="C835" s="165" t="str">
        <f>IF(ISBLANK(D835),"",inbound_data[[#This Row],[Pallet_Series]]&amp;inbound_data[[#This Row],[No.]])</f>
        <v/>
      </c>
      <c r="D835" s="54"/>
      <c r="E835" s="55"/>
      <c r="F835" s="56"/>
      <c r="G835" s="57"/>
      <c r="H835" s="53"/>
      <c r="I835" s="53"/>
      <c r="J835" s="55"/>
      <c r="K835" s="58"/>
      <c r="L835" s="59"/>
      <c r="M835" s="55"/>
      <c r="N835" s="60"/>
      <c r="O835" s="60"/>
      <c r="P835" s="165" t="str">
        <f t="shared" ca="1" si="90"/>
        <v/>
      </c>
      <c r="Q835" s="165" t="str">
        <f t="shared" ca="1" si="91"/>
        <v/>
      </c>
      <c r="R835" s="79"/>
      <c r="S835" s="80"/>
      <c r="T835" s="61">
        <f t="shared" si="92"/>
        <v>0</v>
      </c>
      <c r="U835" s="61">
        <f t="shared" si="93"/>
        <v>0</v>
      </c>
      <c r="V835" s="61">
        <f t="shared" si="94"/>
        <v>0</v>
      </c>
      <c r="W835" s="58"/>
      <c r="X835" s="58"/>
      <c r="Y835" s="53"/>
      <c r="Z835" s="57"/>
      <c r="AA835" s="62"/>
      <c r="AB835" s="62"/>
      <c r="AC835" s="62"/>
      <c r="AD835" s="62"/>
      <c r="AE835" s="62"/>
      <c r="AF835" s="63"/>
      <c r="AG835" s="64" t="str">
        <f t="shared" si="95"/>
        <v/>
      </c>
    </row>
    <row r="836" spans="1:33" x14ac:dyDescent="0.25">
      <c r="A836" s="46" t="str">
        <f>IF(ISBLANK(inbound_data[[#This Row],[Receiving Report ref.'#]]),"",IF(inbound_data[[#This Row],[Ending Quantity]]=0,"ZERO","INV"))</f>
        <v/>
      </c>
      <c r="B836" s="165" t="str">
        <f t="shared" si="89"/>
        <v/>
      </c>
      <c r="C836" s="165" t="str">
        <f>IF(ISBLANK(D836),"",inbound_data[[#This Row],[Pallet_Series]]&amp;inbound_data[[#This Row],[No.]])</f>
        <v/>
      </c>
      <c r="D836" s="54"/>
      <c r="E836" s="55"/>
      <c r="F836" s="56"/>
      <c r="G836" s="57"/>
      <c r="H836" s="53"/>
      <c r="I836" s="53"/>
      <c r="J836" s="55"/>
      <c r="K836" s="58"/>
      <c r="L836" s="59"/>
      <c r="M836" s="55"/>
      <c r="N836" s="60"/>
      <c r="O836" s="60"/>
      <c r="P836" s="165" t="str">
        <f t="shared" ca="1" si="90"/>
        <v/>
      </c>
      <c r="Q836" s="165" t="str">
        <f t="shared" ca="1" si="91"/>
        <v/>
      </c>
      <c r="R836" s="79"/>
      <c r="S836" s="80"/>
      <c r="T836" s="61">
        <f t="shared" si="92"/>
        <v>0</v>
      </c>
      <c r="U836" s="61">
        <f t="shared" si="93"/>
        <v>0</v>
      </c>
      <c r="V836" s="61">
        <f t="shared" si="94"/>
        <v>0</v>
      </c>
      <c r="W836" s="58"/>
      <c r="X836" s="58"/>
      <c r="Y836" s="53"/>
      <c r="Z836" s="57"/>
      <c r="AA836" s="62"/>
      <c r="AB836" s="62"/>
      <c r="AC836" s="62"/>
      <c r="AD836" s="62"/>
      <c r="AE836" s="62"/>
      <c r="AF836" s="63"/>
      <c r="AG836" s="64" t="str">
        <f t="shared" si="95"/>
        <v/>
      </c>
    </row>
    <row r="837" spans="1:33" x14ac:dyDescent="0.25">
      <c r="A837" s="46" t="str">
        <f>IF(ISBLANK(inbound_data[[#This Row],[Receiving Report ref.'#]]),"",IF(inbound_data[[#This Row],[Ending Quantity]]=0,"ZERO","INV"))</f>
        <v/>
      </c>
      <c r="B837" s="165" t="str">
        <f t="shared" si="89"/>
        <v/>
      </c>
      <c r="C837" s="165" t="str">
        <f>IF(ISBLANK(D837),"",inbound_data[[#This Row],[Pallet_Series]]&amp;inbound_data[[#This Row],[No.]])</f>
        <v/>
      </c>
      <c r="D837" s="54"/>
      <c r="E837" s="55"/>
      <c r="F837" s="56"/>
      <c r="G837" s="57"/>
      <c r="H837" s="53"/>
      <c r="I837" s="53"/>
      <c r="J837" s="55"/>
      <c r="K837" s="58"/>
      <c r="L837" s="59"/>
      <c r="M837" s="55"/>
      <c r="N837" s="60"/>
      <c r="O837" s="60"/>
      <c r="P837" s="165" t="str">
        <f t="shared" ca="1" si="90"/>
        <v/>
      </c>
      <c r="Q837" s="165" t="str">
        <f t="shared" ca="1" si="91"/>
        <v/>
      </c>
      <c r="R837" s="79"/>
      <c r="S837" s="80"/>
      <c r="T837" s="61">
        <f t="shared" si="92"/>
        <v>0</v>
      </c>
      <c r="U837" s="61">
        <f t="shared" si="93"/>
        <v>0</v>
      </c>
      <c r="V837" s="61">
        <f t="shared" si="94"/>
        <v>0</v>
      </c>
      <c r="W837" s="58"/>
      <c r="X837" s="58"/>
      <c r="Y837" s="53"/>
      <c r="Z837" s="57"/>
      <c r="AA837" s="62"/>
      <c r="AB837" s="62"/>
      <c r="AC837" s="62"/>
      <c r="AD837" s="62"/>
      <c r="AE837" s="62"/>
      <c r="AF837" s="63"/>
      <c r="AG837" s="64" t="str">
        <f t="shared" si="95"/>
        <v/>
      </c>
    </row>
    <row r="838" spans="1:33" x14ac:dyDescent="0.25">
      <c r="A838" s="46" t="str">
        <f>IF(ISBLANK(inbound_data[[#This Row],[Receiving Report ref.'#]]),"",IF(inbound_data[[#This Row],[Ending Quantity]]=0,"ZERO","INV"))</f>
        <v/>
      </c>
      <c r="B838" s="165" t="str">
        <f t="shared" si="89"/>
        <v/>
      </c>
      <c r="C838" s="165" t="str">
        <f>IF(ISBLANK(D838),"",inbound_data[[#This Row],[Pallet_Series]]&amp;inbound_data[[#This Row],[No.]])</f>
        <v/>
      </c>
      <c r="D838" s="54"/>
      <c r="E838" s="55"/>
      <c r="F838" s="56"/>
      <c r="G838" s="57"/>
      <c r="H838" s="53"/>
      <c r="I838" s="53"/>
      <c r="J838" s="55"/>
      <c r="K838" s="58"/>
      <c r="L838" s="59"/>
      <c r="M838" s="55"/>
      <c r="N838" s="60"/>
      <c r="O838" s="60"/>
      <c r="P838" s="165" t="str">
        <f t="shared" ca="1" si="90"/>
        <v/>
      </c>
      <c r="Q838" s="165" t="str">
        <f t="shared" ca="1" si="91"/>
        <v/>
      </c>
      <c r="R838" s="79"/>
      <c r="S838" s="80"/>
      <c r="T838" s="61">
        <f t="shared" si="92"/>
        <v>0</v>
      </c>
      <c r="U838" s="61">
        <f t="shared" si="93"/>
        <v>0</v>
      </c>
      <c r="V838" s="61">
        <f t="shared" si="94"/>
        <v>0</v>
      </c>
      <c r="W838" s="58"/>
      <c r="X838" s="58"/>
      <c r="Y838" s="53"/>
      <c r="Z838" s="57"/>
      <c r="AA838" s="62"/>
      <c r="AB838" s="62"/>
      <c r="AC838" s="62"/>
      <c r="AD838" s="62"/>
      <c r="AE838" s="62"/>
      <c r="AF838" s="63"/>
      <c r="AG838" s="64" t="str">
        <f t="shared" si="95"/>
        <v/>
      </c>
    </row>
    <row r="839" spans="1:33" x14ac:dyDescent="0.25">
      <c r="A839" s="46" t="str">
        <f>IF(ISBLANK(inbound_data[[#This Row],[Receiving Report ref.'#]]),"",IF(inbound_data[[#This Row],[Ending Quantity]]=0,"ZERO","INV"))</f>
        <v/>
      </c>
      <c r="B839" s="165" t="str">
        <f t="shared" si="89"/>
        <v/>
      </c>
      <c r="C839" s="165" t="str">
        <f>IF(ISBLANK(D839),"",inbound_data[[#This Row],[Pallet_Series]]&amp;inbound_data[[#This Row],[No.]])</f>
        <v/>
      </c>
      <c r="D839" s="54"/>
      <c r="E839" s="55"/>
      <c r="F839" s="56"/>
      <c r="G839" s="57"/>
      <c r="H839" s="53"/>
      <c r="I839" s="53"/>
      <c r="J839" s="55"/>
      <c r="K839" s="58"/>
      <c r="L839" s="59"/>
      <c r="M839" s="55"/>
      <c r="N839" s="60"/>
      <c r="O839" s="60"/>
      <c r="P839" s="165" t="str">
        <f t="shared" ca="1" si="90"/>
        <v/>
      </c>
      <c r="Q839" s="165" t="str">
        <f t="shared" ca="1" si="91"/>
        <v/>
      </c>
      <c r="R839" s="79"/>
      <c r="S839" s="80"/>
      <c r="T839" s="61">
        <f t="shared" si="92"/>
        <v>0</v>
      </c>
      <c r="U839" s="61">
        <f t="shared" si="93"/>
        <v>0</v>
      </c>
      <c r="V839" s="61">
        <f t="shared" si="94"/>
        <v>0</v>
      </c>
      <c r="W839" s="58"/>
      <c r="X839" s="58"/>
      <c r="Y839" s="53"/>
      <c r="Z839" s="57"/>
      <c r="AA839" s="62"/>
      <c r="AB839" s="62"/>
      <c r="AC839" s="62"/>
      <c r="AD839" s="62"/>
      <c r="AE839" s="62"/>
      <c r="AF839" s="63"/>
      <c r="AG839" s="64" t="str">
        <f t="shared" si="95"/>
        <v/>
      </c>
    </row>
    <row r="840" spans="1:33" x14ac:dyDescent="0.25">
      <c r="A840" s="46" t="str">
        <f>IF(ISBLANK(inbound_data[[#This Row],[Receiving Report ref.'#]]),"",IF(inbound_data[[#This Row],[Ending Quantity]]=0,"ZERO","INV"))</f>
        <v/>
      </c>
      <c r="B840" s="165" t="str">
        <f t="shared" si="89"/>
        <v/>
      </c>
      <c r="C840" s="165" t="str">
        <f>IF(ISBLANK(D840),"",inbound_data[[#This Row],[Pallet_Series]]&amp;inbound_data[[#This Row],[No.]])</f>
        <v/>
      </c>
      <c r="D840" s="54"/>
      <c r="E840" s="55"/>
      <c r="F840" s="56"/>
      <c r="G840" s="57"/>
      <c r="H840" s="53"/>
      <c r="I840" s="53"/>
      <c r="J840" s="55"/>
      <c r="K840" s="58"/>
      <c r="L840" s="59"/>
      <c r="M840" s="55"/>
      <c r="N840" s="60"/>
      <c r="O840" s="60"/>
      <c r="P840" s="165" t="str">
        <f t="shared" ca="1" si="90"/>
        <v/>
      </c>
      <c r="Q840" s="165" t="str">
        <f t="shared" ca="1" si="91"/>
        <v/>
      </c>
      <c r="R840" s="79"/>
      <c r="S840" s="80"/>
      <c r="T840" s="61">
        <f t="shared" si="92"/>
        <v>0</v>
      </c>
      <c r="U840" s="61">
        <f t="shared" si="93"/>
        <v>0</v>
      </c>
      <c r="V840" s="61">
        <f t="shared" si="94"/>
        <v>0</v>
      </c>
      <c r="W840" s="58"/>
      <c r="X840" s="58"/>
      <c r="Y840" s="53"/>
      <c r="Z840" s="57"/>
      <c r="AA840" s="62"/>
      <c r="AB840" s="62"/>
      <c r="AC840" s="62"/>
      <c r="AD840" s="62"/>
      <c r="AE840" s="62"/>
      <c r="AF840" s="63"/>
      <c r="AG840" s="64" t="str">
        <f t="shared" si="95"/>
        <v/>
      </c>
    </row>
    <row r="841" spans="1:33" x14ac:dyDescent="0.25">
      <c r="A841" s="46" t="str">
        <f>IF(ISBLANK(inbound_data[[#This Row],[Receiving Report ref.'#]]),"",IF(inbound_data[[#This Row],[Ending Quantity]]=0,"ZERO","INV"))</f>
        <v/>
      </c>
      <c r="B841" s="165" t="str">
        <f t="shared" ref="B841:B904" si="96">IF(ISBLANK(D841),"",TEXT(ROW(),"00000"))</f>
        <v/>
      </c>
      <c r="C841" s="165" t="str">
        <f>IF(ISBLANK(D841),"",inbound_data[[#This Row],[Pallet_Series]]&amp;inbound_data[[#This Row],[No.]])</f>
        <v/>
      </c>
      <c r="D841" s="54"/>
      <c r="E841" s="55"/>
      <c r="F841" s="56"/>
      <c r="G841" s="57"/>
      <c r="H841" s="53"/>
      <c r="I841" s="53"/>
      <c r="J841" s="55"/>
      <c r="K841" s="58"/>
      <c r="L841" s="59"/>
      <c r="M841" s="55"/>
      <c r="N841" s="60"/>
      <c r="O841" s="60"/>
      <c r="P841" s="165" t="str">
        <f t="shared" ref="P841:P904" ca="1" si="97">IF(A841="ZERO","",IF(O841="","",O841-TODAY()))</f>
        <v/>
      </c>
      <c r="Q841" s="165" t="str">
        <f t="shared" ref="Q841:Q904" ca="1" si="98">IF(A841="ZERO","",IF(P841&lt;0,"ALREADY EXPIRED",IF(P841&lt;60,"NEARLY EXPIRED","")))</f>
        <v/>
      </c>
      <c r="R841" s="79"/>
      <c r="S841" s="80"/>
      <c r="T841" s="61">
        <f t="shared" ref="T841:T904" si="99">IF(ISBLANK(R841),0,R841-SUMIF(STOCK_CODE_OUT,$C841,QTY_OUT))</f>
        <v>0</v>
      </c>
      <c r="U841" s="61">
        <f t="shared" ref="U841:U904" si="100">IF(ISBLANK(S841),0,S841-SUMIF(STOCK_CODE_OUT,$C841,KILOS_OUT))</f>
        <v>0</v>
      </c>
      <c r="V841" s="61">
        <f t="shared" ref="V841:V904" si="101">IF(ISBLANK(K841),0,K841-SUMIF(STOCK_CODE_OUT,$C841,PALLET_OUT))</f>
        <v>0</v>
      </c>
      <c r="W841" s="58"/>
      <c r="X841" s="58"/>
      <c r="Y841" s="53"/>
      <c r="Z841" s="57"/>
      <c r="AA841" s="62"/>
      <c r="AB841" s="62"/>
      <c r="AC841" s="62"/>
      <c r="AD841" s="62"/>
      <c r="AE841" s="62"/>
      <c r="AF841" s="63"/>
      <c r="AG841" s="64" t="str">
        <f t="shared" ref="AG841:AG904" si="102">IF(T841&gt;0,CONCATENATE(AA841,AB841,TEXT(AC841,"R00"),TEXT(AD841,"L0."),TEXT(AE841,"0")),"")</f>
        <v/>
      </c>
    </row>
    <row r="842" spans="1:33" x14ac:dyDescent="0.25">
      <c r="A842" s="46" t="str">
        <f>IF(ISBLANK(inbound_data[[#This Row],[Receiving Report ref.'#]]),"",IF(inbound_data[[#This Row],[Ending Quantity]]=0,"ZERO","INV"))</f>
        <v/>
      </c>
      <c r="B842" s="165" t="str">
        <f t="shared" si="96"/>
        <v/>
      </c>
      <c r="C842" s="165" t="str">
        <f>IF(ISBLANK(D842),"",inbound_data[[#This Row],[Pallet_Series]]&amp;inbound_data[[#This Row],[No.]])</f>
        <v/>
      </c>
      <c r="D842" s="54"/>
      <c r="E842" s="55"/>
      <c r="F842" s="56"/>
      <c r="G842" s="57"/>
      <c r="H842" s="53"/>
      <c r="I842" s="53"/>
      <c r="J842" s="55"/>
      <c r="K842" s="58"/>
      <c r="L842" s="59"/>
      <c r="M842" s="55"/>
      <c r="N842" s="60"/>
      <c r="O842" s="60"/>
      <c r="P842" s="165" t="str">
        <f t="shared" ca="1" si="97"/>
        <v/>
      </c>
      <c r="Q842" s="165" t="str">
        <f t="shared" ca="1" si="98"/>
        <v/>
      </c>
      <c r="R842" s="79"/>
      <c r="S842" s="80"/>
      <c r="T842" s="61">
        <f t="shared" si="99"/>
        <v>0</v>
      </c>
      <c r="U842" s="61">
        <f t="shared" si="100"/>
        <v>0</v>
      </c>
      <c r="V842" s="61">
        <f t="shared" si="101"/>
        <v>0</v>
      </c>
      <c r="W842" s="58"/>
      <c r="X842" s="58"/>
      <c r="Y842" s="53"/>
      <c r="Z842" s="57"/>
      <c r="AA842" s="62"/>
      <c r="AB842" s="62"/>
      <c r="AC842" s="62"/>
      <c r="AD842" s="62"/>
      <c r="AE842" s="62"/>
      <c r="AF842" s="63"/>
      <c r="AG842" s="64" t="str">
        <f t="shared" si="102"/>
        <v/>
      </c>
    </row>
    <row r="843" spans="1:33" x14ac:dyDescent="0.25">
      <c r="A843" s="46" t="str">
        <f>IF(ISBLANK(inbound_data[[#This Row],[Receiving Report ref.'#]]),"",IF(inbound_data[[#This Row],[Ending Quantity]]=0,"ZERO","INV"))</f>
        <v/>
      </c>
      <c r="B843" s="165" t="str">
        <f t="shared" si="96"/>
        <v/>
      </c>
      <c r="C843" s="165" t="str">
        <f>IF(ISBLANK(D843),"",inbound_data[[#This Row],[Pallet_Series]]&amp;inbound_data[[#This Row],[No.]])</f>
        <v/>
      </c>
      <c r="D843" s="54"/>
      <c r="E843" s="55"/>
      <c r="F843" s="56"/>
      <c r="G843" s="57"/>
      <c r="H843" s="53"/>
      <c r="I843" s="53"/>
      <c r="J843" s="55"/>
      <c r="K843" s="58"/>
      <c r="L843" s="59"/>
      <c r="M843" s="55"/>
      <c r="N843" s="60"/>
      <c r="O843" s="60"/>
      <c r="P843" s="165" t="str">
        <f t="shared" ca="1" si="97"/>
        <v/>
      </c>
      <c r="Q843" s="165" t="str">
        <f t="shared" ca="1" si="98"/>
        <v/>
      </c>
      <c r="R843" s="79"/>
      <c r="S843" s="80"/>
      <c r="T843" s="61">
        <f t="shared" si="99"/>
        <v>0</v>
      </c>
      <c r="U843" s="61">
        <f t="shared" si="100"/>
        <v>0</v>
      </c>
      <c r="V843" s="61">
        <f t="shared" si="101"/>
        <v>0</v>
      </c>
      <c r="W843" s="58"/>
      <c r="X843" s="58"/>
      <c r="Y843" s="53"/>
      <c r="Z843" s="57"/>
      <c r="AA843" s="62"/>
      <c r="AB843" s="62"/>
      <c r="AC843" s="62"/>
      <c r="AD843" s="62"/>
      <c r="AE843" s="62"/>
      <c r="AF843" s="63"/>
      <c r="AG843" s="64" t="str">
        <f t="shared" si="102"/>
        <v/>
      </c>
    </row>
    <row r="844" spans="1:33" x14ac:dyDescent="0.25">
      <c r="A844" s="46" t="str">
        <f>IF(ISBLANK(inbound_data[[#This Row],[Receiving Report ref.'#]]),"",IF(inbound_data[[#This Row],[Ending Quantity]]=0,"ZERO","INV"))</f>
        <v/>
      </c>
      <c r="B844" s="165" t="str">
        <f t="shared" si="96"/>
        <v/>
      </c>
      <c r="C844" s="165" t="str">
        <f>IF(ISBLANK(D844),"",inbound_data[[#This Row],[Pallet_Series]]&amp;inbound_data[[#This Row],[No.]])</f>
        <v/>
      </c>
      <c r="D844" s="54"/>
      <c r="E844" s="55"/>
      <c r="F844" s="56"/>
      <c r="G844" s="57"/>
      <c r="H844" s="53"/>
      <c r="I844" s="53"/>
      <c r="J844" s="55"/>
      <c r="K844" s="58"/>
      <c r="L844" s="59"/>
      <c r="M844" s="55"/>
      <c r="N844" s="60"/>
      <c r="O844" s="60"/>
      <c r="P844" s="165" t="str">
        <f t="shared" ca="1" si="97"/>
        <v/>
      </c>
      <c r="Q844" s="165" t="str">
        <f t="shared" ca="1" si="98"/>
        <v/>
      </c>
      <c r="R844" s="79"/>
      <c r="S844" s="80"/>
      <c r="T844" s="61">
        <f t="shared" si="99"/>
        <v>0</v>
      </c>
      <c r="U844" s="61">
        <f t="shared" si="100"/>
        <v>0</v>
      </c>
      <c r="V844" s="61">
        <f t="shared" si="101"/>
        <v>0</v>
      </c>
      <c r="W844" s="58"/>
      <c r="X844" s="58"/>
      <c r="Y844" s="53"/>
      <c r="Z844" s="57"/>
      <c r="AA844" s="62"/>
      <c r="AB844" s="62"/>
      <c r="AC844" s="62"/>
      <c r="AD844" s="62"/>
      <c r="AE844" s="62"/>
      <c r="AF844" s="63"/>
      <c r="AG844" s="64" t="str">
        <f t="shared" si="102"/>
        <v/>
      </c>
    </row>
    <row r="845" spans="1:33" x14ac:dyDescent="0.25">
      <c r="A845" s="46" t="str">
        <f>IF(ISBLANK(inbound_data[[#This Row],[Receiving Report ref.'#]]),"",IF(inbound_data[[#This Row],[Ending Quantity]]=0,"ZERO","INV"))</f>
        <v/>
      </c>
      <c r="B845" s="165" t="str">
        <f t="shared" si="96"/>
        <v/>
      </c>
      <c r="C845" s="165" t="str">
        <f>IF(ISBLANK(D845),"",inbound_data[[#This Row],[Pallet_Series]]&amp;inbound_data[[#This Row],[No.]])</f>
        <v/>
      </c>
      <c r="D845" s="54"/>
      <c r="E845" s="55"/>
      <c r="F845" s="56"/>
      <c r="G845" s="57"/>
      <c r="H845" s="53"/>
      <c r="I845" s="53"/>
      <c r="J845" s="55"/>
      <c r="K845" s="58"/>
      <c r="L845" s="59"/>
      <c r="M845" s="55"/>
      <c r="N845" s="60"/>
      <c r="O845" s="60"/>
      <c r="P845" s="165" t="str">
        <f t="shared" ca="1" si="97"/>
        <v/>
      </c>
      <c r="Q845" s="165" t="str">
        <f t="shared" ca="1" si="98"/>
        <v/>
      </c>
      <c r="R845" s="79"/>
      <c r="S845" s="80"/>
      <c r="T845" s="61">
        <f t="shared" si="99"/>
        <v>0</v>
      </c>
      <c r="U845" s="61">
        <f t="shared" si="100"/>
        <v>0</v>
      </c>
      <c r="V845" s="61">
        <f t="shared" si="101"/>
        <v>0</v>
      </c>
      <c r="W845" s="58"/>
      <c r="X845" s="58"/>
      <c r="Y845" s="53"/>
      <c r="Z845" s="57"/>
      <c r="AA845" s="62"/>
      <c r="AB845" s="62"/>
      <c r="AC845" s="62"/>
      <c r="AD845" s="62"/>
      <c r="AE845" s="62"/>
      <c r="AF845" s="63"/>
      <c r="AG845" s="64" t="str">
        <f t="shared" si="102"/>
        <v/>
      </c>
    </row>
    <row r="846" spans="1:33" x14ac:dyDescent="0.25">
      <c r="A846" s="46" t="str">
        <f>IF(ISBLANK(inbound_data[[#This Row],[Receiving Report ref.'#]]),"",IF(inbound_data[[#This Row],[Ending Quantity]]=0,"ZERO","INV"))</f>
        <v/>
      </c>
      <c r="B846" s="165" t="str">
        <f t="shared" si="96"/>
        <v/>
      </c>
      <c r="C846" s="165" t="str">
        <f>IF(ISBLANK(D846),"",inbound_data[[#This Row],[Pallet_Series]]&amp;inbound_data[[#This Row],[No.]])</f>
        <v/>
      </c>
      <c r="D846" s="54"/>
      <c r="E846" s="55"/>
      <c r="F846" s="56"/>
      <c r="G846" s="57"/>
      <c r="H846" s="53"/>
      <c r="I846" s="53"/>
      <c r="J846" s="55"/>
      <c r="K846" s="58"/>
      <c r="L846" s="59"/>
      <c r="M846" s="55"/>
      <c r="N846" s="60"/>
      <c r="O846" s="60"/>
      <c r="P846" s="165" t="str">
        <f t="shared" ca="1" si="97"/>
        <v/>
      </c>
      <c r="Q846" s="165" t="str">
        <f t="shared" ca="1" si="98"/>
        <v/>
      </c>
      <c r="R846" s="79"/>
      <c r="S846" s="80"/>
      <c r="T846" s="61">
        <f t="shared" si="99"/>
        <v>0</v>
      </c>
      <c r="U846" s="61">
        <f t="shared" si="100"/>
        <v>0</v>
      </c>
      <c r="V846" s="61">
        <f t="shared" si="101"/>
        <v>0</v>
      </c>
      <c r="W846" s="58"/>
      <c r="X846" s="58"/>
      <c r="Y846" s="53"/>
      <c r="Z846" s="57"/>
      <c r="AA846" s="62"/>
      <c r="AB846" s="62"/>
      <c r="AC846" s="62"/>
      <c r="AD846" s="62"/>
      <c r="AE846" s="62"/>
      <c r="AF846" s="63"/>
      <c r="AG846" s="64" t="str">
        <f t="shared" si="102"/>
        <v/>
      </c>
    </row>
    <row r="847" spans="1:33" x14ac:dyDescent="0.25">
      <c r="A847" s="46" t="str">
        <f>IF(ISBLANK(inbound_data[[#This Row],[Receiving Report ref.'#]]),"",IF(inbound_data[[#This Row],[Ending Quantity]]=0,"ZERO","INV"))</f>
        <v/>
      </c>
      <c r="B847" s="165" t="str">
        <f t="shared" si="96"/>
        <v/>
      </c>
      <c r="C847" s="165" t="str">
        <f>IF(ISBLANK(D847),"",inbound_data[[#This Row],[Pallet_Series]]&amp;inbound_data[[#This Row],[No.]])</f>
        <v/>
      </c>
      <c r="D847" s="54"/>
      <c r="E847" s="55"/>
      <c r="F847" s="56"/>
      <c r="G847" s="57"/>
      <c r="H847" s="53"/>
      <c r="I847" s="53"/>
      <c r="J847" s="55"/>
      <c r="K847" s="58"/>
      <c r="L847" s="59"/>
      <c r="M847" s="55"/>
      <c r="N847" s="60"/>
      <c r="O847" s="60"/>
      <c r="P847" s="165" t="str">
        <f t="shared" ca="1" si="97"/>
        <v/>
      </c>
      <c r="Q847" s="165" t="str">
        <f t="shared" ca="1" si="98"/>
        <v/>
      </c>
      <c r="R847" s="79"/>
      <c r="S847" s="80"/>
      <c r="T847" s="61">
        <f t="shared" si="99"/>
        <v>0</v>
      </c>
      <c r="U847" s="61">
        <f t="shared" si="100"/>
        <v>0</v>
      </c>
      <c r="V847" s="61">
        <f t="shared" si="101"/>
        <v>0</v>
      </c>
      <c r="W847" s="58"/>
      <c r="X847" s="58"/>
      <c r="Y847" s="53"/>
      <c r="Z847" s="57"/>
      <c r="AA847" s="62"/>
      <c r="AB847" s="62"/>
      <c r="AC847" s="62"/>
      <c r="AD847" s="62"/>
      <c r="AE847" s="62"/>
      <c r="AF847" s="63"/>
      <c r="AG847" s="64" t="str">
        <f t="shared" si="102"/>
        <v/>
      </c>
    </row>
    <row r="848" spans="1:33" x14ac:dyDescent="0.25">
      <c r="A848" s="46" t="str">
        <f>IF(ISBLANK(inbound_data[[#This Row],[Receiving Report ref.'#]]),"",IF(inbound_data[[#This Row],[Ending Quantity]]=0,"ZERO","INV"))</f>
        <v/>
      </c>
      <c r="B848" s="165" t="str">
        <f t="shared" si="96"/>
        <v/>
      </c>
      <c r="C848" s="165" t="str">
        <f>IF(ISBLANK(D848),"",inbound_data[[#This Row],[Pallet_Series]]&amp;inbound_data[[#This Row],[No.]])</f>
        <v/>
      </c>
      <c r="D848" s="54"/>
      <c r="E848" s="55"/>
      <c r="F848" s="56"/>
      <c r="G848" s="57"/>
      <c r="H848" s="53"/>
      <c r="I848" s="53"/>
      <c r="J848" s="55"/>
      <c r="K848" s="58"/>
      <c r="L848" s="59"/>
      <c r="M848" s="55"/>
      <c r="N848" s="60"/>
      <c r="O848" s="60"/>
      <c r="P848" s="165" t="str">
        <f t="shared" ca="1" si="97"/>
        <v/>
      </c>
      <c r="Q848" s="165" t="str">
        <f t="shared" ca="1" si="98"/>
        <v/>
      </c>
      <c r="R848" s="79"/>
      <c r="S848" s="80"/>
      <c r="T848" s="61">
        <f t="shared" si="99"/>
        <v>0</v>
      </c>
      <c r="U848" s="61">
        <f t="shared" si="100"/>
        <v>0</v>
      </c>
      <c r="V848" s="61">
        <f t="shared" si="101"/>
        <v>0</v>
      </c>
      <c r="W848" s="58"/>
      <c r="X848" s="58"/>
      <c r="Y848" s="53"/>
      <c r="Z848" s="57"/>
      <c r="AA848" s="62"/>
      <c r="AB848" s="62"/>
      <c r="AC848" s="62"/>
      <c r="AD848" s="62"/>
      <c r="AE848" s="62"/>
      <c r="AF848" s="63"/>
      <c r="AG848" s="64" t="str">
        <f t="shared" si="102"/>
        <v/>
      </c>
    </row>
    <row r="849" spans="1:33" x14ac:dyDescent="0.25">
      <c r="A849" s="46" t="str">
        <f>IF(ISBLANK(inbound_data[[#This Row],[Receiving Report ref.'#]]),"",IF(inbound_data[[#This Row],[Ending Quantity]]=0,"ZERO","INV"))</f>
        <v/>
      </c>
      <c r="B849" s="165" t="str">
        <f t="shared" si="96"/>
        <v/>
      </c>
      <c r="C849" s="165" t="str">
        <f>IF(ISBLANK(D849),"",inbound_data[[#This Row],[Pallet_Series]]&amp;inbound_data[[#This Row],[No.]])</f>
        <v/>
      </c>
      <c r="D849" s="54"/>
      <c r="E849" s="55"/>
      <c r="F849" s="56"/>
      <c r="G849" s="57"/>
      <c r="H849" s="53"/>
      <c r="I849" s="53"/>
      <c r="J849" s="55"/>
      <c r="K849" s="58"/>
      <c r="L849" s="59"/>
      <c r="M849" s="55"/>
      <c r="N849" s="60"/>
      <c r="O849" s="60"/>
      <c r="P849" s="165" t="str">
        <f t="shared" ca="1" si="97"/>
        <v/>
      </c>
      <c r="Q849" s="165" t="str">
        <f t="shared" ca="1" si="98"/>
        <v/>
      </c>
      <c r="R849" s="79"/>
      <c r="S849" s="80"/>
      <c r="T849" s="61">
        <f t="shared" si="99"/>
        <v>0</v>
      </c>
      <c r="U849" s="61">
        <f t="shared" si="100"/>
        <v>0</v>
      </c>
      <c r="V849" s="61">
        <f t="shared" si="101"/>
        <v>0</v>
      </c>
      <c r="W849" s="58"/>
      <c r="X849" s="58"/>
      <c r="Y849" s="53"/>
      <c r="Z849" s="57"/>
      <c r="AA849" s="62"/>
      <c r="AB849" s="62"/>
      <c r="AC849" s="62"/>
      <c r="AD849" s="62"/>
      <c r="AE849" s="62"/>
      <c r="AF849" s="63"/>
      <c r="AG849" s="64" t="str">
        <f t="shared" si="102"/>
        <v/>
      </c>
    </row>
    <row r="850" spans="1:33" x14ac:dyDescent="0.25">
      <c r="A850" s="46" t="str">
        <f>IF(ISBLANK(inbound_data[[#This Row],[Receiving Report ref.'#]]),"",IF(inbound_data[[#This Row],[Ending Quantity]]=0,"ZERO","INV"))</f>
        <v/>
      </c>
      <c r="B850" s="165" t="str">
        <f t="shared" si="96"/>
        <v/>
      </c>
      <c r="C850" s="165" t="str">
        <f>IF(ISBLANK(D850),"",inbound_data[[#This Row],[Pallet_Series]]&amp;inbound_data[[#This Row],[No.]])</f>
        <v/>
      </c>
      <c r="D850" s="54"/>
      <c r="E850" s="55"/>
      <c r="F850" s="56"/>
      <c r="G850" s="57"/>
      <c r="H850" s="53"/>
      <c r="I850" s="53"/>
      <c r="J850" s="55"/>
      <c r="K850" s="58"/>
      <c r="L850" s="59"/>
      <c r="M850" s="55"/>
      <c r="N850" s="60"/>
      <c r="O850" s="60"/>
      <c r="P850" s="165" t="str">
        <f t="shared" ca="1" si="97"/>
        <v/>
      </c>
      <c r="Q850" s="165" t="str">
        <f t="shared" ca="1" si="98"/>
        <v/>
      </c>
      <c r="R850" s="79"/>
      <c r="S850" s="80"/>
      <c r="T850" s="61">
        <f t="shared" si="99"/>
        <v>0</v>
      </c>
      <c r="U850" s="61">
        <f t="shared" si="100"/>
        <v>0</v>
      </c>
      <c r="V850" s="61">
        <f t="shared" si="101"/>
        <v>0</v>
      </c>
      <c r="W850" s="58"/>
      <c r="X850" s="58"/>
      <c r="Y850" s="53"/>
      <c r="Z850" s="57"/>
      <c r="AA850" s="62"/>
      <c r="AB850" s="62"/>
      <c r="AC850" s="62"/>
      <c r="AD850" s="62"/>
      <c r="AE850" s="62"/>
      <c r="AF850" s="63"/>
      <c r="AG850" s="64" t="str">
        <f t="shared" si="102"/>
        <v/>
      </c>
    </row>
    <row r="851" spans="1:33" x14ac:dyDescent="0.25">
      <c r="A851" s="46" t="str">
        <f>IF(ISBLANK(inbound_data[[#This Row],[Receiving Report ref.'#]]),"",IF(inbound_data[[#This Row],[Ending Quantity]]=0,"ZERO","INV"))</f>
        <v/>
      </c>
      <c r="B851" s="165" t="str">
        <f t="shared" si="96"/>
        <v/>
      </c>
      <c r="C851" s="165" t="str">
        <f>IF(ISBLANK(D851),"",inbound_data[[#This Row],[Pallet_Series]]&amp;inbound_data[[#This Row],[No.]])</f>
        <v/>
      </c>
      <c r="D851" s="54"/>
      <c r="E851" s="55"/>
      <c r="F851" s="56"/>
      <c r="G851" s="57"/>
      <c r="H851" s="53"/>
      <c r="I851" s="53"/>
      <c r="J851" s="55"/>
      <c r="K851" s="58"/>
      <c r="L851" s="59"/>
      <c r="M851" s="55"/>
      <c r="N851" s="60"/>
      <c r="O851" s="60"/>
      <c r="P851" s="165" t="str">
        <f t="shared" ca="1" si="97"/>
        <v/>
      </c>
      <c r="Q851" s="165" t="str">
        <f t="shared" ca="1" si="98"/>
        <v/>
      </c>
      <c r="R851" s="79"/>
      <c r="S851" s="80"/>
      <c r="T851" s="61">
        <f t="shared" si="99"/>
        <v>0</v>
      </c>
      <c r="U851" s="61">
        <f t="shared" si="100"/>
        <v>0</v>
      </c>
      <c r="V851" s="61">
        <f t="shared" si="101"/>
        <v>0</v>
      </c>
      <c r="W851" s="58"/>
      <c r="X851" s="58"/>
      <c r="Y851" s="53"/>
      <c r="Z851" s="57"/>
      <c r="AA851" s="62"/>
      <c r="AB851" s="62"/>
      <c r="AC851" s="62"/>
      <c r="AD851" s="62"/>
      <c r="AE851" s="62"/>
      <c r="AF851" s="63"/>
      <c r="AG851" s="64" t="str">
        <f t="shared" si="102"/>
        <v/>
      </c>
    </row>
    <row r="852" spans="1:33" x14ac:dyDescent="0.25">
      <c r="A852" s="46" t="str">
        <f>IF(ISBLANK(inbound_data[[#This Row],[Receiving Report ref.'#]]),"",IF(inbound_data[[#This Row],[Ending Quantity]]=0,"ZERO","INV"))</f>
        <v/>
      </c>
      <c r="B852" s="165" t="str">
        <f t="shared" si="96"/>
        <v/>
      </c>
      <c r="C852" s="165" t="str">
        <f>IF(ISBLANK(D852),"",inbound_data[[#This Row],[Pallet_Series]]&amp;inbound_data[[#This Row],[No.]])</f>
        <v/>
      </c>
      <c r="D852" s="54"/>
      <c r="E852" s="55"/>
      <c r="F852" s="56"/>
      <c r="G852" s="57"/>
      <c r="H852" s="53"/>
      <c r="I852" s="53"/>
      <c r="J852" s="55"/>
      <c r="K852" s="58"/>
      <c r="L852" s="59"/>
      <c r="M852" s="55"/>
      <c r="N852" s="60"/>
      <c r="O852" s="60"/>
      <c r="P852" s="165" t="str">
        <f t="shared" ca="1" si="97"/>
        <v/>
      </c>
      <c r="Q852" s="165" t="str">
        <f t="shared" ca="1" si="98"/>
        <v/>
      </c>
      <c r="R852" s="79"/>
      <c r="S852" s="80"/>
      <c r="T852" s="61">
        <f t="shared" si="99"/>
        <v>0</v>
      </c>
      <c r="U852" s="61">
        <f t="shared" si="100"/>
        <v>0</v>
      </c>
      <c r="V852" s="61">
        <f t="shared" si="101"/>
        <v>0</v>
      </c>
      <c r="W852" s="58"/>
      <c r="X852" s="58"/>
      <c r="Y852" s="53"/>
      <c r="Z852" s="57"/>
      <c r="AA852" s="62"/>
      <c r="AB852" s="62"/>
      <c r="AC852" s="62"/>
      <c r="AD852" s="62"/>
      <c r="AE852" s="62"/>
      <c r="AF852" s="63"/>
      <c r="AG852" s="64" t="str">
        <f t="shared" si="102"/>
        <v/>
      </c>
    </row>
    <row r="853" spans="1:33" x14ac:dyDescent="0.25">
      <c r="A853" s="46" t="str">
        <f>IF(ISBLANK(inbound_data[[#This Row],[Receiving Report ref.'#]]),"",IF(inbound_data[[#This Row],[Ending Quantity]]=0,"ZERO","INV"))</f>
        <v/>
      </c>
      <c r="B853" s="165" t="str">
        <f t="shared" si="96"/>
        <v/>
      </c>
      <c r="C853" s="165" t="str">
        <f>IF(ISBLANK(D853),"",inbound_data[[#This Row],[Pallet_Series]]&amp;inbound_data[[#This Row],[No.]])</f>
        <v/>
      </c>
      <c r="D853" s="54"/>
      <c r="E853" s="55"/>
      <c r="F853" s="56"/>
      <c r="G853" s="57"/>
      <c r="H853" s="53"/>
      <c r="I853" s="53"/>
      <c r="J853" s="55"/>
      <c r="K853" s="58"/>
      <c r="L853" s="59"/>
      <c r="M853" s="55"/>
      <c r="N853" s="60"/>
      <c r="O853" s="60"/>
      <c r="P853" s="165" t="str">
        <f t="shared" ca="1" si="97"/>
        <v/>
      </c>
      <c r="Q853" s="165" t="str">
        <f t="shared" ca="1" si="98"/>
        <v/>
      </c>
      <c r="R853" s="79"/>
      <c r="S853" s="80"/>
      <c r="T853" s="61">
        <f t="shared" si="99"/>
        <v>0</v>
      </c>
      <c r="U853" s="61">
        <f t="shared" si="100"/>
        <v>0</v>
      </c>
      <c r="V853" s="61">
        <f t="shared" si="101"/>
        <v>0</v>
      </c>
      <c r="W853" s="58"/>
      <c r="X853" s="58"/>
      <c r="Y853" s="53"/>
      <c r="Z853" s="57"/>
      <c r="AA853" s="62"/>
      <c r="AB853" s="62"/>
      <c r="AC853" s="62"/>
      <c r="AD853" s="62"/>
      <c r="AE853" s="62"/>
      <c r="AF853" s="63"/>
      <c r="AG853" s="64" t="str">
        <f t="shared" si="102"/>
        <v/>
      </c>
    </row>
    <row r="854" spans="1:33" x14ac:dyDescent="0.25">
      <c r="A854" s="46" t="str">
        <f>IF(ISBLANK(inbound_data[[#This Row],[Receiving Report ref.'#]]),"",IF(inbound_data[[#This Row],[Ending Quantity]]=0,"ZERO","INV"))</f>
        <v/>
      </c>
      <c r="B854" s="165" t="str">
        <f t="shared" si="96"/>
        <v/>
      </c>
      <c r="C854" s="165" t="str">
        <f>IF(ISBLANK(D854),"",inbound_data[[#This Row],[Pallet_Series]]&amp;inbound_data[[#This Row],[No.]])</f>
        <v/>
      </c>
      <c r="D854" s="54"/>
      <c r="E854" s="55"/>
      <c r="F854" s="56"/>
      <c r="G854" s="57"/>
      <c r="H854" s="53"/>
      <c r="I854" s="53"/>
      <c r="J854" s="55"/>
      <c r="K854" s="58"/>
      <c r="L854" s="59"/>
      <c r="M854" s="55"/>
      <c r="N854" s="60"/>
      <c r="O854" s="60"/>
      <c r="P854" s="165" t="str">
        <f t="shared" ca="1" si="97"/>
        <v/>
      </c>
      <c r="Q854" s="165" t="str">
        <f t="shared" ca="1" si="98"/>
        <v/>
      </c>
      <c r="R854" s="79"/>
      <c r="S854" s="80"/>
      <c r="T854" s="61">
        <f t="shared" si="99"/>
        <v>0</v>
      </c>
      <c r="U854" s="61">
        <f t="shared" si="100"/>
        <v>0</v>
      </c>
      <c r="V854" s="61">
        <f t="shared" si="101"/>
        <v>0</v>
      </c>
      <c r="W854" s="58"/>
      <c r="X854" s="58"/>
      <c r="Y854" s="53"/>
      <c r="Z854" s="57"/>
      <c r="AA854" s="62"/>
      <c r="AB854" s="62"/>
      <c r="AC854" s="62"/>
      <c r="AD854" s="62"/>
      <c r="AE854" s="62"/>
      <c r="AF854" s="63"/>
      <c r="AG854" s="64" t="str">
        <f t="shared" si="102"/>
        <v/>
      </c>
    </row>
    <row r="855" spans="1:33" x14ac:dyDescent="0.25">
      <c r="A855" s="46" t="str">
        <f>IF(ISBLANK(inbound_data[[#This Row],[Receiving Report ref.'#]]),"",IF(inbound_data[[#This Row],[Ending Quantity]]=0,"ZERO","INV"))</f>
        <v/>
      </c>
      <c r="B855" s="165" t="str">
        <f t="shared" si="96"/>
        <v/>
      </c>
      <c r="C855" s="165" t="str">
        <f>IF(ISBLANK(D855),"",inbound_data[[#This Row],[Pallet_Series]]&amp;inbound_data[[#This Row],[No.]])</f>
        <v/>
      </c>
      <c r="D855" s="54"/>
      <c r="E855" s="55"/>
      <c r="F855" s="56"/>
      <c r="G855" s="57"/>
      <c r="H855" s="53"/>
      <c r="I855" s="53"/>
      <c r="J855" s="55"/>
      <c r="K855" s="58"/>
      <c r="L855" s="59"/>
      <c r="M855" s="55"/>
      <c r="N855" s="60"/>
      <c r="O855" s="60"/>
      <c r="P855" s="165" t="str">
        <f t="shared" ca="1" si="97"/>
        <v/>
      </c>
      <c r="Q855" s="165" t="str">
        <f t="shared" ca="1" si="98"/>
        <v/>
      </c>
      <c r="R855" s="79"/>
      <c r="S855" s="80"/>
      <c r="T855" s="61">
        <f t="shared" si="99"/>
        <v>0</v>
      </c>
      <c r="U855" s="61">
        <f t="shared" si="100"/>
        <v>0</v>
      </c>
      <c r="V855" s="61">
        <f t="shared" si="101"/>
        <v>0</v>
      </c>
      <c r="W855" s="58"/>
      <c r="X855" s="58"/>
      <c r="Y855" s="53"/>
      <c r="Z855" s="57"/>
      <c r="AA855" s="62"/>
      <c r="AB855" s="62"/>
      <c r="AC855" s="62"/>
      <c r="AD855" s="62"/>
      <c r="AE855" s="62"/>
      <c r="AF855" s="63"/>
      <c r="AG855" s="64" t="str">
        <f t="shared" si="102"/>
        <v/>
      </c>
    </row>
    <row r="856" spans="1:33" x14ac:dyDescent="0.25">
      <c r="A856" s="46" t="str">
        <f>IF(ISBLANK(inbound_data[[#This Row],[Receiving Report ref.'#]]),"",IF(inbound_data[[#This Row],[Ending Quantity]]=0,"ZERO","INV"))</f>
        <v/>
      </c>
      <c r="B856" s="165" t="str">
        <f t="shared" si="96"/>
        <v/>
      </c>
      <c r="C856" s="165" t="str">
        <f>IF(ISBLANK(D856),"",inbound_data[[#This Row],[Pallet_Series]]&amp;inbound_data[[#This Row],[No.]])</f>
        <v/>
      </c>
      <c r="D856" s="54"/>
      <c r="E856" s="55"/>
      <c r="F856" s="56"/>
      <c r="G856" s="57"/>
      <c r="H856" s="53"/>
      <c r="I856" s="53"/>
      <c r="J856" s="55"/>
      <c r="K856" s="58"/>
      <c r="L856" s="59"/>
      <c r="M856" s="55"/>
      <c r="N856" s="60"/>
      <c r="O856" s="60"/>
      <c r="P856" s="165" t="str">
        <f t="shared" ca="1" si="97"/>
        <v/>
      </c>
      <c r="Q856" s="165" t="str">
        <f t="shared" ca="1" si="98"/>
        <v/>
      </c>
      <c r="R856" s="79"/>
      <c r="S856" s="80"/>
      <c r="T856" s="61">
        <f t="shared" si="99"/>
        <v>0</v>
      </c>
      <c r="U856" s="61">
        <f t="shared" si="100"/>
        <v>0</v>
      </c>
      <c r="V856" s="61">
        <f t="shared" si="101"/>
        <v>0</v>
      </c>
      <c r="W856" s="58"/>
      <c r="X856" s="58"/>
      <c r="Y856" s="53"/>
      <c r="Z856" s="57"/>
      <c r="AA856" s="62"/>
      <c r="AB856" s="62"/>
      <c r="AC856" s="62"/>
      <c r="AD856" s="62"/>
      <c r="AE856" s="62"/>
      <c r="AF856" s="63"/>
      <c r="AG856" s="64" t="str">
        <f t="shared" si="102"/>
        <v/>
      </c>
    </row>
    <row r="857" spans="1:33" x14ac:dyDescent="0.25">
      <c r="A857" s="46" t="str">
        <f>IF(ISBLANK(inbound_data[[#This Row],[Receiving Report ref.'#]]),"",IF(inbound_data[[#This Row],[Ending Quantity]]=0,"ZERO","INV"))</f>
        <v/>
      </c>
      <c r="B857" s="165" t="str">
        <f t="shared" si="96"/>
        <v/>
      </c>
      <c r="C857" s="165" t="str">
        <f>IF(ISBLANK(D857),"",inbound_data[[#This Row],[Pallet_Series]]&amp;inbound_data[[#This Row],[No.]])</f>
        <v/>
      </c>
      <c r="D857" s="54"/>
      <c r="E857" s="55"/>
      <c r="F857" s="56"/>
      <c r="G857" s="57"/>
      <c r="H857" s="53"/>
      <c r="I857" s="53"/>
      <c r="J857" s="55"/>
      <c r="K857" s="58"/>
      <c r="L857" s="59"/>
      <c r="M857" s="55"/>
      <c r="N857" s="60"/>
      <c r="O857" s="60"/>
      <c r="P857" s="165" t="str">
        <f t="shared" ca="1" si="97"/>
        <v/>
      </c>
      <c r="Q857" s="165" t="str">
        <f t="shared" ca="1" si="98"/>
        <v/>
      </c>
      <c r="R857" s="79"/>
      <c r="S857" s="80"/>
      <c r="T857" s="61">
        <f t="shared" si="99"/>
        <v>0</v>
      </c>
      <c r="U857" s="61">
        <f t="shared" si="100"/>
        <v>0</v>
      </c>
      <c r="V857" s="61">
        <f t="shared" si="101"/>
        <v>0</v>
      </c>
      <c r="W857" s="58"/>
      <c r="X857" s="58"/>
      <c r="Y857" s="53"/>
      <c r="Z857" s="57"/>
      <c r="AA857" s="62"/>
      <c r="AB857" s="62"/>
      <c r="AC857" s="62"/>
      <c r="AD857" s="62"/>
      <c r="AE857" s="62"/>
      <c r="AF857" s="63"/>
      <c r="AG857" s="64" t="str">
        <f t="shared" si="102"/>
        <v/>
      </c>
    </row>
    <row r="858" spans="1:33" x14ac:dyDescent="0.25">
      <c r="A858" s="46" t="str">
        <f>IF(ISBLANK(inbound_data[[#This Row],[Receiving Report ref.'#]]),"",IF(inbound_data[[#This Row],[Ending Quantity]]=0,"ZERO","INV"))</f>
        <v/>
      </c>
      <c r="B858" s="165" t="str">
        <f t="shared" si="96"/>
        <v/>
      </c>
      <c r="C858" s="165" t="str">
        <f>IF(ISBLANK(D858),"",inbound_data[[#This Row],[Pallet_Series]]&amp;inbound_data[[#This Row],[No.]])</f>
        <v/>
      </c>
      <c r="D858" s="54"/>
      <c r="E858" s="55"/>
      <c r="F858" s="56"/>
      <c r="G858" s="57"/>
      <c r="H858" s="53"/>
      <c r="I858" s="53"/>
      <c r="J858" s="55"/>
      <c r="K858" s="58"/>
      <c r="L858" s="59"/>
      <c r="M858" s="55"/>
      <c r="N858" s="60"/>
      <c r="O858" s="60"/>
      <c r="P858" s="165" t="str">
        <f t="shared" ca="1" si="97"/>
        <v/>
      </c>
      <c r="Q858" s="165" t="str">
        <f t="shared" ca="1" si="98"/>
        <v/>
      </c>
      <c r="R858" s="79"/>
      <c r="S858" s="80"/>
      <c r="T858" s="61">
        <f t="shared" si="99"/>
        <v>0</v>
      </c>
      <c r="U858" s="61">
        <f t="shared" si="100"/>
        <v>0</v>
      </c>
      <c r="V858" s="61">
        <f t="shared" si="101"/>
        <v>0</v>
      </c>
      <c r="W858" s="58"/>
      <c r="X858" s="58"/>
      <c r="Y858" s="53"/>
      <c r="Z858" s="57"/>
      <c r="AA858" s="62"/>
      <c r="AB858" s="62"/>
      <c r="AC858" s="62"/>
      <c r="AD858" s="62"/>
      <c r="AE858" s="62"/>
      <c r="AF858" s="63"/>
      <c r="AG858" s="64" t="str">
        <f t="shared" si="102"/>
        <v/>
      </c>
    </row>
    <row r="859" spans="1:33" x14ac:dyDescent="0.25">
      <c r="A859" s="46" t="str">
        <f>IF(ISBLANK(inbound_data[[#This Row],[Receiving Report ref.'#]]),"",IF(inbound_data[[#This Row],[Ending Quantity]]=0,"ZERO","INV"))</f>
        <v/>
      </c>
      <c r="B859" s="165" t="str">
        <f t="shared" si="96"/>
        <v/>
      </c>
      <c r="C859" s="165" t="str">
        <f>IF(ISBLANK(D859),"",inbound_data[[#This Row],[Pallet_Series]]&amp;inbound_data[[#This Row],[No.]])</f>
        <v/>
      </c>
      <c r="D859" s="54"/>
      <c r="E859" s="55"/>
      <c r="F859" s="56"/>
      <c r="G859" s="57"/>
      <c r="H859" s="53"/>
      <c r="I859" s="53"/>
      <c r="J859" s="55"/>
      <c r="K859" s="58"/>
      <c r="L859" s="59"/>
      <c r="M859" s="55"/>
      <c r="N859" s="60"/>
      <c r="O859" s="60"/>
      <c r="P859" s="165" t="str">
        <f t="shared" ca="1" si="97"/>
        <v/>
      </c>
      <c r="Q859" s="165" t="str">
        <f t="shared" ca="1" si="98"/>
        <v/>
      </c>
      <c r="R859" s="79"/>
      <c r="S859" s="80"/>
      <c r="T859" s="61">
        <f t="shared" si="99"/>
        <v>0</v>
      </c>
      <c r="U859" s="61">
        <f t="shared" si="100"/>
        <v>0</v>
      </c>
      <c r="V859" s="61">
        <f t="shared" si="101"/>
        <v>0</v>
      </c>
      <c r="W859" s="58"/>
      <c r="X859" s="58"/>
      <c r="Y859" s="53"/>
      <c r="Z859" s="57"/>
      <c r="AA859" s="62"/>
      <c r="AB859" s="62"/>
      <c r="AC859" s="62"/>
      <c r="AD859" s="62"/>
      <c r="AE859" s="62"/>
      <c r="AF859" s="63"/>
      <c r="AG859" s="64" t="str">
        <f t="shared" si="102"/>
        <v/>
      </c>
    </row>
    <row r="860" spans="1:33" x14ac:dyDescent="0.25">
      <c r="A860" s="46" t="str">
        <f>IF(ISBLANK(inbound_data[[#This Row],[Receiving Report ref.'#]]),"",IF(inbound_data[[#This Row],[Ending Quantity]]=0,"ZERO","INV"))</f>
        <v/>
      </c>
      <c r="B860" s="165" t="str">
        <f t="shared" si="96"/>
        <v/>
      </c>
      <c r="C860" s="165" t="str">
        <f>IF(ISBLANK(D860),"",inbound_data[[#This Row],[Pallet_Series]]&amp;inbound_data[[#This Row],[No.]])</f>
        <v/>
      </c>
      <c r="D860" s="54"/>
      <c r="E860" s="55"/>
      <c r="F860" s="56"/>
      <c r="G860" s="57"/>
      <c r="H860" s="53"/>
      <c r="I860" s="53"/>
      <c r="J860" s="55"/>
      <c r="K860" s="58"/>
      <c r="L860" s="59"/>
      <c r="M860" s="55"/>
      <c r="N860" s="60"/>
      <c r="O860" s="60"/>
      <c r="P860" s="165" t="str">
        <f t="shared" ca="1" si="97"/>
        <v/>
      </c>
      <c r="Q860" s="165" t="str">
        <f t="shared" ca="1" si="98"/>
        <v/>
      </c>
      <c r="R860" s="79"/>
      <c r="S860" s="80"/>
      <c r="T860" s="61">
        <f t="shared" si="99"/>
        <v>0</v>
      </c>
      <c r="U860" s="61">
        <f t="shared" si="100"/>
        <v>0</v>
      </c>
      <c r="V860" s="61">
        <f t="shared" si="101"/>
        <v>0</v>
      </c>
      <c r="W860" s="58"/>
      <c r="X860" s="58"/>
      <c r="Y860" s="53"/>
      <c r="Z860" s="57"/>
      <c r="AA860" s="62"/>
      <c r="AB860" s="62"/>
      <c r="AC860" s="62"/>
      <c r="AD860" s="62"/>
      <c r="AE860" s="62"/>
      <c r="AF860" s="63"/>
      <c r="AG860" s="64" t="str">
        <f t="shared" si="102"/>
        <v/>
      </c>
    </row>
    <row r="861" spans="1:33" x14ac:dyDescent="0.25">
      <c r="A861" s="46" t="str">
        <f>IF(ISBLANK(inbound_data[[#This Row],[Receiving Report ref.'#]]),"",IF(inbound_data[[#This Row],[Ending Quantity]]=0,"ZERO","INV"))</f>
        <v/>
      </c>
      <c r="B861" s="165" t="str">
        <f t="shared" si="96"/>
        <v/>
      </c>
      <c r="C861" s="165" t="str">
        <f>IF(ISBLANK(D861),"",inbound_data[[#This Row],[Pallet_Series]]&amp;inbound_data[[#This Row],[No.]])</f>
        <v/>
      </c>
      <c r="D861" s="54"/>
      <c r="E861" s="55"/>
      <c r="F861" s="56"/>
      <c r="G861" s="57"/>
      <c r="H861" s="53"/>
      <c r="I861" s="53"/>
      <c r="J861" s="55"/>
      <c r="K861" s="58"/>
      <c r="L861" s="59"/>
      <c r="M861" s="55"/>
      <c r="N861" s="60"/>
      <c r="O861" s="60"/>
      <c r="P861" s="165" t="str">
        <f t="shared" ca="1" si="97"/>
        <v/>
      </c>
      <c r="Q861" s="165" t="str">
        <f t="shared" ca="1" si="98"/>
        <v/>
      </c>
      <c r="R861" s="79"/>
      <c r="S861" s="80"/>
      <c r="T861" s="61">
        <f t="shared" si="99"/>
        <v>0</v>
      </c>
      <c r="U861" s="61">
        <f t="shared" si="100"/>
        <v>0</v>
      </c>
      <c r="V861" s="61">
        <f t="shared" si="101"/>
        <v>0</v>
      </c>
      <c r="W861" s="58"/>
      <c r="X861" s="58"/>
      <c r="Y861" s="53"/>
      <c r="Z861" s="57"/>
      <c r="AA861" s="62"/>
      <c r="AB861" s="62"/>
      <c r="AC861" s="62"/>
      <c r="AD861" s="62"/>
      <c r="AE861" s="62"/>
      <c r="AF861" s="63"/>
      <c r="AG861" s="64" t="str">
        <f t="shared" si="102"/>
        <v/>
      </c>
    </row>
    <row r="862" spans="1:33" x14ac:dyDescent="0.25">
      <c r="A862" s="46" t="str">
        <f>IF(ISBLANK(inbound_data[[#This Row],[Receiving Report ref.'#]]),"",IF(inbound_data[[#This Row],[Ending Quantity]]=0,"ZERO","INV"))</f>
        <v/>
      </c>
      <c r="B862" s="165" t="str">
        <f t="shared" si="96"/>
        <v/>
      </c>
      <c r="C862" s="165" t="str">
        <f>IF(ISBLANK(D862),"",inbound_data[[#This Row],[Pallet_Series]]&amp;inbound_data[[#This Row],[No.]])</f>
        <v/>
      </c>
      <c r="D862" s="54"/>
      <c r="E862" s="55"/>
      <c r="F862" s="56"/>
      <c r="G862" s="57"/>
      <c r="H862" s="53"/>
      <c r="I862" s="53"/>
      <c r="J862" s="55"/>
      <c r="K862" s="58"/>
      <c r="L862" s="59"/>
      <c r="M862" s="55"/>
      <c r="N862" s="60"/>
      <c r="O862" s="60"/>
      <c r="P862" s="165" t="str">
        <f t="shared" ca="1" si="97"/>
        <v/>
      </c>
      <c r="Q862" s="165" t="str">
        <f t="shared" ca="1" si="98"/>
        <v/>
      </c>
      <c r="R862" s="79"/>
      <c r="S862" s="80"/>
      <c r="T862" s="61">
        <f t="shared" si="99"/>
        <v>0</v>
      </c>
      <c r="U862" s="61">
        <f t="shared" si="100"/>
        <v>0</v>
      </c>
      <c r="V862" s="61">
        <f t="shared" si="101"/>
        <v>0</v>
      </c>
      <c r="W862" s="58"/>
      <c r="X862" s="58"/>
      <c r="Y862" s="53"/>
      <c r="Z862" s="57"/>
      <c r="AA862" s="62"/>
      <c r="AB862" s="62"/>
      <c r="AC862" s="62"/>
      <c r="AD862" s="62"/>
      <c r="AE862" s="62"/>
      <c r="AF862" s="63"/>
      <c r="AG862" s="64" t="str">
        <f t="shared" si="102"/>
        <v/>
      </c>
    </row>
    <row r="863" spans="1:33" x14ac:dyDescent="0.25">
      <c r="A863" s="46" t="str">
        <f>IF(ISBLANK(inbound_data[[#This Row],[Receiving Report ref.'#]]),"",IF(inbound_data[[#This Row],[Ending Quantity]]=0,"ZERO","INV"))</f>
        <v/>
      </c>
      <c r="B863" s="165" t="str">
        <f t="shared" si="96"/>
        <v/>
      </c>
      <c r="C863" s="165" t="str">
        <f>IF(ISBLANK(D863),"",inbound_data[[#This Row],[Pallet_Series]]&amp;inbound_data[[#This Row],[No.]])</f>
        <v/>
      </c>
      <c r="D863" s="54"/>
      <c r="E863" s="55"/>
      <c r="F863" s="56"/>
      <c r="G863" s="57"/>
      <c r="H863" s="53"/>
      <c r="I863" s="53"/>
      <c r="J863" s="55"/>
      <c r="K863" s="58"/>
      <c r="L863" s="59"/>
      <c r="M863" s="55"/>
      <c r="N863" s="60"/>
      <c r="O863" s="60"/>
      <c r="P863" s="165" t="str">
        <f t="shared" ca="1" si="97"/>
        <v/>
      </c>
      <c r="Q863" s="165" t="str">
        <f t="shared" ca="1" si="98"/>
        <v/>
      </c>
      <c r="R863" s="79"/>
      <c r="S863" s="80"/>
      <c r="T863" s="61">
        <f t="shared" si="99"/>
        <v>0</v>
      </c>
      <c r="U863" s="61">
        <f t="shared" si="100"/>
        <v>0</v>
      </c>
      <c r="V863" s="61">
        <f t="shared" si="101"/>
        <v>0</v>
      </c>
      <c r="W863" s="58"/>
      <c r="X863" s="58"/>
      <c r="Y863" s="53"/>
      <c r="Z863" s="57"/>
      <c r="AA863" s="62"/>
      <c r="AB863" s="62"/>
      <c r="AC863" s="62"/>
      <c r="AD863" s="62"/>
      <c r="AE863" s="62"/>
      <c r="AF863" s="63"/>
      <c r="AG863" s="64" t="str">
        <f t="shared" si="102"/>
        <v/>
      </c>
    </row>
    <row r="864" spans="1:33" x14ac:dyDescent="0.25">
      <c r="A864" s="46" t="str">
        <f>IF(ISBLANK(inbound_data[[#This Row],[Receiving Report ref.'#]]),"",IF(inbound_data[[#This Row],[Ending Quantity]]=0,"ZERO","INV"))</f>
        <v/>
      </c>
      <c r="B864" s="165" t="str">
        <f t="shared" si="96"/>
        <v/>
      </c>
      <c r="C864" s="165" t="str">
        <f>IF(ISBLANK(D864),"",inbound_data[[#This Row],[Pallet_Series]]&amp;inbound_data[[#This Row],[No.]])</f>
        <v/>
      </c>
      <c r="D864" s="54"/>
      <c r="E864" s="55"/>
      <c r="F864" s="56"/>
      <c r="G864" s="57"/>
      <c r="H864" s="53"/>
      <c r="I864" s="53"/>
      <c r="J864" s="55"/>
      <c r="K864" s="58"/>
      <c r="L864" s="59"/>
      <c r="M864" s="55"/>
      <c r="N864" s="60"/>
      <c r="O864" s="60"/>
      <c r="P864" s="165" t="str">
        <f t="shared" ca="1" si="97"/>
        <v/>
      </c>
      <c r="Q864" s="165" t="str">
        <f t="shared" ca="1" si="98"/>
        <v/>
      </c>
      <c r="R864" s="79"/>
      <c r="S864" s="80"/>
      <c r="T864" s="61">
        <f t="shared" si="99"/>
        <v>0</v>
      </c>
      <c r="U864" s="61">
        <f t="shared" si="100"/>
        <v>0</v>
      </c>
      <c r="V864" s="61">
        <f t="shared" si="101"/>
        <v>0</v>
      </c>
      <c r="W864" s="58"/>
      <c r="X864" s="58"/>
      <c r="Y864" s="53"/>
      <c r="Z864" s="57"/>
      <c r="AA864" s="62"/>
      <c r="AB864" s="62"/>
      <c r="AC864" s="62"/>
      <c r="AD864" s="62"/>
      <c r="AE864" s="62"/>
      <c r="AF864" s="63"/>
      <c r="AG864" s="64" t="str">
        <f t="shared" si="102"/>
        <v/>
      </c>
    </row>
    <row r="865" spans="1:33" x14ac:dyDescent="0.25">
      <c r="A865" s="46" t="str">
        <f>IF(ISBLANK(inbound_data[[#This Row],[Receiving Report ref.'#]]),"",IF(inbound_data[[#This Row],[Ending Quantity]]=0,"ZERO","INV"))</f>
        <v/>
      </c>
      <c r="B865" s="165" t="str">
        <f t="shared" si="96"/>
        <v/>
      </c>
      <c r="C865" s="165" t="str">
        <f>IF(ISBLANK(D865),"",inbound_data[[#This Row],[Pallet_Series]]&amp;inbound_data[[#This Row],[No.]])</f>
        <v/>
      </c>
      <c r="D865" s="54"/>
      <c r="E865" s="55"/>
      <c r="F865" s="56"/>
      <c r="G865" s="57"/>
      <c r="H865" s="53"/>
      <c r="I865" s="53"/>
      <c r="J865" s="55"/>
      <c r="K865" s="58"/>
      <c r="L865" s="59"/>
      <c r="M865" s="55"/>
      <c r="N865" s="60"/>
      <c r="O865" s="60"/>
      <c r="P865" s="165" t="str">
        <f t="shared" ca="1" si="97"/>
        <v/>
      </c>
      <c r="Q865" s="165" t="str">
        <f t="shared" ca="1" si="98"/>
        <v/>
      </c>
      <c r="R865" s="79"/>
      <c r="S865" s="80"/>
      <c r="T865" s="61">
        <f t="shared" si="99"/>
        <v>0</v>
      </c>
      <c r="U865" s="61">
        <f t="shared" si="100"/>
        <v>0</v>
      </c>
      <c r="V865" s="61">
        <f t="shared" si="101"/>
        <v>0</v>
      </c>
      <c r="W865" s="58"/>
      <c r="X865" s="58"/>
      <c r="Y865" s="53"/>
      <c r="Z865" s="57"/>
      <c r="AA865" s="62"/>
      <c r="AB865" s="62"/>
      <c r="AC865" s="62"/>
      <c r="AD865" s="62"/>
      <c r="AE865" s="62"/>
      <c r="AF865" s="63"/>
      <c r="AG865" s="64" t="str">
        <f t="shared" si="102"/>
        <v/>
      </c>
    </row>
    <row r="866" spans="1:33" x14ac:dyDescent="0.25">
      <c r="A866" s="46" t="str">
        <f>IF(ISBLANK(inbound_data[[#This Row],[Receiving Report ref.'#]]),"",IF(inbound_data[[#This Row],[Ending Quantity]]=0,"ZERO","INV"))</f>
        <v/>
      </c>
      <c r="B866" s="165" t="str">
        <f t="shared" si="96"/>
        <v/>
      </c>
      <c r="C866" s="165" t="str">
        <f>IF(ISBLANK(D866),"",inbound_data[[#This Row],[Pallet_Series]]&amp;inbound_data[[#This Row],[No.]])</f>
        <v/>
      </c>
      <c r="D866" s="54"/>
      <c r="E866" s="55"/>
      <c r="F866" s="56"/>
      <c r="G866" s="57"/>
      <c r="H866" s="53"/>
      <c r="I866" s="53"/>
      <c r="J866" s="55"/>
      <c r="K866" s="58"/>
      <c r="L866" s="59"/>
      <c r="M866" s="55"/>
      <c r="N866" s="60"/>
      <c r="O866" s="60"/>
      <c r="P866" s="165" t="str">
        <f t="shared" ca="1" si="97"/>
        <v/>
      </c>
      <c r="Q866" s="165" t="str">
        <f t="shared" ca="1" si="98"/>
        <v/>
      </c>
      <c r="R866" s="79"/>
      <c r="S866" s="80"/>
      <c r="T866" s="61">
        <f t="shared" si="99"/>
        <v>0</v>
      </c>
      <c r="U866" s="61">
        <f t="shared" si="100"/>
        <v>0</v>
      </c>
      <c r="V866" s="61">
        <f t="shared" si="101"/>
        <v>0</v>
      </c>
      <c r="W866" s="58"/>
      <c r="X866" s="58"/>
      <c r="Y866" s="53"/>
      <c r="Z866" s="57"/>
      <c r="AA866" s="62"/>
      <c r="AB866" s="62"/>
      <c r="AC866" s="62"/>
      <c r="AD866" s="62"/>
      <c r="AE866" s="62"/>
      <c r="AF866" s="63"/>
      <c r="AG866" s="64" t="str">
        <f t="shared" si="102"/>
        <v/>
      </c>
    </row>
    <row r="867" spans="1:33" x14ac:dyDescent="0.25">
      <c r="A867" s="46" t="str">
        <f>IF(ISBLANK(inbound_data[[#This Row],[Receiving Report ref.'#]]),"",IF(inbound_data[[#This Row],[Ending Quantity]]=0,"ZERO","INV"))</f>
        <v/>
      </c>
      <c r="B867" s="165" t="str">
        <f t="shared" si="96"/>
        <v/>
      </c>
      <c r="C867" s="165" t="str">
        <f>IF(ISBLANK(D867),"",inbound_data[[#This Row],[Pallet_Series]]&amp;inbound_data[[#This Row],[No.]])</f>
        <v/>
      </c>
      <c r="D867" s="54"/>
      <c r="E867" s="55"/>
      <c r="F867" s="56"/>
      <c r="G867" s="57"/>
      <c r="H867" s="53"/>
      <c r="I867" s="53"/>
      <c r="J867" s="55"/>
      <c r="K867" s="58"/>
      <c r="L867" s="59"/>
      <c r="M867" s="55"/>
      <c r="N867" s="60"/>
      <c r="O867" s="60"/>
      <c r="P867" s="165" t="str">
        <f t="shared" ca="1" si="97"/>
        <v/>
      </c>
      <c r="Q867" s="165" t="str">
        <f t="shared" ca="1" si="98"/>
        <v/>
      </c>
      <c r="R867" s="79"/>
      <c r="S867" s="80"/>
      <c r="T867" s="61">
        <f t="shared" si="99"/>
        <v>0</v>
      </c>
      <c r="U867" s="61">
        <f t="shared" si="100"/>
        <v>0</v>
      </c>
      <c r="V867" s="61">
        <f t="shared" si="101"/>
        <v>0</v>
      </c>
      <c r="W867" s="58"/>
      <c r="X867" s="58"/>
      <c r="Y867" s="53"/>
      <c r="Z867" s="57"/>
      <c r="AA867" s="62"/>
      <c r="AB867" s="62"/>
      <c r="AC867" s="62"/>
      <c r="AD867" s="62"/>
      <c r="AE867" s="62"/>
      <c r="AF867" s="63"/>
      <c r="AG867" s="64" t="str">
        <f t="shared" si="102"/>
        <v/>
      </c>
    </row>
    <row r="868" spans="1:33" x14ac:dyDescent="0.25">
      <c r="A868" s="46" t="str">
        <f>IF(ISBLANK(inbound_data[[#This Row],[Receiving Report ref.'#]]),"",IF(inbound_data[[#This Row],[Ending Quantity]]=0,"ZERO","INV"))</f>
        <v/>
      </c>
      <c r="B868" s="165" t="str">
        <f t="shared" si="96"/>
        <v/>
      </c>
      <c r="C868" s="165" t="str">
        <f>IF(ISBLANK(D868),"",inbound_data[[#This Row],[Pallet_Series]]&amp;inbound_data[[#This Row],[No.]])</f>
        <v/>
      </c>
      <c r="D868" s="54"/>
      <c r="E868" s="55"/>
      <c r="F868" s="56"/>
      <c r="G868" s="57"/>
      <c r="H868" s="53"/>
      <c r="I868" s="53"/>
      <c r="J868" s="55"/>
      <c r="K868" s="58"/>
      <c r="L868" s="59"/>
      <c r="M868" s="55"/>
      <c r="N868" s="60"/>
      <c r="O868" s="60"/>
      <c r="P868" s="165" t="str">
        <f t="shared" ca="1" si="97"/>
        <v/>
      </c>
      <c r="Q868" s="165" t="str">
        <f t="shared" ca="1" si="98"/>
        <v/>
      </c>
      <c r="R868" s="79"/>
      <c r="S868" s="80"/>
      <c r="T868" s="61">
        <f t="shared" si="99"/>
        <v>0</v>
      </c>
      <c r="U868" s="61">
        <f t="shared" si="100"/>
        <v>0</v>
      </c>
      <c r="V868" s="61">
        <f t="shared" si="101"/>
        <v>0</v>
      </c>
      <c r="W868" s="58"/>
      <c r="X868" s="58"/>
      <c r="Y868" s="53"/>
      <c r="Z868" s="57"/>
      <c r="AA868" s="62"/>
      <c r="AB868" s="62"/>
      <c r="AC868" s="62"/>
      <c r="AD868" s="62"/>
      <c r="AE868" s="62"/>
      <c r="AF868" s="63"/>
      <c r="AG868" s="64" t="str">
        <f t="shared" si="102"/>
        <v/>
      </c>
    </row>
    <row r="869" spans="1:33" x14ac:dyDescent="0.25">
      <c r="A869" s="46" t="str">
        <f>IF(ISBLANK(inbound_data[[#This Row],[Receiving Report ref.'#]]),"",IF(inbound_data[[#This Row],[Ending Quantity]]=0,"ZERO","INV"))</f>
        <v/>
      </c>
      <c r="B869" s="165" t="str">
        <f t="shared" si="96"/>
        <v/>
      </c>
      <c r="C869" s="165" t="str">
        <f>IF(ISBLANK(D869),"",inbound_data[[#This Row],[Pallet_Series]]&amp;inbound_data[[#This Row],[No.]])</f>
        <v/>
      </c>
      <c r="D869" s="54"/>
      <c r="E869" s="55"/>
      <c r="F869" s="56"/>
      <c r="G869" s="57"/>
      <c r="H869" s="53"/>
      <c r="I869" s="53"/>
      <c r="J869" s="55"/>
      <c r="K869" s="58"/>
      <c r="L869" s="59"/>
      <c r="M869" s="55"/>
      <c r="N869" s="60"/>
      <c r="O869" s="60"/>
      <c r="P869" s="165" t="str">
        <f t="shared" ca="1" si="97"/>
        <v/>
      </c>
      <c r="Q869" s="165" t="str">
        <f t="shared" ca="1" si="98"/>
        <v/>
      </c>
      <c r="R869" s="79"/>
      <c r="S869" s="80"/>
      <c r="T869" s="61">
        <f t="shared" si="99"/>
        <v>0</v>
      </c>
      <c r="U869" s="61">
        <f t="shared" si="100"/>
        <v>0</v>
      </c>
      <c r="V869" s="61">
        <f t="shared" si="101"/>
        <v>0</v>
      </c>
      <c r="W869" s="58"/>
      <c r="X869" s="58"/>
      <c r="Y869" s="53"/>
      <c r="Z869" s="57"/>
      <c r="AA869" s="62"/>
      <c r="AB869" s="62"/>
      <c r="AC869" s="62"/>
      <c r="AD869" s="62"/>
      <c r="AE869" s="62"/>
      <c r="AF869" s="63"/>
      <c r="AG869" s="64" t="str">
        <f t="shared" si="102"/>
        <v/>
      </c>
    </row>
    <row r="870" spans="1:33" x14ac:dyDescent="0.25">
      <c r="A870" s="46" t="str">
        <f>IF(ISBLANK(inbound_data[[#This Row],[Receiving Report ref.'#]]),"",IF(inbound_data[[#This Row],[Ending Quantity]]=0,"ZERO","INV"))</f>
        <v/>
      </c>
      <c r="B870" s="165" t="str">
        <f t="shared" si="96"/>
        <v/>
      </c>
      <c r="C870" s="165" t="str">
        <f>IF(ISBLANK(D870),"",inbound_data[[#This Row],[Pallet_Series]]&amp;inbound_data[[#This Row],[No.]])</f>
        <v/>
      </c>
      <c r="D870" s="54"/>
      <c r="E870" s="55"/>
      <c r="F870" s="56"/>
      <c r="G870" s="57"/>
      <c r="H870" s="53"/>
      <c r="I870" s="53"/>
      <c r="J870" s="55"/>
      <c r="K870" s="58"/>
      <c r="L870" s="59"/>
      <c r="M870" s="55"/>
      <c r="N870" s="60"/>
      <c r="O870" s="60"/>
      <c r="P870" s="165" t="str">
        <f t="shared" ca="1" si="97"/>
        <v/>
      </c>
      <c r="Q870" s="165" t="str">
        <f t="shared" ca="1" si="98"/>
        <v/>
      </c>
      <c r="R870" s="79"/>
      <c r="S870" s="80"/>
      <c r="T870" s="61">
        <f t="shared" si="99"/>
        <v>0</v>
      </c>
      <c r="U870" s="61">
        <f t="shared" si="100"/>
        <v>0</v>
      </c>
      <c r="V870" s="61">
        <f t="shared" si="101"/>
        <v>0</v>
      </c>
      <c r="W870" s="58"/>
      <c r="X870" s="58"/>
      <c r="Y870" s="53"/>
      <c r="Z870" s="57"/>
      <c r="AA870" s="62"/>
      <c r="AB870" s="62"/>
      <c r="AC870" s="62"/>
      <c r="AD870" s="62"/>
      <c r="AE870" s="62"/>
      <c r="AF870" s="63"/>
      <c r="AG870" s="64" t="str">
        <f t="shared" si="102"/>
        <v/>
      </c>
    </row>
    <row r="871" spans="1:33" x14ac:dyDescent="0.25">
      <c r="A871" s="46" t="str">
        <f>IF(ISBLANK(inbound_data[[#This Row],[Receiving Report ref.'#]]),"",IF(inbound_data[[#This Row],[Ending Quantity]]=0,"ZERO","INV"))</f>
        <v/>
      </c>
      <c r="B871" s="165" t="str">
        <f t="shared" si="96"/>
        <v/>
      </c>
      <c r="C871" s="165" t="str">
        <f>IF(ISBLANK(D871),"",inbound_data[[#This Row],[Pallet_Series]]&amp;inbound_data[[#This Row],[No.]])</f>
        <v/>
      </c>
      <c r="D871" s="54"/>
      <c r="E871" s="55"/>
      <c r="F871" s="56"/>
      <c r="G871" s="57"/>
      <c r="H871" s="53"/>
      <c r="I871" s="53"/>
      <c r="J871" s="55"/>
      <c r="K871" s="58"/>
      <c r="L871" s="59"/>
      <c r="M871" s="55"/>
      <c r="N871" s="60"/>
      <c r="O871" s="60"/>
      <c r="P871" s="165" t="str">
        <f t="shared" ca="1" si="97"/>
        <v/>
      </c>
      <c r="Q871" s="165" t="str">
        <f t="shared" ca="1" si="98"/>
        <v/>
      </c>
      <c r="R871" s="79"/>
      <c r="S871" s="80"/>
      <c r="T871" s="61">
        <f t="shared" si="99"/>
        <v>0</v>
      </c>
      <c r="U871" s="61">
        <f t="shared" si="100"/>
        <v>0</v>
      </c>
      <c r="V871" s="61">
        <f t="shared" si="101"/>
        <v>0</v>
      </c>
      <c r="W871" s="58"/>
      <c r="X871" s="58"/>
      <c r="Y871" s="53"/>
      <c r="Z871" s="57"/>
      <c r="AA871" s="62"/>
      <c r="AB871" s="62"/>
      <c r="AC871" s="62"/>
      <c r="AD871" s="62"/>
      <c r="AE871" s="62"/>
      <c r="AF871" s="63"/>
      <c r="AG871" s="64" t="str">
        <f t="shared" si="102"/>
        <v/>
      </c>
    </row>
    <row r="872" spans="1:33" x14ac:dyDescent="0.25">
      <c r="A872" s="46" t="str">
        <f>IF(ISBLANK(inbound_data[[#This Row],[Receiving Report ref.'#]]),"",IF(inbound_data[[#This Row],[Ending Quantity]]=0,"ZERO","INV"))</f>
        <v/>
      </c>
      <c r="B872" s="165" t="str">
        <f t="shared" si="96"/>
        <v/>
      </c>
      <c r="C872" s="165" t="str">
        <f>IF(ISBLANK(D872),"",inbound_data[[#This Row],[Pallet_Series]]&amp;inbound_data[[#This Row],[No.]])</f>
        <v/>
      </c>
      <c r="D872" s="54"/>
      <c r="E872" s="55"/>
      <c r="F872" s="56"/>
      <c r="G872" s="57"/>
      <c r="H872" s="53"/>
      <c r="I872" s="53"/>
      <c r="J872" s="55"/>
      <c r="K872" s="58"/>
      <c r="L872" s="59"/>
      <c r="M872" s="55"/>
      <c r="N872" s="60"/>
      <c r="O872" s="60"/>
      <c r="P872" s="165" t="str">
        <f t="shared" ca="1" si="97"/>
        <v/>
      </c>
      <c r="Q872" s="165" t="str">
        <f t="shared" ca="1" si="98"/>
        <v/>
      </c>
      <c r="R872" s="79"/>
      <c r="S872" s="80"/>
      <c r="T872" s="61">
        <f t="shared" si="99"/>
        <v>0</v>
      </c>
      <c r="U872" s="61">
        <f t="shared" si="100"/>
        <v>0</v>
      </c>
      <c r="V872" s="61">
        <f t="shared" si="101"/>
        <v>0</v>
      </c>
      <c r="W872" s="58"/>
      <c r="X872" s="58"/>
      <c r="Y872" s="53"/>
      <c r="Z872" s="57"/>
      <c r="AA872" s="62"/>
      <c r="AB872" s="62"/>
      <c r="AC872" s="62"/>
      <c r="AD872" s="62"/>
      <c r="AE872" s="62"/>
      <c r="AF872" s="63"/>
      <c r="AG872" s="64" t="str">
        <f t="shared" si="102"/>
        <v/>
      </c>
    </row>
    <row r="873" spans="1:33" x14ac:dyDescent="0.25">
      <c r="A873" s="46" t="str">
        <f>IF(ISBLANK(inbound_data[[#This Row],[Receiving Report ref.'#]]),"",IF(inbound_data[[#This Row],[Ending Quantity]]=0,"ZERO","INV"))</f>
        <v/>
      </c>
      <c r="B873" s="165" t="str">
        <f t="shared" si="96"/>
        <v/>
      </c>
      <c r="C873" s="165" t="str">
        <f>IF(ISBLANK(D873),"",inbound_data[[#This Row],[Pallet_Series]]&amp;inbound_data[[#This Row],[No.]])</f>
        <v/>
      </c>
      <c r="D873" s="54"/>
      <c r="E873" s="55"/>
      <c r="F873" s="56"/>
      <c r="G873" s="57"/>
      <c r="H873" s="53"/>
      <c r="I873" s="53"/>
      <c r="J873" s="55"/>
      <c r="K873" s="58"/>
      <c r="L873" s="59"/>
      <c r="M873" s="55"/>
      <c r="N873" s="60"/>
      <c r="O873" s="60"/>
      <c r="P873" s="165" t="str">
        <f t="shared" ca="1" si="97"/>
        <v/>
      </c>
      <c r="Q873" s="165" t="str">
        <f t="shared" ca="1" si="98"/>
        <v/>
      </c>
      <c r="R873" s="79"/>
      <c r="S873" s="80"/>
      <c r="T873" s="61">
        <f t="shared" si="99"/>
        <v>0</v>
      </c>
      <c r="U873" s="61">
        <f t="shared" si="100"/>
        <v>0</v>
      </c>
      <c r="V873" s="61">
        <f t="shared" si="101"/>
        <v>0</v>
      </c>
      <c r="W873" s="58"/>
      <c r="X873" s="58"/>
      <c r="Y873" s="53"/>
      <c r="Z873" s="57"/>
      <c r="AA873" s="62"/>
      <c r="AB873" s="62"/>
      <c r="AC873" s="62"/>
      <c r="AD873" s="62"/>
      <c r="AE873" s="62"/>
      <c r="AF873" s="63"/>
      <c r="AG873" s="64" t="str">
        <f t="shared" si="102"/>
        <v/>
      </c>
    </row>
    <row r="874" spans="1:33" x14ac:dyDescent="0.25">
      <c r="A874" s="46" t="str">
        <f>IF(ISBLANK(inbound_data[[#This Row],[Receiving Report ref.'#]]),"",IF(inbound_data[[#This Row],[Ending Quantity]]=0,"ZERO","INV"))</f>
        <v/>
      </c>
      <c r="B874" s="165" t="str">
        <f t="shared" si="96"/>
        <v/>
      </c>
      <c r="C874" s="165" t="str">
        <f>IF(ISBLANK(D874),"",inbound_data[[#This Row],[Pallet_Series]]&amp;inbound_data[[#This Row],[No.]])</f>
        <v/>
      </c>
      <c r="D874" s="54"/>
      <c r="E874" s="55"/>
      <c r="F874" s="56"/>
      <c r="G874" s="57"/>
      <c r="H874" s="53"/>
      <c r="I874" s="53"/>
      <c r="J874" s="55"/>
      <c r="K874" s="58"/>
      <c r="L874" s="59"/>
      <c r="M874" s="55"/>
      <c r="N874" s="60"/>
      <c r="O874" s="60"/>
      <c r="P874" s="165" t="str">
        <f t="shared" ca="1" si="97"/>
        <v/>
      </c>
      <c r="Q874" s="165" t="str">
        <f t="shared" ca="1" si="98"/>
        <v/>
      </c>
      <c r="R874" s="79"/>
      <c r="S874" s="80"/>
      <c r="T874" s="61">
        <f t="shared" si="99"/>
        <v>0</v>
      </c>
      <c r="U874" s="61">
        <f t="shared" si="100"/>
        <v>0</v>
      </c>
      <c r="V874" s="61">
        <f t="shared" si="101"/>
        <v>0</v>
      </c>
      <c r="W874" s="58"/>
      <c r="X874" s="58"/>
      <c r="Y874" s="53"/>
      <c r="Z874" s="57"/>
      <c r="AA874" s="62"/>
      <c r="AB874" s="62"/>
      <c r="AC874" s="62"/>
      <c r="AD874" s="62"/>
      <c r="AE874" s="62"/>
      <c r="AF874" s="63"/>
      <c r="AG874" s="64" t="str">
        <f t="shared" si="102"/>
        <v/>
      </c>
    </row>
    <row r="875" spans="1:33" x14ac:dyDescent="0.25">
      <c r="A875" s="46" t="str">
        <f>IF(ISBLANK(inbound_data[[#This Row],[Receiving Report ref.'#]]),"",IF(inbound_data[[#This Row],[Ending Quantity]]=0,"ZERO","INV"))</f>
        <v/>
      </c>
      <c r="B875" s="165" t="str">
        <f t="shared" si="96"/>
        <v/>
      </c>
      <c r="C875" s="165" t="str">
        <f>IF(ISBLANK(D875),"",inbound_data[[#This Row],[Pallet_Series]]&amp;inbound_data[[#This Row],[No.]])</f>
        <v/>
      </c>
      <c r="D875" s="54"/>
      <c r="E875" s="55"/>
      <c r="F875" s="56"/>
      <c r="G875" s="57"/>
      <c r="H875" s="53"/>
      <c r="I875" s="53"/>
      <c r="J875" s="55"/>
      <c r="K875" s="58"/>
      <c r="L875" s="59"/>
      <c r="M875" s="55"/>
      <c r="N875" s="60"/>
      <c r="O875" s="60"/>
      <c r="P875" s="165" t="str">
        <f t="shared" ca="1" si="97"/>
        <v/>
      </c>
      <c r="Q875" s="165" t="str">
        <f t="shared" ca="1" si="98"/>
        <v/>
      </c>
      <c r="R875" s="79"/>
      <c r="S875" s="80"/>
      <c r="T875" s="61">
        <f t="shared" si="99"/>
        <v>0</v>
      </c>
      <c r="U875" s="61">
        <f t="shared" si="100"/>
        <v>0</v>
      </c>
      <c r="V875" s="61">
        <f t="shared" si="101"/>
        <v>0</v>
      </c>
      <c r="W875" s="58"/>
      <c r="X875" s="58"/>
      <c r="Y875" s="53"/>
      <c r="Z875" s="57"/>
      <c r="AA875" s="62"/>
      <c r="AB875" s="62"/>
      <c r="AC875" s="62"/>
      <c r="AD875" s="62"/>
      <c r="AE875" s="62"/>
      <c r="AF875" s="63"/>
      <c r="AG875" s="64" t="str">
        <f t="shared" si="102"/>
        <v/>
      </c>
    </row>
    <row r="876" spans="1:33" x14ac:dyDescent="0.25">
      <c r="A876" s="46" t="str">
        <f>IF(ISBLANK(inbound_data[[#This Row],[Receiving Report ref.'#]]),"",IF(inbound_data[[#This Row],[Ending Quantity]]=0,"ZERO","INV"))</f>
        <v/>
      </c>
      <c r="B876" s="165" t="str">
        <f t="shared" si="96"/>
        <v/>
      </c>
      <c r="C876" s="165" t="str">
        <f>IF(ISBLANK(D876),"",inbound_data[[#This Row],[Pallet_Series]]&amp;inbound_data[[#This Row],[No.]])</f>
        <v/>
      </c>
      <c r="D876" s="54"/>
      <c r="E876" s="55"/>
      <c r="F876" s="56"/>
      <c r="G876" s="57"/>
      <c r="H876" s="53"/>
      <c r="I876" s="53"/>
      <c r="J876" s="55"/>
      <c r="K876" s="58"/>
      <c r="L876" s="59"/>
      <c r="M876" s="55"/>
      <c r="N876" s="60"/>
      <c r="O876" s="60"/>
      <c r="P876" s="165" t="str">
        <f t="shared" ca="1" si="97"/>
        <v/>
      </c>
      <c r="Q876" s="165" t="str">
        <f t="shared" ca="1" si="98"/>
        <v/>
      </c>
      <c r="R876" s="79"/>
      <c r="S876" s="80"/>
      <c r="T876" s="61">
        <f t="shared" si="99"/>
        <v>0</v>
      </c>
      <c r="U876" s="61">
        <f t="shared" si="100"/>
        <v>0</v>
      </c>
      <c r="V876" s="61">
        <f t="shared" si="101"/>
        <v>0</v>
      </c>
      <c r="W876" s="58"/>
      <c r="X876" s="58"/>
      <c r="Y876" s="53"/>
      <c r="Z876" s="57"/>
      <c r="AA876" s="62"/>
      <c r="AB876" s="62"/>
      <c r="AC876" s="62"/>
      <c r="AD876" s="62"/>
      <c r="AE876" s="62"/>
      <c r="AF876" s="63"/>
      <c r="AG876" s="64" t="str">
        <f t="shared" si="102"/>
        <v/>
      </c>
    </row>
    <row r="877" spans="1:33" x14ac:dyDescent="0.25">
      <c r="A877" s="46" t="str">
        <f>IF(ISBLANK(inbound_data[[#This Row],[Receiving Report ref.'#]]),"",IF(inbound_data[[#This Row],[Ending Quantity]]=0,"ZERO","INV"))</f>
        <v/>
      </c>
      <c r="B877" s="165" t="str">
        <f t="shared" si="96"/>
        <v/>
      </c>
      <c r="C877" s="165" t="str">
        <f>IF(ISBLANK(D877),"",inbound_data[[#This Row],[Pallet_Series]]&amp;inbound_data[[#This Row],[No.]])</f>
        <v/>
      </c>
      <c r="D877" s="54"/>
      <c r="E877" s="55"/>
      <c r="F877" s="56"/>
      <c r="G877" s="57"/>
      <c r="H877" s="53"/>
      <c r="I877" s="53"/>
      <c r="J877" s="55"/>
      <c r="K877" s="58"/>
      <c r="L877" s="59"/>
      <c r="M877" s="55"/>
      <c r="N877" s="60"/>
      <c r="O877" s="60"/>
      <c r="P877" s="165" t="str">
        <f t="shared" ca="1" si="97"/>
        <v/>
      </c>
      <c r="Q877" s="165" t="str">
        <f t="shared" ca="1" si="98"/>
        <v/>
      </c>
      <c r="R877" s="79"/>
      <c r="S877" s="80"/>
      <c r="T877" s="61">
        <f t="shared" si="99"/>
        <v>0</v>
      </c>
      <c r="U877" s="61">
        <f t="shared" si="100"/>
        <v>0</v>
      </c>
      <c r="V877" s="61">
        <f t="shared" si="101"/>
        <v>0</v>
      </c>
      <c r="W877" s="58"/>
      <c r="X877" s="58"/>
      <c r="Y877" s="53"/>
      <c r="Z877" s="57"/>
      <c r="AA877" s="62"/>
      <c r="AB877" s="62"/>
      <c r="AC877" s="62"/>
      <c r="AD877" s="62"/>
      <c r="AE877" s="62"/>
      <c r="AF877" s="63"/>
      <c r="AG877" s="64" t="str">
        <f t="shared" si="102"/>
        <v/>
      </c>
    </row>
    <row r="878" spans="1:33" x14ac:dyDescent="0.25">
      <c r="A878" s="46" t="str">
        <f>IF(ISBLANK(inbound_data[[#This Row],[Receiving Report ref.'#]]),"",IF(inbound_data[[#This Row],[Ending Quantity]]=0,"ZERO","INV"))</f>
        <v/>
      </c>
      <c r="B878" s="165" t="str">
        <f t="shared" si="96"/>
        <v/>
      </c>
      <c r="C878" s="165" t="str">
        <f>IF(ISBLANK(D878),"",inbound_data[[#This Row],[Pallet_Series]]&amp;inbound_data[[#This Row],[No.]])</f>
        <v/>
      </c>
      <c r="D878" s="54"/>
      <c r="E878" s="55"/>
      <c r="F878" s="56"/>
      <c r="G878" s="57"/>
      <c r="H878" s="53"/>
      <c r="I878" s="53"/>
      <c r="J878" s="55"/>
      <c r="K878" s="58"/>
      <c r="L878" s="59"/>
      <c r="M878" s="55"/>
      <c r="N878" s="60"/>
      <c r="O878" s="60"/>
      <c r="P878" s="165" t="str">
        <f t="shared" ca="1" si="97"/>
        <v/>
      </c>
      <c r="Q878" s="165" t="str">
        <f t="shared" ca="1" si="98"/>
        <v/>
      </c>
      <c r="R878" s="79"/>
      <c r="S878" s="80"/>
      <c r="T878" s="61">
        <f t="shared" si="99"/>
        <v>0</v>
      </c>
      <c r="U878" s="61">
        <f t="shared" si="100"/>
        <v>0</v>
      </c>
      <c r="V878" s="61">
        <f t="shared" si="101"/>
        <v>0</v>
      </c>
      <c r="W878" s="58"/>
      <c r="X878" s="58"/>
      <c r="Y878" s="53"/>
      <c r="Z878" s="57"/>
      <c r="AA878" s="62"/>
      <c r="AB878" s="62"/>
      <c r="AC878" s="62"/>
      <c r="AD878" s="62"/>
      <c r="AE878" s="62"/>
      <c r="AF878" s="63"/>
      <c r="AG878" s="64" t="str">
        <f t="shared" si="102"/>
        <v/>
      </c>
    </row>
    <row r="879" spans="1:33" x14ac:dyDescent="0.25">
      <c r="A879" s="46" t="str">
        <f>IF(ISBLANK(inbound_data[[#This Row],[Receiving Report ref.'#]]),"",IF(inbound_data[[#This Row],[Ending Quantity]]=0,"ZERO","INV"))</f>
        <v/>
      </c>
      <c r="B879" s="165" t="str">
        <f t="shared" si="96"/>
        <v/>
      </c>
      <c r="C879" s="165" t="str">
        <f>IF(ISBLANK(D879),"",inbound_data[[#This Row],[Pallet_Series]]&amp;inbound_data[[#This Row],[No.]])</f>
        <v/>
      </c>
      <c r="D879" s="54"/>
      <c r="E879" s="55"/>
      <c r="F879" s="56"/>
      <c r="G879" s="57"/>
      <c r="H879" s="53"/>
      <c r="I879" s="53"/>
      <c r="J879" s="55"/>
      <c r="K879" s="58"/>
      <c r="L879" s="59"/>
      <c r="M879" s="55"/>
      <c r="N879" s="60"/>
      <c r="O879" s="60"/>
      <c r="P879" s="165" t="str">
        <f t="shared" ca="1" si="97"/>
        <v/>
      </c>
      <c r="Q879" s="165" t="str">
        <f t="shared" ca="1" si="98"/>
        <v/>
      </c>
      <c r="R879" s="79"/>
      <c r="S879" s="80"/>
      <c r="T879" s="61">
        <f t="shared" si="99"/>
        <v>0</v>
      </c>
      <c r="U879" s="61">
        <f t="shared" si="100"/>
        <v>0</v>
      </c>
      <c r="V879" s="61">
        <f t="shared" si="101"/>
        <v>0</v>
      </c>
      <c r="W879" s="58"/>
      <c r="X879" s="58"/>
      <c r="Y879" s="53"/>
      <c r="Z879" s="57"/>
      <c r="AA879" s="62"/>
      <c r="AB879" s="62"/>
      <c r="AC879" s="62"/>
      <c r="AD879" s="62"/>
      <c r="AE879" s="62"/>
      <c r="AF879" s="63"/>
      <c r="AG879" s="64" t="str">
        <f t="shared" si="102"/>
        <v/>
      </c>
    </row>
    <row r="880" spans="1:33" x14ac:dyDescent="0.25">
      <c r="A880" s="46" t="str">
        <f>IF(ISBLANK(inbound_data[[#This Row],[Receiving Report ref.'#]]),"",IF(inbound_data[[#This Row],[Ending Quantity]]=0,"ZERO","INV"))</f>
        <v/>
      </c>
      <c r="B880" s="165" t="str">
        <f t="shared" si="96"/>
        <v/>
      </c>
      <c r="C880" s="165" t="str">
        <f>IF(ISBLANK(D880),"",inbound_data[[#This Row],[Pallet_Series]]&amp;inbound_data[[#This Row],[No.]])</f>
        <v/>
      </c>
      <c r="D880" s="54"/>
      <c r="E880" s="55"/>
      <c r="F880" s="56"/>
      <c r="G880" s="57"/>
      <c r="H880" s="53"/>
      <c r="I880" s="53"/>
      <c r="J880" s="55"/>
      <c r="K880" s="58"/>
      <c r="L880" s="59"/>
      <c r="M880" s="55"/>
      <c r="N880" s="60"/>
      <c r="O880" s="60"/>
      <c r="P880" s="165" t="str">
        <f t="shared" ca="1" si="97"/>
        <v/>
      </c>
      <c r="Q880" s="165" t="str">
        <f t="shared" ca="1" si="98"/>
        <v/>
      </c>
      <c r="R880" s="79"/>
      <c r="S880" s="80"/>
      <c r="T880" s="61">
        <f t="shared" si="99"/>
        <v>0</v>
      </c>
      <c r="U880" s="61">
        <f t="shared" si="100"/>
        <v>0</v>
      </c>
      <c r="V880" s="61">
        <f t="shared" si="101"/>
        <v>0</v>
      </c>
      <c r="W880" s="58"/>
      <c r="X880" s="58"/>
      <c r="Y880" s="53"/>
      <c r="Z880" s="57"/>
      <c r="AA880" s="62"/>
      <c r="AB880" s="62"/>
      <c r="AC880" s="62"/>
      <c r="AD880" s="62"/>
      <c r="AE880" s="62"/>
      <c r="AF880" s="63"/>
      <c r="AG880" s="64" t="str">
        <f t="shared" si="102"/>
        <v/>
      </c>
    </row>
    <row r="881" spans="1:33" x14ac:dyDescent="0.25">
      <c r="A881" s="46" t="str">
        <f>IF(ISBLANK(inbound_data[[#This Row],[Receiving Report ref.'#]]),"",IF(inbound_data[[#This Row],[Ending Quantity]]=0,"ZERO","INV"))</f>
        <v/>
      </c>
      <c r="B881" s="165" t="str">
        <f t="shared" si="96"/>
        <v/>
      </c>
      <c r="C881" s="165" t="str">
        <f>IF(ISBLANK(D881),"",inbound_data[[#This Row],[Pallet_Series]]&amp;inbound_data[[#This Row],[No.]])</f>
        <v/>
      </c>
      <c r="D881" s="54"/>
      <c r="E881" s="55"/>
      <c r="F881" s="56"/>
      <c r="G881" s="57"/>
      <c r="H881" s="53"/>
      <c r="I881" s="53"/>
      <c r="J881" s="55"/>
      <c r="K881" s="58"/>
      <c r="L881" s="59"/>
      <c r="M881" s="55"/>
      <c r="N881" s="60"/>
      <c r="O881" s="60"/>
      <c r="P881" s="165" t="str">
        <f t="shared" ca="1" si="97"/>
        <v/>
      </c>
      <c r="Q881" s="165" t="str">
        <f t="shared" ca="1" si="98"/>
        <v/>
      </c>
      <c r="R881" s="79"/>
      <c r="S881" s="80"/>
      <c r="T881" s="61">
        <f t="shared" si="99"/>
        <v>0</v>
      </c>
      <c r="U881" s="61">
        <f t="shared" si="100"/>
        <v>0</v>
      </c>
      <c r="V881" s="61">
        <f t="shared" si="101"/>
        <v>0</v>
      </c>
      <c r="W881" s="58"/>
      <c r="X881" s="58"/>
      <c r="Y881" s="53"/>
      <c r="Z881" s="57"/>
      <c r="AA881" s="62"/>
      <c r="AB881" s="62"/>
      <c r="AC881" s="62"/>
      <c r="AD881" s="62"/>
      <c r="AE881" s="62"/>
      <c r="AF881" s="63"/>
      <c r="AG881" s="64" t="str">
        <f t="shared" si="102"/>
        <v/>
      </c>
    </row>
    <row r="882" spans="1:33" x14ac:dyDescent="0.25">
      <c r="A882" s="46" t="str">
        <f>IF(ISBLANK(inbound_data[[#This Row],[Receiving Report ref.'#]]),"",IF(inbound_data[[#This Row],[Ending Quantity]]=0,"ZERO","INV"))</f>
        <v/>
      </c>
      <c r="B882" s="165" t="str">
        <f t="shared" si="96"/>
        <v/>
      </c>
      <c r="C882" s="165" t="str">
        <f>IF(ISBLANK(D882),"",inbound_data[[#This Row],[Pallet_Series]]&amp;inbound_data[[#This Row],[No.]])</f>
        <v/>
      </c>
      <c r="D882" s="54"/>
      <c r="E882" s="55"/>
      <c r="F882" s="56"/>
      <c r="G882" s="57"/>
      <c r="H882" s="53"/>
      <c r="I882" s="53"/>
      <c r="J882" s="55"/>
      <c r="K882" s="58"/>
      <c r="L882" s="59"/>
      <c r="M882" s="55"/>
      <c r="N882" s="60"/>
      <c r="O882" s="60"/>
      <c r="P882" s="165" t="str">
        <f t="shared" ca="1" si="97"/>
        <v/>
      </c>
      <c r="Q882" s="165" t="str">
        <f t="shared" ca="1" si="98"/>
        <v/>
      </c>
      <c r="R882" s="79"/>
      <c r="S882" s="80"/>
      <c r="T882" s="61">
        <f t="shared" si="99"/>
        <v>0</v>
      </c>
      <c r="U882" s="61">
        <f t="shared" si="100"/>
        <v>0</v>
      </c>
      <c r="V882" s="61">
        <f t="shared" si="101"/>
        <v>0</v>
      </c>
      <c r="W882" s="58"/>
      <c r="X882" s="58"/>
      <c r="Y882" s="53"/>
      <c r="Z882" s="57"/>
      <c r="AA882" s="62"/>
      <c r="AB882" s="62"/>
      <c r="AC882" s="62"/>
      <c r="AD882" s="62"/>
      <c r="AE882" s="62"/>
      <c r="AF882" s="63"/>
      <c r="AG882" s="64" t="str">
        <f t="shared" si="102"/>
        <v/>
      </c>
    </row>
    <row r="883" spans="1:33" x14ac:dyDescent="0.25">
      <c r="A883" s="46" t="str">
        <f>IF(ISBLANK(inbound_data[[#This Row],[Receiving Report ref.'#]]),"",IF(inbound_data[[#This Row],[Ending Quantity]]=0,"ZERO","INV"))</f>
        <v/>
      </c>
      <c r="B883" s="165" t="str">
        <f t="shared" si="96"/>
        <v/>
      </c>
      <c r="C883" s="165" t="str">
        <f>IF(ISBLANK(D883),"",inbound_data[[#This Row],[Pallet_Series]]&amp;inbound_data[[#This Row],[No.]])</f>
        <v/>
      </c>
      <c r="D883" s="54"/>
      <c r="E883" s="55"/>
      <c r="F883" s="56"/>
      <c r="G883" s="57"/>
      <c r="H883" s="53"/>
      <c r="I883" s="53"/>
      <c r="J883" s="55"/>
      <c r="K883" s="58"/>
      <c r="L883" s="59"/>
      <c r="M883" s="55"/>
      <c r="N883" s="60"/>
      <c r="O883" s="60"/>
      <c r="P883" s="165" t="str">
        <f t="shared" ca="1" si="97"/>
        <v/>
      </c>
      <c r="Q883" s="165" t="str">
        <f t="shared" ca="1" si="98"/>
        <v/>
      </c>
      <c r="R883" s="79"/>
      <c r="S883" s="80"/>
      <c r="T883" s="61">
        <f t="shared" si="99"/>
        <v>0</v>
      </c>
      <c r="U883" s="61">
        <f t="shared" si="100"/>
        <v>0</v>
      </c>
      <c r="V883" s="61">
        <f t="shared" si="101"/>
        <v>0</v>
      </c>
      <c r="W883" s="58"/>
      <c r="X883" s="58"/>
      <c r="Y883" s="53"/>
      <c r="Z883" s="57"/>
      <c r="AA883" s="62"/>
      <c r="AB883" s="62"/>
      <c r="AC883" s="62"/>
      <c r="AD883" s="62"/>
      <c r="AE883" s="62"/>
      <c r="AF883" s="63"/>
      <c r="AG883" s="64" t="str">
        <f t="shared" si="102"/>
        <v/>
      </c>
    </row>
    <row r="884" spans="1:33" x14ac:dyDescent="0.25">
      <c r="A884" s="46" t="str">
        <f>IF(ISBLANK(inbound_data[[#This Row],[Receiving Report ref.'#]]),"",IF(inbound_data[[#This Row],[Ending Quantity]]=0,"ZERO","INV"))</f>
        <v/>
      </c>
      <c r="B884" s="165" t="str">
        <f t="shared" si="96"/>
        <v/>
      </c>
      <c r="C884" s="165" t="str">
        <f>IF(ISBLANK(D884),"",inbound_data[[#This Row],[Pallet_Series]]&amp;inbound_data[[#This Row],[No.]])</f>
        <v/>
      </c>
      <c r="D884" s="54"/>
      <c r="E884" s="55"/>
      <c r="F884" s="56"/>
      <c r="G884" s="57"/>
      <c r="H884" s="53"/>
      <c r="I884" s="53"/>
      <c r="J884" s="55"/>
      <c r="K884" s="58"/>
      <c r="L884" s="59"/>
      <c r="M884" s="55"/>
      <c r="N884" s="60"/>
      <c r="O884" s="60"/>
      <c r="P884" s="165" t="str">
        <f t="shared" ca="1" si="97"/>
        <v/>
      </c>
      <c r="Q884" s="165" t="str">
        <f t="shared" ca="1" si="98"/>
        <v/>
      </c>
      <c r="R884" s="79"/>
      <c r="S884" s="80"/>
      <c r="T884" s="61">
        <f t="shared" si="99"/>
        <v>0</v>
      </c>
      <c r="U884" s="61">
        <f t="shared" si="100"/>
        <v>0</v>
      </c>
      <c r="V884" s="61">
        <f t="shared" si="101"/>
        <v>0</v>
      </c>
      <c r="W884" s="58"/>
      <c r="X884" s="58"/>
      <c r="Y884" s="53"/>
      <c r="Z884" s="57"/>
      <c r="AA884" s="62"/>
      <c r="AB884" s="62"/>
      <c r="AC884" s="62"/>
      <c r="AD884" s="62"/>
      <c r="AE884" s="62"/>
      <c r="AF884" s="63"/>
      <c r="AG884" s="64" t="str">
        <f t="shared" si="102"/>
        <v/>
      </c>
    </row>
    <row r="885" spans="1:33" x14ac:dyDescent="0.25">
      <c r="A885" s="46" t="str">
        <f>IF(ISBLANK(inbound_data[[#This Row],[Receiving Report ref.'#]]),"",IF(inbound_data[[#This Row],[Ending Quantity]]=0,"ZERO","INV"))</f>
        <v/>
      </c>
      <c r="B885" s="165" t="str">
        <f t="shared" si="96"/>
        <v/>
      </c>
      <c r="C885" s="165" t="str">
        <f>IF(ISBLANK(D885),"",inbound_data[[#This Row],[Pallet_Series]]&amp;inbound_data[[#This Row],[No.]])</f>
        <v/>
      </c>
      <c r="D885" s="54"/>
      <c r="E885" s="55"/>
      <c r="F885" s="56"/>
      <c r="G885" s="57"/>
      <c r="H885" s="53"/>
      <c r="I885" s="53"/>
      <c r="J885" s="55"/>
      <c r="K885" s="58"/>
      <c r="L885" s="59"/>
      <c r="M885" s="55"/>
      <c r="N885" s="60"/>
      <c r="O885" s="60"/>
      <c r="P885" s="165" t="str">
        <f t="shared" ca="1" si="97"/>
        <v/>
      </c>
      <c r="Q885" s="165" t="str">
        <f t="shared" ca="1" si="98"/>
        <v/>
      </c>
      <c r="R885" s="79"/>
      <c r="S885" s="80"/>
      <c r="T885" s="61">
        <f t="shared" si="99"/>
        <v>0</v>
      </c>
      <c r="U885" s="61">
        <f t="shared" si="100"/>
        <v>0</v>
      </c>
      <c r="V885" s="61">
        <f t="shared" si="101"/>
        <v>0</v>
      </c>
      <c r="W885" s="58"/>
      <c r="X885" s="58"/>
      <c r="Y885" s="53"/>
      <c r="Z885" s="57"/>
      <c r="AA885" s="62"/>
      <c r="AB885" s="62"/>
      <c r="AC885" s="62"/>
      <c r="AD885" s="62"/>
      <c r="AE885" s="62"/>
      <c r="AF885" s="63"/>
      <c r="AG885" s="64" t="str">
        <f t="shared" si="102"/>
        <v/>
      </c>
    </row>
    <row r="886" spans="1:33" x14ac:dyDescent="0.25">
      <c r="A886" s="46" t="str">
        <f>IF(ISBLANK(inbound_data[[#This Row],[Receiving Report ref.'#]]),"",IF(inbound_data[[#This Row],[Ending Quantity]]=0,"ZERO","INV"))</f>
        <v/>
      </c>
      <c r="B886" s="165" t="str">
        <f t="shared" si="96"/>
        <v/>
      </c>
      <c r="C886" s="165" t="str">
        <f>IF(ISBLANK(D886),"",inbound_data[[#This Row],[Pallet_Series]]&amp;inbound_data[[#This Row],[No.]])</f>
        <v/>
      </c>
      <c r="D886" s="54"/>
      <c r="E886" s="55"/>
      <c r="F886" s="56"/>
      <c r="G886" s="57"/>
      <c r="H886" s="53"/>
      <c r="I886" s="53"/>
      <c r="J886" s="55"/>
      <c r="K886" s="58"/>
      <c r="L886" s="59"/>
      <c r="M886" s="55"/>
      <c r="N886" s="60"/>
      <c r="O886" s="60"/>
      <c r="P886" s="165" t="str">
        <f t="shared" ca="1" si="97"/>
        <v/>
      </c>
      <c r="Q886" s="165" t="str">
        <f t="shared" ca="1" si="98"/>
        <v/>
      </c>
      <c r="R886" s="79"/>
      <c r="S886" s="80"/>
      <c r="T886" s="61">
        <f t="shared" si="99"/>
        <v>0</v>
      </c>
      <c r="U886" s="61">
        <f t="shared" si="100"/>
        <v>0</v>
      </c>
      <c r="V886" s="61">
        <f t="shared" si="101"/>
        <v>0</v>
      </c>
      <c r="W886" s="58"/>
      <c r="X886" s="58"/>
      <c r="Y886" s="53"/>
      <c r="Z886" s="57"/>
      <c r="AA886" s="62"/>
      <c r="AB886" s="62"/>
      <c r="AC886" s="62"/>
      <c r="AD886" s="62"/>
      <c r="AE886" s="62"/>
      <c r="AF886" s="63"/>
      <c r="AG886" s="64" t="str">
        <f t="shared" si="102"/>
        <v/>
      </c>
    </row>
    <row r="887" spans="1:33" x14ac:dyDescent="0.25">
      <c r="A887" s="46" t="str">
        <f>IF(ISBLANK(inbound_data[[#This Row],[Receiving Report ref.'#]]),"",IF(inbound_data[[#This Row],[Ending Quantity]]=0,"ZERO","INV"))</f>
        <v/>
      </c>
      <c r="B887" s="165" t="str">
        <f t="shared" si="96"/>
        <v/>
      </c>
      <c r="C887" s="165" t="str">
        <f>IF(ISBLANK(D887),"",inbound_data[[#This Row],[Pallet_Series]]&amp;inbound_data[[#This Row],[No.]])</f>
        <v/>
      </c>
      <c r="D887" s="54"/>
      <c r="E887" s="55"/>
      <c r="F887" s="56"/>
      <c r="G887" s="57"/>
      <c r="H887" s="53"/>
      <c r="I887" s="53"/>
      <c r="J887" s="55"/>
      <c r="K887" s="58"/>
      <c r="L887" s="59"/>
      <c r="M887" s="55"/>
      <c r="N887" s="60"/>
      <c r="O887" s="60"/>
      <c r="P887" s="165" t="str">
        <f t="shared" ca="1" si="97"/>
        <v/>
      </c>
      <c r="Q887" s="165" t="str">
        <f t="shared" ca="1" si="98"/>
        <v/>
      </c>
      <c r="R887" s="79"/>
      <c r="S887" s="80"/>
      <c r="T887" s="61">
        <f t="shared" si="99"/>
        <v>0</v>
      </c>
      <c r="U887" s="61">
        <f t="shared" si="100"/>
        <v>0</v>
      </c>
      <c r="V887" s="61">
        <f t="shared" si="101"/>
        <v>0</v>
      </c>
      <c r="W887" s="58"/>
      <c r="X887" s="58"/>
      <c r="Y887" s="53"/>
      <c r="Z887" s="57"/>
      <c r="AA887" s="62"/>
      <c r="AB887" s="62"/>
      <c r="AC887" s="62"/>
      <c r="AD887" s="62"/>
      <c r="AE887" s="62"/>
      <c r="AF887" s="63"/>
      <c r="AG887" s="64" t="str">
        <f t="shared" si="102"/>
        <v/>
      </c>
    </row>
    <row r="888" spans="1:33" x14ac:dyDescent="0.25">
      <c r="A888" s="46" t="str">
        <f>IF(ISBLANK(inbound_data[[#This Row],[Receiving Report ref.'#]]),"",IF(inbound_data[[#This Row],[Ending Quantity]]=0,"ZERO","INV"))</f>
        <v/>
      </c>
      <c r="B888" s="165" t="str">
        <f t="shared" si="96"/>
        <v/>
      </c>
      <c r="C888" s="165" t="str">
        <f>IF(ISBLANK(D888),"",inbound_data[[#This Row],[Pallet_Series]]&amp;inbound_data[[#This Row],[No.]])</f>
        <v/>
      </c>
      <c r="D888" s="54"/>
      <c r="E888" s="55"/>
      <c r="F888" s="56"/>
      <c r="G888" s="57"/>
      <c r="H888" s="53"/>
      <c r="I888" s="53"/>
      <c r="J888" s="55"/>
      <c r="K888" s="58"/>
      <c r="L888" s="59"/>
      <c r="M888" s="55"/>
      <c r="N888" s="60"/>
      <c r="O888" s="60"/>
      <c r="P888" s="165" t="str">
        <f t="shared" ca="1" si="97"/>
        <v/>
      </c>
      <c r="Q888" s="165" t="str">
        <f t="shared" ca="1" si="98"/>
        <v/>
      </c>
      <c r="R888" s="79"/>
      <c r="S888" s="80"/>
      <c r="T888" s="61">
        <f t="shared" si="99"/>
        <v>0</v>
      </c>
      <c r="U888" s="61">
        <f t="shared" si="100"/>
        <v>0</v>
      </c>
      <c r="V888" s="61">
        <f t="shared" si="101"/>
        <v>0</v>
      </c>
      <c r="W888" s="58"/>
      <c r="X888" s="58"/>
      <c r="Y888" s="53"/>
      <c r="Z888" s="57"/>
      <c r="AA888" s="62"/>
      <c r="AB888" s="62"/>
      <c r="AC888" s="62"/>
      <c r="AD888" s="62"/>
      <c r="AE888" s="62"/>
      <c r="AF888" s="63"/>
      <c r="AG888" s="64" t="str">
        <f t="shared" si="102"/>
        <v/>
      </c>
    </row>
    <row r="889" spans="1:33" x14ac:dyDescent="0.25">
      <c r="A889" s="46" t="str">
        <f>IF(ISBLANK(inbound_data[[#This Row],[Receiving Report ref.'#]]),"",IF(inbound_data[[#This Row],[Ending Quantity]]=0,"ZERO","INV"))</f>
        <v/>
      </c>
      <c r="B889" s="165" t="str">
        <f t="shared" si="96"/>
        <v/>
      </c>
      <c r="C889" s="165" t="str">
        <f>IF(ISBLANK(D889),"",inbound_data[[#This Row],[Pallet_Series]]&amp;inbound_data[[#This Row],[No.]])</f>
        <v/>
      </c>
      <c r="D889" s="54"/>
      <c r="E889" s="55"/>
      <c r="F889" s="56"/>
      <c r="G889" s="57"/>
      <c r="H889" s="53"/>
      <c r="I889" s="53"/>
      <c r="J889" s="55"/>
      <c r="K889" s="58"/>
      <c r="L889" s="59"/>
      <c r="M889" s="55"/>
      <c r="N889" s="60"/>
      <c r="O889" s="60"/>
      <c r="P889" s="165" t="str">
        <f t="shared" ca="1" si="97"/>
        <v/>
      </c>
      <c r="Q889" s="165" t="str">
        <f t="shared" ca="1" si="98"/>
        <v/>
      </c>
      <c r="R889" s="79"/>
      <c r="S889" s="80"/>
      <c r="T889" s="61">
        <f t="shared" si="99"/>
        <v>0</v>
      </c>
      <c r="U889" s="61">
        <f t="shared" si="100"/>
        <v>0</v>
      </c>
      <c r="V889" s="61">
        <f t="shared" si="101"/>
        <v>0</v>
      </c>
      <c r="W889" s="58"/>
      <c r="X889" s="58"/>
      <c r="Y889" s="53"/>
      <c r="Z889" s="57"/>
      <c r="AA889" s="62"/>
      <c r="AB889" s="62"/>
      <c r="AC889" s="62"/>
      <c r="AD889" s="62"/>
      <c r="AE889" s="62"/>
      <c r="AF889" s="63"/>
      <c r="AG889" s="64" t="str">
        <f t="shared" si="102"/>
        <v/>
      </c>
    </row>
    <row r="890" spans="1:33" x14ac:dyDescent="0.25">
      <c r="A890" s="46" t="str">
        <f>IF(ISBLANK(inbound_data[[#This Row],[Receiving Report ref.'#]]),"",IF(inbound_data[[#This Row],[Ending Quantity]]=0,"ZERO","INV"))</f>
        <v/>
      </c>
      <c r="B890" s="165" t="str">
        <f t="shared" si="96"/>
        <v/>
      </c>
      <c r="C890" s="165" t="str">
        <f>IF(ISBLANK(D890),"",inbound_data[[#This Row],[Pallet_Series]]&amp;inbound_data[[#This Row],[No.]])</f>
        <v/>
      </c>
      <c r="D890" s="54"/>
      <c r="E890" s="55"/>
      <c r="F890" s="56"/>
      <c r="G890" s="57"/>
      <c r="H890" s="53"/>
      <c r="I890" s="53"/>
      <c r="J890" s="55"/>
      <c r="K890" s="58"/>
      <c r="L890" s="59"/>
      <c r="M890" s="55"/>
      <c r="N890" s="60"/>
      <c r="O890" s="60"/>
      <c r="P890" s="165" t="str">
        <f t="shared" ca="1" si="97"/>
        <v/>
      </c>
      <c r="Q890" s="165" t="str">
        <f t="shared" ca="1" si="98"/>
        <v/>
      </c>
      <c r="R890" s="79"/>
      <c r="S890" s="80"/>
      <c r="T890" s="61">
        <f t="shared" si="99"/>
        <v>0</v>
      </c>
      <c r="U890" s="61">
        <f t="shared" si="100"/>
        <v>0</v>
      </c>
      <c r="V890" s="61">
        <f t="shared" si="101"/>
        <v>0</v>
      </c>
      <c r="W890" s="58"/>
      <c r="X890" s="58"/>
      <c r="Y890" s="53"/>
      <c r="Z890" s="57"/>
      <c r="AA890" s="62"/>
      <c r="AB890" s="62"/>
      <c r="AC890" s="62"/>
      <c r="AD890" s="62"/>
      <c r="AE890" s="62"/>
      <c r="AF890" s="63"/>
      <c r="AG890" s="64" t="str">
        <f t="shared" si="102"/>
        <v/>
      </c>
    </row>
    <row r="891" spans="1:33" x14ac:dyDescent="0.25">
      <c r="A891" s="46" t="str">
        <f>IF(ISBLANK(inbound_data[[#This Row],[Receiving Report ref.'#]]),"",IF(inbound_data[[#This Row],[Ending Quantity]]=0,"ZERO","INV"))</f>
        <v/>
      </c>
      <c r="B891" s="165" t="str">
        <f t="shared" si="96"/>
        <v/>
      </c>
      <c r="C891" s="165" t="str">
        <f>IF(ISBLANK(D891),"",inbound_data[[#This Row],[Pallet_Series]]&amp;inbound_data[[#This Row],[No.]])</f>
        <v/>
      </c>
      <c r="D891" s="54"/>
      <c r="E891" s="55"/>
      <c r="F891" s="56"/>
      <c r="G891" s="57"/>
      <c r="H891" s="53"/>
      <c r="I891" s="53"/>
      <c r="J891" s="55"/>
      <c r="K891" s="58"/>
      <c r="L891" s="59"/>
      <c r="M891" s="55"/>
      <c r="N891" s="60"/>
      <c r="O891" s="60"/>
      <c r="P891" s="165" t="str">
        <f t="shared" ca="1" si="97"/>
        <v/>
      </c>
      <c r="Q891" s="165" t="str">
        <f t="shared" ca="1" si="98"/>
        <v/>
      </c>
      <c r="R891" s="79"/>
      <c r="S891" s="80"/>
      <c r="T891" s="61">
        <f t="shared" si="99"/>
        <v>0</v>
      </c>
      <c r="U891" s="61">
        <f t="shared" si="100"/>
        <v>0</v>
      </c>
      <c r="V891" s="61">
        <f t="shared" si="101"/>
        <v>0</v>
      </c>
      <c r="W891" s="58"/>
      <c r="X891" s="58"/>
      <c r="Y891" s="53"/>
      <c r="Z891" s="57"/>
      <c r="AA891" s="62"/>
      <c r="AB891" s="62"/>
      <c r="AC891" s="62"/>
      <c r="AD891" s="62"/>
      <c r="AE891" s="62"/>
      <c r="AF891" s="63"/>
      <c r="AG891" s="64" t="str">
        <f t="shared" si="102"/>
        <v/>
      </c>
    </row>
    <row r="892" spans="1:33" x14ac:dyDescent="0.25">
      <c r="A892" s="46" t="str">
        <f>IF(ISBLANK(inbound_data[[#This Row],[Receiving Report ref.'#]]),"",IF(inbound_data[[#This Row],[Ending Quantity]]=0,"ZERO","INV"))</f>
        <v/>
      </c>
      <c r="B892" s="165" t="str">
        <f t="shared" si="96"/>
        <v/>
      </c>
      <c r="C892" s="165" t="str">
        <f>IF(ISBLANK(D892),"",inbound_data[[#This Row],[Pallet_Series]]&amp;inbound_data[[#This Row],[No.]])</f>
        <v/>
      </c>
      <c r="D892" s="54"/>
      <c r="E892" s="55"/>
      <c r="F892" s="56"/>
      <c r="G892" s="57"/>
      <c r="H892" s="53"/>
      <c r="I892" s="53"/>
      <c r="J892" s="55"/>
      <c r="K892" s="58"/>
      <c r="L892" s="59"/>
      <c r="M892" s="55"/>
      <c r="N892" s="60"/>
      <c r="O892" s="60"/>
      <c r="P892" s="165" t="str">
        <f t="shared" ca="1" si="97"/>
        <v/>
      </c>
      <c r="Q892" s="165" t="str">
        <f t="shared" ca="1" si="98"/>
        <v/>
      </c>
      <c r="R892" s="79"/>
      <c r="S892" s="80"/>
      <c r="T892" s="61">
        <f t="shared" si="99"/>
        <v>0</v>
      </c>
      <c r="U892" s="61">
        <f t="shared" si="100"/>
        <v>0</v>
      </c>
      <c r="V892" s="61">
        <f t="shared" si="101"/>
        <v>0</v>
      </c>
      <c r="W892" s="58"/>
      <c r="X892" s="58"/>
      <c r="Y892" s="53"/>
      <c r="Z892" s="57"/>
      <c r="AA892" s="62"/>
      <c r="AB892" s="62"/>
      <c r="AC892" s="62"/>
      <c r="AD892" s="62"/>
      <c r="AE892" s="62"/>
      <c r="AF892" s="63"/>
      <c r="AG892" s="64" t="str">
        <f t="shared" si="102"/>
        <v/>
      </c>
    </row>
    <row r="893" spans="1:33" x14ac:dyDescent="0.25">
      <c r="A893" s="46" t="str">
        <f>IF(ISBLANK(inbound_data[[#This Row],[Receiving Report ref.'#]]),"",IF(inbound_data[[#This Row],[Ending Quantity]]=0,"ZERO","INV"))</f>
        <v/>
      </c>
      <c r="B893" s="165" t="str">
        <f t="shared" si="96"/>
        <v/>
      </c>
      <c r="C893" s="165" t="str">
        <f>IF(ISBLANK(D893),"",inbound_data[[#This Row],[Pallet_Series]]&amp;inbound_data[[#This Row],[No.]])</f>
        <v/>
      </c>
      <c r="D893" s="54"/>
      <c r="E893" s="55"/>
      <c r="F893" s="56"/>
      <c r="G893" s="57"/>
      <c r="H893" s="53"/>
      <c r="I893" s="53"/>
      <c r="J893" s="55"/>
      <c r="K893" s="58"/>
      <c r="L893" s="59"/>
      <c r="M893" s="55"/>
      <c r="N893" s="60"/>
      <c r="O893" s="60"/>
      <c r="P893" s="165" t="str">
        <f t="shared" ca="1" si="97"/>
        <v/>
      </c>
      <c r="Q893" s="165" t="str">
        <f t="shared" ca="1" si="98"/>
        <v/>
      </c>
      <c r="R893" s="79"/>
      <c r="S893" s="80"/>
      <c r="T893" s="61">
        <f t="shared" si="99"/>
        <v>0</v>
      </c>
      <c r="U893" s="61">
        <f t="shared" si="100"/>
        <v>0</v>
      </c>
      <c r="V893" s="61">
        <f t="shared" si="101"/>
        <v>0</v>
      </c>
      <c r="W893" s="58"/>
      <c r="X893" s="58"/>
      <c r="Y893" s="53"/>
      <c r="Z893" s="57"/>
      <c r="AA893" s="62"/>
      <c r="AB893" s="62"/>
      <c r="AC893" s="62"/>
      <c r="AD893" s="62"/>
      <c r="AE893" s="62"/>
      <c r="AF893" s="63"/>
      <c r="AG893" s="64" t="str">
        <f t="shared" si="102"/>
        <v/>
      </c>
    </row>
    <row r="894" spans="1:33" x14ac:dyDescent="0.25">
      <c r="A894" s="46" t="str">
        <f>IF(ISBLANK(inbound_data[[#This Row],[Receiving Report ref.'#]]),"",IF(inbound_data[[#This Row],[Ending Quantity]]=0,"ZERO","INV"))</f>
        <v/>
      </c>
      <c r="B894" s="165" t="str">
        <f t="shared" si="96"/>
        <v/>
      </c>
      <c r="C894" s="165" t="str">
        <f>IF(ISBLANK(D894),"",inbound_data[[#This Row],[Pallet_Series]]&amp;inbound_data[[#This Row],[No.]])</f>
        <v/>
      </c>
      <c r="D894" s="54"/>
      <c r="E894" s="55"/>
      <c r="F894" s="56"/>
      <c r="G894" s="57"/>
      <c r="H894" s="53"/>
      <c r="I894" s="53"/>
      <c r="J894" s="55"/>
      <c r="K894" s="58"/>
      <c r="L894" s="59"/>
      <c r="M894" s="55"/>
      <c r="N894" s="60"/>
      <c r="O894" s="60"/>
      <c r="P894" s="165" t="str">
        <f t="shared" ca="1" si="97"/>
        <v/>
      </c>
      <c r="Q894" s="165" t="str">
        <f t="shared" ca="1" si="98"/>
        <v/>
      </c>
      <c r="R894" s="79"/>
      <c r="S894" s="80"/>
      <c r="T894" s="61">
        <f t="shared" si="99"/>
        <v>0</v>
      </c>
      <c r="U894" s="61">
        <f t="shared" si="100"/>
        <v>0</v>
      </c>
      <c r="V894" s="61">
        <f t="shared" si="101"/>
        <v>0</v>
      </c>
      <c r="W894" s="58"/>
      <c r="X894" s="58"/>
      <c r="Y894" s="53"/>
      <c r="Z894" s="57"/>
      <c r="AA894" s="62"/>
      <c r="AB894" s="62"/>
      <c r="AC894" s="62"/>
      <c r="AD894" s="62"/>
      <c r="AE894" s="62"/>
      <c r="AF894" s="63"/>
      <c r="AG894" s="64" t="str">
        <f t="shared" si="102"/>
        <v/>
      </c>
    </row>
    <row r="895" spans="1:33" x14ac:dyDescent="0.25">
      <c r="A895" s="46" t="str">
        <f>IF(ISBLANK(inbound_data[[#This Row],[Receiving Report ref.'#]]),"",IF(inbound_data[[#This Row],[Ending Quantity]]=0,"ZERO","INV"))</f>
        <v/>
      </c>
      <c r="B895" s="165" t="str">
        <f t="shared" si="96"/>
        <v/>
      </c>
      <c r="C895" s="165" t="str">
        <f>IF(ISBLANK(D895),"",inbound_data[[#This Row],[Pallet_Series]]&amp;inbound_data[[#This Row],[No.]])</f>
        <v/>
      </c>
      <c r="D895" s="54"/>
      <c r="E895" s="55"/>
      <c r="F895" s="56"/>
      <c r="G895" s="57"/>
      <c r="H895" s="53"/>
      <c r="I895" s="53"/>
      <c r="J895" s="55"/>
      <c r="K895" s="58"/>
      <c r="L895" s="59"/>
      <c r="M895" s="55"/>
      <c r="N895" s="60"/>
      <c r="O895" s="60"/>
      <c r="P895" s="165" t="str">
        <f t="shared" ca="1" si="97"/>
        <v/>
      </c>
      <c r="Q895" s="165" t="str">
        <f t="shared" ca="1" si="98"/>
        <v/>
      </c>
      <c r="R895" s="79"/>
      <c r="S895" s="80"/>
      <c r="T895" s="61">
        <f t="shared" si="99"/>
        <v>0</v>
      </c>
      <c r="U895" s="61">
        <f t="shared" si="100"/>
        <v>0</v>
      </c>
      <c r="V895" s="61">
        <f t="shared" si="101"/>
        <v>0</v>
      </c>
      <c r="W895" s="58"/>
      <c r="X895" s="58"/>
      <c r="Y895" s="53"/>
      <c r="Z895" s="57"/>
      <c r="AA895" s="62"/>
      <c r="AB895" s="62"/>
      <c r="AC895" s="62"/>
      <c r="AD895" s="62"/>
      <c r="AE895" s="62"/>
      <c r="AF895" s="63"/>
      <c r="AG895" s="64" t="str">
        <f t="shared" si="102"/>
        <v/>
      </c>
    </row>
    <row r="896" spans="1:33" x14ac:dyDescent="0.25">
      <c r="A896" s="46" t="str">
        <f>IF(ISBLANK(inbound_data[[#This Row],[Receiving Report ref.'#]]),"",IF(inbound_data[[#This Row],[Ending Quantity]]=0,"ZERO","INV"))</f>
        <v/>
      </c>
      <c r="B896" s="165" t="str">
        <f t="shared" si="96"/>
        <v/>
      </c>
      <c r="C896" s="165" t="str">
        <f>IF(ISBLANK(D896),"",inbound_data[[#This Row],[Pallet_Series]]&amp;inbound_data[[#This Row],[No.]])</f>
        <v/>
      </c>
      <c r="D896" s="54"/>
      <c r="E896" s="55"/>
      <c r="F896" s="56"/>
      <c r="G896" s="57"/>
      <c r="H896" s="53"/>
      <c r="I896" s="53"/>
      <c r="J896" s="55"/>
      <c r="K896" s="58"/>
      <c r="L896" s="59"/>
      <c r="M896" s="55"/>
      <c r="N896" s="60"/>
      <c r="O896" s="60"/>
      <c r="P896" s="165" t="str">
        <f t="shared" ca="1" si="97"/>
        <v/>
      </c>
      <c r="Q896" s="165" t="str">
        <f t="shared" ca="1" si="98"/>
        <v/>
      </c>
      <c r="R896" s="79"/>
      <c r="S896" s="80"/>
      <c r="T896" s="61">
        <f t="shared" si="99"/>
        <v>0</v>
      </c>
      <c r="U896" s="61">
        <f t="shared" si="100"/>
        <v>0</v>
      </c>
      <c r="V896" s="61">
        <f t="shared" si="101"/>
        <v>0</v>
      </c>
      <c r="W896" s="58"/>
      <c r="X896" s="58"/>
      <c r="Y896" s="53"/>
      <c r="Z896" s="57"/>
      <c r="AA896" s="62"/>
      <c r="AB896" s="62"/>
      <c r="AC896" s="62"/>
      <c r="AD896" s="62"/>
      <c r="AE896" s="62"/>
      <c r="AF896" s="63"/>
      <c r="AG896" s="64" t="str">
        <f t="shared" si="102"/>
        <v/>
      </c>
    </row>
    <row r="897" spans="1:33" x14ac:dyDescent="0.25">
      <c r="A897" s="46" t="str">
        <f>IF(ISBLANK(inbound_data[[#This Row],[Receiving Report ref.'#]]),"",IF(inbound_data[[#This Row],[Ending Quantity]]=0,"ZERO","INV"))</f>
        <v/>
      </c>
      <c r="B897" s="165" t="str">
        <f t="shared" si="96"/>
        <v/>
      </c>
      <c r="C897" s="165" t="str">
        <f>IF(ISBLANK(D897),"",inbound_data[[#This Row],[Pallet_Series]]&amp;inbound_data[[#This Row],[No.]])</f>
        <v/>
      </c>
      <c r="D897" s="54"/>
      <c r="E897" s="55"/>
      <c r="F897" s="56"/>
      <c r="G897" s="57"/>
      <c r="H897" s="53"/>
      <c r="I897" s="53"/>
      <c r="J897" s="55"/>
      <c r="K897" s="58"/>
      <c r="L897" s="59"/>
      <c r="M897" s="55"/>
      <c r="N897" s="60"/>
      <c r="O897" s="60"/>
      <c r="P897" s="165" t="str">
        <f t="shared" ca="1" si="97"/>
        <v/>
      </c>
      <c r="Q897" s="165" t="str">
        <f t="shared" ca="1" si="98"/>
        <v/>
      </c>
      <c r="R897" s="79"/>
      <c r="S897" s="80"/>
      <c r="T897" s="61">
        <f t="shared" si="99"/>
        <v>0</v>
      </c>
      <c r="U897" s="61">
        <f t="shared" si="100"/>
        <v>0</v>
      </c>
      <c r="V897" s="61">
        <f t="shared" si="101"/>
        <v>0</v>
      </c>
      <c r="W897" s="58"/>
      <c r="X897" s="58"/>
      <c r="Y897" s="53"/>
      <c r="Z897" s="57"/>
      <c r="AA897" s="62"/>
      <c r="AB897" s="62"/>
      <c r="AC897" s="62"/>
      <c r="AD897" s="62"/>
      <c r="AE897" s="62"/>
      <c r="AF897" s="63"/>
      <c r="AG897" s="64" t="str">
        <f t="shared" si="102"/>
        <v/>
      </c>
    </row>
    <row r="898" spans="1:33" x14ac:dyDescent="0.25">
      <c r="A898" s="46" t="str">
        <f>IF(ISBLANK(inbound_data[[#This Row],[Receiving Report ref.'#]]),"",IF(inbound_data[[#This Row],[Ending Quantity]]=0,"ZERO","INV"))</f>
        <v/>
      </c>
      <c r="B898" s="165" t="str">
        <f t="shared" si="96"/>
        <v/>
      </c>
      <c r="C898" s="165" t="str">
        <f>IF(ISBLANK(D898),"",inbound_data[[#This Row],[Pallet_Series]]&amp;inbound_data[[#This Row],[No.]])</f>
        <v/>
      </c>
      <c r="D898" s="54"/>
      <c r="E898" s="55"/>
      <c r="F898" s="56"/>
      <c r="G898" s="57"/>
      <c r="H898" s="53"/>
      <c r="I898" s="53"/>
      <c r="J898" s="55"/>
      <c r="K898" s="58"/>
      <c r="L898" s="59"/>
      <c r="M898" s="55"/>
      <c r="N898" s="60"/>
      <c r="O898" s="60"/>
      <c r="P898" s="165" t="str">
        <f t="shared" ca="1" si="97"/>
        <v/>
      </c>
      <c r="Q898" s="165" t="str">
        <f t="shared" ca="1" si="98"/>
        <v/>
      </c>
      <c r="R898" s="79"/>
      <c r="S898" s="80"/>
      <c r="T898" s="61">
        <f t="shared" si="99"/>
        <v>0</v>
      </c>
      <c r="U898" s="61">
        <f t="shared" si="100"/>
        <v>0</v>
      </c>
      <c r="V898" s="61">
        <f t="shared" si="101"/>
        <v>0</v>
      </c>
      <c r="W898" s="58"/>
      <c r="X898" s="58"/>
      <c r="Y898" s="53"/>
      <c r="Z898" s="57"/>
      <c r="AA898" s="62"/>
      <c r="AB898" s="62"/>
      <c r="AC898" s="62"/>
      <c r="AD898" s="62"/>
      <c r="AE898" s="62"/>
      <c r="AF898" s="63"/>
      <c r="AG898" s="64" t="str">
        <f t="shared" si="102"/>
        <v/>
      </c>
    </row>
    <row r="899" spans="1:33" x14ac:dyDescent="0.25">
      <c r="A899" s="46" t="str">
        <f>IF(ISBLANK(inbound_data[[#This Row],[Receiving Report ref.'#]]),"",IF(inbound_data[[#This Row],[Ending Quantity]]=0,"ZERO","INV"))</f>
        <v/>
      </c>
      <c r="B899" s="165" t="str">
        <f t="shared" si="96"/>
        <v/>
      </c>
      <c r="C899" s="165" t="str">
        <f>IF(ISBLANK(D899),"",inbound_data[[#This Row],[Pallet_Series]]&amp;inbound_data[[#This Row],[No.]])</f>
        <v/>
      </c>
      <c r="D899" s="54"/>
      <c r="E899" s="55"/>
      <c r="F899" s="56"/>
      <c r="G899" s="57"/>
      <c r="H899" s="53"/>
      <c r="I899" s="53"/>
      <c r="J899" s="55"/>
      <c r="K899" s="58"/>
      <c r="L899" s="59"/>
      <c r="M899" s="55"/>
      <c r="N899" s="60"/>
      <c r="O899" s="60"/>
      <c r="P899" s="165" t="str">
        <f t="shared" ca="1" si="97"/>
        <v/>
      </c>
      <c r="Q899" s="165" t="str">
        <f t="shared" ca="1" si="98"/>
        <v/>
      </c>
      <c r="R899" s="79"/>
      <c r="S899" s="80"/>
      <c r="T899" s="61">
        <f t="shared" si="99"/>
        <v>0</v>
      </c>
      <c r="U899" s="61">
        <f t="shared" si="100"/>
        <v>0</v>
      </c>
      <c r="V899" s="61">
        <f t="shared" si="101"/>
        <v>0</v>
      </c>
      <c r="W899" s="58"/>
      <c r="X899" s="58"/>
      <c r="Y899" s="53"/>
      <c r="Z899" s="57"/>
      <c r="AA899" s="62"/>
      <c r="AB899" s="62"/>
      <c r="AC899" s="62"/>
      <c r="AD899" s="62"/>
      <c r="AE899" s="62"/>
      <c r="AF899" s="63"/>
      <c r="AG899" s="64" t="str">
        <f t="shared" si="102"/>
        <v/>
      </c>
    </row>
    <row r="900" spans="1:33" x14ac:dyDescent="0.25">
      <c r="A900" s="46" t="str">
        <f>IF(ISBLANK(inbound_data[[#This Row],[Receiving Report ref.'#]]),"",IF(inbound_data[[#This Row],[Ending Quantity]]=0,"ZERO","INV"))</f>
        <v/>
      </c>
      <c r="B900" s="165" t="str">
        <f t="shared" si="96"/>
        <v/>
      </c>
      <c r="C900" s="165" t="str">
        <f>IF(ISBLANK(D900),"",inbound_data[[#This Row],[Pallet_Series]]&amp;inbound_data[[#This Row],[No.]])</f>
        <v/>
      </c>
      <c r="D900" s="54"/>
      <c r="E900" s="55"/>
      <c r="F900" s="56"/>
      <c r="G900" s="57"/>
      <c r="H900" s="53"/>
      <c r="I900" s="53"/>
      <c r="J900" s="55"/>
      <c r="K900" s="58"/>
      <c r="L900" s="59"/>
      <c r="M900" s="55"/>
      <c r="N900" s="60"/>
      <c r="O900" s="60"/>
      <c r="P900" s="165" t="str">
        <f t="shared" ca="1" si="97"/>
        <v/>
      </c>
      <c r="Q900" s="165" t="str">
        <f t="shared" ca="1" si="98"/>
        <v/>
      </c>
      <c r="R900" s="79"/>
      <c r="S900" s="80"/>
      <c r="T900" s="61">
        <f t="shared" si="99"/>
        <v>0</v>
      </c>
      <c r="U900" s="61">
        <f t="shared" si="100"/>
        <v>0</v>
      </c>
      <c r="V900" s="61">
        <f t="shared" si="101"/>
        <v>0</v>
      </c>
      <c r="W900" s="58"/>
      <c r="X900" s="58"/>
      <c r="Y900" s="53"/>
      <c r="Z900" s="57"/>
      <c r="AA900" s="62"/>
      <c r="AB900" s="62"/>
      <c r="AC900" s="62"/>
      <c r="AD900" s="62"/>
      <c r="AE900" s="62"/>
      <c r="AF900" s="63"/>
      <c r="AG900" s="64" t="str">
        <f t="shared" si="102"/>
        <v/>
      </c>
    </row>
    <row r="901" spans="1:33" x14ac:dyDescent="0.25">
      <c r="A901" s="46" t="str">
        <f>IF(ISBLANK(inbound_data[[#This Row],[Receiving Report ref.'#]]),"",IF(inbound_data[[#This Row],[Ending Quantity]]=0,"ZERO","INV"))</f>
        <v/>
      </c>
      <c r="B901" s="165" t="str">
        <f t="shared" si="96"/>
        <v/>
      </c>
      <c r="C901" s="165" t="str">
        <f>IF(ISBLANK(D901),"",inbound_data[[#This Row],[Pallet_Series]]&amp;inbound_data[[#This Row],[No.]])</f>
        <v/>
      </c>
      <c r="D901" s="54"/>
      <c r="E901" s="55"/>
      <c r="F901" s="56"/>
      <c r="G901" s="57"/>
      <c r="H901" s="53"/>
      <c r="I901" s="53"/>
      <c r="J901" s="55"/>
      <c r="K901" s="58"/>
      <c r="L901" s="59"/>
      <c r="M901" s="55"/>
      <c r="N901" s="60"/>
      <c r="O901" s="60"/>
      <c r="P901" s="165" t="str">
        <f t="shared" ca="1" si="97"/>
        <v/>
      </c>
      <c r="Q901" s="165" t="str">
        <f t="shared" ca="1" si="98"/>
        <v/>
      </c>
      <c r="R901" s="79"/>
      <c r="S901" s="80"/>
      <c r="T901" s="61">
        <f t="shared" si="99"/>
        <v>0</v>
      </c>
      <c r="U901" s="61">
        <f t="shared" si="100"/>
        <v>0</v>
      </c>
      <c r="V901" s="61">
        <f t="shared" si="101"/>
        <v>0</v>
      </c>
      <c r="W901" s="58"/>
      <c r="X901" s="58"/>
      <c r="Y901" s="53"/>
      <c r="Z901" s="57"/>
      <c r="AA901" s="62"/>
      <c r="AB901" s="62"/>
      <c r="AC901" s="62"/>
      <c r="AD901" s="62"/>
      <c r="AE901" s="62"/>
      <c r="AF901" s="63"/>
      <c r="AG901" s="64" t="str">
        <f t="shared" si="102"/>
        <v/>
      </c>
    </row>
    <row r="902" spans="1:33" x14ac:dyDescent="0.25">
      <c r="A902" s="46" t="str">
        <f>IF(ISBLANK(inbound_data[[#This Row],[Receiving Report ref.'#]]),"",IF(inbound_data[[#This Row],[Ending Quantity]]=0,"ZERO","INV"))</f>
        <v/>
      </c>
      <c r="B902" s="165" t="str">
        <f t="shared" si="96"/>
        <v/>
      </c>
      <c r="C902" s="165" t="str">
        <f>IF(ISBLANK(D902),"",inbound_data[[#This Row],[Pallet_Series]]&amp;inbound_data[[#This Row],[No.]])</f>
        <v/>
      </c>
      <c r="D902" s="54"/>
      <c r="E902" s="55"/>
      <c r="F902" s="56"/>
      <c r="G902" s="57"/>
      <c r="H902" s="53"/>
      <c r="I902" s="53"/>
      <c r="J902" s="55"/>
      <c r="K902" s="58"/>
      <c r="L902" s="59"/>
      <c r="M902" s="55"/>
      <c r="N902" s="60"/>
      <c r="O902" s="60"/>
      <c r="P902" s="165" t="str">
        <f t="shared" ca="1" si="97"/>
        <v/>
      </c>
      <c r="Q902" s="165" t="str">
        <f t="shared" ca="1" si="98"/>
        <v/>
      </c>
      <c r="R902" s="79"/>
      <c r="S902" s="80"/>
      <c r="T902" s="61">
        <f t="shared" si="99"/>
        <v>0</v>
      </c>
      <c r="U902" s="61">
        <f t="shared" si="100"/>
        <v>0</v>
      </c>
      <c r="V902" s="61">
        <f t="shared" si="101"/>
        <v>0</v>
      </c>
      <c r="W902" s="58"/>
      <c r="X902" s="58"/>
      <c r="Y902" s="53"/>
      <c r="Z902" s="57"/>
      <c r="AA902" s="62"/>
      <c r="AB902" s="62"/>
      <c r="AC902" s="62"/>
      <c r="AD902" s="62"/>
      <c r="AE902" s="62"/>
      <c r="AF902" s="63"/>
      <c r="AG902" s="64" t="str">
        <f t="shared" si="102"/>
        <v/>
      </c>
    </row>
    <row r="903" spans="1:33" x14ac:dyDescent="0.25">
      <c r="A903" s="46" t="str">
        <f>IF(ISBLANK(inbound_data[[#This Row],[Receiving Report ref.'#]]),"",IF(inbound_data[[#This Row],[Ending Quantity]]=0,"ZERO","INV"))</f>
        <v/>
      </c>
      <c r="B903" s="165" t="str">
        <f t="shared" si="96"/>
        <v/>
      </c>
      <c r="C903" s="165" t="str">
        <f>IF(ISBLANK(D903),"",inbound_data[[#This Row],[Pallet_Series]]&amp;inbound_data[[#This Row],[No.]])</f>
        <v/>
      </c>
      <c r="D903" s="54"/>
      <c r="E903" s="55"/>
      <c r="F903" s="56"/>
      <c r="G903" s="57"/>
      <c r="H903" s="53"/>
      <c r="I903" s="53"/>
      <c r="J903" s="55"/>
      <c r="K903" s="58"/>
      <c r="L903" s="59"/>
      <c r="M903" s="55"/>
      <c r="N903" s="60"/>
      <c r="O903" s="60"/>
      <c r="P903" s="165" t="str">
        <f t="shared" ca="1" si="97"/>
        <v/>
      </c>
      <c r="Q903" s="165" t="str">
        <f t="shared" ca="1" si="98"/>
        <v/>
      </c>
      <c r="R903" s="79"/>
      <c r="S903" s="80"/>
      <c r="T903" s="61">
        <f t="shared" si="99"/>
        <v>0</v>
      </c>
      <c r="U903" s="61">
        <f t="shared" si="100"/>
        <v>0</v>
      </c>
      <c r="V903" s="61">
        <f t="shared" si="101"/>
        <v>0</v>
      </c>
      <c r="W903" s="58"/>
      <c r="X903" s="58"/>
      <c r="Y903" s="53"/>
      <c r="Z903" s="57"/>
      <c r="AA903" s="62"/>
      <c r="AB903" s="62"/>
      <c r="AC903" s="62"/>
      <c r="AD903" s="62"/>
      <c r="AE903" s="62"/>
      <c r="AF903" s="63"/>
      <c r="AG903" s="64" t="str">
        <f t="shared" si="102"/>
        <v/>
      </c>
    </row>
    <row r="904" spans="1:33" x14ac:dyDescent="0.25">
      <c r="A904" s="46" t="str">
        <f>IF(ISBLANK(inbound_data[[#This Row],[Receiving Report ref.'#]]),"",IF(inbound_data[[#This Row],[Ending Quantity]]=0,"ZERO","INV"))</f>
        <v/>
      </c>
      <c r="B904" s="165" t="str">
        <f t="shared" si="96"/>
        <v/>
      </c>
      <c r="C904" s="165" t="str">
        <f>IF(ISBLANK(D904),"",inbound_data[[#This Row],[Pallet_Series]]&amp;inbound_data[[#This Row],[No.]])</f>
        <v/>
      </c>
      <c r="D904" s="54"/>
      <c r="E904" s="55"/>
      <c r="F904" s="56"/>
      <c r="G904" s="57"/>
      <c r="H904" s="53"/>
      <c r="I904" s="53"/>
      <c r="J904" s="55"/>
      <c r="K904" s="58"/>
      <c r="L904" s="59"/>
      <c r="M904" s="55"/>
      <c r="N904" s="60"/>
      <c r="O904" s="60"/>
      <c r="P904" s="165" t="str">
        <f t="shared" ca="1" si="97"/>
        <v/>
      </c>
      <c r="Q904" s="165" t="str">
        <f t="shared" ca="1" si="98"/>
        <v/>
      </c>
      <c r="R904" s="79"/>
      <c r="S904" s="80"/>
      <c r="T904" s="61">
        <f t="shared" si="99"/>
        <v>0</v>
      </c>
      <c r="U904" s="61">
        <f t="shared" si="100"/>
        <v>0</v>
      </c>
      <c r="V904" s="61">
        <f t="shared" si="101"/>
        <v>0</v>
      </c>
      <c r="W904" s="58"/>
      <c r="X904" s="58"/>
      <c r="Y904" s="53"/>
      <c r="Z904" s="57"/>
      <c r="AA904" s="62"/>
      <c r="AB904" s="62"/>
      <c r="AC904" s="62"/>
      <c r="AD904" s="62"/>
      <c r="AE904" s="62"/>
      <c r="AF904" s="63"/>
      <c r="AG904" s="64" t="str">
        <f t="shared" si="102"/>
        <v/>
      </c>
    </row>
    <row r="905" spans="1:33" x14ac:dyDescent="0.25">
      <c r="A905" s="46" t="str">
        <f>IF(ISBLANK(inbound_data[[#This Row],[Receiving Report ref.'#]]),"",IF(inbound_data[[#This Row],[Ending Quantity]]=0,"ZERO","INV"))</f>
        <v/>
      </c>
      <c r="B905" s="165" t="str">
        <f t="shared" ref="B905:B968" si="103">IF(ISBLANK(D905),"",TEXT(ROW(),"00000"))</f>
        <v/>
      </c>
      <c r="C905" s="165" t="str">
        <f>IF(ISBLANK(D905),"",inbound_data[[#This Row],[Pallet_Series]]&amp;inbound_data[[#This Row],[No.]])</f>
        <v/>
      </c>
      <c r="D905" s="54"/>
      <c r="E905" s="55"/>
      <c r="F905" s="56"/>
      <c r="G905" s="57"/>
      <c r="H905" s="53"/>
      <c r="I905" s="53"/>
      <c r="J905" s="55"/>
      <c r="K905" s="58"/>
      <c r="L905" s="59"/>
      <c r="M905" s="55"/>
      <c r="N905" s="60"/>
      <c r="O905" s="60"/>
      <c r="P905" s="165" t="str">
        <f t="shared" ref="P905:P968" ca="1" si="104">IF(A905="ZERO","",IF(O905="","",O905-TODAY()))</f>
        <v/>
      </c>
      <c r="Q905" s="165" t="str">
        <f t="shared" ref="Q905:Q968" ca="1" si="105">IF(A905="ZERO","",IF(P905&lt;0,"ALREADY EXPIRED",IF(P905&lt;60,"NEARLY EXPIRED","")))</f>
        <v/>
      </c>
      <c r="R905" s="79"/>
      <c r="S905" s="80"/>
      <c r="T905" s="61">
        <f t="shared" ref="T905:T968" si="106">IF(ISBLANK(R905),0,R905-SUMIF(STOCK_CODE_OUT,$C905,QTY_OUT))</f>
        <v>0</v>
      </c>
      <c r="U905" s="61">
        <f t="shared" ref="U905:U968" si="107">IF(ISBLANK(S905),0,S905-SUMIF(STOCK_CODE_OUT,$C905,KILOS_OUT))</f>
        <v>0</v>
      </c>
      <c r="V905" s="61">
        <f t="shared" ref="V905:V968" si="108">IF(ISBLANK(K905),0,K905-SUMIF(STOCK_CODE_OUT,$C905,PALLET_OUT))</f>
        <v>0</v>
      </c>
      <c r="W905" s="58"/>
      <c r="X905" s="58"/>
      <c r="Y905" s="53"/>
      <c r="Z905" s="57"/>
      <c r="AA905" s="62"/>
      <c r="AB905" s="62"/>
      <c r="AC905" s="62"/>
      <c r="AD905" s="62"/>
      <c r="AE905" s="62"/>
      <c r="AF905" s="63"/>
      <c r="AG905" s="64" t="str">
        <f t="shared" ref="AG905:AG968" si="109">IF(T905&gt;0,CONCATENATE(AA905,AB905,TEXT(AC905,"R00"),TEXT(AD905,"L0."),TEXT(AE905,"0")),"")</f>
        <v/>
      </c>
    </row>
    <row r="906" spans="1:33" x14ac:dyDescent="0.25">
      <c r="A906" s="46" t="str">
        <f>IF(ISBLANK(inbound_data[[#This Row],[Receiving Report ref.'#]]),"",IF(inbound_data[[#This Row],[Ending Quantity]]=0,"ZERO","INV"))</f>
        <v/>
      </c>
      <c r="B906" s="165" t="str">
        <f t="shared" si="103"/>
        <v/>
      </c>
      <c r="C906" s="165" t="str">
        <f>IF(ISBLANK(D906),"",inbound_data[[#This Row],[Pallet_Series]]&amp;inbound_data[[#This Row],[No.]])</f>
        <v/>
      </c>
      <c r="D906" s="54"/>
      <c r="E906" s="55"/>
      <c r="F906" s="56"/>
      <c r="G906" s="57"/>
      <c r="H906" s="53"/>
      <c r="I906" s="53"/>
      <c r="J906" s="55"/>
      <c r="K906" s="58"/>
      <c r="L906" s="59"/>
      <c r="M906" s="55"/>
      <c r="N906" s="60"/>
      <c r="O906" s="60"/>
      <c r="P906" s="165" t="str">
        <f t="shared" ca="1" si="104"/>
        <v/>
      </c>
      <c r="Q906" s="165" t="str">
        <f t="shared" ca="1" si="105"/>
        <v/>
      </c>
      <c r="R906" s="79"/>
      <c r="S906" s="80"/>
      <c r="T906" s="61">
        <f t="shared" si="106"/>
        <v>0</v>
      </c>
      <c r="U906" s="61">
        <f t="shared" si="107"/>
        <v>0</v>
      </c>
      <c r="V906" s="61">
        <f t="shared" si="108"/>
        <v>0</v>
      </c>
      <c r="W906" s="58"/>
      <c r="X906" s="58"/>
      <c r="Y906" s="53"/>
      <c r="Z906" s="57"/>
      <c r="AA906" s="62"/>
      <c r="AB906" s="62"/>
      <c r="AC906" s="62"/>
      <c r="AD906" s="62"/>
      <c r="AE906" s="62"/>
      <c r="AF906" s="63"/>
      <c r="AG906" s="64" t="str">
        <f t="shared" si="109"/>
        <v/>
      </c>
    </row>
    <row r="907" spans="1:33" x14ac:dyDescent="0.25">
      <c r="A907" s="46" t="str">
        <f>IF(ISBLANK(inbound_data[[#This Row],[Receiving Report ref.'#]]),"",IF(inbound_data[[#This Row],[Ending Quantity]]=0,"ZERO","INV"))</f>
        <v/>
      </c>
      <c r="B907" s="165" t="str">
        <f t="shared" si="103"/>
        <v/>
      </c>
      <c r="C907" s="165" t="str">
        <f>IF(ISBLANK(D907),"",inbound_data[[#This Row],[Pallet_Series]]&amp;inbound_data[[#This Row],[No.]])</f>
        <v/>
      </c>
      <c r="D907" s="54"/>
      <c r="E907" s="55"/>
      <c r="F907" s="56"/>
      <c r="G907" s="57"/>
      <c r="H907" s="53"/>
      <c r="I907" s="53"/>
      <c r="J907" s="55"/>
      <c r="K907" s="58"/>
      <c r="L907" s="59"/>
      <c r="M907" s="55"/>
      <c r="N907" s="60"/>
      <c r="O907" s="60"/>
      <c r="P907" s="165" t="str">
        <f t="shared" ca="1" si="104"/>
        <v/>
      </c>
      <c r="Q907" s="165" t="str">
        <f t="shared" ca="1" si="105"/>
        <v/>
      </c>
      <c r="R907" s="79"/>
      <c r="S907" s="80"/>
      <c r="T907" s="61">
        <f t="shared" si="106"/>
        <v>0</v>
      </c>
      <c r="U907" s="61">
        <f t="shared" si="107"/>
        <v>0</v>
      </c>
      <c r="V907" s="61">
        <f t="shared" si="108"/>
        <v>0</v>
      </c>
      <c r="W907" s="58"/>
      <c r="X907" s="58"/>
      <c r="Y907" s="53"/>
      <c r="Z907" s="57"/>
      <c r="AA907" s="62"/>
      <c r="AB907" s="62"/>
      <c r="AC907" s="62"/>
      <c r="AD907" s="62"/>
      <c r="AE907" s="62"/>
      <c r="AF907" s="63"/>
      <c r="AG907" s="64" t="str">
        <f t="shared" si="109"/>
        <v/>
      </c>
    </row>
    <row r="908" spans="1:33" x14ac:dyDescent="0.25">
      <c r="A908" s="46" t="str">
        <f>IF(ISBLANK(inbound_data[[#This Row],[Receiving Report ref.'#]]),"",IF(inbound_data[[#This Row],[Ending Quantity]]=0,"ZERO","INV"))</f>
        <v/>
      </c>
      <c r="B908" s="165" t="str">
        <f t="shared" si="103"/>
        <v/>
      </c>
      <c r="C908" s="165" t="str">
        <f>IF(ISBLANK(D908),"",inbound_data[[#This Row],[Pallet_Series]]&amp;inbound_data[[#This Row],[No.]])</f>
        <v/>
      </c>
      <c r="D908" s="54"/>
      <c r="E908" s="55"/>
      <c r="F908" s="56"/>
      <c r="G908" s="57"/>
      <c r="H908" s="53"/>
      <c r="I908" s="53"/>
      <c r="J908" s="55"/>
      <c r="K908" s="58"/>
      <c r="L908" s="59"/>
      <c r="M908" s="55"/>
      <c r="N908" s="60"/>
      <c r="O908" s="60"/>
      <c r="P908" s="165" t="str">
        <f t="shared" ca="1" si="104"/>
        <v/>
      </c>
      <c r="Q908" s="165" t="str">
        <f t="shared" ca="1" si="105"/>
        <v/>
      </c>
      <c r="R908" s="79"/>
      <c r="S908" s="80"/>
      <c r="T908" s="61">
        <f t="shared" si="106"/>
        <v>0</v>
      </c>
      <c r="U908" s="61">
        <f t="shared" si="107"/>
        <v>0</v>
      </c>
      <c r="V908" s="61">
        <f t="shared" si="108"/>
        <v>0</v>
      </c>
      <c r="W908" s="58"/>
      <c r="X908" s="58"/>
      <c r="Y908" s="53"/>
      <c r="Z908" s="57"/>
      <c r="AA908" s="62"/>
      <c r="AB908" s="62"/>
      <c r="AC908" s="62"/>
      <c r="AD908" s="62"/>
      <c r="AE908" s="62"/>
      <c r="AF908" s="63"/>
      <c r="AG908" s="64" t="str">
        <f t="shared" si="109"/>
        <v/>
      </c>
    </row>
    <row r="909" spans="1:33" x14ac:dyDescent="0.25">
      <c r="A909" s="46" t="str">
        <f>IF(ISBLANK(inbound_data[[#This Row],[Receiving Report ref.'#]]),"",IF(inbound_data[[#This Row],[Ending Quantity]]=0,"ZERO","INV"))</f>
        <v/>
      </c>
      <c r="B909" s="165" t="str">
        <f t="shared" si="103"/>
        <v/>
      </c>
      <c r="C909" s="165" t="str">
        <f>IF(ISBLANK(D909),"",inbound_data[[#This Row],[Pallet_Series]]&amp;inbound_data[[#This Row],[No.]])</f>
        <v/>
      </c>
      <c r="D909" s="54"/>
      <c r="E909" s="55"/>
      <c r="F909" s="56"/>
      <c r="G909" s="57"/>
      <c r="H909" s="53"/>
      <c r="I909" s="53"/>
      <c r="J909" s="55"/>
      <c r="K909" s="58"/>
      <c r="L909" s="59"/>
      <c r="M909" s="55"/>
      <c r="N909" s="60"/>
      <c r="O909" s="60"/>
      <c r="P909" s="165" t="str">
        <f t="shared" ca="1" si="104"/>
        <v/>
      </c>
      <c r="Q909" s="165" t="str">
        <f t="shared" ca="1" si="105"/>
        <v/>
      </c>
      <c r="R909" s="79"/>
      <c r="S909" s="80"/>
      <c r="T909" s="61">
        <f t="shared" si="106"/>
        <v>0</v>
      </c>
      <c r="U909" s="61">
        <f t="shared" si="107"/>
        <v>0</v>
      </c>
      <c r="V909" s="61">
        <f t="shared" si="108"/>
        <v>0</v>
      </c>
      <c r="W909" s="58"/>
      <c r="X909" s="58"/>
      <c r="Y909" s="53"/>
      <c r="Z909" s="57"/>
      <c r="AA909" s="62"/>
      <c r="AB909" s="62"/>
      <c r="AC909" s="62"/>
      <c r="AD909" s="62"/>
      <c r="AE909" s="62"/>
      <c r="AF909" s="63"/>
      <c r="AG909" s="64" t="str">
        <f t="shared" si="109"/>
        <v/>
      </c>
    </row>
    <row r="910" spans="1:33" x14ac:dyDescent="0.25">
      <c r="A910" s="46" t="str">
        <f>IF(ISBLANK(inbound_data[[#This Row],[Receiving Report ref.'#]]),"",IF(inbound_data[[#This Row],[Ending Quantity]]=0,"ZERO","INV"))</f>
        <v/>
      </c>
      <c r="B910" s="165" t="str">
        <f t="shared" si="103"/>
        <v/>
      </c>
      <c r="C910" s="165" t="str">
        <f>IF(ISBLANK(D910),"",inbound_data[[#This Row],[Pallet_Series]]&amp;inbound_data[[#This Row],[No.]])</f>
        <v/>
      </c>
      <c r="D910" s="54"/>
      <c r="E910" s="55"/>
      <c r="F910" s="56"/>
      <c r="G910" s="57"/>
      <c r="H910" s="53"/>
      <c r="I910" s="53"/>
      <c r="J910" s="55"/>
      <c r="K910" s="58"/>
      <c r="L910" s="59"/>
      <c r="M910" s="55"/>
      <c r="N910" s="60"/>
      <c r="O910" s="60"/>
      <c r="P910" s="165" t="str">
        <f t="shared" ca="1" si="104"/>
        <v/>
      </c>
      <c r="Q910" s="165" t="str">
        <f t="shared" ca="1" si="105"/>
        <v/>
      </c>
      <c r="R910" s="79"/>
      <c r="S910" s="80"/>
      <c r="T910" s="61">
        <f t="shared" si="106"/>
        <v>0</v>
      </c>
      <c r="U910" s="61">
        <f t="shared" si="107"/>
        <v>0</v>
      </c>
      <c r="V910" s="61">
        <f t="shared" si="108"/>
        <v>0</v>
      </c>
      <c r="W910" s="58"/>
      <c r="X910" s="58"/>
      <c r="Y910" s="53"/>
      <c r="Z910" s="57"/>
      <c r="AA910" s="62"/>
      <c r="AB910" s="62"/>
      <c r="AC910" s="62"/>
      <c r="AD910" s="62"/>
      <c r="AE910" s="62"/>
      <c r="AF910" s="63"/>
      <c r="AG910" s="64" t="str">
        <f t="shared" si="109"/>
        <v/>
      </c>
    </row>
    <row r="911" spans="1:33" x14ac:dyDescent="0.25">
      <c r="A911" s="46" t="str">
        <f>IF(ISBLANK(inbound_data[[#This Row],[Receiving Report ref.'#]]),"",IF(inbound_data[[#This Row],[Ending Quantity]]=0,"ZERO","INV"))</f>
        <v/>
      </c>
      <c r="B911" s="165" t="str">
        <f t="shared" si="103"/>
        <v/>
      </c>
      <c r="C911" s="165" t="str">
        <f>IF(ISBLANK(D911),"",inbound_data[[#This Row],[Pallet_Series]]&amp;inbound_data[[#This Row],[No.]])</f>
        <v/>
      </c>
      <c r="D911" s="54"/>
      <c r="E911" s="55"/>
      <c r="F911" s="56"/>
      <c r="G911" s="57"/>
      <c r="H911" s="53"/>
      <c r="I911" s="53"/>
      <c r="J911" s="55"/>
      <c r="K911" s="58"/>
      <c r="L911" s="59"/>
      <c r="M911" s="55"/>
      <c r="N911" s="60"/>
      <c r="O911" s="60"/>
      <c r="P911" s="165" t="str">
        <f t="shared" ca="1" si="104"/>
        <v/>
      </c>
      <c r="Q911" s="165" t="str">
        <f t="shared" ca="1" si="105"/>
        <v/>
      </c>
      <c r="R911" s="79"/>
      <c r="S911" s="80"/>
      <c r="T911" s="61">
        <f t="shared" si="106"/>
        <v>0</v>
      </c>
      <c r="U911" s="61">
        <f t="shared" si="107"/>
        <v>0</v>
      </c>
      <c r="V911" s="61">
        <f t="shared" si="108"/>
        <v>0</v>
      </c>
      <c r="W911" s="58"/>
      <c r="X911" s="58"/>
      <c r="Y911" s="53"/>
      <c r="Z911" s="57"/>
      <c r="AA911" s="62"/>
      <c r="AB911" s="62"/>
      <c r="AC911" s="62"/>
      <c r="AD911" s="62"/>
      <c r="AE911" s="62"/>
      <c r="AF911" s="63"/>
      <c r="AG911" s="64" t="str">
        <f t="shared" si="109"/>
        <v/>
      </c>
    </row>
    <row r="912" spans="1:33" x14ac:dyDescent="0.25">
      <c r="A912" s="46" t="str">
        <f>IF(ISBLANK(inbound_data[[#This Row],[Receiving Report ref.'#]]),"",IF(inbound_data[[#This Row],[Ending Quantity]]=0,"ZERO","INV"))</f>
        <v/>
      </c>
      <c r="B912" s="165" t="str">
        <f t="shared" si="103"/>
        <v/>
      </c>
      <c r="C912" s="165" t="str">
        <f>IF(ISBLANK(D912),"",inbound_data[[#This Row],[Pallet_Series]]&amp;inbound_data[[#This Row],[No.]])</f>
        <v/>
      </c>
      <c r="D912" s="54"/>
      <c r="E912" s="55"/>
      <c r="F912" s="56"/>
      <c r="G912" s="57"/>
      <c r="H912" s="53"/>
      <c r="I912" s="53"/>
      <c r="J912" s="55"/>
      <c r="K912" s="58"/>
      <c r="L912" s="59"/>
      <c r="M912" s="55"/>
      <c r="N912" s="60"/>
      <c r="O912" s="60"/>
      <c r="P912" s="165" t="str">
        <f t="shared" ca="1" si="104"/>
        <v/>
      </c>
      <c r="Q912" s="165" t="str">
        <f t="shared" ca="1" si="105"/>
        <v/>
      </c>
      <c r="R912" s="79"/>
      <c r="S912" s="80"/>
      <c r="T912" s="61">
        <f t="shared" si="106"/>
        <v>0</v>
      </c>
      <c r="U912" s="61">
        <f t="shared" si="107"/>
        <v>0</v>
      </c>
      <c r="V912" s="61">
        <f t="shared" si="108"/>
        <v>0</v>
      </c>
      <c r="W912" s="58"/>
      <c r="X912" s="58"/>
      <c r="Y912" s="53"/>
      <c r="Z912" s="57"/>
      <c r="AA912" s="62"/>
      <c r="AB912" s="62"/>
      <c r="AC912" s="62"/>
      <c r="AD912" s="62"/>
      <c r="AE912" s="62"/>
      <c r="AF912" s="63"/>
      <c r="AG912" s="64" t="str">
        <f t="shared" si="109"/>
        <v/>
      </c>
    </row>
    <row r="913" spans="1:33" x14ac:dyDescent="0.25">
      <c r="A913" s="46" t="str">
        <f>IF(ISBLANK(inbound_data[[#This Row],[Receiving Report ref.'#]]),"",IF(inbound_data[[#This Row],[Ending Quantity]]=0,"ZERO","INV"))</f>
        <v/>
      </c>
      <c r="B913" s="165" t="str">
        <f t="shared" si="103"/>
        <v/>
      </c>
      <c r="C913" s="165" t="str">
        <f>IF(ISBLANK(D913),"",inbound_data[[#This Row],[Pallet_Series]]&amp;inbound_data[[#This Row],[No.]])</f>
        <v/>
      </c>
      <c r="D913" s="54"/>
      <c r="E913" s="55"/>
      <c r="F913" s="56"/>
      <c r="G913" s="57"/>
      <c r="H913" s="53"/>
      <c r="I913" s="53"/>
      <c r="J913" s="55"/>
      <c r="K913" s="58"/>
      <c r="L913" s="59"/>
      <c r="M913" s="55"/>
      <c r="N913" s="60"/>
      <c r="O913" s="60"/>
      <c r="P913" s="165" t="str">
        <f t="shared" ca="1" si="104"/>
        <v/>
      </c>
      <c r="Q913" s="165" t="str">
        <f t="shared" ca="1" si="105"/>
        <v/>
      </c>
      <c r="R913" s="79"/>
      <c r="S913" s="80"/>
      <c r="T913" s="61">
        <f t="shared" si="106"/>
        <v>0</v>
      </c>
      <c r="U913" s="61">
        <f t="shared" si="107"/>
        <v>0</v>
      </c>
      <c r="V913" s="61">
        <f t="shared" si="108"/>
        <v>0</v>
      </c>
      <c r="W913" s="58"/>
      <c r="X913" s="58"/>
      <c r="Y913" s="53"/>
      <c r="Z913" s="57"/>
      <c r="AA913" s="62"/>
      <c r="AB913" s="62"/>
      <c r="AC913" s="62"/>
      <c r="AD913" s="62"/>
      <c r="AE913" s="62"/>
      <c r="AF913" s="63"/>
      <c r="AG913" s="64" t="str">
        <f t="shared" si="109"/>
        <v/>
      </c>
    </row>
    <row r="914" spans="1:33" x14ac:dyDescent="0.25">
      <c r="A914" s="46" t="str">
        <f>IF(ISBLANK(inbound_data[[#This Row],[Receiving Report ref.'#]]),"",IF(inbound_data[[#This Row],[Ending Quantity]]=0,"ZERO","INV"))</f>
        <v/>
      </c>
      <c r="B914" s="165" t="str">
        <f t="shared" si="103"/>
        <v/>
      </c>
      <c r="C914" s="165" t="str">
        <f>IF(ISBLANK(D914),"",inbound_data[[#This Row],[Pallet_Series]]&amp;inbound_data[[#This Row],[No.]])</f>
        <v/>
      </c>
      <c r="D914" s="54"/>
      <c r="E914" s="55"/>
      <c r="F914" s="56"/>
      <c r="G914" s="57"/>
      <c r="H914" s="53"/>
      <c r="I914" s="53"/>
      <c r="J914" s="55"/>
      <c r="K914" s="58"/>
      <c r="L914" s="59"/>
      <c r="M914" s="55"/>
      <c r="N914" s="60"/>
      <c r="O914" s="60"/>
      <c r="P914" s="165" t="str">
        <f t="shared" ca="1" si="104"/>
        <v/>
      </c>
      <c r="Q914" s="165" t="str">
        <f t="shared" ca="1" si="105"/>
        <v/>
      </c>
      <c r="R914" s="79"/>
      <c r="S914" s="80"/>
      <c r="T914" s="61">
        <f t="shared" si="106"/>
        <v>0</v>
      </c>
      <c r="U914" s="61">
        <f t="shared" si="107"/>
        <v>0</v>
      </c>
      <c r="V914" s="61">
        <f t="shared" si="108"/>
        <v>0</v>
      </c>
      <c r="W914" s="58"/>
      <c r="X914" s="58"/>
      <c r="Y914" s="53"/>
      <c r="Z914" s="57"/>
      <c r="AA914" s="62"/>
      <c r="AB914" s="62"/>
      <c r="AC914" s="62"/>
      <c r="AD914" s="62"/>
      <c r="AE914" s="62"/>
      <c r="AF914" s="63"/>
      <c r="AG914" s="64" t="str">
        <f t="shared" si="109"/>
        <v/>
      </c>
    </row>
    <row r="915" spans="1:33" x14ac:dyDescent="0.25">
      <c r="A915" s="46" t="str">
        <f>IF(ISBLANK(inbound_data[[#This Row],[Receiving Report ref.'#]]),"",IF(inbound_data[[#This Row],[Ending Quantity]]=0,"ZERO","INV"))</f>
        <v/>
      </c>
      <c r="B915" s="165" t="str">
        <f t="shared" si="103"/>
        <v/>
      </c>
      <c r="C915" s="165" t="str">
        <f>IF(ISBLANK(D915),"",inbound_data[[#This Row],[Pallet_Series]]&amp;inbound_data[[#This Row],[No.]])</f>
        <v/>
      </c>
      <c r="D915" s="54"/>
      <c r="E915" s="55"/>
      <c r="F915" s="56"/>
      <c r="G915" s="57"/>
      <c r="H915" s="53"/>
      <c r="I915" s="53"/>
      <c r="J915" s="55"/>
      <c r="K915" s="58"/>
      <c r="L915" s="59"/>
      <c r="M915" s="55"/>
      <c r="N915" s="60"/>
      <c r="O915" s="60"/>
      <c r="P915" s="165" t="str">
        <f t="shared" ca="1" si="104"/>
        <v/>
      </c>
      <c r="Q915" s="165" t="str">
        <f t="shared" ca="1" si="105"/>
        <v/>
      </c>
      <c r="R915" s="79"/>
      <c r="S915" s="80"/>
      <c r="T915" s="61">
        <f t="shared" si="106"/>
        <v>0</v>
      </c>
      <c r="U915" s="61">
        <f t="shared" si="107"/>
        <v>0</v>
      </c>
      <c r="V915" s="61">
        <f t="shared" si="108"/>
        <v>0</v>
      </c>
      <c r="W915" s="58"/>
      <c r="X915" s="58"/>
      <c r="Y915" s="53"/>
      <c r="Z915" s="57"/>
      <c r="AA915" s="62"/>
      <c r="AB915" s="62"/>
      <c r="AC915" s="62"/>
      <c r="AD915" s="62"/>
      <c r="AE915" s="62"/>
      <c r="AF915" s="63"/>
      <c r="AG915" s="64" t="str">
        <f t="shared" si="109"/>
        <v/>
      </c>
    </row>
    <row r="916" spans="1:33" x14ac:dyDescent="0.25">
      <c r="A916" s="46" t="str">
        <f>IF(ISBLANK(inbound_data[[#This Row],[Receiving Report ref.'#]]),"",IF(inbound_data[[#This Row],[Ending Quantity]]=0,"ZERO","INV"))</f>
        <v/>
      </c>
      <c r="B916" s="165" t="str">
        <f t="shared" si="103"/>
        <v/>
      </c>
      <c r="C916" s="165" t="str">
        <f>IF(ISBLANK(D916),"",inbound_data[[#This Row],[Pallet_Series]]&amp;inbound_data[[#This Row],[No.]])</f>
        <v/>
      </c>
      <c r="D916" s="54"/>
      <c r="E916" s="55"/>
      <c r="F916" s="56"/>
      <c r="G916" s="57"/>
      <c r="H916" s="53"/>
      <c r="I916" s="53"/>
      <c r="J916" s="55"/>
      <c r="K916" s="58"/>
      <c r="L916" s="59"/>
      <c r="M916" s="55"/>
      <c r="N916" s="60"/>
      <c r="O916" s="60"/>
      <c r="P916" s="165" t="str">
        <f t="shared" ca="1" si="104"/>
        <v/>
      </c>
      <c r="Q916" s="165" t="str">
        <f t="shared" ca="1" si="105"/>
        <v/>
      </c>
      <c r="R916" s="79"/>
      <c r="S916" s="80"/>
      <c r="T916" s="61">
        <f t="shared" si="106"/>
        <v>0</v>
      </c>
      <c r="U916" s="61">
        <f t="shared" si="107"/>
        <v>0</v>
      </c>
      <c r="V916" s="61">
        <f t="shared" si="108"/>
        <v>0</v>
      </c>
      <c r="W916" s="58"/>
      <c r="X916" s="58"/>
      <c r="Y916" s="53"/>
      <c r="Z916" s="57"/>
      <c r="AA916" s="62"/>
      <c r="AB916" s="62"/>
      <c r="AC916" s="62"/>
      <c r="AD916" s="62"/>
      <c r="AE916" s="62"/>
      <c r="AF916" s="63"/>
      <c r="AG916" s="64" t="str">
        <f t="shared" si="109"/>
        <v/>
      </c>
    </row>
    <row r="917" spans="1:33" x14ac:dyDescent="0.25">
      <c r="A917" s="46" t="str">
        <f>IF(ISBLANK(inbound_data[[#This Row],[Receiving Report ref.'#]]),"",IF(inbound_data[[#This Row],[Ending Quantity]]=0,"ZERO","INV"))</f>
        <v/>
      </c>
      <c r="B917" s="165" t="str">
        <f t="shared" si="103"/>
        <v/>
      </c>
      <c r="C917" s="165" t="str">
        <f>IF(ISBLANK(D917),"",inbound_data[[#This Row],[Pallet_Series]]&amp;inbound_data[[#This Row],[No.]])</f>
        <v/>
      </c>
      <c r="D917" s="54"/>
      <c r="E917" s="55"/>
      <c r="F917" s="56"/>
      <c r="G917" s="57"/>
      <c r="H917" s="53"/>
      <c r="I917" s="53"/>
      <c r="J917" s="55"/>
      <c r="K917" s="58"/>
      <c r="L917" s="59"/>
      <c r="M917" s="55"/>
      <c r="N917" s="60"/>
      <c r="O917" s="60"/>
      <c r="P917" s="165" t="str">
        <f t="shared" ca="1" si="104"/>
        <v/>
      </c>
      <c r="Q917" s="165" t="str">
        <f t="shared" ca="1" si="105"/>
        <v/>
      </c>
      <c r="R917" s="79"/>
      <c r="S917" s="80"/>
      <c r="T917" s="61">
        <f t="shared" si="106"/>
        <v>0</v>
      </c>
      <c r="U917" s="61">
        <f t="shared" si="107"/>
        <v>0</v>
      </c>
      <c r="V917" s="61">
        <f t="shared" si="108"/>
        <v>0</v>
      </c>
      <c r="W917" s="58"/>
      <c r="X917" s="58"/>
      <c r="Y917" s="53"/>
      <c r="Z917" s="57"/>
      <c r="AA917" s="62"/>
      <c r="AB917" s="62"/>
      <c r="AC917" s="62"/>
      <c r="AD917" s="62"/>
      <c r="AE917" s="62"/>
      <c r="AF917" s="63"/>
      <c r="AG917" s="64" t="str">
        <f t="shared" si="109"/>
        <v/>
      </c>
    </row>
    <row r="918" spans="1:33" x14ac:dyDescent="0.25">
      <c r="A918" s="46" t="str">
        <f>IF(ISBLANK(inbound_data[[#This Row],[Receiving Report ref.'#]]),"",IF(inbound_data[[#This Row],[Ending Quantity]]=0,"ZERO","INV"))</f>
        <v/>
      </c>
      <c r="B918" s="165" t="str">
        <f t="shared" si="103"/>
        <v/>
      </c>
      <c r="C918" s="165" t="str">
        <f>IF(ISBLANK(D918),"",inbound_data[[#This Row],[Pallet_Series]]&amp;inbound_data[[#This Row],[No.]])</f>
        <v/>
      </c>
      <c r="D918" s="54"/>
      <c r="E918" s="55"/>
      <c r="F918" s="56"/>
      <c r="G918" s="57"/>
      <c r="H918" s="53"/>
      <c r="I918" s="53"/>
      <c r="J918" s="55"/>
      <c r="K918" s="58"/>
      <c r="L918" s="59"/>
      <c r="M918" s="55"/>
      <c r="N918" s="60"/>
      <c r="O918" s="60"/>
      <c r="P918" s="165" t="str">
        <f t="shared" ca="1" si="104"/>
        <v/>
      </c>
      <c r="Q918" s="165" t="str">
        <f t="shared" ca="1" si="105"/>
        <v/>
      </c>
      <c r="R918" s="79"/>
      <c r="S918" s="80"/>
      <c r="T918" s="61">
        <f t="shared" si="106"/>
        <v>0</v>
      </c>
      <c r="U918" s="61">
        <f t="shared" si="107"/>
        <v>0</v>
      </c>
      <c r="V918" s="61">
        <f t="shared" si="108"/>
        <v>0</v>
      </c>
      <c r="W918" s="58"/>
      <c r="X918" s="58"/>
      <c r="Y918" s="53"/>
      <c r="Z918" s="57"/>
      <c r="AA918" s="62"/>
      <c r="AB918" s="62"/>
      <c r="AC918" s="62"/>
      <c r="AD918" s="62"/>
      <c r="AE918" s="62"/>
      <c r="AF918" s="63"/>
      <c r="AG918" s="64" t="str">
        <f t="shared" si="109"/>
        <v/>
      </c>
    </row>
    <row r="919" spans="1:33" x14ac:dyDescent="0.25">
      <c r="A919" s="46" t="str">
        <f>IF(ISBLANK(inbound_data[[#This Row],[Receiving Report ref.'#]]),"",IF(inbound_data[[#This Row],[Ending Quantity]]=0,"ZERO","INV"))</f>
        <v/>
      </c>
      <c r="B919" s="165" t="str">
        <f t="shared" si="103"/>
        <v/>
      </c>
      <c r="C919" s="165" t="str">
        <f>IF(ISBLANK(D919),"",inbound_data[[#This Row],[Pallet_Series]]&amp;inbound_data[[#This Row],[No.]])</f>
        <v/>
      </c>
      <c r="D919" s="54"/>
      <c r="E919" s="55"/>
      <c r="F919" s="56"/>
      <c r="G919" s="57"/>
      <c r="H919" s="53"/>
      <c r="I919" s="53"/>
      <c r="J919" s="55"/>
      <c r="K919" s="58"/>
      <c r="L919" s="59"/>
      <c r="M919" s="55"/>
      <c r="N919" s="60"/>
      <c r="O919" s="60"/>
      <c r="P919" s="165" t="str">
        <f t="shared" ca="1" si="104"/>
        <v/>
      </c>
      <c r="Q919" s="165" t="str">
        <f t="shared" ca="1" si="105"/>
        <v/>
      </c>
      <c r="R919" s="79"/>
      <c r="S919" s="80"/>
      <c r="T919" s="61">
        <f t="shared" si="106"/>
        <v>0</v>
      </c>
      <c r="U919" s="61">
        <f t="shared" si="107"/>
        <v>0</v>
      </c>
      <c r="V919" s="61">
        <f t="shared" si="108"/>
        <v>0</v>
      </c>
      <c r="W919" s="58"/>
      <c r="X919" s="58"/>
      <c r="Y919" s="53"/>
      <c r="Z919" s="57"/>
      <c r="AA919" s="62"/>
      <c r="AB919" s="62"/>
      <c r="AC919" s="62"/>
      <c r="AD919" s="62"/>
      <c r="AE919" s="62"/>
      <c r="AF919" s="63"/>
      <c r="AG919" s="64" t="str">
        <f t="shared" si="109"/>
        <v/>
      </c>
    </row>
    <row r="920" spans="1:33" x14ac:dyDescent="0.25">
      <c r="A920" s="46" t="str">
        <f>IF(ISBLANK(inbound_data[[#This Row],[Receiving Report ref.'#]]),"",IF(inbound_data[[#This Row],[Ending Quantity]]=0,"ZERO","INV"))</f>
        <v/>
      </c>
      <c r="B920" s="165" t="str">
        <f t="shared" si="103"/>
        <v/>
      </c>
      <c r="C920" s="165" t="str">
        <f>IF(ISBLANK(D920),"",inbound_data[[#This Row],[Pallet_Series]]&amp;inbound_data[[#This Row],[No.]])</f>
        <v/>
      </c>
      <c r="D920" s="54"/>
      <c r="E920" s="55"/>
      <c r="F920" s="56"/>
      <c r="G920" s="57"/>
      <c r="H920" s="53"/>
      <c r="I920" s="53"/>
      <c r="J920" s="55"/>
      <c r="K920" s="58"/>
      <c r="L920" s="59"/>
      <c r="M920" s="55"/>
      <c r="N920" s="60"/>
      <c r="O920" s="60"/>
      <c r="P920" s="165" t="str">
        <f t="shared" ca="1" si="104"/>
        <v/>
      </c>
      <c r="Q920" s="165" t="str">
        <f t="shared" ca="1" si="105"/>
        <v/>
      </c>
      <c r="R920" s="79"/>
      <c r="S920" s="80"/>
      <c r="T920" s="61">
        <f t="shared" si="106"/>
        <v>0</v>
      </c>
      <c r="U920" s="61">
        <f t="shared" si="107"/>
        <v>0</v>
      </c>
      <c r="V920" s="61">
        <f t="shared" si="108"/>
        <v>0</v>
      </c>
      <c r="W920" s="58"/>
      <c r="X920" s="58"/>
      <c r="Y920" s="53"/>
      <c r="Z920" s="57"/>
      <c r="AA920" s="62"/>
      <c r="AB920" s="62"/>
      <c r="AC920" s="62"/>
      <c r="AD920" s="62"/>
      <c r="AE920" s="62"/>
      <c r="AF920" s="63"/>
      <c r="AG920" s="64" t="str">
        <f t="shared" si="109"/>
        <v/>
      </c>
    </row>
    <row r="921" spans="1:33" x14ac:dyDescent="0.25">
      <c r="A921" s="46" t="str">
        <f>IF(ISBLANK(inbound_data[[#This Row],[Receiving Report ref.'#]]),"",IF(inbound_data[[#This Row],[Ending Quantity]]=0,"ZERO","INV"))</f>
        <v/>
      </c>
      <c r="B921" s="165" t="str">
        <f t="shared" si="103"/>
        <v/>
      </c>
      <c r="C921" s="165" t="str">
        <f>IF(ISBLANK(D921),"",inbound_data[[#This Row],[Pallet_Series]]&amp;inbound_data[[#This Row],[No.]])</f>
        <v/>
      </c>
      <c r="D921" s="54"/>
      <c r="E921" s="55"/>
      <c r="F921" s="56"/>
      <c r="G921" s="57"/>
      <c r="H921" s="53"/>
      <c r="I921" s="53"/>
      <c r="J921" s="55"/>
      <c r="K921" s="58"/>
      <c r="L921" s="59"/>
      <c r="M921" s="55"/>
      <c r="N921" s="60"/>
      <c r="O921" s="60"/>
      <c r="P921" s="165" t="str">
        <f t="shared" ca="1" si="104"/>
        <v/>
      </c>
      <c r="Q921" s="165" t="str">
        <f t="shared" ca="1" si="105"/>
        <v/>
      </c>
      <c r="R921" s="79"/>
      <c r="S921" s="80"/>
      <c r="T921" s="61">
        <f t="shared" si="106"/>
        <v>0</v>
      </c>
      <c r="U921" s="61">
        <f t="shared" si="107"/>
        <v>0</v>
      </c>
      <c r="V921" s="61">
        <f t="shared" si="108"/>
        <v>0</v>
      </c>
      <c r="W921" s="58"/>
      <c r="X921" s="58"/>
      <c r="Y921" s="53"/>
      <c r="Z921" s="57"/>
      <c r="AA921" s="62"/>
      <c r="AB921" s="62"/>
      <c r="AC921" s="62"/>
      <c r="AD921" s="62"/>
      <c r="AE921" s="62"/>
      <c r="AF921" s="63"/>
      <c r="AG921" s="64" t="str">
        <f t="shared" si="109"/>
        <v/>
      </c>
    </row>
    <row r="922" spans="1:33" x14ac:dyDescent="0.25">
      <c r="A922" s="46" t="str">
        <f>IF(ISBLANK(inbound_data[[#This Row],[Receiving Report ref.'#]]),"",IF(inbound_data[[#This Row],[Ending Quantity]]=0,"ZERO","INV"))</f>
        <v/>
      </c>
      <c r="B922" s="165" t="str">
        <f t="shared" si="103"/>
        <v/>
      </c>
      <c r="C922" s="165" t="str">
        <f>IF(ISBLANK(D922),"",inbound_data[[#This Row],[Pallet_Series]]&amp;inbound_data[[#This Row],[No.]])</f>
        <v/>
      </c>
      <c r="D922" s="54"/>
      <c r="E922" s="55"/>
      <c r="F922" s="56"/>
      <c r="G922" s="57"/>
      <c r="H922" s="53"/>
      <c r="I922" s="53"/>
      <c r="J922" s="55"/>
      <c r="K922" s="58"/>
      <c r="L922" s="59"/>
      <c r="M922" s="55"/>
      <c r="N922" s="60"/>
      <c r="O922" s="60"/>
      <c r="P922" s="165" t="str">
        <f t="shared" ca="1" si="104"/>
        <v/>
      </c>
      <c r="Q922" s="165" t="str">
        <f t="shared" ca="1" si="105"/>
        <v/>
      </c>
      <c r="R922" s="79"/>
      <c r="S922" s="80"/>
      <c r="T922" s="61">
        <f t="shared" si="106"/>
        <v>0</v>
      </c>
      <c r="U922" s="61">
        <f t="shared" si="107"/>
        <v>0</v>
      </c>
      <c r="V922" s="61">
        <f t="shared" si="108"/>
        <v>0</v>
      </c>
      <c r="W922" s="58"/>
      <c r="X922" s="58"/>
      <c r="Y922" s="53"/>
      <c r="Z922" s="57"/>
      <c r="AA922" s="62"/>
      <c r="AB922" s="62"/>
      <c r="AC922" s="62"/>
      <c r="AD922" s="62"/>
      <c r="AE922" s="62"/>
      <c r="AF922" s="63"/>
      <c r="AG922" s="64" t="str">
        <f t="shared" si="109"/>
        <v/>
      </c>
    </row>
    <row r="923" spans="1:33" x14ac:dyDescent="0.25">
      <c r="A923" s="46" t="str">
        <f>IF(ISBLANK(inbound_data[[#This Row],[Receiving Report ref.'#]]),"",IF(inbound_data[[#This Row],[Ending Quantity]]=0,"ZERO","INV"))</f>
        <v/>
      </c>
      <c r="B923" s="165" t="str">
        <f t="shared" si="103"/>
        <v/>
      </c>
      <c r="C923" s="165" t="str">
        <f>IF(ISBLANK(D923),"",inbound_data[[#This Row],[Pallet_Series]]&amp;inbound_data[[#This Row],[No.]])</f>
        <v/>
      </c>
      <c r="D923" s="54"/>
      <c r="E923" s="55"/>
      <c r="F923" s="56"/>
      <c r="G923" s="57"/>
      <c r="H923" s="53"/>
      <c r="I923" s="53"/>
      <c r="J923" s="55"/>
      <c r="K923" s="58"/>
      <c r="L923" s="59"/>
      <c r="M923" s="55"/>
      <c r="N923" s="60"/>
      <c r="O923" s="60"/>
      <c r="P923" s="165" t="str">
        <f t="shared" ca="1" si="104"/>
        <v/>
      </c>
      <c r="Q923" s="165" t="str">
        <f t="shared" ca="1" si="105"/>
        <v/>
      </c>
      <c r="R923" s="79"/>
      <c r="S923" s="80"/>
      <c r="T923" s="61">
        <f t="shared" si="106"/>
        <v>0</v>
      </c>
      <c r="U923" s="61">
        <f t="shared" si="107"/>
        <v>0</v>
      </c>
      <c r="V923" s="61">
        <f t="shared" si="108"/>
        <v>0</v>
      </c>
      <c r="W923" s="58"/>
      <c r="X923" s="58"/>
      <c r="Y923" s="53"/>
      <c r="Z923" s="57"/>
      <c r="AA923" s="62"/>
      <c r="AB923" s="62"/>
      <c r="AC923" s="62"/>
      <c r="AD923" s="62"/>
      <c r="AE923" s="62"/>
      <c r="AF923" s="63"/>
      <c r="AG923" s="64" t="str">
        <f t="shared" si="109"/>
        <v/>
      </c>
    </row>
    <row r="924" spans="1:33" x14ac:dyDescent="0.25">
      <c r="A924" s="46" t="str">
        <f>IF(ISBLANK(inbound_data[[#This Row],[Receiving Report ref.'#]]),"",IF(inbound_data[[#This Row],[Ending Quantity]]=0,"ZERO","INV"))</f>
        <v/>
      </c>
      <c r="B924" s="165" t="str">
        <f t="shared" si="103"/>
        <v/>
      </c>
      <c r="C924" s="165" t="str">
        <f>IF(ISBLANK(D924),"",inbound_data[[#This Row],[Pallet_Series]]&amp;inbound_data[[#This Row],[No.]])</f>
        <v/>
      </c>
      <c r="D924" s="54"/>
      <c r="E924" s="55"/>
      <c r="F924" s="56"/>
      <c r="G924" s="57"/>
      <c r="H924" s="53"/>
      <c r="I924" s="53"/>
      <c r="J924" s="55"/>
      <c r="K924" s="58"/>
      <c r="L924" s="59"/>
      <c r="M924" s="55"/>
      <c r="N924" s="60"/>
      <c r="O924" s="60"/>
      <c r="P924" s="165" t="str">
        <f t="shared" ca="1" si="104"/>
        <v/>
      </c>
      <c r="Q924" s="165" t="str">
        <f t="shared" ca="1" si="105"/>
        <v/>
      </c>
      <c r="R924" s="79"/>
      <c r="S924" s="80"/>
      <c r="T924" s="61">
        <f t="shared" si="106"/>
        <v>0</v>
      </c>
      <c r="U924" s="61">
        <f t="shared" si="107"/>
        <v>0</v>
      </c>
      <c r="V924" s="61">
        <f t="shared" si="108"/>
        <v>0</v>
      </c>
      <c r="W924" s="58"/>
      <c r="X924" s="58"/>
      <c r="Y924" s="53"/>
      <c r="Z924" s="57"/>
      <c r="AA924" s="62"/>
      <c r="AB924" s="62"/>
      <c r="AC924" s="62"/>
      <c r="AD924" s="62"/>
      <c r="AE924" s="62"/>
      <c r="AF924" s="63"/>
      <c r="AG924" s="64" t="str">
        <f t="shared" si="109"/>
        <v/>
      </c>
    </row>
    <row r="925" spans="1:33" x14ac:dyDescent="0.25">
      <c r="A925" s="46" t="str">
        <f>IF(ISBLANK(inbound_data[[#This Row],[Receiving Report ref.'#]]),"",IF(inbound_data[[#This Row],[Ending Quantity]]=0,"ZERO","INV"))</f>
        <v/>
      </c>
      <c r="B925" s="165" t="str">
        <f t="shared" si="103"/>
        <v/>
      </c>
      <c r="C925" s="165" t="str">
        <f>IF(ISBLANK(D925),"",inbound_data[[#This Row],[Pallet_Series]]&amp;inbound_data[[#This Row],[No.]])</f>
        <v/>
      </c>
      <c r="D925" s="54"/>
      <c r="E925" s="55"/>
      <c r="F925" s="56"/>
      <c r="G925" s="57"/>
      <c r="H925" s="53"/>
      <c r="I925" s="53"/>
      <c r="J925" s="55"/>
      <c r="K925" s="58"/>
      <c r="L925" s="59"/>
      <c r="M925" s="55"/>
      <c r="N925" s="60"/>
      <c r="O925" s="60"/>
      <c r="P925" s="165" t="str">
        <f t="shared" ca="1" si="104"/>
        <v/>
      </c>
      <c r="Q925" s="165" t="str">
        <f t="shared" ca="1" si="105"/>
        <v/>
      </c>
      <c r="R925" s="79"/>
      <c r="S925" s="80"/>
      <c r="T925" s="61">
        <f t="shared" si="106"/>
        <v>0</v>
      </c>
      <c r="U925" s="61">
        <f t="shared" si="107"/>
        <v>0</v>
      </c>
      <c r="V925" s="61">
        <f t="shared" si="108"/>
        <v>0</v>
      </c>
      <c r="W925" s="58"/>
      <c r="X925" s="58"/>
      <c r="Y925" s="53"/>
      <c r="Z925" s="57"/>
      <c r="AA925" s="62"/>
      <c r="AB925" s="62"/>
      <c r="AC925" s="62"/>
      <c r="AD925" s="62"/>
      <c r="AE925" s="62"/>
      <c r="AF925" s="63"/>
      <c r="AG925" s="64" t="str">
        <f t="shared" si="109"/>
        <v/>
      </c>
    </row>
    <row r="926" spans="1:33" x14ac:dyDescent="0.25">
      <c r="A926" s="46" t="str">
        <f>IF(ISBLANK(inbound_data[[#This Row],[Receiving Report ref.'#]]),"",IF(inbound_data[[#This Row],[Ending Quantity]]=0,"ZERO","INV"))</f>
        <v/>
      </c>
      <c r="B926" s="165" t="str">
        <f t="shared" si="103"/>
        <v/>
      </c>
      <c r="C926" s="165" t="str">
        <f>IF(ISBLANK(D926),"",inbound_data[[#This Row],[Pallet_Series]]&amp;inbound_data[[#This Row],[No.]])</f>
        <v/>
      </c>
      <c r="D926" s="54"/>
      <c r="E926" s="55"/>
      <c r="F926" s="56"/>
      <c r="G926" s="57"/>
      <c r="H926" s="53"/>
      <c r="I926" s="53"/>
      <c r="J926" s="55"/>
      <c r="K926" s="58"/>
      <c r="L926" s="59"/>
      <c r="M926" s="55"/>
      <c r="N926" s="60"/>
      <c r="O926" s="60"/>
      <c r="P926" s="165" t="str">
        <f t="shared" ca="1" si="104"/>
        <v/>
      </c>
      <c r="Q926" s="165" t="str">
        <f t="shared" ca="1" si="105"/>
        <v/>
      </c>
      <c r="R926" s="79"/>
      <c r="S926" s="80"/>
      <c r="T926" s="61">
        <f t="shared" si="106"/>
        <v>0</v>
      </c>
      <c r="U926" s="61">
        <f t="shared" si="107"/>
        <v>0</v>
      </c>
      <c r="V926" s="61">
        <f t="shared" si="108"/>
        <v>0</v>
      </c>
      <c r="W926" s="58"/>
      <c r="X926" s="58"/>
      <c r="Y926" s="53"/>
      <c r="Z926" s="57"/>
      <c r="AA926" s="62"/>
      <c r="AB926" s="62"/>
      <c r="AC926" s="62"/>
      <c r="AD926" s="62"/>
      <c r="AE926" s="62"/>
      <c r="AF926" s="63"/>
      <c r="AG926" s="64" t="str">
        <f t="shared" si="109"/>
        <v/>
      </c>
    </row>
    <row r="927" spans="1:33" x14ac:dyDescent="0.25">
      <c r="A927" s="46" t="str">
        <f>IF(ISBLANK(inbound_data[[#This Row],[Receiving Report ref.'#]]),"",IF(inbound_data[[#This Row],[Ending Quantity]]=0,"ZERO","INV"))</f>
        <v/>
      </c>
      <c r="B927" s="165" t="str">
        <f t="shared" si="103"/>
        <v/>
      </c>
      <c r="C927" s="165" t="str">
        <f>IF(ISBLANK(D927),"",inbound_data[[#This Row],[Pallet_Series]]&amp;inbound_data[[#This Row],[No.]])</f>
        <v/>
      </c>
      <c r="D927" s="54"/>
      <c r="E927" s="55"/>
      <c r="F927" s="56"/>
      <c r="G927" s="57"/>
      <c r="H927" s="53"/>
      <c r="I927" s="53"/>
      <c r="J927" s="55"/>
      <c r="K927" s="58"/>
      <c r="L927" s="59"/>
      <c r="M927" s="55"/>
      <c r="N927" s="60"/>
      <c r="O927" s="60"/>
      <c r="P927" s="165" t="str">
        <f t="shared" ca="1" si="104"/>
        <v/>
      </c>
      <c r="Q927" s="165" t="str">
        <f t="shared" ca="1" si="105"/>
        <v/>
      </c>
      <c r="R927" s="79"/>
      <c r="S927" s="80"/>
      <c r="T927" s="61">
        <f t="shared" si="106"/>
        <v>0</v>
      </c>
      <c r="U927" s="61">
        <f t="shared" si="107"/>
        <v>0</v>
      </c>
      <c r="V927" s="61">
        <f t="shared" si="108"/>
        <v>0</v>
      </c>
      <c r="W927" s="58"/>
      <c r="X927" s="58"/>
      <c r="Y927" s="53"/>
      <c r="Z927" s="57"/>
      <c r="AA927" s="62"/>
      <c r="AB927" s="62"/>
      <c r="AC927" s="62"/>
      <c r="AD927" s="62"/>
      <c r="AE927" s="62"/>
      <c r="AF927" s="63"/>
      <c r="AG927" s="64" t="str">
        <f t="shared" si="109"/>
        <v/>
      </c>
    </row>
    <row r="928" spans="1:33" x14ac:dyDescent="0.25">
      <c r="A928" s="46" t="str">
        <f>IF(ISBLANK(inbound_data[[#This Row],[Receiving Report ref.'#]]),"",IF(inbound_data[[#This Row],[Ending Quantity]]=0,"ZERO","INV"))</f>
        <v/>
      </c>
      <c r="B928" s="165" t="str">
        <f t="shared" si="103"/>
        <v/>
      </c>
      <c r="C928" s="165" t="str">
        <f>IF(ISBLANK(D928),"",inbound_data[[#This Row],[Pallet_Series]]&amp;inbound_data[[#This Row],[No.]])</f>
        <v/>
      </c>
      <c r="D928" s="54"/>
      <c r="E928" s="55"/>
      <c r="F928" s="56"/>
      <c r="G928" s="57"/>
      <c r="H928" s="53"/>
      <c r="I928" s="53"/>
      <c r="J928" s="55"/>
      <c r="K928" s="58"/>
      <c r="L928" s="59"/>
      <c r="M928" s="55"/>
      <c r="N928" s="60"/>
      <c r="O928" s="60"/>
      <c r="P928" s="165" t="str">
        <f t="shared" ca="1" si="104"/>
        <v/>
      </c>
      <c r="Q928" s="165" t="str">
        <f t="shared" ca="1" si="105"/>
        <v/>
      </c>
      <c r="R928" s="79"/>
      <c r="S928" s="80"/>
      <c r="T928" s="61">
        <f t="shared" si="106"/>
        <v>0</v>
      </c>
      <c r="U928" s="61">
        <f t="shared" si="107"/>
        <v>0</v>
      </c>
      <c r="V928" s="61">
        <f t="shared" si="108"/>
        <v>0</v>
      </c>
      <c r="W928" s="58"/>
      <c r="X928" s="58"/>
      <c r="Y928" s="53"/>
      <c r="Z928" s="57"/>
      <c r="AA928" s="62"/>
      <c r="AB928" s="62"/>
      <c r="AC928" s="62"/>
      <c r="AD928" s="62"/>
      <c r="AE928" s="62"/>
      <c r="AF928" s="63"/>
      <c r="AG928" s="64" t="str">
        <f t="shared" si="109"/>
        <v/>
      </c>
    </row>
    <row r="929" spans="1:33" x14ac:dyDescent="0.25">
      <c r="A929" s="46" t="str">
        <f>IF(ISBLANK(inbound_data[[#This Row],[Receiving Report ref.'#]]),"",IF(inbound_data[[#This Row],[Ending Quantity]]=0,"ZERO","INV"))</f>
        <v/>
      </c>
      <c r="B929" s="165" t="str">
        <f t="shared" si="103"/>
        <v/>
      </c>
      <c r="C929" s="165" t="str">
        <f>IF(ISBLANK(D929),"",inbound_data[[#This Row],[Pallet_Series]]&amp;inbound_data[[#This Row],[No.]])</f>
        <v/>
      </c>
      <c r="D929" s="54"/>
      <c r="E929" s="55"/>
      <c r="F929" s="56"/>
      <c r="G929" s="57"/>
      <c r="H929" s="53"/>
      <c r="I929" s="53"/>
      <c r="J929" s="55"/>
      <c r="K929" s="58"/>
      <c r="L929" s="59"/>
      <c r="M929" s="55"/>
      <c r="N929" s="60"/>
      <c r="O929" s="60"/>
      <c r="P929" s="165" t="str">
        <f t="shared" ca="1" si="104"/>
        <v/>
      </c>
      <c r="Q929" s="165" t="str">
        <f t="shared" ca="1" si="105"/>
        <v/>
      </c>
      <c r="R929" s="79"/>
      <c r="S929" s="80"/>
      <c r="T929" s="61">
        <f t="shared" si="106"/>
        <v>0</v>
      </c>
      <c r="U929" s="61">
        <f t="shared" si="107"/>
        <v>0</v>
      </c>
      <c r="V929" s="61">
        <f t="shared" si="108"/>
        <v>0</v>
      </c>
      <c r="W929" s="58"/>
      <c r="X929" s="58"/>
      <c r="Y929" s="53"/>
      <c r="Z929" s="57"/>
      <c r="AA929" s="62"/>
      <c r="AB929" s="62"/>
      <c r="AC929" s="62"/>
      <c r="AD929" s="62"/>
      <c r="AE929" s="62"/>
      <c r="AF929" s="63"/>
      <c r="AG929" s="64" t="str">
        <f t="shared" si="109"/>
        <v/>
      </c>
    </row>
    <row r="930" spans="1:33" x14ac:dyDescent="0.25">
      <c r="A930" s="46" t="str">
        <f>IF(ISBLANK(inbound_data[[#This Row],[Receiving Report ref.'#]]),"",IF(inbound_data[[#This Row],[Ending Quantity]]=0,"ZERO","INV"))</f>
        <v/>
      </c>
      <c r="B930" s="165" t="str">
        <f t="shared" si="103"/>
        <v/>
      </c>
      <c r="C930" s="165" t="str">
        <f>IF(ISBLANK(D930),"",inbound_data[[#This Row],[Pallet_Series]]&amp;inbound_data[[#This Row],[No.]])</f>
        <v/>
      </c>
      <c r="D930" s="54"/>
      <c r="E930" s="55"/>
      <c r="F930" s="56"/>
      <c r="G930" s="57"/>
      <c r="H930" s="53"/>
      <c r="I930" s="53"/>
      <c r="J930" s="55"/>
      <c r="K930" s="58"/>
      <c r="L930" s="59"/>
      <c r="M930" s="55"/>
      <c r="N930" s="60"/>
      <c r="O930" s="60"/>
      <c r="P930" s="165" t="str">
        <f t="shared" ca="1" si="104"/>
        <v/>
      </c>
      <c r="Q930" s="165" t="str">
        <f t="shared" ca="1" si="105"/>
        <v/>
      </c>
      <c r="R930" s="79"/>
      <c r="S930" s="80"/>
      <c r="T930" s="61">
        <f t="shared" si="106"/>
        <v>0</v>
      </c>
      <c r="U930" s="61">
        <f t="shared" si="107"/>
        <v>0</v>
      </c>
      <c r="V930" s="61">
        <f t="shared" si="108"/>
        <v>0</v>
      </c>
      <c r="W930" s="58"/>
      <c r="X930" s="58"/>
      <c r="Y930" s="53"/>
      <c r="Z930" s="57"/>
      <c r="AA930" s="62"/>
      <c r="AB930" s="62"/>
      <c r="AC930" s="62"/>
      <c r="AD930" s="62"/>
      <c r="AE930" s="62"/>
      <c r="AF930" s="63"/>
      <c r="AG930" s="64" t="str">
        <f t="shared" si="109"/>
        <v/>
      </c>
    </row>
    <row r="931" spans="1:33" x14ac:dyDescent="0.25">
      <c r="A931" s="46" t="str">
        <f>IF(ISBLANK(inbound_data[[#This Row],[Receiving Report ref.'#]]),"",IF(inbound_data[[#This Row],[Ending Quantity]]=0,"ZERO","INV"))</f>
        <v/>
      </c>
      <c r="B931" s="165" t="str">
        <f t="shared" si="103"/>
        <v/>
      </c>
      <c r="C931" s="165" t="str">
        <f>IF(ISBLANK(D931),"",inbound_data[[#This Row],[Pallet_Series]]&amp;inbound_data[[#This Row],[No.]])</f>
        <v/>
      </c>
      <c r="D931" s="54"/>
      <c r="E931" s="55"/>
      <c r="F931" s="56"/>
      <c r="G931" s="57"/>
      <c r="H931" s="53"/>
      <c r="I931" s="53"/>
      <c r="J931" s="55"/>
      <c r="K931" s="58"/>
      <c r="L931" s="59"/>
      <c r="M931" s="55"/>
      <c r="N931" s="60"/>
      <c r="O931" s="60"/>
      <c r="P931" s="165" t="str">
        <f t="shared" ca="1" si="104"/>
        <v/>
      </c>
      <c r="Q931" s="165" t="str">
        <f t="shared" ca="1" si="105"/>
        <v/>
      </c>
      <c r="R931" s="79"/>
      <c r="S931" s="80"/>
      <c r="T931" s="61">
        <f t="shared" si="106"/>
        <v>0</v>
      </c>
      <c r="U931" s="61">
        <f t="shared" si="107"/>
        <v>0</v>
      </c>
      <c r="V931" s="61">
        <f t="shared" si="108"/>
        <v>0</v>
      </c>
      <c r="W931" s="58"/>
      <c r="X931" s="58"/>
      <c r="Y931" s="53"/>
      <c r="Z931" s="57"/>
      <c r="AA931" s="62"/>
      <c r="AB931" s="62"/>
      <c r="AC931" s="62"/>
      <c r="AD931" s="62"/>
      <c r="AE931" s="62"/>
      <c r="AF931" s="63"/>
      <c r="AG931" s="64" t="str">
        <f t="shared" si="109"/>
        <v/>
      </c>
    </row>
    <row r="932" spans="1:33" x14ac:dyDescent="0.25">
      <c r="A932" s="46" t="str">
        <f>IF(ISBLANK(inbound_data[[#This Row],[Receiving Report ref.'#]]),"",IF(inbound_data[[#This Row],[Ending Quantity]]=0,"ZERO","INV"))</f>
        <v/>
      </c>
      <c r="B932" s="165" t="str">
        <f t="shared" si="103"/>
        <v/>
      </c>
      <c r="C932" s="165" t="str">
        <f>IF(ISBLANK(D932),"",inbound_data[[#This Row],[Pallet_Series]]&amp;inbound_data[[#This Row],[No.]])</f>
        <v/>
      </c>
      <c r="D932" s="54"/>
      <c r="E932" s="55"/>
      <c r="F932" s="56"/>
      <c r="G932" s="57"/>
      <c r="H932" s="53"/>
      <c r="I932" s="53"/>
      <c r="J932" s="55"/>
      <c r="K932" s="58"/>
      <c r="L932" s="59"/>
      <c r="M932" s="55"/>
      <c r="N932" s="60"/>
      <c r="O932" s="60"/>
      <c r="P932" s="165" t="str">
        <f t="shared" ca="1" si="104"/>
        <v/>
      </c>
      <c r="Q932" s="165" t="str">
        <f t="shared" ca="1" si="105"/>
        <v/>
      </c>
      <c r="R932" s="79"/>
      <c r="S932" s="80"/>
      <c r="T932" s="61">
        <f t="shared" si="106"/>
        <v>0</v>
      </c>
      <c r="U932" s="61">
        <f t="shared" si="107"/>
        <v>0</v>
      </c>
      <c r="V932" s="61">
        <f t="shared" si="108"/>
        <v>0</v>
      </c>
      <c r="W932" s="58"/>
      <c r="X932" s="58"/>
      <c r="Y932" s="53"/>
      <c r="Z932" s="57"/>
      <c r="AA932" s="62"/>
      <c r="AB932" s="62"/>
      <c r="AC932" s="62"/>
      <c r="AD932" s="62"/>
      <c r="AE932" s="62"/>
      <c r="AF932" s="63"/>
      <c r="AG932" s="64" t="str">
        <f t="shared" si="109"/>
        <v/>
      </c>
    </row>
    <row r="933" spans="1:33" x14ac:dyDescent="0.25">
      <c r="A933" s="46" t="str">
        <f>IF(ISBLANK(inbound_data[[#This Row],[Receiving Report ref.'#]]),"",IF(inbound_data[[#This Row],[Ending Quantity]]=0,"ZERO","INV"))</f>
        <v/>
      </c>
      <c r="B933" s="165" t="str">
        <f t="shared" si="103"/>
        <v/>
      </c>
      <c r="C933" s="165" t="str">
        <f>IF(ISBLANK(D933),"",inbound_data[[#This Row],[Pallet_Series]]&amp;inbound_data[[#This Row],[No.]])</f>
        <v/>
      </c>
      <c r="D933" s="54"/>
      <c r="E933" s="55"/>
      <c r="F933" s="56"/>
      <c r="G933" s="57"/>
      <c r="H933" s="53"/>
      <c r="I933" s="53"/>
      <c r="J933" s="55"/>
      <c r="K933" s="58"/>
      <c r="L933" s="59"/>
      <c r="M933" s="55"/>
      <c r="N933" s="60"/>
      <c r="O933" s="60"/>
      <c r="P933" s="165" t="str">
        <f t="shared" ca="1" si="104"/>
        <v/>
      </c>
      <c r="Q933" s="165" t="str">
        <f t="shared" ca="1" si="105"/>
        <v/>
      </c>
      <c r="R933" s="79"/>
      <c r="S933" s="80"/>
      <c r="T933" s="61">
        <f t="shared" si="106"/>
        <v>0</v>
      </c>
      <c r="U933" s="61">
        <f t="shared" si="107"/>
        <v>0</v>
      </c>
      <c r="V933" s="61">
        <f t="shared" si="108"/>
        <v>0</v>
      </c>
      <c r="W933" s="58"/>
      <c r="X933" s="58"/>
      <c r="Y933" s="53"/>
      <c r="Z933" s="57"/>
      <c r="AA933" s="62"/>
      <c r="AB933" s="62"/>
      <c r="AC933" s="62"/>
      <c r="AD933" s="62"/>
      <c r="AE933" s="62"/>
      <c r="AF933" s="63"/>
      <c r="AG933" s="64" t="str">
        <f t="shared" si="109"/>
        <v/>
      </c>
    </row>
    <row r="934" spans="1:33" x14ac:dyDescent="0.25">
      <c r="A934" s="46" t="str">
        <f>IF(ISBLANK(inbound_data[[#This Row],[Receiving Report ref.'#]]),"",IF(inbound_data[[#This Row],[Ending Quantity]]=0,"ZERO","INV"))</f>
        <v/>
      </c>
      <c r="B934" s="165" t="str">
        <f t="shared" si="103"/>
        <v/>
      </c>
      <c r="C934" s="165" t="str">
        <f>IF(ISBLANK(D934),"",inbound_data[[#This Row],[Pallet_Series]]&amp;inbound_data[[#This Row],[No.]])</f>
        <v/>
      </c>
      <c r="D934" s="54"/>
      <c r="E934" s="55"/>
      <c r="F934" s="56"/>
      <c r="G934" s="57"/>
      <c r="H934" s="53"/>
      <c r="I934" s="53"/>
      <c r="J934" s="55"/>
      <c r="K934" s="58"/>
      <c r="L934" s="59"/>
      <c r="M934" s="55"/>
      <c r="N934" s="60"/>
      <c r="O934" s="60"/>
      <c r="P934" s="165" t="str">
        <f t="shared" ca="1" si="104"/>
        <v/>
      </c>
      <c r="Q934" s="165" t="str">
        <f t="shared" ca="1" si="105"/>
        <v/>
      </c>
      <c r="R934" s="79"/>
      <c r="S934" s="80"/>
      <c r="T934" s="61">
        <f t="shared" si="106"/>
        <v>0</v>
      </c>
      <c r="U934" s="61">
        <f t="shared" si="107"/>
        <v>0</v>
      </c>
      <c r="V934" s="61">
        <f t="shared" si="108"/>
        <v>0</v>
      </c>
      <c r="W934" s="58"/>
      <c r="X934" s="58"/>
      <c r="Y934" s="53"/>
      <c r="Z934" s="57"/>
      <c r="AA934" s="62"/>
      <c r="AB934" s="62"/>
      <c r="AC934" s="62"/>
      <c r="AD934" s="62"/>
      <c r="AE934" s="62"/>
      <c r="AF934" s="63"/>
      <c r="AG934" s="64" t="str">
        <f t="shared" si="109"/>
        <v/>
      </c>
    </row>
    <row r="935" spans="1:33" x14ac:dyDescent="0.25">
      <c r="A935" s="46" t="str">
        <f>IF(ISBLANK(inbound_data[[#This Row],[Receiving Report ref.'#]]),"",IF(inbound_data[[#This Row],[Ending Quantity]]=0,"ZERO","INV"))</f>
        <v/>
      </c>
      <c r="B935" s="165" t="str">
        <f t="shared" si="103"/>
        <v/>
      </c>
      <c r="C935" s="165" t="str">
        <f>IF(ISBLANK(D935),"",inbound_data[[#This Row],[Pallet_Series]]&amp;inbound_data[[#This Row],[No.]])</f>
        <v/>
      </c>
      <c r="D935" s="54"/>
      <c r="E935" s="55"/>
      <c r="F935" s="56"/>
      <c r="G935" s="57"/>
      <c r="H935" s="53"/>
      <c r="I935" s="53"/>
      <c r="J935" s="55"/>
      <c r="K935" s="58"/>
      <c r="L935" s="59"/>
      <c r="M935" s="55"/>
      <c r="N935" s="60"/>
      <c r="O935" s="60"/>
      <c r="P935" s="165" t="str">
        <f t="shared" ca="1" si="104"/>
        <v/>
      </c>
      <c r="Q935" s="165" t="str">
        <f t="shared" ca="1" si="105"/>
        <v/>
      </c>
      <c r="R935" s="79"/>
      <c r="S935" s="80"/>
      <c r="T935" s="61">
        <f t="shared" si="106"/>
        <v>0</v>
      </c>
      <c r="U935" s="61">
        <f t="shared" si="107"/>
        <v>0</v>
      </c>
      <c r="V935" s="61">
        <f t="shared" si="108"/>
        <v>0</v>
      </c>
      <c r="W935" s="58"/>
      <c r="X935" s="58"/>
      <c r="Y935" s="53"/>
      <c r="Z935" s="57"/>
      <c r="AA935" s="62"/>
      <c r="AB935" s="62"/>
      <c r="AC935" s="62"/>
      <c r="AD935" s="62"/>
      <c r="AE935" s="62"/>
      <c r="AF935" s="63"/>
      <c r="AG935" s="64" t="str">
        <f t="shared" si="109"/>
        <v/>
      </c>
    </row>
    <row r="936" spans="1:33" x14ac:dyDescent="0.25">
      <c r="A936" s="46" t="str">
        <f>IF(ISBLANK(inbound_data[[#This Row],[Receiving Report ref.'#]]),"",IF(inbound_data[[#This Row],[Ending Quantity]]=0,"ZERO","INV"))</f>
        <v/>
      </c>
      <c r="B936" s="165" t="str">
        <f t="shared" si="103"/>
        <v/>
      </c>
      <c r="C936" s="165" t="str">
        <f>IF(ISBLANK(D936),"",inbound_data[[#This Row],[Pallet_Series]]&amp;inbound_data[[#This Row],[No.]])</f>
        <v/>
      </c>
      <c r="D936" s="54"/>
      <c r="E936" s="55"/>
      <c r="F936" s="56"/>
      <c r="G936" s="57"/>
      <c r="H936" s="53"/>
      <c r="I936" s="53"/>
      <c r="J936" s="55"/>
      <c r="K936" s="58"/>
      <c r="L936" s="59"/>
      <c r="M936" s="55"/>
      <c r="N936" s="60"/>
      <c r="O936" s="60"/>
      <c r="P936" s="165" t="str">
        <f t="shared" ca="1" si="104"/>
        <v/>
      </c>
      <c r="Q936" s="165" t="str">
        <f t="shared" ca="1" si="105"/>
        <v/>
      </c>
      <c r="R936" s="79"/>
      <c r="S936" s="80"/>
      <c r="T936" s="61">
        <f t="shared" si="106"/>
        <v>0</v>
      </c>
      <c r="U936" s="61">
        <f t="shared" si="107"/>
        <v>0</v>
      </c>
      <c r="V936" s="61">
        <f t="shared" si="108"/>
        <v>0</v>
      </c>
      <c r="W936" s="58"/>
      <c r="X936" s="58"/>
      <c r="Y936" s="53"/>
      <c r="Z936" s="57"/>
      <c r="AA936" s="62"/>
      <c r="AB936" s="62"/>
      <c r="AC936" s="62"/>
      <c r="AD936" s="62"/>
      <c r="AE936" s="62"/>
      <c r="AF936" s="63"/>
      <c r="AG936" s="64" t="str">
        <f t="shared" si="109"/>
        <v/>
      </c>
    </row>
    <row r="937" spans="1:33" x14ac:dyDescent="0.25">
      <c r="A937" s="46" t="str">
        <f>IF(ISBLANK(inbound_data[[#This Row],[Receiving Report ref.'#]]),"",IF(inbound_data[[#This Row],[Ending Quantity]]=0,"ZERO","INV"))</f>
        <v/>
      </c>
      <c r="B937" s="165" t="str">
        <f t="shared" si="103"/>
        <v/>
      </c>
      <c r="C937" s="165" t="str">
        <f>IF(ISBLANK(D937),"",inbound_data[[#This Row],[Pallet_Series]]&amp;inbound_data[[#This Row],[No.]])</f>
        <v/>
      </c>
      <c r="D937" s="54"/>
      <c r="E937" s="55"/>
      <c r="F937" s="56"/>
      <c r="G937" s="57"/>
      <c r="H937" s="53"/>
      <c r="I937" s="53"/>
      <c r="J937" s="55"/>
      <c r="K937" s="58"/>
      <c r="L937" s="59"/>
      <c r="M937" s="55"/>
      <c r="N937" s="60"/>
      <c r="O937" s="60"/>
      <c r="P937" s="165" t="str">
        <f t="shared" ca="1" si="104"/>
        <v/>
      </c>
      <c r="Q937" s="165" t="str">
        <f t="shared" ca="1" si="105"/>
        <v/>
      </c>
      <c r="R937" s="79"/>
      <c r="S937" s="80"/>
      <c r="T937" s="61">
        <f t="shared" si="106"/>
        <v>0</v>
      </c>
      <c r="U937" s="61">
        <f t="shared" si="107"/>
        <v>0</v>
      </c>
      <c r="V937" s="61">
        <f t="shared" si="108"/>
        <v>0</v>
      </c>
      <c r="W937" s="58"/>
      <c r="X937" s="58"/>
      <c r="Y937" s="53"/>
      <c r="Z937" s="57"/>
      <c r="AA937" s="62"/>
      <c r="AB937" s="62"/>
      <c r="AC937" s="62"/>
      <c r="AD937" s="62"/>
      <c r="AE937" s="62"/>
      <c r="AF937" s="63"/>
      <c r="AG937" s="64" t="str">
        <f t="shared" si="109"/>
        <v/>
      </c>
    </row>
    <row r="938" spans="1:33" x14ac:dyDescent="0.25">
      <c r="A938" s="46" t="str">
        <f>IF(ISBLANK(inbound_data[[#This Row],[Receiving Report ref.'#]]),"",IF(inbound_data[[#This Row],[Ending Quantity]]=0,"ZERO","INV"))</f>
        <v/>
      </c>
      <c r="B938" s="165" t="str">
        <f t="shared" si="103"/>
        <v/>
      </c>
      <c r="C938" s="165" t="str">
        <f>IF(ISBLANK(D938),"",inbound_data[[#This Row],[Pallet_Series]]&amp;inbound_data[[#This Row],[No.]])</f>
        <v/>
      </c>
      <c r="D938" s="54"/>
      <c r="E938" s="55"/>
      <c r="F938" s="56"/>
      <c r="G938" s="57"/>
      <c r="H938" s="53"/>
      <c r="I938" s="53"/>
      <c r="J938" s="55"/>
      <c r="K938" s="58"/>
      <c r="L938" s="59"/>
      <c r="M938" s="55"/>
      <c r="N938" s="60"/>
      <c r="O938" s="60"/>
      <c r="P938" s="165" t="str">
        <f t="shared" ca="1" si="104"/>
        <v/>
      </c>
      <c r="Q938" s="165" t="str">
        <f t="shared" ca="1" si="105"/>
        <v/>
      </c>
      <c r="R938" s="79"/>
      <c r="S938" s="80"/>
      <c r="T938" s="61">
        <f t="shared" si="106"/>
        <v>0</v>
      </c>
      <c r="U938" s="61">
        <f t="shared" si="107"/>
        <v>0</v>
      </c>
      <c r="V938" s="61">
        <f t="shared" si="108"/>
        <v>0</v>
      </c>
      <c r="W938" s="58"/>
      <c r="X938" s="58"/>
      <c r="Y938" s="53"/>
      <c r="Z938" s="57"/>
      <c r="AA938" s="62"/>
      <c r="AB938" s="62"/>
      <c r="AC938" s="62"/>
      <c r="AD938" s="62"/>
      <c r="AE938" s="62"/>
      <c r="AF938" s="63"/>
      <c r="AG938" s="64" t="str">
        <f t="shared" si="109"/>
        <v/>
      </c>
    </row>
    <row r="939" spans="1:33" x14ac:dyDescent="0.25">
      <c r="A939" s="46" t="str">
        <f>IF(ISBLANK(inbound_data[[#This Row],[Receiving Report ref.'#]]),"",IF(inbound_data[[#This Row],[Ending Quantity]]=0,"ZERO","INV"))</f>
        <v/>
      </c>
      <c r="B939" s="165" t="str">
        <f t="shared" si="103"/>
        <v/>
      </c>
      <c r="C939" s="165" t="str">
        <f>IF(ISBLANK(D939),"",inbound_data[[#This Row],[Pallet_Series]]&amp;inbound_data[[#This Row],[No.]])</f>
        <v/>
      </c>
      <c r="D939" s="54"/>
      <c r="E939" s="55"/>
      <c r="F939" s="56"/>
      <c r="G939" s="57"/>
      <c r="H939" s="53"/>
      <c r="I939" s="53"/>
      <c r="J939" s="55"/>
      <c r="K939" s="58"/>
      <c r="L939" s="59"/>
      <c r="M939" s="55"/>
      <c r="N939" s="60"/>
      <c r="O939" s="60"/>
      <c r="P939" s="165" t="str">
        <f t="shared" ca="1" si="104"/>
        <v/>
      </c>
      <c r="Q939" s="165" t="str">
        <f t="shared" ca="1" si="105"/>
        <v/>
      </c>
      <c r="R939" s="79"/>
      <c r="S939" s="80"/>
      <c r="T939" s="61">
        <f t="shared" si="106"/>
        <v>0</v>
      </c>
      <c r="U939" s="61">
        <f t="shared" si="107"/>
        <v>0</v>
      </c>
      <c r="V939" s="61">
        <f t="shared" si="108"/>
        <v>0</v>
      </c>
      <c r="W939" s="58"/>
      <c r="X939" s="58"/>
      <c r="Y939" s="53"/>
      <c r="Z939" s="57"/>
      <c r="AA939" s="62"/>
      <c r="AB939" s="62"/>
      <c r="AC939" s="62"/>
      <c r="AD939" s="62"/>
      <c r="AE939" s="62"/>
      <c r="AF939" s="63"/>
      <c r="AG939" s="64" t="str">
        <f t="shared" si="109"/>
        <v/>
      </c>
    </row>
    <row r="940" spans="1:33" x14ac:dyDescent="0.25">
      <c r="A940" s="46" t="str">
        <f>IF(ISBLANK(inbound_data[[#This Row],[Receiving Report ref.'#]]),"",IF(inbound_data[[#This Row],[Ending Quantity]]=0,"ZERO","INV"))</f>
        <v/>
      </c>
      <c r="B940" s="165" t="str">
        <f t="shared" si="103"/>
        <v/>
      </c>
      <c r="C940" s="165" t="str">
        <f>IF(ISBLANK(D940),"",inbound_data[[#This Row],[Pallet_Series]]&amp;inbound_data[[#This Row],[No.]])</f>
        <v/>
      </c>
      <c r="D940" s="54"/>
      <c r="E940" s="55"/>
      <c r="F940" s="56"/>
      <c r="G940" s="57"/>
      <c r="H940" s="53"/>
      <c r="I940" s="53"/>
      <c r="J940" s="55"/>
      <c r="K940" s="58"/>
      <c r="L940" s="59"/>
      <c r="M940" s="55"/>
      <c r="N940" s="60"/>
      <c r="O940" s="60"/>
      <c r="P940" s="165" t="str">
        <f t="shared" ca="1" si="104"/>
        <v/>
      </c>
      <c r="Q940" s="165" t="str">
        <f t="shared" ca="1" si="105"/>
        <v/>
      </c>
      <c r="R940" s="79"/>
      <c r="S940" s="80"/>
      <c r="T940" s="61">
        <f t="shared" si="106"/>
        <v>0</v>
      </c>
      <c r="U940" s="61">
        <f t="shared" si="107"/>
        <v>0</v>
      </c>
      <c r="V940" s="61">
        <f t="shared" si="108"/>
        <v>0</v>
      </c>
      <c r="W940" s="58"/>
      <c r="X940" s="58"/>
      <c r="Y940" s="53"/>
      <c r="Z940" s="57"/>
      <c r="AA940" s="62"/>
      <c r="AB940" s="62"/>
      <c r="AC940" s="62"/>
      <c r="AD940" s="62"/>
      <c r="AE940" s="62"/>
      <c r="AF940" s="63"/>
      <c r="AG940" s="64" t="str">
        <f t="shared" si="109"/>
        <v/>
      </c>
    </row>
    <row r="941" spans="1:33" x14ac:dyDescent="0.25">
      <c r="A941" s="46" t="str">
        <f>IF(ISBLANK(inbound_data[[#This Row],[Receiving Report ref.'#]]),"",IF(inbound_data[[#This Row],[Ending Quantity]]=0,"ZERO","INV"))</f>
        <v/>
      </c>
      <c r="B941" s="165" t="str">
        <f t="shared" si="103"/>
        <v/>
      </c>
      <c r="C941" s="165" t="str">
        <f>IF(ISBLANK(D941),"",inbound_data[[#This Row],[Pallet_Series]]&amp;inbound_data[[#This Row],[No.]])</f>
        <v/>
      </c>
      <c r="D941" s="54"/>
      <c r="E941" s="55"/>
      <c r="F941" s="56"/>
      <c r="G941" s="57"/>
      <c r="H941" s="53"/>
      <c r="I941" s="53"/>
      <c r="J941" s="55"/>
      <c r="K941" s="58"/>
      <c r="L941" s="59"/>
      <c r="M941" s="55"/>
      <c r="N941" s="60"/>
      <c r="O941" s="60"/>
      <c r="P941" s="165" t="str">
        <f t="shared" ca="1" si="104"/>
        <v/>
      </c>
      <c r="Q941" s="165" t="str">
        <f t="shared" ca="1" si="105"/>
        <v/>
      </c>
      <c r="R941" s="79"/>
      <c r="S941" s="80"/>
      <c r="T941" s="61">
        <f t="shared" si="106"/>
        <v>0</v>
      </c>
      <c r="U941" s="61">
        <f t="shared" si="107"/>
        <v>0</v>
      </c>
      <c r="V941" s="61">
        <f t="shared" si="108"/>
        <v>0</v>
      </c>
      <c r="W941" s="58"/>
      <c r="X941" s="58"/>
      <c r="Y941" s="53"/>
      <c r="Z941" s="57"/>
      <c r="AA941" s="62"/>
      <c r="AB941" s="62"/>
      <c r="AC941" s="62"/>
      <c r="AD941" s="62"/>
      <c r="AE941" s="62"/>
      <c r="AF941" s="63"/>
      <c r="AG941" s="64" t="str">
        <f t="shared" si="109"/>
        <v/>
      </c>
    </row>
    <row r="942" spans="1:33" x14ac:dyDescent="0.25">
      <c r="A942" s="46" t="str">
        <f>IF(ISBLANK(inbound_data[[#This Row],[Receiving Report ref.'#]]),"",IF(inbound_data[[#This Row],[Ending Quantity]]=0,"ZERO","INV"))</f>
        <v/>
      </c>
      <c r="B942" s="165" t="str">
        <f t="shared" si="103"/>
        <v/>
      </c>
      <c r="C942" s="165" t="str">
        <f>IF(ISBLANK(D942),"",inbound_data[[#This Row],[Pallet_Series]]&amp;inbound_data[[#This Row],[No.]])</f>
        <v/>
      </c>
      <c r="D942" s="54"/>
      <c r="E942" s="55"/>
      <c r="F942" s="56"/>
      <c r="G942" s="57"/>
      <c r="H942" s="53"/>
      <c r="I942" s="53"/>
      <c r="J942" s="55"/>
      <c r="K942" s="58"/>
      <c r="L942" s="59"/>
      <c r="M942" s="55"/>
      <c r="N942" s="60"/>
      <c r="O942" s="60"/>
      <c r="P942" s="165" t="str">
        <f t="shared" ca="1" si="104"/>
        <v/>
      </c>
      <c r="Q942" s="165" t="str">
        <f t="shared" ca="1" si="105"/>
        <v/>
      </c>
      <c r="R942" s="79"/>
      <c r="S942" s="80"/>
      <c r="T942" s="61">
        <f t="shared" si="106"/>
        <v>0</v>
      </c>
      <c r="U942" s="61">
        <f t="shared" si="107"/>
        <v>0</v>
      </c>
      <c r="V942" s="61">
        <f t="shared" si="108"/>
        <v>0</v>
      </c>
      <c r="W942" s="58"/>
      <c r="X942" s="58"/>
      <c r="Y942" s="53"/>
      <c r="Z942" s="57"/>
      <c r="AA942" s="62"/>
      <c r="AB942" s="62"/>
      <c r="AC942" s="62"/>
      <c r="AD942" s="62"/>
      <c r="AE942" s="62"/>
      <c r="AF942" s="63"/>
      <c r="AG942" s="64" t="str">
        <f t="shared" si="109"/>
        <v/>
      </c>
    </row>
    <row r="943" spans="1:33" x14ac:dyDescent="0.25">
      <c r="A943" s="46" t="str">
        <f>IF(ISBLANK(inbound_data[[#This Row],[Receiving Report ref.'#]]),"",IF(inbound_data[[#This Row],[Ending Quantity]]=0,"ZERO","INV"))</f>
        <v/>
      </c>
      <c r="B943" s="165" t="str">
        <f t="shared" si="103"/>
        <v/>
      </c>
      <c r="C943" s="165" t="str">
        <f>IF(ISBLANK(D943),"",inbound_data[[#This Row],[Pallet_Series]]&amp;inbound_data[[#This Row],[No.]])</f>
        <v/>
      </c>
      <c r="D943" s="54"/>
      <c r="E943" s="55"/>
      <c r="F943" s="56"/>
      <c r="G943" s="57"/>
      <c r="H943" s="53"/>
      <c r="I943" s="53"/>
      <c r="J943" s="55"/>
      <c r="K943" s="58"/>
      <c r="L943" s="59"/>
      <c r="M943" s="55"/>
      <c r="N943" s="60"/>
      <c r="O943" s="60"/>
      <c r="P943" s="165" t="str">
        <f t="shared" ca="1" si="104"/>
        <v/>
      </c>
      <c r="Q943" s="165" t="str">
        <f t="shared" ca="1" si="105"/>
        <v/>
      </c>
      <c r="R943" s="79"/>
      <c r="S943" s="80"/>
      <c r="T943" s="61">
        <f t="shared" si="106"/>
        <v>0</v>
      </c>
      <c r="U943" s="61">
        <f t="shared" si="107"/>
        <v>0</v>
      </c>
      <c r="V943" s="61">
        <f t="shared" si="108"/>
        <v>0</v>
      </c>
      <c r="W943" s="58"/>
      <c r="X943" s="58"/>
      <c r="Y943" s="53"/>
      <c r="Z943" s="57"/>
      <c r="AA943" s="62"/>
      <c r="AB943" s="62"/>
      <c r="AC943" s="62"/>
      <c r="AD943" s="62"/>
      <c r="AE943" s="62"/>
      <c r="AF943" s="63"/>
      <c r="AG943" s="64" t="str">
        <f t="shared" si="109"/>
        <v/>
      </c>
    </row>
    <row r="944" spans="1:33" x14ac:dyDescent="0.25">
      <c r="A944" s="46" t="str">
        <f>IF(ISBLANK(inbound_data[[#This Row],[Receiving Report ref.'#]]),"",IF(inbound_data[[#This Row],[Ending Quantity]]=0,"ZERO","INV"))</f>
        <v/>
      </c>
      <c r="B944" s="165" t="str">
        <f t="shared" si="103"/>
        <v/>
      </c>
      <c r="C944" s="165" t="str">
        <f>IF(ISBLANK(D944),"",inbound_data[[#This Row],[Pallet_Series]]&amp;inbound_data[[#This Row],[No.]])</f>
        <v/>
      </c>
      <c r="D944" s="54"/>
      <c r="E944" s="55"/>
      <c r="F944" s="56"/>
      <c r="G944" s="57"/>
      <c r="H944" s="53"/>
      <c r="I944" s="53"/>
      <c r="J944" s="55"/>
      <c r="K944" s="58"/>
      <c r="L944" s="59"/>
      <c r="M944" s="55"/>
      <c r="N944" s="60"/>
      <c r="O944" s="60"/>
      <c r="P944" s="165" t="str">
        <f t="shared" ca="1" si="104"/>
        <v/>
      </c>
      <c r="Q944" s="165" t="str">
        <f t="shared" ca="1" si="105"/>
        <v/>
      </c>
      <c r="R944" s="79"/>
      <c r="S944" s="80"/>
      <c r="T944" s="61">
        <f t="shared" si="106"/>
        <v>0</v>
      </c>
      <c r="U944" s="61">
        <f t="shared" si="107"/>
        <v>0</v>
      </c>
      <c r="V944" s="61">
        <f t="shared" si="108"/>
        <v>0</v>
      </c>
      <c r="W944" s="58"/>
      <c r="X944" s="58"/>
      <c r="Y944" s="53"/>
      <c r="Z944" s="57"/>
      <c r="AA944" s="62"/>
      <c r="AB944" s="62"/>
      <c r="AC944" s="62"/>
      <c r="AD944" s="62"/>
      <c r="AE944" s="62"/>
      <c r="AF944" s="63"/>
      <c r="AG944" s="64" t="str">
        <f t="shared" si="109"/>
        <v/>
      </c>
    </row>
    <row r="945" spans="1:33" x14ac:dyDescent="0.25">
      <c r="A945" s="46" t="str">
        <f>IF(ISBLANK(inbound_data[[#This Row],[Receiving Report ref.'#]]),"",IF(inbound_data[[#This Row],[Ending Quantity]]=0,"ZERO","INV"))</f>
        <v/>
      </c>
      <c r="B945" s="165" t="str">
        <f t="shared" si="103"/>
        <v/>
      </c>
      <c r="C945" s="165" t="str">
        <f>IF(ISBLANK(D945),"",inbound_data[[#This Row],[Pallet_Series]]&amp;inbound_data[[#This Row],[No.]])</f>
        <v/>
      </c>
      <c r="D945" s="54"/>
      <c r="E945" s="55"/>
      <c r="F945" s="56"/>
      <c r="G945" s="57"/>
      <c r="H945" s="53"/>
      <c r="I945" s="53"/>
      <c r="J945" s="55"/>
      <c r="K945" s="58"/>
      <c r="L945" s="59"/>
      <c r="M945" s="55"/>
      <c r="N945" s="60"/>
      <c r="O945" s="60"/>
      <c r="P945" s="165" t="str">
        <f t="shared" ca="1" si="104"/>
        <v/>
      </c>
      <c r="Q945" s="165" t="str">
        <f t="shared" ca="1" si="105"/>
        <v/>
      </c>
      <c r="R945" s="79"/>
      <c r="S945" s="80"/>
      <c r="T945" s="61">
        <f t="shared" si="106"/>
        <v>0</v>
      </c>
      <c r="U945" s="61">
        <f t="shared" si="107"/>
        <v>0</v>
      </c>
      <c r="V945" s="61">
        <f t="shared" si="108"/>
        <v>0</v>
      </c>
      <c r="W945" s="58"/>
      <c r="X945" s="58"/>
      <c r="Y945" s="53"/>
      <c r="Z945" s="57"/>
      <c r="AA945" s="62"/>
      <c r="AB945" s="62"/>
      <c r="AC945" s="62"/>
      <c r="AD945" s="62"/>
      <c r="AE945" s="62"/>
      <c r="AF945" s="63"/>
      <c r="AG945" s="64" t="str">
        <f t="shared" si="109"/>
        <v/>
      </c>
    </row>
    <row r="946" spans="1:33" x14ac:dyDescent="0.25">
      <c r="A946" s="46" t="str">
        <f>IF(ISBLANK(inbound_data[[#This Row],[Receiving Report ref.'#]]),"",IF(inbound_data[[#This Row],[Ending Quantity]]=0,"ZERO","INV"))</f>
        <v/>
      </c>
      <c r="B946" s="165" t="str">
        <f t="shared" si="103"/>
        <v/>
      </c>
      <c r="C946" s="165" t="str">
        <f>IF(ISBLANK(D946),"",inbound_data[[#This Row],[Pallet_Series]]&amp;inbound_data[[#This Row],[No.]])</f>
        <v/>
      </c>
      <c r="D946" s="54"/>
      <c r="E946" s="55"/>
      <c r="F946" s="56"/>
      <c r="G946" s="57"/>
      <c r="H946" s="53"/>
      <c r="I946" s="53"/>
      <c r="J946" s="55"/>
      <c r="K946" s="58"/>
      <c r="L946" s="59"/>
      <c r="M946" s="55"/>
      <c r="N946" s="60"/>
      <c r="O946" s="60"/>
      <c r="P946" s="165" t="str">
        <f t="shared" ca="1" si="104"/>
        <v/>
      </c>
      <c r="Q946" s="165" t="str">
        <f t="shared" ca="1" si="105"/>
        <v/>
      </c>
      <c r="R946" s="79"/>
      <c r="S946" s="80"/>
      <c r="T946" s="61">
        <f t="shared" si="106"/>
        <v>0</v>
      </c>
      <c r="U946" s="61">
        <f t="shared" si="107"/>
        <v>0</v>
      </c>
      <c r="V946" s="61">
        <f t="shared" si="108"/>
        <v>0</v>
      </c>
      <c r="W946" s="58"/>
      <c r="X946" s="58"/>
      <c r="Y946" s="53"/>
      <c r="Z946" s="57"/>
      <c r="AA946" s="62"/>
      <c r="AB946" s="62"/>
      <c r="AC946" s="62"/>
      <c r="AD946" s="62"/>
      <c r="AE946" s="62"/>
      <c r="AF946" s="63"/>
      <c r="AG946" s="64" t="str">
        <f t="shared" si="109"/>
        <v/>
      </c>
    </row>
    <row r="947" spans="1:33" x14ac:dyDescent="0.25">
      <c r="A947" s="46" t="str">
        <f>IF(ISBLANK(inbound_data[[#This Row],[Receiving Report ref.'#]]),"",IF(inbound_data[[#This Row],[Ending Quantity]]=0,"ZERO","INV"))</f>
        <v/>
      </c>
      <c r="B947" s="165" t="str">
        <f t="shared" si="103"/>
        <v/>
      </c>
      <c r="C947" s="165" t="str">
        <f>IF(ISBLANK(D947),"",inbound_data[[#This Row],[Pallet_Series]]&amp;inbound_data[[#This Row],[No.]])</f>
        <v/>
      </c>
      <c r="D947" s="54"/>
      <c r="E947" s="55"/>
      <c r="F947" s="56"/>
      <c r="G947" s="57"/>
      <c r="H947" s="53"/>
      <c r="I947" s="53"/>
      <c r="J947" s="55"/>
      <c r="K947" s="58"/>
      <c r="L947" s="59"/>
      <c r="M947" s="55"/>
      <c r="N947" s="60"/>
      <c r="O947" s="60"/>
      <c r="P947" s="165" t="str">
        <f t="shared" ca="1" si="104"/>
        <v/>
      </c>
      <c r="Q947" s="165" t="str">
        <f t="shared" ca="1" si="105"/>
        <v/>
      </c>
      <c r="R947" s="79"/>
      <c r="S947" s="80"/>
      <c r="T947" s="61">
        <f t="shared" si="106"/>
        <v>0</v>
      </c>
      <c r="U947" s="61">
        <f t="shared" si="107"/>
        <v>0</v>
      </c>
      <c r="V947" s="61">
        <f t="shared" si="108"/>
        <v>0</v>
      </c>
      <c r="W947" s="58"/>
      <c r="X947" s="58"/>
      <c r="Y947" s="53"/>
      <c r="Z947" s="57"/>
      <c r="AA947" s="62"/>
      <c r="AB947" s="62"/>
      <c r="AC947" s="62"/>
      <c r="AD947" s="62"/>
      <c r="AE947" s="62"/>
      <c r="AF947" s="63"/>
      <c r="AG947" s="64" t="str">
        <f t="shared" si="109"/>
        <v/>
      </c>
    </row>
    <row r="948" spans="1:33" x14ac:dyDescent="0.25">
      <c r="A948" s="46" t="str">
        <f>IF(ISBLANK(inbound_data[[#This Row],[Receiving Report ref.'#]]),"",IF(inbound_data[[#This Row],[Ending Quantity]]=0,"ZERO","INV"))</f>
        <v/>
      </c>
      <c r="B948" s="165" t="str">
        <f t="shared" si="103"/>
        <v/>
      </c>
      <c r="C948" s="165" t="str">
        <f>IF(ISBLANK(D948),"",inbound_data[[#This Row],[Pallet_Series]]&amp;inbound_data[[#This Row],[No.]])</f>
        <v/>
      </c>
      <c r="D948" s="54"/>
      <c r="E948" s="55"/>
      <c r="F948" s="56"/>
      <c r="G948" s="57"/>
      <c r="H948" s="53"/>
      <c r="I948" s="53"/>
      <c r="J948" s="55"/>
      <c r="K948" s="58"/>
      <c r="L948" s="59"/>
      <c r="M948" s="55"/>
      <c r="N948" s="60"/>
      <c r="O948" s="60"/>
      <c r="P948" s="165" t="str">
        <f t="shared" ca="1" si="104"/>
        <v/>
      </c>
      <c r="Q948" s="165" t="str">
        <f t="shared" ca="1" si="105"/>
        <v/>
      </c>
      <c r="R948" s="79"/>
      <c r="S948" s="80"/>
      <c r="T948" s="61">
        <f t="shared" si="106"/>
        <v>0</v>
      </c>
      <c r="U948" s="61">
        <f t="shared" si="107"/>
        <v>0</v>
      </c>
      <c r="V948" s="61">
        <f t="shared" si="108"/>
        <v>0</v>
      </c>
      <c r="W948" s="58"/>
      <c r="X948" s="58"/>
      <c r="Y948" s="53"/>
      <c r="Z948" s="57"/>
      <c r="AA948" s="62"/>
      <c r="AB948" s="62"/>
      <c r="AC948" s="62"/>
      <c r="AD948" s="62"/>
      <c r="AE948" s="62"/>
      <c r="AF948" s="63"/>
      <c r="AG948" s="64" t="str">
        <f t="shared" si="109"/>
        <v/>
      </c>
    </row>
    <row r="949" spans="1:33" x14ac:dyDescent="0.25">
      <c r="A949" s="46" t="str">
        <f>IF(ISBLANK(inbound_data[[#This Row],[Receiving Report ref.'#]]),"",IF(inbound_data[[#This Row],[Ending Quantity]]=0,"ZERO","INV"))</f>
        <v/>
      </c>
      <c r="B949" s="165" t="str">
        <f t="shared" si="103"/>
        <v/>
      </c>
      <c r="C949" s="165" t="str">
        <f>IF(ISBLANK(D949),"",inbound_data[[#This Row],[Pallet_Series]]&amp;inbound_data[[#This Row],[No.]])</f>
        <v/>
      </c>
      <c r="D949" s="54"/>
      <c r="E949" s="55"/>
      <c r="F949" s="56"/>
      <c r="G949" s="57"/>
      <c r="H949" s="53"/>
      <c r="I949" s="53"/>
      <c r="J949" s="55"/>
      <c r="K949" s="58"/>
      <c r="L949" s="59"/>
      <c r="M949" s="55"/>
      <c r="N949" s="60"/>
      <c r="O949" s="60"/>
      <c r="P949" s="165" t="str">
        <f t="shared" ca="1" si="104"/>
        <v/>
      </c>
      <c r="Q949" s="165" t="str">
        <f t="shared" ca="1" si="105"/>
        <v/>
      </c>
      <c r="R949" s="79"/>
      <c r="S949" s="80"/>
      <c r="T949" s="61">
        <f t="shared" si="106"/>
        <v>0</v>
      </c>
      <c r="U949" s="61">
        <f t="shared" si="107"/>
        <v>0</v>
      </c>
      <c r="V949" s="61">
        <f t="shared" si="108"/>
        <v>0</v>
      </c>
      <c r="W949" s="58"/>
      <c r="X949" s="58"/>
      <c r="Y949" s="53"/>
      <c r="Z949" s="57"/>
      <c r="AA949" s="62"/>
      <c r="AB949" s="62"/>
      <c r="AC949" s="62"/>
      <c r="AD949" s="62"/>
      <c r="AE949" s="62"/>
      <c r="AF949" s="63"/>
      <c r="AG949" s="64" t="str">
        <f t="shared" si="109"/>
        <v/>
      </c>
    </row>
    <row r="950" spans="1:33" x14ac:dyDescent="0.25">
      <c r="A950" s="46" t="str">
        <f>IF(ISBLANK(inbound_data[[#This Row],[Receiving Report ref.'#]]),"",IF(inbound_data[[#This Row],[Ending Quantity]]=0,"ZERO","INV"))</f>
        <v/>
      </c>
      <c r="B950" s="165" t="str">
        <f t="shared" si="103"/>
        <v/>
      </c>
      <c r="C950" s="165" t="str">
        <f>IF(ISBLANK(D950),"",inbound_data[[#This Row],[Pallet_Series]]&amp;inbound_data[[#This Row],[No.]])</f>
        <v/>
      </c>
      <c r="D950" s="54"/>
      <c r="E950" s="55"/>
      <c r="F950" s="56"/>
      <c r="G950" s="57"/>
      <c r="H950" s="53"/>
      <c r="I950" s="53"/>
      <c r="J950" s="55"/>
      <c r="K950" s="58"/>
      <c r="L950" s="59"/>
      <c r="M950" s="55"/>
      <c r="N950" s="60"/>
      <c r="O950" s="60"/>
      <c r="P950" s="165" t="str">
        <f t="shared" ca="1" si="104"/>
        <v/>
      </c>
      <c r="Q950" s="165" t="str">
        <f t="shared" ca="1" si="105"/>
        <v/>
      </c>
      <c r="R950" s="79"/>
      <c r="S950" s="80"/>
      <c r="T950" s="61">
        <f t="shared" si="106"/>
        <v>0</v>
      </c>
      <c r="U950" s="61">
        <f t="shared" si="107"/>
        <v>0</v>
      </c>
      <c r="V950" s="61">
        <f t="shared" si="108"/>
        <v>0</v>
      </c>
      <c r="W950" s="58"/>
      <c r="X950" s="58"/>
      <c r="Y950" s="53"/>
      <c r="Z950" s="57"/>
      <c r="AA950" s="62"/>
      <c r="AB950" s="62"/>
      <c r="AC950" s="62"/>
      <c r="AD950" s="62"/>
      <c r="AE950" s="62"/>
      <c r="AF950" s="63"/>
      <c r="AG950" s="64" t="str">
        <f t="shared" si="109"/>
        <v/>
      </c>
    </row>
    <row r="951" spans="1:33" x14ac:dyDescent="0.25">
      <c r="A951" s="46" t="str">
        <f>IF(ISBLANK(inbound_data[[#This Row],[Receiving Report ref.'#]]),"",IF(inbound_data[[#This Row],[Ending Quantity]]=0,"ZERO","INV"))</f>
        <v/>
      </c>
      <c r="B951" s="165" t="str">
        <f t="shared" si="103"/>
        <v/>
      </c>
      <c r="C951" s="165" t="str">
        <f>IF(ISBLANK(D951),"",inbound_data[[#This Row],[Pallet_Series]]&amp;inbound_data[[#This Row],[No.]])</f>
        <v/>
      </c>
      <c r="D951" s="54"/>
      <c r="E951" s="55"/>
      <c r="F951" s="56"/>
      <c r="G951" s="57"/>
      <c r="H951" s="53"/>
      <c r="I951" s="53"/>
      <c r="J951" s="55"/>
      <c r="K951" s="58"/>
      <c r="L951" s="59"/>
      <c r="M951" s="55"/>
      <c r="N951" s="60"/>
      <c r="O951" s="60"/>
      <c r="P951" s="165" t="str">
        <f t="shared" ca="1" si="104"/>
        <v/>
      </c>
      <c r="Q951" s="165" t="str">
        <f t="shared" ca="1" si="105"/>
        <v/>
      </c>
      <c r="R951" s="79"/>
      <c r="S951" s="80"/>
      <c r="T951" s="61">
        <f t="shared" si="106"/>
        <v>0</v>
      </c>
      <c r="U951" s="61">
        <f t="shared" si="107"/>
        <v>0</v>
      </c>
      <c r="V951" s="61">
        <f t="shared" si="108"/>
        <v>0</v>
      </c>
      <c r="W951" s="58"/>
      <c r="X951" s="58"/>
      <c r="Y951" s="53"/>
      <c r="Z951" s="57"/>
      <c r="AA951" s="62"/>
      <c r="AB951" s="62"/>
      <c r="AC951" s="62"/>
      <c r="AD951" s="62"/>
      <c r="AE951" s="62"/>
      <c r="AF951" s="63"/>
      <c r="AG951" s="64" t="str">
        <f t="shared" si="109"/>
        <v/>
      </c>
    </row>
    <row r="952" spans="1:33" x14ac:dyDescent="0.25">
      <c r="A952" s="46" t="str">
        <f>IF(ISBLANK(inbound_data[[#This Row],[Receiving Report ref.'#]]),"",IF(inbound_data[[#This Row],[Ending Quantity]]=0,"ZERO","INV"))</f>
        <v/>
      </c>
      <c r="B952" s="165" t="str">
        <f t="shared" si="103"/>
        <v/>
      </c>
      <c r="C952" s="165" t="str">
        <f>IF(ISBLANK(D952),"",inbound_data[[#This Row],[Pallet_Series]]&amp;inbound_data[[#This Row],[No.]])</f>
        <v/>
      </c>
      <c r="D952" s="54"/>
      <c r="E952" s="55"/>
      <c r="F952" s="56"/>
      <c r="G952" s="57"/>
      <c r="H952" s="53"/>
      <c r="I952" s="53"/>
      <c r="J952" s="55"/>
      <c r="K952" s="58"/>
      <c r="L952" s="59"/>
      <c r="M952" s="55"/>
      <c r="N952" s="60"/>
      <c r="O952" s="60"/>
      <c r="P952" s="165" t="str">
        <f t="shared" ca="1" si="104"/>
        <v/>
      </c>
      <c r="Q952" s="165" t="str">
        <f t="shared" ca="1" si="105"/>
        <v/>
      </c>
      <c r="R952" s="79"/>
      <c r="S952" s="80"/>
      <c r="T952" s="61">
        <f t="shared" si="106"/>
        <v>0</v>
      </c>
      <c r="U952" s="61">
        <f t="shared" si="107"/>
        <v>0</v>
      </c>
      <c r="V952" s="61">
        <f t="shared" si="108"/>
        <v>0</v>
      </c>
      <c r="W952" s="58"/>
      <c r="X952" s="58"/>
      <c r="Y952" s="53"/>
      <c r="Z952" s="57"/>
      <c r="AA952" s="62"/>
      <c r="AB952" s="62"/>
      <c r="AC952" s="62"/>
      <c r="AD952" s="62"/>
      <c r="AE952" s="62"/>
      <c r="AF952" s="63"/>
      <c r="AG952" s="64" t="str">
        <f t="shared" si="109"/>
        <v/>
      </c>
    </row>
    <row r="953" spans="1:33" x14ac:dyDescent="0.25">
      <c r="A953" s="46" t="str">
        <f>IF(ISBLANK(inbound_data[[#This Row],[Receiving Report ref.'#]]),"",IF(inbound_data[[#This Row],[Ending Quantity]]=0,"ZERO","INV"))</f>
        <v/>
      </c>
      <c r="B953" s="165" t="str">
        <f t="shared" si="103"/>
        <v/>
      </c>
      <c r="C953" s="165" t="str">
        <f>IF(ISBLANK(D953),"",inbound_data[[#This Row],[Pallet_Series]]&amp;inbound_data[[#This Row],[No.]])</f>
        <v/>
      </c>
      <c r="D953" s="54"/>
      <c r="E953" s="55"/>
      <c r="F953" s="56"/>
      <c r="G953" s="57"/>
      <c r="H953" s="53"/>
      <c r="I953" s="53"/>
      <c r="J953" s="55"/>
      <c r="K953" s="58"/>
      <c r="L953" s="59"/>
      <c r="M953" s="55"/>
      <c r="N953" s="60"/>
      <c r="O953" s="60"/>
      <c r="P953" s="165" t="str">
        <f t="shared" ca="1" si="104"/>
        <v/>
      </c>
      <c r="Q953" s="165" t="str">
        <f t="shared" ca="1" si="105"/>
        <v/>
      </c>
      <c r="R953" s="79"/>
      <c r="S953" s="80"/>
      <c r="T953" s="61">
        <f t="shared" si="106"/>
        <v>0</v>
      </c>
      <c r="U953" s="61">
        <f t="shared" si="107"/>
        <v>0</v>
      </c>
      <c r="V953" s="61">
        <f t="shared" si="108"/>
        <v>0</v>
      </c>
      <c r="W953" s="58"/>
      <c r="X953" s="58"/>
      <c r="Y953" s="53"/>
      <c r="Z953" s="57"/>
      <c r="AA953" s="62"/>
      <c r="AB953" s="62"/>
      <c r="AC953" s="62"/>
      <c r="AD953" s="62"/>
      <c r="AE953" s="62"/>
      <c r="AF953" s="63"/>
      <c r="AG953" s="64" t="str">
        <f t="shared" si="109"/>
        <v/>
      </c>
    </row>
    <row r="954" spans="1:33" x14ac:dyDescent="0.25">
      <c r="A954" s="46" t="str">
        <f>IF(ISBLANK(inbound_data[[#This Row],[Receiving Report ref.'#]]),"",IF(inbound_data[[#This Row],[Ending Quantity]]=0,"ZERO","INV"))</f>
        <v/>
      </c>
      <c r="B954" s="165" t="str">
        <f t="shared" si="103"/>
        <v/>
      </c>
      <c r="C954" s="165" t="str">
        <f>IF(ISBLANK(D954),"",inbound_data[[#This Row],[Pallet_Series]]&amp;inbound_data[[#This Row],[No.]])</f>
        <v/>
      </c>
      <c r="D954" s="54"/>
      <c r="E954" s="55"/>
      <c r="F954" s="56"/>
      <c r="G954" s="57"/>
      <c r="H954" s="53"/>
      <c r="I954" s="53"/>
      <c r="J954" s="55"/>
      <c r="K954" s="58"/>
      <c r="L954" s="59"/>
      <c r="M954" s="55"/>
      <c r="N954" s="60"/>
      <c r="O954" s="60"/>
      <c r="P954" s="165" t="str">
        <f t="shared" ca="1" si="104"/>
        <v/>
      </c>
      <c r="Q954" s="165" t="str">
        <f t="shared" ca="1" si="105"/>
        <v/>
      </c>
      <c r="R954" s="79"/>
      <c r="S954" s="80"/>
      <c r="T954" s="61">
        <f t="shared" si="106"/>
        <v>0</v>
      </c>
      <c r="U954" s="61">
        <f t="shared" si="107"/>
        <v>0</v>
      </c>
      <c r="V954" s="61">
        <f t="shared" si="108"/>
        <v>0</v>
      </c>
      <c r="W954" s="58"/>
      <c r="X954" s="58"/>
      <c r="Y954" s="53"/>
      <c r="Z954" s="57"/>
      <c r="AA954" s="62"/>
      <c r="AB954" s="62"/>
      <c r="AC954" s="62"/>
      <c r="AD954" s="62"/>
      <c r="AE954" s="62"/>
      <c r="AF954" s="63"/>
      <c r="AG954" s="64" t="str">
        <f t="shared" si="109"/>
        <v/>
      </c>
    </row>
    <row r="955" spans="1:33" x14ac:dyDescent="0.25">
      <c r="A955" s="46" t="str">
        <f>IF(ISBLANK(inbound_data[[#This Row],[Receiving Report ref.'#]]),"",IF(inbound_data[[#This Row],[Ending Quantity]]=0,"ZERO","INV"))</f>
        <v/>
      </c>
      <c r="B955" s="165" t="str">
        <f t="shared" si="103"/>
        <v/>
      </c>
      <c r="C955" s="165" t="str">
        <f>IF(ISBLANK(D955),"",inbound_data[[#This Row],[Pallet_Series]]&amp;inbound_data[[#This Row],[No.]])</f>
        <v/>
      </c>
      <c r="D955" s="54"/>
      <c r="E955" s="55"/>
      <c r="F955" s="56"/>
      <c r="G955" s="57"/>
      <c r="H955" s="53"/>
      <c r="I955" s="53"/>
      <c r="J955" s="55"/>
      <c r="K955" s="58"/>
      <c r="L955" s="59"/>
      <c r="M955" s="55"/>
      <c r="N955" s="60"/>
      <c r="O955" s="60"/>
      <c r="P955" s="165" t="str">
        <f t="shared" ca="1" si="104"/>
        <v/>
      </c>
      <c r="Q955" s="165" t="str">
        <f t="shared" ca="1" si="105"/>
        <v/>
      </c>
      <c r="R955" s="79"/>
      <c r="S955" s="80"/>
      <c r="T955" s="61">
        <f t="shared" si="106"/>
        <v>0</v>
      </c>
      <c r="U955" s="61">
        <f t="shared" si="107"/>
        <v>0</v>
      </c>
      <c r="V955" s="61">
        <f t="shared" si="108"/>
        <v>0</v>
      </c>
      <c r="W955" s="58"/>
      <c r="X955" s="58"/>
      <c r="Y955" s="53"/>
      <c r="Z955" s="57"/>
      <c r="AA955" s="62"/>
      <c r="AB955" s="62"/>
      <c r="AC955" s="62"/>
      <c r="AD955" s="62"/>
      <c r="AE955" s="62"/>
      <c r="AF955" s="63"/>
      <c r="AG955" s="64" t="str">
        <f t="shared" si="109"/>
        <v/>
      </c>
    </row>
    <row r="956" spans="1:33" x14ac:dyDescent="0.25">
      <c r="A956" s="46" t="str">
        <f>IF(ISBLANK(inbound_data[[#This Row],[Receiving Report ref.'#]]),"",IF(inbound_data[[#This Row],[Ending Quantity]]=0,"ZERO","INV"))</f>
        <v/>
      </c>
      <c r="B956" s="165" t="str">
        <f t="shared" si="103"/>
        <v/>
      </c>
      <c r="C956" s="165" t="str">
        <f>IF(ISBLANK(D956),"",inbound_data[[#This Row],[Pallet_Series]]&amp;inbound_data[[#This Row],[No.]])</f>
        <v/>
      </c>
      <c r="D956" s="54"/>
      <c r="E956" s="55"/>
      <c r="F956" s="56"/>
      <c r="G956" s="57"/>
      <c r="H956" s="53"/>
      <c r="I956" s="53"/>
      <c r="J956" s="55"/>
      <c r="K956" s="58"/>
      <c r="L956" s="59"/>
      <c r="M956" s="55"/>
      <c r="N956" s="60"/>
      <c r="O956" s="60"/>
      <c r="P956" s="165" t="str">
        <f t="shared" ca="1" si="104"/>
        <v/>
      </c>
      <c r="Q956" s="165" t="str">
        <f t="shared" ca="1" si="105"/>
        <v/>
      </c>
      <c r="R956" s="79"/>
      <c r="S956" s="80"/>
      <c r="T956" s="61">
        <f t="shared" si="106"/>
        <v>0</v>
      </c>
      <c r="U956" s="61">
        <f t="shared" si="107"/>
        <v>0</v>
      </c>
      <c r="V956" s="61">
        <f t="shared" si="108"/>
        <v>0</v>
      </c>
      <c r="W956" s="58"/>
      <c r="X956" s="58"/>
      <c r="Y956" s="53"/>
      <c r="Z956" s="57"/>
      <c r="AA956" s="62"/>
      <c r="AB956" s="62"/>
      <c r="AC956" s="62"/>
      <c r="AD956" s="62"/>
      <c r="AE956" s="62"/>
      <c r="AF956" s="63"/>
      <c r="AG956" s="64" t="str">
        <f t="shared" si="109"/>
        <v/>
      </c>
    </row>
    <row r="957" spans="1:33" x14ac:dyDescent="0.25">
      <c r="A957" s="46" t="str">
        <f>IF(ISBLANK(inbound_data[[#This Row],[Receiving Report ref.'#]]),"",IF(inbound_data[[#This Row],[Ending Quantity]]=0,"ZERO","INV"))</f>
        <v/>
      </c>
      <c r="B957" s="165" t="str">
        <f t="shared" si="103"/>
        <v/>
      </c>
      <c r="C957" s="165" t="str">
        <f>IF(ISBLANK(D957),"",inbound_data[[#This Row],[Pallet_Series]]&amp;inbound_data[[#This Row],[No.]])</f>
        <v/>
      </c>
      <c r="D957" s="54"/>
      <c r="E957" s="55"/>
      <c r="F957" s="56"/>
      <c r="G957" s="57"/>
      <c r="H957" s="53"/>
      <c r="I957" s="53"/>
      <c r="J957" s="55"/>
      <c r="K957" s="58"/>
      <c r="L957" s="59"/>
      <c r="M957" s="55"/>
      <c r="N957" s="60"/>
      <c r="O957" s="60"/>
      <c r="P957" s="165" t="str">
        <f t="shared" ca="1" si="104"/>
        <v/>
      </c>
      <c r="Q957" s="165" t="str">
        <f t="shared" ca="1" si="105"/>
        <v/>
      </c>
      <c r="R957" s="79"/>
      <c r="S957" s="80"/>
      <c r="T957" s="61">
        <f t="shared" si="106"/>
        <v>0</v>
      </c>
      <c r="U957" s="61">
        <f t="shared" si="107"/>
        <v>0</v>
      </c>
      <c r="V957" s="61">
        <f t="shared" si="108"/>
        <v>0</v>
      </c>
      <c r="W957" s="58"/>
      <c r="X957" s="58"/>
      <c r="Y957" s="53"/>
      <c r="Z957" s="57"/>
      <c r="AA957" s="62"/>
      <c r="AB957" s="62"/>
      <c r="AC957" s="62"/>
      <c r="AD957" s="62"/>
      <c r="AE957" s="62"/>
      <c r="AF957" s="63"/>
      <c r="AG957" s="64" t="str">
        <f t="shared" si="109"/>
        <v/>
      </c>
    </row>
    <row r="958" spans="1:33" x14ac:dyDescent="0.25">
      <c r="A958" s="46" t="str">
        <f>IF(ISBLANK(inbound_data[[#This Row],[Receiving Report ref.'#]]),"",IF(inbound_data[[#This Row],[Ending Quantity]]=0,"ZERO","INV"))</f>
        <v/>
      </c>
      <c r="B958" s="165" t="str">
        <f t="shared" si="103"/>
        <v/>
      </c>
      <c r="C958" s="165" t="str">
        <f>IF(ISBLANK(D958),"",inbound_data[[#This Row],[Pallet_Series]]&amp;inbound_data[[#This Row],[No.]])</f>
        <v/>
      </c>
      <c r="D958" s="54"/>
      <c r="E958" s="55"/>
      <c r="F958" s="56"/>
      <c r="G958" s="57"/>
      <c r="H958" s="53"/>
      <c r="I958" s="53"/>
      <c r="J958" s="55"/>
      <c r="K958" s="58"/>
      <c r="L958" s="59"/>
      <c r="M958" s="55"/>
      <c r="N958" s="60"/>
      <c r="O958" s="60"/>
      <c r="P958" s="165" t="str">
        <f t="shared" ca="1" si="104"/>
        <v/>
      </c>
      <c r="Q958" s="165" t="str">
        <f t="shared" ca="1" si="105"/>
        <v/>
      </c>
      <c r="R958" s="79"/>
      <c r="S958" s="80"/>
      <c r="T958" s="61">
        <f t="shared" si="106"/>
        <v>0</v>
      </c>
      <c r="U958" s="61">
        <f t="shared" si="107"/>
        <v>0</v>
      </c>
      <c r="V958" s="61">
        <f t="shared" si="108"/>
        <v>0</v>
      </c>
      <c r="W958" s="58"/>
      <c r="X958" s="58"/>
      <c r="Y958" s="53"/>
      <c r="Z958" s="57"/>
      <c r="AA958" s="62"/>
      <c r="AB958" s="62"/>
      <c r="AC958" s="62"/>
      <c r="AD958" s="62"/>
      <c r="AE958" s="62"/>
      <c r="AF958" s="63"/>
      <c r="AG958" s="64" t="str">
        <f t="shared" si="109"/>
        <v/>
      </c>
    </row>
    <row r="959" spans="1:33" x14ac:dyDescent="0.25">
      <c r="A959" s="46" t="str">
        <f>IF(ISBLANK(inbound_data[[#This Row],[Receiving Report ref.'#]]),"",IF(inbound_data[[#This Row],[Ending Quantity]]=0,"ZERO","INV"))</f>
        <v/>
      </c>
      <c r="B959" s="165" t="str">
        <f t="shared" si="103"/>
        <v/>
      </c>
      <c r="C959" s="165" t="str">
        <f>IF(ISBLANK(D959),"",inbound_data[[#This Row],[Pallet_Series]]&amp;inbound_data[[#This Row],[No.]])</f>
        <v/>
      </c>
      <c r="D959" s="54"/>
      <c r="E959" s="55"/>
      <c r="F959" s="56"/>
      <c r="G959" s="57"/>
      <c r="H959" s="53"/>
      <c r="I959" s="53"/>
      <c r="J959" s="55"/>
      <c r="K959" s="58"/>
      <c r="L959" s="59"/>
      <c r="M959" s="55"/>
      <c r="N959" s="60"/>
      <c r="O959" s="60"/>
      <c r="P959" s="165" t="str">
        <f t="shared" ca="1" si="104"/>
        <v/>
      </c>
      <c r="Q959" s="165" t="str">
        <f t="shared" ca="1" si="105"/>
        <v/>
      </c>
      <c r="R959" s="79"/>
      <c r="S959" s="80"/>
      <c r="T959" s="61">
        <f t="shared" si="106"/>
        <v>0</v>
      </c>
      <c r="U959" s="61">
        <f t="shared" si="107"/>
        <v>0</v>
      </c>
      <c r="V959" s="61">
        <f t="shared" si="108"/>
        <v>0</v>
      </c>
      <c r="W959" s="58"/>
      <c r="X959" s="58"/>
      <c r="Y959" s="53"/>
      <c r="Z959" s="57"/>
      <c r="AA959" s="62"/>
      <c r="AB959" s="62"/>
      <c r="AC959" s="62"/>
      <c r="AD959" s="62"/>
      <c r="AE959" s="62"/>
      <c r="AF959" s="63"/>
      <c r="AG959" s="64" t="str">
        <f t="shared" si="109"/>
        <v/>
      </c>
    </row>
    <row r="960" spans="1:33" x14ac:dyDescent="0.25">
      <c r="A960" s="46" t="str">
        <f>IF(ISBLANK(inbound_data[[#This Row],[Receiving Report ref.'#]]),"",IF(inbound_data[[#This Row],[Ending Quantity]]=0,"ZERO","INV"))</f>
        <v/>
      </c>
      <c r="B960" s="165" t="str">
        <f t="shared" si="103"/>
        <v/>
      </c>
      <c r="C960" s="165" t="str">
        <f>IF(ISBLANK(D960),"",inbound_data[[#This Row],[Pallet_Series]]&amp;inbound_data[[#This Row],[No.]])</f>
        <v/>
      </c>
      <c r="D960" s="54"/>
      <c r="E960" s="55"/>
      <c r="F960" s="56"/>
      <c r="G960" s="57"/>
      <c r="H960" s="53"/>
      <c r="I960" s="53"/>
      <c r="J960" s="55"/>
      <c r="K960" s="58"/>
      <c r="L960" s="59"/>
      <c r="M960" s="55"/>
      <c r="N960" s="60"/>
      <c r="O960" s="60"/>
      <c r="P960" s="165" t="str">
        <f t="shared" ca="1" si="104"/>
        <v/>
      </c>
      <c r="Q960" s="165" t="str">
        <f t="shared" ca="1" si="105"/>
        <v/>
      </c>
      <c r="R960" s="79"/>
      <c r="S960" s="80"/>
      <c r="T960" s="61">
        <f t="shared" si="106"/>
        <v>0</v>
      </c>
      <c r="U960" s="61">
        <f t="shared" si="107"/>
        <v>0</v>
      </c>
      <c r="V960" s="61">
        <f t="shared" si="108"/>
        <v>0</v>
      </c>
      <c r="W960" s="58"/>
      <c r="X960" s="58"/>
      <c r="Y960" s="53"/>
      <c r="Z960" s="57"/>
      <c r="AA960" s="62"/>
      <c r="AB960" s="62"/>
      <c r="AC960" s="62"/>
      <c r="AD960" s="62"/>
      <c r="AE960" s="62"/>
      <c r="AF960" s="63"/>
      <c r="AG960" s="64" t="str">
        <f t="shared" si="109"/>
        <v/>
      </c>
    </row>
    <row r="961" spans="1:33" x14ac:dyDescent="0.25">
      <c r="A961" s="46" t="str">
        <f>IF(ISBLANK(inbound_data[[#This Row],[Receiving Report ref.'#]]),"",IF(inbound_data[[#This Row],[Ending Quantity]]=0,"ZERO","INV"))</f>
        <v/>
      </c>
      <c r="B961" s="165" t="str">
        <f t="shared" si="103"/>
        <v/>
      </c>
      <c r="C961" s="165" t="str">
        <f>IF(ISBLANK(D961),"",inbound_data[[#This Row],[Pallet_Series]]&amp;inbound_data[[#This Row],[No.]])</f>
        <v/>
      </c>
      <c r="D961" s="54"/>
      <c r="E961" s="55"/>
      <c r="F961" s="56"/>
      <c r="G961" s="57"/>
      <c r="H961" s="53"/>
      <c r="I961" s="53"/>
      <c r="J961" s="55"/>
      <c r="K961" s="58"/>
      <c r="L961" s="59"/>
      <c r="M961" s="55"/>
      <c r="N961" s="60"/>
      <c r="O961" s="60"/>
      <c r="P961" s="165" t="str">
        <f t="shared" ca="1" si="104"/>
        <v/>
      </c>
      <c r="Q961" s="165" t="str">
        <f t="shared" ca="1" si="105"/>
        <v/>
      </c>
      <c r="R961" s="79"/>
      <c r="S961" s="80"/>
      <c r="T961" s="61">
        <f t="shared" si="106"/>
        <v>0</v>
      </c>
      <c r="U961" s="61">
        <f t="shared" si="107"/>
        <v>0</v>
      </c>
      <c r="V961" s="61">
        <f t="shared" si="108"/>
        <v>0</v>
      </c>
      <c r="W961" s="58"/>
      <c r="X961" s="58"/>
      <c r="Y961" s="53"/>
      <c r="Z961" s="57"/>
      <c r="AA961" s="62"/>
      <c r="AB961" s="62"/>
      <c r="AC961" s="62"/>
      <c r="AD961" s="62"/>
      <c r="AE961" s="62"/>
      <c r="AF961" s="63"/>
      <c r="AG961" s="64" t="str">
        <f t="shared" si="109"/>
        <v/>
      </c>
    </row>
    <row r="962" spans="1:33" x14ac:dyDescent="0.25">
      <c r="A962" s="46" t="str">
        <f>IF(ISBLANK(inbound_data[[#This Row],[Receiving Report ref.'#]]),"",IF(inbound_data[[#This Row],[Ending Quantity]]=0,"ZERO","INV"))</f>
        <v/>
      </c>
      <c r="B962" s="165" t="str">
        <f t="shared" si="103"/>
        <v/>
      </c>
      <c r="C962" s="165" t="str">
        <f>IF(ISBLANK(D962),"",inbound_data[[#This Row],[Pallet_Series]]&amp;inbound_data[[#This Row],[No.]])</f>
        <v/>
      </c>
      <c r="D962" s="54"/>
      <c r="E962" s="55"/>
      <c r="F962" s="56"/>
      <c r="G962" s="57"/>
      <c r="H962" s="53"/>
      <c r="I962" s="53"/>
      <c r="J962" s="55"/>
      <c r="K962" s="58"/>
      <c r="L962" s="59"/>
      <c r="M962" s="55"/>
      <c r="N962" s="60"/>
      <c r="O962" s="60"/>
      <c r="P962" s="165" t="str">
        <f t="shared" ca="1" si="104"/>
        <v/>
      </c>
      <c r="Q962" s="165" t="str">
        <f t="shared" ca="1" si="105"/>
        <v/>
      </c>
      <c r="R962" s="79"/>
      <c r="S962" s="80"/>
      <c r="T962" s="61">
        <f t="shared" si="106"/>
        <v>0</v>
      </c>
      <c r="U962" s="61">
        <f t="shared" si="107"/>
        <v>0</v>
      </c>
      <c r="V962" s="61">
        <f t="shared" si="108"/>
        <v>0</v>
      </c>
      <c r="W962" s="58"/>
      <c r="X962" s="58"/>
      <c r="Y962" s="53"/>
      <c r="Z962" s="57"/>
      <c r="AA962" s="62"/>
      <c r="AB962" s="62"/>
      <c r="AC962" s="62"/>
      <c r="AD962" s="62"/>
      <c r="AE962" s="62"/>
      <c r="AF962" s="63"/>
      <c r="AG962" s="64" t="str">
        <f t="shared" si="109"/>
        <v/>
      </c>
    </row>
    <row r="963" spans="1:33" x14ac:dyDescent="0.25">
      <c r="A963" s="46" t="str">
        <f>IF(ISBLANK(inbound_data[[#This Row],[Receiving Report ref.'#]]),"",IF(inbound_data[[#This Row],[Ending Quantity]]=0,"ZERO","INV"))</f>
        <v/>
      </c>
      <c r="B963" s="165" t="str">
        <f t="shared" si="103"/>
        <v/>
      </c>
      <c r="C963" s="165" t="str">
        <f>IF(ISBLANK(D963),"",inbound_data[[#This Row],[Pallet_Series]]&amp;inbound_data[[#This Row],[No.]])</f>
        <v/>
      </c>
      <c r="D963" s="54"/>
      <c r="E963" s="55"/>
      <c r="F963" s="56"/>
      <c r="G963" s="57"/>
      <c r="H963" s="53"/>
      <c r="I963" s="53"/>
      <c r="J963" s="55"/>
      <c r="K963" s="58"/>
      <c r="L963" s="59"/>
      <c r="M963" s="55"/>
      <c r="N963" s="60"/>
      <c r="O963" s="60"/>
      <c r="P963" s="165" t="str">
        <f t="shared" ca="1" si="104"/>
        <v/>
      </c>
      <c r="Q963" s="165" t="str">
        <f t="shared" ca="1" si="105"/>
        <v/>
      </c>
      <c r="R963" s="79"/>
      <c r="S963" s="80"/>
      <c r="T963" s="61">
        <f t="shared" si="106"/>
        <v>0</v>
      </c>
      <c r="U963" s="61">
        <f t="shared" si="107"/>
        <v>0</v>
      </c>
      <c r="V963" s="61">
        <f t="shared" si="108"/>
        <v>0</v>
      </c>
      <c r="W963" s="58"/>
      <c r="X963" s="58"/>
      <c r="Y963" s="53"/>
      <c r="Z963" s="57"/>
      <c r="AA963" s="62"/>
      <c r="AB963" s="62"/>
      <c r="AC963" s="62"/>
      <c r="AD963" s="62"/>
      <c r="AE963" s="62"/>
      <c r="AF963" s="63"/>
      <c r="AG963" s="64" t="str">
        <f t="shared" si="109"/>
        <v/>
      </c>
    </row>
    <row r="964" spans="1:33" x14ac:dyDescent="0.25">
      <c r="A964" s="46" t="str">
        <f>IF(ISBLANK(inbound_data[[#This Row],[Receiving Report ref.'#]]),"",IF(inbound_data[[#This Row],[Ending Quantity]]=0,"ZERO","INV"))</f>
        <v/>
      </c>
      <c r="B964" s="165" t="str">
        <f t="shared" si="103"/>
        <v/>
      </c>
      <c r="C964" s="165" t="str">
        <f>IF(ISBLANK(D964),"",inbound_data[[#This Row],[Pallet_Series]]&amp;inbound_data[[#This Row],[No.]])</f>
        <v/>
      </c>
      <c r="D964" s="54"/>
      <c r="E964" s="55"/>
      <c r="F964" s="56"/>
      <c r="G964" s="57"/>
      <c r="H964" s="53"/>
      <c r="I964" s="53"/>
      <c r="J964" s="55"/>
      <c r="K964" s="58"/>
      <c r="L964" s="59"/>
      <c r="M964" s="55"/>
      <c r="N964" s="60"/>
      <c r="O964" s="60"/>
      <c r="P964" s="165" t="str">
        <f t="shared" ca="1" si="104"/>
        <v/>
      </c>
      <c r="Q964" s="165" t="str">
        <f t="shared" ca="1" si="105"/>
        <v/>
      </c>
      <c r="R964" s="79"/>
      <c r="S964" s="80"/>
      <c r="T964" s="61">
        <f t="shared" si="106"/>
        <v>0</v>
      </c>
      <c r="U964" s="61">
        <f t="shared" si="107"/>
        <v>0</v>
      </c>
      <c r="V964" s="61">
        <f t="shared" si="108"/>
        <v>0</v>
      </c>
      <c r="W964" s="58"/>
      <c r="X964" s="58"/>
      <c r="Y964" s="53"/>
      <c r="Z964" s="57"/>
      <c r="AA964" s="62"/>
      <c r="AB964" s="62"/>
      <c r="AC964" s="62"/>
      <c r="AD964" s="62"/>
      <c r="AE964" s="62"/>
      <c r="AF964" s="63"/>
      <c r="AG964" s="64" t="str">
        <f t="shared" si="109"/>
        <v/>
      </c>
    </row>
    <row r="965" spans="1:33" x14ac:dyDescent="0.25">
      <c r="A965" s="46" t="str">
        <f>IF(ISBLANK(inbound_data[[#This Row],[Receiving Report ref.'#]]),"",IF(inbound_data[[#This Row],[Ending Quantity]]=0,"ZERO","INV"))</f>
        <v/>
      </c>
      <c r="B965" s="165" t="str">
        <f t="shared" si="103"/>
        <v/>
      </c>
      <c r="C965" s="165" t="str">
        <f>IF(ISBLANK(D965),"",inbound_data[[#This Row],[Pallet_Series]]&amp;inbound_data[[#This Row],[No.]])</f>
        <v/>
      </c>
      <c r="D965" s="54"/>
      <c r="E965" s="55"/>
      <c r="F965" s="56"/>
      <c r="G965" s="57"/>
      <c r="H965" s="53"/>
      <c r="I965" s="53"/>
      <c r="J965" s="55"/>
      <c r="K965" s="58"/>
      <c r="L965" s="59"/>
      <c r="M965" s="55"/>
      <c r="N965" s="60"/>
      <c r="O965" s="60"/>
      <c r="P965" s="165" t="str">
        <f t="shared" ca="1" si="104"/>
        <v/>
      </c>
      <c r="Q965" s="165" t="str">
        <f t="shared" ca="1" si="105"/>
        <v/>
      </c>
      <c r="R965" s="79"/>
      <c r="S965" s="80"/>
      <c r="T965" s="61">
        <f t="shared" si="106"/>
        <v>0</v>
      </c>
      <c r="U965" s="61">
        <f t="shared" si="107"/>
        <v>0</v>
      </c>
      <c r="V965" s="61">
        <f t="shared" si="108"/>
        <v>0</v>
      </c>
      <c r="W965" s="58"/>
      <c r="X965" s="58"/>
      <c r="Y965" s="53"/>
      <c r="Z965" s="57"/>
      <c r="AA965" s="62"/>
      <c r="AB965" s="62"/>
      <c r="AC965" s="62"/>
      <c r="AD965" s="62"/>
      <c r="AE965" s="62"/>
      <c r="AF965" s="63"/>
      <c r="AG965" s="64" t="str">
        <f t="shared" si="109"/>
        <v/>
      </c>
    </row>
    <row r="966" spans="1:33" x14ac:dyDescent="0.25">
      <c r="A966" s="46" t="str">
        <f>IF(ISBLANK(inbound_data[[#This Row],[Receiving Report ref.'#]]),"",IF(inbound_data[[#This Row],[Ending Quantity]]=0,"ZERO","INV"))</f>
        <v/>
      </c>
      <c r="B966" s="165" t="str">
        <f t="shared" si="103"/>
        <v/>
      </c>
      <c r="C966" s="165" t="str">
        <f>IF(ISBLANK(D966),"",inbound_data[[#This Row],[Pallet_Series]]&amp;inbound_data[[#This Row],[No.]])</f>
        <v/>
      </c>
      <c r="D966" s="54"/>
      <c r="E966" s="55"/>
      <c r="F966" s="56"/>
      <c r="G966" s="57"/>
      <c r="H966" s="53"/>
      <c r="I966" s="53"/>
      <c r="J966" s="55"/>
      <c r="K966" s="58"/>
      <c r="L966" s="59"/>
      <c r="M966" s="55"/>
      <c r="N966" s="60"/>
      <c r="O966" s="60"/>
      <c r="P966" s="165" t="str">
        <f t="shared" ca="1" si="104"/>
        <v/>
      </c>
      <c r="Q966" s="165" t="str">
        <f t="shared" ca="1" si="105"/>
        <v/>
      </c>
      <c r="R966" s="79"/>
      <c r="S966" s="80"/>
      <c r="T966" s="61">
        <f t="shared" si="106"/>
        <v>0</v>
      </c>
      <c r="U966" s="61">
        <f t="shared" si="107"/>
        <v>0</v>
      </c>
      <c r="V966" s="61">
        <f t="shared" si="108"/>
        <v>0</v>
      </c>
      <c r="W966" s="58"/>
      <c r="X966" s="58"/>
      <c r="Y966" s="53"/>
      <c r="Z966" s="57"/>
      <c r="AA966" s="62"/>
      <c r="AB966" s="62"/>
      <c r="AC966" s="62"/>
      <c r="AD966" s="62"/>
      <c r="AE966" s="62"/>
      <c r="AF966" s="63"/>
      <c r="AG966" s="64" t="str">
        <f t="shared" si="109"/>
        <v/>
      </c>
    </row>
    <row r="967" spans="1:33" x14ac:dyDescent="0.25">
      <c r="A967" s="46" t="str">
        <f>IF(ISBLANK(inbound_data[[#This Row],[Receiving Report ref.'#]]),"",IF(inbound_data[[#This Row],[Ending Quantity]]=0,"ZERO","INV"))</f>
        <v/>
      </c>
      <c r="B967" s="165" t="str">
        <f t="shared" si="103"/>
        <v/>
      </c>
      <c r="C967" s="165" t="str">
        <f>IF(ISBLANK(D967),"",inbound_data[[#This Row],[Pallet_Series]]&amp;inbound_data[[#This Row],[No.]])</f>
        <v/>
      </c>
      <c r="D967" s="54"/>
      <c r="E967" s="55"/>
      <c r="F967" s="56"/>
      <c r="G967" s="57"/>
      <c r="H967" s="53"/>
      <c r="I967" s="53"/>
      <c r="J967" s="55"/>
      <c r="K967" s="58"/>
      <c r="L967" s="59"/>
      <c r="M967" s="55"/>
      <c r="N967" s="60"/>
      <c r="O967" s="60"/>
      <c r="P967" s="165" t="str">
        <f t="shared" ca="1" si="104"/>
        <v/>
      </c>
      <c r="Q967" s="165" t="str">
        <f t="shared" ca="1" si="105"/>
        <v/>
      </c>
      <c r="R967" s="79"/>
      <c r="S967" s="80"/>
      <c r="T967" s="61">
        <f t="shared" si="106"/>
        <v>0</v>
      </c>
      <c r="U967" s="61">
        <f t="shared" si="107"/>
        <v>0</v>
      </c>
      <c r="V967" s="61">
        <f t="shared" si="108"/>
        <v>0</v>
      </c>
      <c r="W967" s="58"/>
      <c r="X967" s="58"/>
      <c r="Y967" s="53"/>
      <c r="Z967" s="57"/>
      <c r="AA967" s="62"/>
      <c r="AB967" s="62"/>
      <c r="AC967" s="62"/>
      <c r="AD967" s="62"/>
      <c r="AE967" s="62"/>
      <c r="AF967" s="63"/>
      <c r="AG967" s="64" t="str">
        <f t="shared" si="109"/>
        <v/>
      </c>
    </row>
    <row r="968" spans="1:33" x14ac:dyDescent="0.25">
      <c r="A968" s="46" t="str">
        <f>IF(ISBLANK(inbound_data[[#This Row],[Receiving Report ref.'#]]),"",IF(inbound_data[[#This Row],[Ending Quantity]]=0,"ZERO","INV"))</f>
        <v/>
      </c>
      <c r="B968" s="165" t="str">
        <f t="shared" si="103"/>
        <v/>
      </c>
      <c r="C968" s="165" t="str">
        <f>IF(ISBLANK(D968),"",inbound_data[[#This Row],[Pallet_Series]]&amp;inbound_data[[#This Row],[No.]])</f>
        <v/>
      </c>
      <c r="D968" s="54"/>
      <c r="E968" s="55"/>
      <c r="F968" s="56"/>
      <c r="G968" s="57"/>
      <c r="H968" s="53"/>
      <c r="I968" s="53"/>
      <c r="J968" s="55"/>
      <c r="K968" s="58"/>
      <c r="L968" s="59"/>
      <c r="M968" s="55"/>
      <c r="N968" s="60"/>
      <c r="O968" s="60"/>
      <c r="P968" s="165" t="str">
        <f t="shared" ca="1" si="104"/>
        <v/>
      </c>
      <c r="Q968" s="165" t="str">
        <f t="shared" ca="1" si="105"/>
        <v/>
      </c>
      <c r="R968" s="79"/>
      <c r="S968" s="80"/>
      <c r="T968" s="61">
        <f t="shared" si="106"/>
        <v>0</v>
      </c>
      <c r="U968" s="61">
        <f t="shared" si="107"/>
        <v>0</v>
      </c>
      <c r="V968" s="61">
        <f t="shared" si="108"/>
        <v>0</v>
      </c>
      <c r="W968" s="58"/>
      <c r="X968" s="58"/>
      <c r="Y968" s="53"/>
      <c r="Z968" s="57"/>
      <c r="AA968" s="62"/>
      <c r="AB968" s="62"/>
      <c r="AC968" s="62"/>
      <c r="AD968" s="62"/>
      <c r="AE968" s="62"/>
      <c r="AF968" s="63"/>
      <c r="AG968" s="64" t="str">
        <f t="shared" si="109"/>
        <v/>
      </c>
    </row>
    <row r="969" spans="1:33" x14ac:dyDescent="0.25">
      <c r="A969" s="46" t="str">
        <f>IF(ISBLANK(inbound_data[[#This Row],[Receiving Report ref.'#]]),"",IF(inbound_data[[#This Row],[Ending Quantity]]=0,"ZERO","INV"))</f>
        <v/>
      </c>
      <c r="B969" s="165" t="str">
        <f t="shared" ref="B969:B1032" si="110">IF(ISBLANK(D969),"",TEXT(ROW(),"00000"))</f>
        <v/>
      </c>
      <c r="C969" s="165" t="str">
        <f>IF(ISBLANK(D969),"",inbound_data[[#This Row],[Pallet_Series]]&amp;inbound_data[[#This Row],[No.]])</f>
        <v/>
      </c>
      <c r="D969" s="54"/>
      <c r="E969" s="55"/>
      <c r="F969" s="56"/>
      <c r="G969" s="57"/>
      <c r="H969" s="53"/>
      <c r="I969" s="53"/>
      <c r="J969" s="55"/>
      <c r="K969" s="58"/>
      <c r="L969" s="59"/>
      <c r="M969" s="55"/>
      <c r="N969" s="60"/>
      <c r="O969" s="60"/>
      <c r="P969" s="165" t="str">
        <f t="shared" ref="P969:P1032" ca="1" si="111">IF(A969="ZERO","",IF(O969="","",O969-TODAY()))</f>
        <v/>
      </c>
      <c r="Q969" s="165" t="str">
        <f t="shared" ref="Q969:Q1032" ca="1" si="112">IF(A969="ZERO","",IF(P969&lt;0,"ALREADY EXPIRED",IF(P969&lt;60,"NEARLY EXPIRED","")))</f>
        <v/>
      </c>
      <c r="R969" s="79"/>
      <c r="S969" s="80"/>
      <c r="T969" s="61">
        <f t="shared" ref="T969:T1032" si="113">IF(ISBLANK(R969),0,R969-SUMIF(STOCK_CODE_OUT,$C969,QTY_OUT))</f>
        <v>0</v>
      </c>
      <c r="U969" s="61">
        <f t="shared" ref="U969:U1032" si="114">IF(ISBLANK(S969),0,S969-SUMIF(STOCK_CODE_OUT,$C969,KILOS_OUT))</f>
        <v>0</v>
      </c>
      <c r="V969" s="61">
        <f t="shared" ref="V969:V1032" si="115">IF(ISBLANK(K969),0,K969-SUMIF(STOCK_CODE_OUT,$C969,PALLET_OUT))</f>
        <v>0</v>
      </c>
      <c r="W969" s="58"/>
      <c r="X969" s="58"/>
      <c r="Y969" s="53"/>
      <c r="Z969" s="57"/>
      <c r="AA969" s="62"/>
      <c r="AB969" s="62"/>
      <c r="AC969" s="62"/>
      <c r="AD969" s="62"/>
      <c r="AE969" s="62"/>
      <c r="AF969" s="63"/>
      <c r="AG969" s="64" t="str">
        <f t="shared" ref="AG969:AG1032" si="116">IF(T969&gt;0,CONCATENATE(AA969,AB969,TEXT(AC969,"R00"),TEXT(AD969,"L0."),TEXT(AE969,"0")),"")</f>
        <v/>
      </c>
    </row>
    <row r="970" spans="1:33" x14ac:dyDescent="0.25">
      <c r="A970" s="46" t="str">
        <f>IF(ISBLANK(inbound_data[[#This Row],[Receiving Report ref.'#]]),"",IF(inbound_data[[#This Row],[Ending Quantity]]=0,"ZERO","INV"))</f>
        <v/>
      </c>
      <c r="B970" s="165" t="str">
        <f t="shared" si="110"/>
        <v/>
      </c>
      <c r="C970" s="165" t="str">
        <f>IF(ISBLANK(D970),"",inbound_data[[#This Row],[Pallet_Series]]&amp;inbound_data[[#This Row],[No.]])</f>
        <v/>
      </c>
      <c r="D970" s="54"/>
      <c r="E970" s="55"/>
      <c r="F970" s="56"/>
      <c r="G970" s="57"/>
      <c r="H970" s="53"/>
      <c r="I970" s="53"/>
      <c r="J970" s="55"/>
      <c r="K970" s="58"/>
      <c r="L970" s="59"/>
      <c r="M970" s="55"/>
      <c r="N970" s="60"/>
      <c r="O970" s="60"/>
      <c r="P970" s="165" t="str">
        <f t="shared" ca="1" si="111"/>
        <v/>
      </c>
      <c r="Q970" s="165" t="str">
        <f t="shared" ca="1" si="112"/>
        <v/>
      </c>
      <c r="R970" s="79"/>
      <c r="S970" s="80"/>
      <c r="T970" s="61">
        <f t="shared" si="113"/>
        <v>0</v>
      </c>
      <c r="U970" s="61">
        <f t="shared" si="114"/>
        <v>0</v>
      </c>
      <c r="V970" s="61">
        <f t="shared" si="115"/>
        <v>0</v>
      </c>
      <c r="W970" s="58"/>
      <c r="X970" s="58"/>
      <c r="Y970" s="53"/>
      <c r="Z970" s="57"/>
      <c r="AA970" s="62"/>
      <c r="AB970" s="62"/>
      <c r="AC970" s="62"/>
      <c r="AD970" s="62"/>
      <c r="AE970" s="62"/>
      <c r="AF970" s="63"/>
      <c r="AG970" s="64" t="str">
        <f t="shared" si="116"/>
        <v/>
      </c>
    </row>
    <row r="971" spans="1:33" x14ac:dyDescent="0.25">
      <c r="A971" s="46" t="str">
        <f>IF(ISBLANK(inbound_data[[#This Row],[Receiving Report ref.'#]]),"",IF(inbound_data[[#This Row],[Ending Quantity]]=0,"ZERO","INV"))</f>
        <v/>
      </c>
      <c r="B971" s="165" t="str">
        <f t="shared" si="110"/>
        <v/>
      </c>
      <c r="C971" s="165" t="str">
        <f>IF(ISBLANK(D971),"",inbound_data[[#This Row],[Pallet_Series]]&amp;inbound_data[[#This Row],[No.]])</f>
        <v/>
      </c>
      <c r="D971" s="54"/>
      <c r="E971" s="55"/>
      <c r="F971" s="56"/>
      <c r="G971" s="57"/>
      <c r="H971" s="53"/>
      <c r="I971" s="53"/>
      <c r="J971" s="55"/>
      <c r="K971" s="58"/>
      <c r="L971" s="59"/>
      <c r="M971" s="55"/>
      <c r="N971" s="60"/>
      <c r="O971" s="60"/>
      <c r="P971" s="165" t="str">
        <f t="shared" ca="1" si="111"/>
        <v/>
      </c>
      <c r="Q971" s="165" t="str">
        <f t="shared" ca="1" si="112"/>
        <v/>
      </c>
      <c r="R971" s="79"/>
      <c r="S971" s="80"/>
      <c r="T971" s="61">
        <f t="shared" si="113"/>
        <v>0</v>
      </c>
      <c r="U971" s="61">
        <f t="shared" si="114"/>
        <v>0</v>
      </c>
      <c r="V971" s="61">
        <f t="shared" si="115"/>
        <v>0</v>
      </c>
      <c r="W971" s="58"/>
      <c r="X971" s="58"/>
      <c r="Y971" s="53"/>
      <c r="Z971" s="57"/>
      <c r="AA971" s="62"/>
      <c r="AB971" s="62"/>
      <c r="AC971" s="62"/>
      <c r="AD971" s="62"/>
      <c r="AE971" s="62"/>
      <c r="AF971" s="63"/>
      <c r="AG971" s="64" t="str">
        <f t="shared" si="116"/>
        <v/>
      </c>
    </row>
    <row r="972" spans="1:33" x14ac:dyDescent="0.25">
      <c r="A972" s="46" t="str">
        <f>IF(ISBLANK(inbound_data[[#This Row],[Receiving Report ref.'#]]),"",IF(inbound_data[[#This Row],[Ending Quantity]]=0,"ZERO","INV"))</f>
        <v/>
      </c>
      <c r="B972" s="165" t="str">
        <f t="shared" si="110"/>
        <v/>
      </c>
      <c r="C972" s="165" t="str">
        <f>IF(ISBLANK(D972),"",inbound_data[[#This Row],[Pallet_Series]]&amp;inbound_data[[#This Row],[No.]])</f>
        <v/>
      </c>
      <c r="D972" s="54"/>
      <c r="E972" s="55"/>
      <c r="F972" s="56"/>
      <c r="G972" s="57"/>
      <c r="H972" s="53"/>
      <c r="I972" s="53"/>
      <c r="J972" s="55"/>
      <c r="K972" s="58"/>
      <c r="L972" s="59"/>
      <c r="M972" s="55"/>
      <c r="N972" s="60"/>
      <c r="O972" s="60"/>
      <c r="P972" s="165" t="str">
        <f t="shared" ca="1" si="111"/>
        <v/>
      </c>
      <c r="Q972" s="165" t="str">
        <f t="shared" ca="1" si="112"/>
        <v/>
      </c>
      <c r="R972" s="79"/>
      <c r="S972" s="80"/>
      <c r="T972" s="61">
        <f t="shared" si="113"/>
        <v>0</v>
      </c>
      <c r="U972" s="61">
        <f t="shared" si="114"/>
        <v>0</v>
      </c>
      <c r="V972" s="61">
        <f t="shared" si="115"/>
        <v>0</v>
      </c>
      <c r="W972" s="58"/>
      <c r="X972" s="58"/>
      <c r="Y972" s="53"/>
      <c r="Z972" s="57"/>
      <c r="AA972" s="62"/>
      <c r="AB972" s="62"/>
      <c r="AC972" s="62"/>
      <c r="AD972" s="62"/>
      <c r="AE972" s="62"/>
      <c r="AF972" s="63"/>
      <c r="AG972" s="64" t="str">
        <f t="shared" si="116"/>
        <v/>
      </c>
    </row>
    <row r="973" spans="1:33" x14ac:dyDescent="0.25">
      <c r="A973" s="46" t="str">
        <f>IF(ISBLANK(inbound_data[[#This Row],[Receiving Report ref.'#]]),"",IF(inbound_data[[#This Row],[Ending Quantity]]=0,"ZERO","INV"))</f>
        <v/>
      </c>
      <c r="B973" s="165" t="str">
        <f t="shared" si="110"/>
        <v/>
      </c>
      <c r="C973" s="165" t="str">
        <f>IF(ISBLANK(D973),"",inbound_data[[#This Row],[Pallet_Series]]&amp;inbound_data[[#This Row],[No.]])</f>
        <v/>
      </c>
      <c r="D973" s="54"/>
      <c r="E973" s="55"/>
      <c r="F973" s="56"/>
      <c r="G973" s="57"/>
      <c r="H973" s="53"/>
      <c r="I973" s="53"/>
      <c r="J973" s="55"/>
      <c r="K973" s="58"/>
      <c r="L973" s="59"/>
      <c r="M973" s="55"/>
      <c r="N973" s="60"/>
      <c r="O973" s="60"/>
      <c r="P973" s="165" t="str">
        <f t="shared" ca="1" si="111"/>
        <v/>
      </c>
      <c r="Q973" s="165" t="str">
        <f t="shared" ca="1" si="112"/>
        <v/>
      </c>
      <c r="R973" s="79"/>
      <c r="S973" s="80"/>
      <c r="T973" s="61">
        <f t="shared" si="113"/>
        <v>0</v>
      </c>
      <c r="U973" s="61">
        <f t="shared" si="114"/>
        <v>0</v>
      </c>
      <c r="V973" s="61">
        <f t="shared" si="115"/>
        <v>0</v>
      </c>
      <c r="W973" s="58"/>
      <c r="X973" s="58"/>
      <c r="Y973" s="53"/>
      <c r="Z973" s="57"/>
      <c r="AA973" s="62"/>
      <c r="AB973" s="62"/>
      <c r="AC973" s="62"/>
      <c r="AD973" s="62"/>
      <c r="AE973" s="62"/>
      <c r="AF973" s="63"/>
      <c r="AG973" s="64" t="str">
        <f t="shared" si="116"/>
        <v/>
      </c>
    </row>
    <row r="974" spans="1:33" x14ac:dyDescent="0.25">
      <c r="A974" s="46" t="str">
        <f>IF(ISBLANK(inbound_data[[#This Row],[Receiving Report ref.'#]]),"",IF(inbound_data[[#This Row],[Ending Quantity]]=0,"ZERO","INV"))</f>
        <v/>
      </c>
      <c r="B974" s="165" t="str">
        <f t="shared" si="110"/>
        <v/>
      </c>
      <c r="C974" s="165" t="str">
        <f>IF(ISBLANK(D974),"",inbound_data[[#This Row],[Pallet_Series]]&amp;inbound_data[[#This Row],[No.]])</f>
        <v/>
      </c>
      <c r="D974" s="54"/>
      <c r="E974" s="55"/>
      <c r="F974" s="56"/>
      <c r="G974" s="57"/>
      <c r="H974" s="53"/>
      <c r="I974" s="53"/>
      <c r="J974" s="55"/>
      <c r="K974" s="58"/>
      <c r="L974" s="59"/>
      <c r="M974" s="55"/>
      <c r="N974" s="60"/>
      <c r="O974" s="60"/>
      <c r="P974" s="165" t="str">
        <f t="shared" ca="1" si="111"/>
        <v/>
      </c>
      <c r="Q974" s="165" t="str">
        <f t="shared" ca="1" si="112"/>
        <v/>
      </c>
      <c r="R974" s="79"/>
      <c r="S974" s="80"/>
      <c r="T974" s="61">
        <f t="shared" si="113"/>
        <v>0</v>
      </c>
      <c r="U974" s="61">
        <f t="shared" si="114"/>
        <v>0</v>
      </c>
      <c r="V974" s="61">
        <f t="shared" si="115"/>
        <v>0</v>
      </c>
      <c r="W974" s="58"/>
      <c r="X974" s="58"/>
      <c r="Y974" s="53"/>
      <c r="Z974" s="57"/>
      <c r="AA974" s="62"/>
      <c r="AB974" s="62"/>
      <c r="AC974" s="62"/>
      <c r="AD974" s="62"/>
      <c r="AE974" s="62"/>
      <c r="AF974" s="63"/>
      <c r="AG974" s="64" t="str">
        <f t="shared" si="116"/>
        <v/>
      </c>
    </row>
    <row r="975" spans="1:33" x14ac:dyDescent="0.25">
      <c r="A975" s="46" t="str">
        <f>IF(ISBLANK(inbound_data[[#This Row],[Receiving Report ref.'#]]),"",IF(inbound_data[[#This Row],[Ending Quantity]]=0,"ZERO","INV"))</f>
        <v/>
      </c>
      <c r="B975" s="165" t="str">
        <f t="shared" si="110"/>
        <v/>
      </c>
      <c r="C975" s="165" t="str">
        <f>IF(ISBLANK(D975),"",inbound_data[[#This Row],[Pallet_Series]]&amp;inbound_data[[#This Row],[No.]])</f>
        <v/>
      </c>
      <c r="D975" s="54"/>
      <c r="E975" s="55"/>
      <c r="F975" s="56"/>
      <c r="G975" s="57"/>
      <c r="H975" s="53"/>
      <c r="I975" s="53"/>
      <c r="J975" s="55"/>
      <c r="K975" s="58"/>
      <c r="L975" s="59"/>
      <c r="M975" s="55"/>
      <c r="N975" s="60"/>
      <c r="O975" s="60"/>
      <c r="P975" s="165" t="str">
        <f t="shared" ca="1" si="111"/>
        <v/>
      </c>
      <c r="Q975" s="165" t="str">
        <f t="shared" ca="1" si="112"/>
        <v/>
      </c>
      <c r="R975" s="79"/>
      <c r="S975" s="80"/>
      <c r="T975" s="61">
        <f t="shared" si="113"/>
        <v>0</v>
      </c>
      <c r="U975" s="61">
        <f t="shared" si="114"/>
        <v>0</v>
      </c>
      <c r="V975" s="61">
        <f t="shared" si="115"/>
        <v>0</v>
      </c>
      <c r="W975" s="58"/>
      <c r="X975" s="58"/>
      <c r="Y975" s="53"/>
      <c r="Z975" s="57"/>
      <c r="AA975" s="62"/>
      <c r="AB975" s="62"/>
      <c r="AC975" s="62"/>
      <c r="AD975" s="62"/>
      <c r="AE975" s="62"/>
      <c r="AF975" s="63"/>
      <c r="AG975" s="64" t="str">
        <f t="shared" si="116"/>
        <v/>
      </c>
    </row>
    <row r="976" spans="1:33" x14ac:dyDescent="0.25">
      <c r="A976" s="46" t="str">
        <f>IF(ISBLANK(inbound_data[[#This Row],[Receiving Report ref.'#]]),"",IF(inbound_data[[#This Row],[Ending Quantity]]=0,"ZERO","INV"))</f>
        <v/>
      </c>
      <c r="B976" s="165" t="str">
        <f t="shared" si="110"/>
        <v/>
      </c>
      <c r="C976" s="165" t="str">
        <f>IF(ISBLANK(D976),"",inbound_data[[#This Row],[Pallet_Series]]&amp;inbound_data[[#This Row],[No.]])</f>
        <v/>
      </c>
      <c r="D976" s="54"/>
      <c r="E976" s="55"/>
      <c r="F976" s="56"/>
      <c r="G976" s="57"/>
      <c r="H976" s="53"/>
      <c r="I976" s="53"/>
      <c r="J976" s="55"/>
      <c r="K976" s="58"/>
      <c r="L976" s="59"/>
      <c r="M976" s="55"/>
      <c r="N976" s="60"/>
      <c r="O976" s="60"/>
      <c r="P976" s="165" t="str">
        <f t="shared" ca="1" si="111"/>
        <v/>
      </c>
      <c r="Q976" s="165" t="str">
        <f t="shared" ca="1" si="112"/>
        <v/>
      </c>
      <c r="R976" s="79"/>
      <c r="S976" s="80"/>
      <c r="T976" s="61">
        <f t="shared" si="113"/>
        <v>0</v>
      </c>
      <c r="U976" s="61">
        <f t="shared" si="114"/>
        <v>0</v>
      </c>
      <c r="V976" s="61">
        <f t="shared" si="115"/>
        <v>0</v>
      </c>
      <c r="W976" s="58"/>
      <c r="X976" s="58"/>
      <c r="Y976" s="53"/>
      <c r="Z976" s="57"/>
      <c r="AA976" s="62"/>
      <c r="AB976" s="62"/>
      <c r="AC976" s="62"/>
      <c r="AD976" s="62"/>
      <c r="AE976" s="62"/>
      <c r="AF976" s="63"/>
      <c r="AG976" s="64" t="str">
        <f t="shared" si="116"/>
        <v/>
      </c>
    </row>
    <row r="977" spans="1:33" x14ac:dyDescent="0.25">
      <c r="A977" s="46" t="str">
        <f>IF(ISBLANK(inbound_data[[#This Row],[Receiving Report ref.'#]]),"",IF(inbound_data[[#This Row],[Ending Quantity]]=0,"ZERO","INV"))</f>
        <v/>
      </c>
      <c r="B977" s="165" t="str">
        <f t="shared" si="110"/>
        <v/>
      </c>
      <c r="C977" s="165" t="str">
        <f>IF(ISBLANK(D977),"",inbound_data[[#This Row],[Pallet_Series]]&amp;inbound_data[[#This Row],[No.]])</f>
        <v/>
      </c>
      <c r="D977" s="54"/>
      <c r="E977" s="55"/>
      <c r="F977" s="56"/>
      <c r="G977" s="57"/>
      <c r="H977" s="53"/>
      <c r="I977" s="53"/>
      <c r="J977" s="55"/>
      <c r="K977" s="58"/>
      <c r="L977" s="59"/>
      <c r="M977" s="55"/>
      <c r="N977" s="60"/>
      <c r="O977" s="60"/>
      <c r="P977" s="165" t="str">
        <f t="shared" ca="1" si="111"/>
        <v/>
      </c>
      <c r="Q977" s="165" t="str">
        <f t="shared" ca="1" si="112"/>
        <v/>
      </c>
      <c r="R977" s="79"/>
      <c r="S977" s="80"/>
      <c r="T977" s="61">
        <f t="shared" si="113"/>
        <v>0</v>
      </c>
      <c r="U977" s="61">
        <f t="shared" si="114"/>
        <v>0</v>
      </c>
      <c r="V977" s="61">
        <f t="shared" si="115"/>
        <v>0</v>
      </c>
      <c r="W977" s="58"/>
      <c r="X977" s="58"/>
      <c r="Y977" s="53"/>
      <c r="Z977" s="57"/>
      <c r="AA977" s="62"/>
      <c r="AB977" s="62"/>
      <c r="AC977" s="62"/>
      <c r="AD977" s="62"/>
      <c r="AE977" s="62"/>
      <c r="AF977" s="63"/>
      <c r="AG977" s="64" t="str">
        <f t="shared" si="116"/>
        <v/>
      </c>
    </row>
    <row r="978" spans="1:33" x14ac:dyDescent="0.25">
      <c r="A978" s="46" t="str">
        <f>IF(ISBLANK(inbound_data[[#This Row],[Receiving Report ref.'#]]),"",IF(inbound_data[[#This Row],[Ending Quantity]]=0,"ZERO","INV"))</f>
        <v/>
      </c>
      <c r="B978" s="165" t="str">
        <f t="shared" si="110"/>
        <v/>
      </c>
      <c r="C978" s="165" t="str">
        <f>IF(ISBLANK(D978),"",inbound_data[[#This Row],[Pallet_Series]]&amp;inbound_data[[#This Row],[No.]])</f>
        <v/>
      </c>
      <c r="D978" s="54"/>
      <c r="E978" s="55"/>
      <c r="F978" s="56"/>
      <c r="G978" s="57"/>
      <c r="H978" s="53"/>
      <c r="I978" s="53"/>
      <c r="J978" s="55"/>
      <c r="K978" s="58"/>
      <c r="L978" s="59"/>
      <c r="M978" s="55"/>
      <c r="N978" s="60"/>
      <c r="O978" s="60"/>
      <c r="P978" s="165" t="str">
        <f t="shared" ca="1" si="111"/>
        <v/>
      </c>
      <c r="Q978" s="165" t="str">
        <f t="shared" ca="1" si="112"/>
        <v/>
      </c>
      <c r="R978" s="79"/>
      <c r="S978" s="80"/>
      <c r="T978" s="61">
        <f t="shared" si="113"/>
        <v>0</v>
      </c>
      <c r="U978" s="61">
        <f t="shared" si="114"/>
        <v>0</v>
      </c>
      <c r="V978" s="61">
        <f t="shared" si="115"/>
        <v>0</v>
      </c>
      <c r="W978" s="58"/>
      <c r="X978" s="58"/>
      <c r="Y978" s="53"/>
      <c r="Z978" s="57"/>
      <c r="AA978" s="62"/>
      <c r="AB978" s="62"/>
      <c r="AC978" s="62"/>
      <c r="AD978" s="62"/>
      <c r="AE978" s="62"/>
      <c r="AF978" s="63"/>
      <c r="AG978" s="64" t="str">
        <f t="shared" si="116"/>
        <v/>
      </c>
    </row>
    <row r="979" spans="1:33" x14ac:dyDescent="0.25">
      <c r="A979" s="46" t="str">
        <f>IF(ISBLANK(inbound_data[[#This Row],[Receiving Report ref.'#]]),"",IF(inbound_data[[#This Row],[Ending Quantity]]=0,"ZERO","INV"))</f>
        <v/>
      </c>
      <c r="B979" s="165" t="str">
        <f t="shared" si="110"/>
        <v/>
      </c>
      <c r="C979" s="165" t="str">
        <f>IF(ISBLANK(D979),"",inbound_data[[#This Row],[Pallet_Series]]&amp;inbound_data[[#This Row],[No.]])</f>
        <v/>
      </c>
      <c r="D979" s="54"/>
      <c r="E979" s="55"/>
      <c r="F979" s="56"/>
      <c r="G979" s="57"/>
      <c r="H979" s="53"/>
      <c r="I979" s="53"/>
      <c r="J979" s="55"/>
      <c r="K979" s="58"/>
      <c r="L979" s="59"/>
      <c r="M979" s="55"/>
      <c r="N979" s="60"/>
      <c r="O979" s="60"/>
      <c r="P979" s="165" t="str">
        <f t="shared" ca="1" si="111"/>
        <v/>
      </c>
      <c r="Q979" s="165" t="str">
        <f t="shared" ca="1" si="112"/>
        <v/>
      </c>
      <c r="R979" s="79"/>
      <c r="S979" s="80"/>
      <c r="T979" s="61">
        <f t="shared" si="113"/>
        <v>0</v>
      </c>
      <c r="U979" s="61">
        <f t="shared" si="114"/>
        <v>0</v>
      </c>
      <c r="V979" s="61">
        <f t="shared" si="115"/>
        <v>0</v>
      </c>
      <c r="W979" s="58"/>
      <c r="X979" s="58"/>
      <c r="Y979" s="53"/>
      <c r="Z979" s="57"/>
      <c r="AA979" s="62"/>
      <c r="AB979" s="62"/>
      <c r="AC979" s="62"/>
      <c r="AD979" s="62"/>
      <c r="AE979" s="62"/>
      <c r="AF979" s="63"/>
      <c r="AG979" s="64" t="str">
        <f t="shared" si="116"/>
        <v/>
      </c>
    </row>
    <row r="980" spans="1:33" x14ac:dyDescent="0.25">
      <c r="A980" s="46" t="str">
        <f>IF(ISBLANK(inbound_data[[#This Row],[Receiving Report ref.'#]]),"",IF(inbound_data[[#This Row],[Ending Quantity]]=0,"ZERO","INV"))</f>
        <v/>
      </c>
      <c r="B980" s="165" t="str">
        <f t="shared" si="110"/>
        <v/>
      </c>
      <c r="C980" s="165" t="str">
        <f>IF(ISBLANK(D980),"",inbound_data[[#This Row],[Pallet_Series]]&amp;inbound_data[[#This Row],[No.]])</f>
        <v/>
      </c>
      <c r="D980" s="54"/>
      <c r="E980" s="55"/>
      <c r="F980" s="56"/>
      <c r="G980" s="57"/>
      <c r="H980" s="53"/>
      <c r="I980" s="53"/>
      <c r="J980" s="55"/>
      <c r="K980" s="58"/>
      <c r="L980" s="59"/>
      <c r="M980" s="55"/>
      <c r="N980" s="60"/>
      <c r="O980" s="60"/>
      <c r="P980" s="165" t="str">
        <f t="shared" ca="1" si="111"/>
        <v/>
      </c>
      <c r="Q980" s="165" t="str">
        <f t="shared" ca="1" si="112"/>
        <v/>
      </c>
      <c r="R980" s="79"/>
      <c r="S980" s="80"/>
      <c r="T980" s="61">
        <f t="shared" si="113"/>
        <v>0</v>
      </c>
      <c r="U980" s="61">
        <f t="shared" si="114"/>
        <v>0</v>
      </c>
      <c r="V980" s="61">
        <f t="shared" si="115"/>
        <v>0</v>
      </c>
      <c r="W980" s="58"/>
      <c r="X980" s="58"/>
      <c r="Y980" s="53"/>
      <c r="Z980" s="57"/>
      <c r="AA980" s="62"/>
      <c r="AB980" s="62"/>
      <c r="AC980" s="62"/>
      <c r="AD980" s="62"/>
      <c r="AE980" s="62"/>
      <c r="AF980" s="63"/>
      <c r="AG980" s="64" t="str">
        <f t="shared" si="116"/>
        <v/>
      </c>
    </row>
    <row r="981" spans="1:33" x14ac:dyDescent="0.25">
      <c r="A981" s="46" t="str">
        <f>IF(ISBLANK(inbound_data[[#This Row],[Receiving Report ref.'#]]),"",IF(inbound_data[[#This Row],[Ending Quantity]]=0,"ZERO","INV"))</f>
        <v/>
      </c>
      <c r="B981" s="165" t="str">
        <f t="shared" si="110"/>
        <v/>
      </c>
      <c r="C981" s="165" t="str">
        <f>IF(ISBLANK(D981),"",inbound_data[[#This Row],[Pallet_Series]]&amp;inbound_data[[#This Row],[No.]])</f>
        <v/>
      </c>
      <c r="D981" s="54"/>
      <c r="E981" s="55"/>
      <c r="F981" s="56"/>
      <c r="G981" s="57"/>
      <c r="H981" s="53"/>
      <c r="I981" s="53"/>
      <c r="J981" s="55"/>
      <c r="K981" s="58"/>
      <c r="L981" s="59"/>
      <c r="M981" s="55"/>
      <c r="N981" s="60"/>
      <c r="O981" s="60"/>
      <c r="P981" s="165" t="str">
        <f t="shared" ca="1" si="111"/>
        <v/>
      </c>
      <c r="Q981" s="165" t="str">
        <f t="shared" ca="1" si="112"/>
        <v/>
      </c>
      <c r="R981" s="79"/>
      <c r="S981" s="80"/>
      <c r="T981" s="61">
        <f t="shared" si="113"/>
        <v>0</v>
      </c>
      <c r="U981" s="61">
        <f t="shared" si="114"/>
        <v>0</v>
      </c>
      <c r="V981" s="61">
        <f t="shared" si="115"/>
        <v>0</v>
      </c>
      <c r="W981" s="58"/>
      <c r="X981" s="58"/>
      <c r="Y981" s="53"/>
      <c r="Z981" s="57"/>
      <c r="AA981" s="62"/>
      <c r="AB981" s="62"/>
      <c r="AC981" s="62"/>
      <c r="AD981" s="62"/>
      <c r="AE981" s="62"/>
      <c r="AF981" s="63"/>
      <c r="AG981" s="64" t="str">
        <f t="shared" si="116"/>
        <v/>
      </c>
    </row>
    <row r="982" spans="1:33" x14ac:dyDescent="0.25">
      <c r="A982" s="46" t="str">
        <f>IF(ISBLANK(inbound_data[[#This Row],[Receiving Report ref.'#]]),"",IF(inbound_data[[#This Row],[Ending Quantity]]=0,"ZERO","INV"))</f>
        <v/>
      </c>
      <c r="B982" s="165" t="str">
        <f t="shared" si="110"/>
        <v/>
      </c>
      <c r="C982" s="165" t="str">
        <f>IF(ISBLANK(D982),"",inbound_data[[#This Row],[Pallet_Series]]&amp;inbound_data[[#This Row],[No.]])</f>
        <v/>
      </c>
      <c r="D982" s="54"/>
      <c r="E982" s="55"/>
      <c r="F982" s="56"/>
      <c r="G982" s="57"/>
      <c r="H982" s="53"/>
      <c r="I982" s="53"/>
      <c r="J982" s="55"/>
      <c r="K982" s="58"/>
      <c r="L982" s="59"/>
      <c r="M982" s="55"/>
      <c r="N982" s="60"/>
      <c r="O982" s="60"/>
      <c r="P982" s="165" t="str">
        <f t="shared" ca="1" si="111"/>
        <v/>
      </c>
      <c r="Q982" s="165" t="str">
        <f t="shared" ca="1" si="112"/>
        <v/>
      </c>
      <c r="R982" s="79"/>
      <c r="S982" s="80"/>
      <c r="T982" s="61">
        <f t="shared" si="113"/>
        <v>0</v>
      </c>
      <c r="U982" s="61">
        <f t="shared" si="114"/>
        <v>0</v>
      </c>
      <c r="V982" s="61">
        <f t="shared" si="115"/>
        <v>0</v>
      </c>
      <c r="W982" s="58"/>
      <c r="X982" s="58"/>
      <c r="Y982" s="53"/>
      <c r="Z982" s="57"/>
      <c r="AA982" s="62"/>
      <c r="AB982" s="62"/>
      <c r="AC982" s="62"/>
      <c r="AD982" s="62"/>
      <c r="AE982" s="62"/>
      <c r="AF982" s="63"/>
      <c r="AG982" s="64" t="str">
        <f t="shared" si="116"/>
        <v/>
      </c>
    </row>
    <row r="983" spans="1:33" x14ac:dyDescent="0.25">
      <c r="A983" s="46" t="str">
        <f>IF(ISBLANK(inbound_data[[#This Row],[Receiving Report ref.'#]]),"",IF(inbound_data[[#This Row],[Ending Quantity]]=0,"ZERO","INV"))</f>
        <v/>
      </c>
      <c r="B983" s="165" t="str">
        <f t="shared" si="110"/>
        <v/>
      </c>
      <c r="C983" s="165" t="str">
        <f>IF(ISBLANK(D983),"",inbound_data[[#This Row],[Pallet_Series]]&amp;inbound_data[[#This Row],[No.]])</f>
        <v/>
      </c>
      <c r="D983" s="54"/>
      <c r="E983" s="55"/>
      <c r="F983" s="56"/>
      <c r="G983" s="57"/>
      <c r="H983" s="53"/>
      <c r="I983" s="53"/>
      <c r="J983" s="55"/>
      <c r="K983" s="58"/>
      <c r="L983" s="59"/>
      <c r="M983" s="55"/>
      <c r="N983" s="60"/>
      <c r="O983" s="60"/>
      <c r="P983" s="165" t="str">
        <f t="shared" ca="1" si="111"/>
        <v/>
      </c>
      <c r="Q983" s="165" t="str">
        <f t="shared" ca="1" si="112"/>
        <v/>
      </c>
      <c r="R983" s="79"/>
      <c r="S983" s="80"/>
      <c r="T983" s="61">
        <f t="shared" si="113"/>
        <v>0</v>
      </c>
      <c r="U983" s="61">
        <f t="shared" si="114"/>
        <v>0</v>
      </c>
      <c r="V983" s="61">
        <f t="shared" si="115"/>
        <v>0</v>
      </c>
      <c r="W983" s="58"/>
      <c r="X983" s="58"/>
      <c r="Y983" s="53"/>
      <c r="Z983" s="57"/>
      <c r="AA983" s="62"/>
      <c r="AB983" s="62"/>
      <c r="AC983" s="62"/>
      <c r="AD983" s="62"/>
      <c r="AE983" s="62"/>
      <c r="AF983" s="63"/>
      <c r="AG983" s="64" t="str">
        <f t="shared" si="116"/>
        <v/>
      </c>
    </row>
    <row r="984" spans="1:33" x14ac:dyDescent="0.25">
      <c r="A984" s="46" t="str">
        <f>IF(ISBLANK(inbound_data[[#This Row],[Receiving Report ref.'#]]),"",IF(inbound_data[[#This Row],[Ending Quantity]]=0,"ZERO","INV"))</f>
        <v/>
      </c>
      <c r="B984" s="165" t="str">
        <f t="shared" si="110"/>
        <v/>
      </c>
      <c r="C984" s="165" t="str">
        <f>IF(ISBLANK(D984),"",inbound_data[[#This Row],[Pallet_Series]]&amp;inbound_data[[#This Row],[No.]])</f>
        <v/>
      </c>
      <c r="D984" s="54"/>
      <c r="E984" s="55"/>
      <c r="F984" s="56"/>
      <c r="G984" s="57"/>
      <c r="H984" s="53"/>
      <c r="I984" s="53"/>
      <c r="J984" s="55"/>
      <c r="K984" s="58"/>
      <c r="L984" s="59"/>
      <c r="M984" s="55"/>
      <c r="N984" s="60"/>
      <c r="O984" s="60"/>
      <c r="P984" s="165" t="str">
        <f t="shared" ca="1" si="111"/>
        <v/>
      </c>
      <c r="Q984" s="165" t="str">
        <f t="shared" ca="1" si="112"/>
        <v/>
      </c>
      <c r="R984" s="79"/>
      <c r="S984" s="80"/>
      <c r="T984" s="61">
        <f t="shared" si="113"/>
        <v>0</v>
      </c>
      <c r="U984" s="61">
        <f t="shared" si="114"/>
        <v>0</v>
      </c>
      <c r="V984" s="61">
        <f t="shared" si="115"/>
        <v>0</v>
      </c>
      <c r="W984" s="58"/>
      <c r="X984" s="58"/>
      <c r="Y984" s="53"/>
      <c r="Z984" s="57"/>
      <c r="AA984" s="62"/>
      <c r="AB984" s="62"/>
      <c r="AC984" s="62"/>
      <c r="AD984" s="62"/>
      <c r="AE984" s="62"/>
      <c r="AF984" s="63"/>
      <c r="AG984" s="64" t="str">
        <f t="shared" si="116"/>
        <v/>
      </c>
    </row>
    <row r="985" spans="1:33" x14ac:dyDescent="0.25">
      <c r="A985" s="46" t="str">
        <f>IF(ISBLANK(inbound_data[[#This Row],[Receiving Report ref.'#]]),"",IF(inbound_data[[#This Row],[Ending Quantity]]=0,"ZERO","INV"))</f>
        <v/>
      </c>
      <c r="B985" s="165" t="str">
        <f t="shared" si="110"/>
        <v/>
      </c>
      <c r="C985" s="165" t="str">
        <f>IF(ISBLANK(D985),"",inbound_data[[#This Row],[Pallet_Series]]&amp;inbound_data[[#This Row],[No.]])</f>
        <v/>
      </c>
      <c r="D985" s="54"/>
      <c r="E985" s="55"/>
      <c r="F985" s="56"/>
      <c r="G985" s="57"/>
      <c r="H985" s="53"/>
      <c r="I985" s="53"/>
      <c r="J985" s="55"/>
      <c r="K985" s="58"/>
      <c r="L985" s="59"/>
      <c r="M985" s="55"/>
      <c r="N985" s="60"/>
      <c r="O985" s="60"/>
      <c r="P985" s="165" t="str">
        <f t="shared" ca="1" si="111"/>
        <v/>
      </c>
      <c r="Q985" s="165" t="str">
        <f t="shared" ca="1" si="112"/>
        <v/>
      </c>
      <c r="R985" s="79"/>
      <c r="S985" s="80"/>
      <c r="T985" s="61">
        <f t="shared" si="113"/>
        <v>0</v>
      </c>
      <c r="U985" s="61">
        <f t="shared" si="114"/>
        <v>0</v>
      </c>
      <c r="V985" s="61">
        <f t="shared" si="115"/>
        <v>0</v>
      </c>
      <c r="W985" s="58"/>
      <c r="X985" s="58"/>
      <c r="Y985" s="53"/>
      <c r="Z985" s="57"/>
      <c r="AA985" s="62"/>
      <c r="AB985" s="62"/>
      <c r="AC985" s="62"/>
      <c r="AD985" s="62"/>
      <c r="AE985" s="62"/>
      <c r="AF985" s="63"/>
      <c r="AG985" s="64" t="str">
        <f t="shared" si="116"/>
        <v/>
      </c>
    </row>
    <row r="986" spans="1:33" x14ac:dyDescent="0.25">
      <c r="A986" s="46" t="str">
        <f>IF(ISBLANK(inbound_data[[#This Row],[Receiving Report ref.'#]]),"",IF(inbound_data[[#This Row],[Ending Quantity]]=0,"ZERO","INV"))</f>
        <v/>
      </c>
      <c r="B986" s="165" t="str">
        <f t="shared" si="110"/>
        <v/>
      </c>
      <c r="C986" s="165" t="str">
        <f>IF(ISBLANK(D986),"",inbound_data[[#This Row],[Pallet_Series]]&amp;inbound_data[[#This Row],[No.]])</f>
        <v/>
      </c>
      <c r="D986" s="54"/>
      <c r="E986" s="55"/>
      <c r="F986" s="56"/>
      <c r="G986" s="57"/>
      <c r="H986" s="53"/>
      <c r="I986" s="53"/>
      <c r="J986" s="55"/>
      <c r="K986" s="58"/>
      <c r="L986" s="59"/>
      <c r="M986" s="55"/>
      <c r="N986" s="60"/>
      <c r="O986" s="60"/>
      <c r="P986" s="165" t="str">
        <f t="shared" ca="1" si="111"/>
        <v/>
      </c>
      <c r="Q986" s="165" t="str">
        <f t="shared" ca="1" si="112"/>
        <v/>
      </c>
      <c r="R986" s="79"/>
      <c r="S986" s="80"/>
      <c r="T986" s="61">
        <f t="shared" si="113"/>
        <v>0</v>
      </c>
      <c r="U986" s="61">
        <f t="shared" si="114"/>
        <v>0</v>
      </c>
      <c r="V986" s="61">
        <f t="shared" si="115"/>
        <v>0</v>
      </c>
      <c r="W986" s="58"/>
      <c r="X986" s="58"/>
      <c r="Y986" s="53"/>
      <c r="Z986" s="57"/>
      <c r="AA986" s="62"/>
      <c r="AB986" s="62"/>
      <c r="AC986" s="62"/>
      <c r="AD986" s="62"/>
      <c r="AE986" s="62"/>
      <c r="AF986" s="63"/>
      <c r="AG986" s="64" t="str">
        <f t="shared" si="116"/>
        <v/>
      </c>
    </row>
    <row r="987" spans="1:33" x14ac:dyDescent="0.25">
      <c r="A987" s="46" t="str">
        <f>IF(ISBLANK(inbound_data[[#This Row],[Receiving Report ref.'#]]),"",IF(inbound_data[[#This Row],[Ending Quantity]]=0,"ZERO","INV"))</f>
        <v/>
      </c>
      <c r="B987" s="165" t="str">
        <f t="shared" si="110"/>
        <v/>
      </c>
      <c r="C987" s="165" t="str">
        <f>IF(ISBLANK(D987),"",inbound_data[[#This Row],[Pallet_Series]]&amp;inbound_data[[#This Row],[No.]])</f>
        <v/>
      </c>
      <c r="D987" s="54"/>
      <c r="E987" s="55"/>
      <c r="F987" s="56"/>
      <c r="G987" s="57"/>
      <c r="H987" s="53"/>
      <c r="I987" s="53"/>
      <c r="J987" s="55"/>
      <c r="K987" s="58"/>
      <c r="L987" s="59"/>
      <c r="M987" s="55"/>
      <c r="N987" s="60"/>
      <c r="O987" s="60"/>
      <c r="P987" s="165" t="str">
        <f t="shared" ca="1" si="111"/>
        <v/>
      </c>
      <c r="Q987" s="165" t="str">
        <f t="shared" ca="1" si="112"/>
        <v/>
      </c>
      <c r="R987" s="79"/>
      <c r="S987" s="80"/>
      <c r="T987" s="61">
        <f t="shared" si="113"/>
        <v>0</v>
      </c>
      <c r="U987" s="61">
        <f t="shared" si="114"/>
        <v>0</v>
      </c>
      <c r="V987" s="61">
        <f t="shared" si="115"/>
        <v>0</v>
      </c>
      <c r="W987" s="58"/>
      <c r="X987" s="58"/>
      <c r="Y987" s="53"/>
      <c r="Z987" s="57"/>
      <c r="AA987" s="62"/>
      <c r="AB987" s="62"/>
      <c r="AC987" s="62"/>
      <c r="AD987" s="62"/>
      <c r="AE987" s="62"/>
      <c r="AF987" s="63"/>
      <c r="AG987" s="64" t="str">
        <f t="shared" si="116"/>
        <v/>
      </c>
    </row>
    <row r="988" spans="1:33" x14ac:dyDescent="0.25">
      <c r="A988" s="46" t="str">
        <f>IF(ISBLANK(inbound_data[[#This Row],[Receiving Report ref.'#]]),"",IF(inbound_data[[#This Row],[Ending Quantity]]=0,"ZERO","INV"))</f>
        <v/>
      </c>
      <c r="B988" s="165" t="str">
        <f t="shared" si="110"/>
        <v/>
      </c>
      <c r="C988" s="165" t="str">
        <f>IF(ISBLANK(D988),"",inbound_data[[#This Row],[Pallet_Series]]&amp;inbound_data[[#This Row],[No.]])</f>
        <v/>
      </c>
      <c r="D988" s="54"/>
      <c r="E988" s="55"/>
      <c r="F988" s="56"/>
      <c r="G988" s="57"/>
      <c r="H988" s="53"/>
      <c r="I988" s="53"/>
      <c r="J988" s="55"/>
      <c r="K988" s="58"/>
      <c r="L988" s="59"/>
      <c r="M988" s="55"/>
      <c r="N988" s="60"/>
      <c r="O988" s="60"/>
      <c r="P988" s="165" t="str">
        <f t="shared" ca="1" si="111"/>
        <v/>
      </c>
      <c r="Q988" s="165" t="str">
        <f t="shared" ca="1" si="112"/>
        <v/>
      </c>
      <c r="R988" s="79"/>
      <c r="S988" s="80"/>
      <c r="T988" s="61">
        <f t="shared" si="113"/>
        <v>0</v>
      </c>
      <c r="U988" s="61">
        <f t="shared" si="114"/>
        <v>0</v>
      </c>
      <c r="V988" s="61">
        <f t="shared" si="115"/>
        <v>0</v>
      </c>
      <c r="W988" s="58"/>
      <c r="X988" s="58"/>
      <c r="Y988" s="53"/>
      <c r="Z988" s="57"/>
      <c r="AA988" s="62"/>
      <c r="AB988" s="62"/>
      <c r="AC988" s="62"/>
      <c r="AD988" s="62"/>
      <c r="AE988" s="62"/>
      <c r="AF988" s="63"/>
      <c r="AG988" s="64" t="str">
        <f t="shared" si="116"/>
        <v/>
      </c>
    </row>
    <row r="989" spans="1:33" x14ac:dyDescent="0.25">
      <c r="A989" s="46" t="str">
        <f>IF(ISBLANK(inbound_data[[#This Row],[Receiving Report ref.'#]]),"",IF(inbound_data[[#This Row],[Ending Quantity]]=0,"ZERO","INV"))</f>
        <v/>
      </c>
      <c r="B989" s="165" t="str">
        <f t="shared" si="110"/>
        <v/>
      </c>
      <c r="C989" s="165" t="str">
        <f>IF(ISBLANK(D989),"",inbound_data[[#This Row],[Pallet_Series]]&amp;inbound_data[[#This Row],[No.]])</f>
        <v/>
      </c>
      <c r="D989" s="54"/>
      <c r="E989" s="55"/>
      <c r="F989" s="56"/>
      <c r="G989" s="57"/>
      <c r="H989" s="53"/>
      <c r="I989" s="53"/>
      <c r="J989" s="55"/>
      <c r="K989" s="58"/>
      <c r="L989" s="59"/>
      <c r="M989" s="55"/>
      <c r="N989" s="60"/>
      <c r="O989" s="60"/>
      <c r="P989" s="165" t="str">
        <f t="shared" ca="1" si="111"/>
        <v/>
      </c>
      <c r="Q989" s="165" t="str">
        <f t="shared" ca="1" si="112"/>
        <v/>
      </c>
      <c r="R989" s="79"/>
      <c r="S989" s="80"/>
      <c r="T989" s="61">
        <f t="shared" si="113"/>
        <v>0</v>
      </c>
      <c r="U989" s="61">
        <f t="shared" si="114"/>
        <v>0</v>
      </c>
      <c r="V989" s="61">
        <f t="shared" si="115"/>
        <v>0</v>
      </c>
      <c r="W989" s="58"/>
      <c r="X989" s="58"/>
      <c r="Y989" s="53"/>
      <c r="Z989" s="57"/>
      <c r="AA989" s="62"/>
      <c r="AB989" s="62"/>
      <c r="AC989" s="62"/>
      <c r="AD989" s="62"/>
      <c r="AE989" s="62"/>
      <c r="AF989" s="63"/>
      <c r="AG989" s="64" t="str">
        <f t="shared" si="116"/>
        <v/>
      </c>
    </row>
    <row r="990" spans="1:33" x14ac:dyDescent="0.25">
      <c r="A990" s="46" t="str">
        <f>IF(ISBLANK(inbound_data[[#This Row],[Receiving Report ref.'#]]),"",IF(inbound_data[[#This Row],[Ending Quantity]]=0,"ZERO","INV"))</f>
        <v/>
      </c>
      <c r="B990" s="165" t="str">
        <f t="shared" si="110"/>
        <v/>
      </c>
      <c r="C990" s="165" t="str">
        <f>IF(ISBLANK(D990),"",inbound_data[[#This Row],[Pallet_Series]]&amp;inbound_data[[#This Row],[No.]])</f>
        <v/>
      </c>
      <c r="D990" s="54"/>
      <c r="E990" s="55"/>
      <c r="F990" s="56"/>
      <c r="G990" s="57"/>
      <c r="H990" s="53"/>
      <c r="I990" s="53"/>
      <c r="J990" s="55"/>
      <c r="K990" s="58"/>
      <c r="L990" s="59"/>
      <c r="M990" s="55"/>
      <c r="N990" s="60"/>
      <c r="O990" s="60"/>
      <c r="P990" s="165" t="str">
        <f t="shared" ca="1" si="111"/>
        <v/>
      </c>
      <c r="Q990" s="165" t="str">
        <f t="shared" ca="1" si="112"/>
        <v/>
      </c>
      <c r="R990" s="79"/>
      <c r="S990" s="80"/>
      <c r="T990" s="61">
        <f t="shared" si="113"/>
        <v>0</v>
      </c>
      <c r="U990" s="61">
        <f t="shared" si="114"/>
        <v>0</v>
      </c>
      <c r="V990" s="61">
        <f t="shared" si="115"/>
        <v>0</v>
      </c>
      <c r="W990" s="58"/>
      <c r="X990" s="58"/>
      <c r="Y990" s="53"/>
      <c r="Z990" s="57"/>
      <c r="AA990" s="62"/>
      <c r="AB990" s="62"/>
      <c r="AC990" s="62"/>
      <c r="AD990" s="62"/>
      <c r="AE990" s="62"/>
      <c r="AF990" s="63"/>
      <c r="AG990" s="64" t="str">
        <f t="shared" si="116"/>
        <v/>
      </c>
    </row>
    <row r="991" spans="1:33" x14ac:dyDescent="0.25">
      <c r="A991" s="46" t="str">
        <f>IF(ISBLANK(inbound_data[[#This Row],[Receiving Report ref.'#]]),"",IF(inbound_data[[#This Row],[Ending Quantity]]=0,"ZERO","INV"))</f>
        <v/>
      </c>
      <c r="B991" s="165" t="str">
        <f t="shared" si="110"/>
        <v/>
      </c>
      <c r="C991" s="165" t="str">
        <f>IF(ISBLANK(D991),"",inbound_data[[#This Row],[Pallet_Series]]&amp;inbound_data[[#This Row],[No.]])</f>
        <v/>
      </c>
      <c r="D991" s="54"/>
      <c r="E991" s="55"/>
      <c r="F991" s="56"/>
      <c r="G991" s="57"/>
      <c r="H991" s="53"/>
      <c r="I991" s="53"/>
      <c r="J991" s="55"/>
      <c r="K991" s="58"/>
      <c r="L991" s="59"/>
      <c r="M991" s="55"/>
      <c r="N991" s="60"/>
      <c r="O991" s="60"/>
      <c r="P991" s="165" t="str">
        <f t="shared" ca="1" si="111"/>
        <v/>
      </c>
      <c r="Q991" s="165" t="str">
        <f t="shared" ca="1" si="112"/>
        <v/>
      </c>
      <c r="R991" s="79"/>
      <c r="S991" s="80"/>
      <c r="T991" s="61">
        <f t="shared" si="113"/>
        <v>0</v>
      </c>
      <c r="U991" s="61">
        <f t="shared" si="114"/>
        <v>0</v>
      </c>
      <c r="V991" s="61">
        <f t="shared" si="115"/>
        <v>0</v>
      </c>
      <c r="W991" s="58"/>
      <c r="X991" s="58"/>
      <c r="Y991" s="53"/>
      <c r="Z991" s="57"/>
      <c r="AA991" s="62"/>
      <c r="AB991" s="62"/>
      <c r="AC991" s="62"/>
      <c r="AD991" s="62"/>
      <c r="AE991" s="62"/>
      <c r="AF991" s="63"/>
      <c r="AG991" s="64" t="str">
        <f t="shared" si="116"/>
        <v/>
      </c>
    </row>
    <row r="992" spans="1:33" x14ac:dyDescent="0.25">
      <c r="A992" s="46" t="str">
        <f>IF(ISBLANK(inbound_data[[#This Row],[Receiving Report ref.'#]]),"",IF(inbound_data[[#This Row],[Ending Quantity]]=0,"ZERO","INV"))</f>
        <v/>
      </c>
      <c r="B992" s="165" t="str">
        <f t="shared" si="110"/>
        <v/>
      </c>
      <c r="C992" s="165" t="str">
        <f>IF(ISBLANK(D992),"",inbound_data[[#This Row],[Pallet_Series]]&amp;inbound_data[[#This Row],[No.]])</f>
        <v/>
      </c>
      <c r="D992" s="54"/>
      <c r="E992" s="55"/>
      <c r="F992" s="56"/>
      <c r="G992" s="57"/>
      <c r="H992" s="53"/>
      <c r="I992" s="53"/>
      <c r="J992" s="55"/>
      <c r="K992" s="58"/>
      <c r="L992" s="59"/>
      <c r="M992" s="55"/>
      <c r="N992" s="60"/>
      <c r="O992" s="60"/>
      <c r="P992" s="165" t="str">
        <f t="shared" ca="1" si="111"/>
        <v/>
      </c>
      <c r="Q992" s="165" t="str">
        <f t="shared" ca="1" si="112"/>
        <v/>
      </c>
      <c r="R992" s="79"/>
      <c r="S992" s="80"/>
      <c r="T992" s="61">
        <f t="shared" si="113"/>
        <v>0</v>
      </c>
      <c r="U992" s="61">
        <f t="shared" si="114"/>
        <v>0</v>
      </c>
      <c r="V992" s="61">
        <f t="shared" si="115"/>
        <v>0</v>
      </c>
      <c r="W992" s="58"/>
      <c r="X992" s="58"/>
      <c r="Y992" s="53"/>
      <c r="Z992" s="57"/>
      <c r="AA992" s="62"/>
      <c r="AB992" s="62"/>
      <c r="AC992" s="62"/>
      <c r="AD992" s="62"/>
      <c r="AE992" s="62"/>
      <c r="AF992" s="63"/>
      <c r="AG992" s="64" t="str">
        <f t="shared" si="116"/>
        <v/>
      </c>
    </row>
    <row r="993" spans="1:33" x14ac:dyDescent="0.25">
      <c r="A993" s="46" t="str">
        <f>IF(ISBLANK(inbound_data[[#This Row],[Receiving Report ref.'#]]),"",IF(inbound_data[[#This Row],[Ending Quantity]]=0,"ZERO","INV"))</f>
        <v/>
      </c>
      <c r="B993" s="165" t="str">
        <f t="shared" si="110"/>
        <v/>
      </c>
      <c r="C993" s="165" t="str">
        <f>IF(ISBLANK(D993),"",inbound_data[[#This Row],[Pallet_Series]]&amp;inbound_data[[#This Row],[No.]])</f>
        <v/>
      </c>
      <c r="D993" s="54"/>
      <c r="E993" s="55"/>
      <c r="F993" s="56"/>
      <c r="G993" s="57"/>
      <c r="H993" s="53"/>
      <c r="I993" s="53"/>
      <c r="J993" s="55"/>
      <c r="K993" s="58"/>
      <c r="L993" s="59"/>
      <c r="M993" s="55"/>
      <c r="N993" s="60"/>
      <c r="O993" s="60"/>
      <c r="P993" s="165" t="str">
        <f t="shared" ca="1" si="111"/>
        <v/>
      </c>
      <c r="Q993" s="165" t="str">
        <f t="shared" ca="1" si="112"/>
        <v/>
      </c>
      <c r="R993" s="79"/>
      <c r="S993" s="80"/>
      <c r="T993" s="61">
        <f t="shared" si="113"/>
        <v>0</v>
      </c>
      <c r="U993" s="61">
        <f t="shared" si="114"/>
        <v>0</v>
      </c>
      <c r="V993" s="61">
        <f t="shared" si="115"/>
        <v>0</v>
      </c>
      <c r="W993" s="58"/>
      <c r="X993" s="58"/>
      <c r="Y993" s="53"/>
      <c r="Z993" s="57"/>
      <c r="AA993" s="62"/>
      <c r="AB993" s="62"/>
      <c r="AC993" s="62"/>
      <c r="AD993" s="62"/>
      <c r="AE993" s="62"/>
      <c r="AF993" s="63"/>
      <c r="AG993" s="64" t="str">
        <f t="shared" si="116"/>
        <v/>
      </c>
    </row>
    <row r="994" spans="1:33" x14ac:dyDescent="0.25">
      <c r="A994" s="46" t="str">
        <f>IF(ISBLANK(inbound_data[[#This Row],[Receiving Report ref.'#]]),"",IF(inbound_data[[#This Row],[Ending Quantity]]=0,"ZERO","INV"))</f>
        <v/>
      </c>
      <c r="B994" s="165" t="str">
        <f t="shared" si="110"/>
        <v/>
      </c>
      <c r="C994" s="165" t="str">
        <f>IF(ISBLANK(D994),"",inbound_data[[#This Row],[Pallet_Series]]&amp;inbound_data[[#This Row],[No.]])</f>
        <v/>
      </c>
      <c r="D994" s="54"/>
      <c r="E994" s="55"/>
      <c r="F994" s="56"/>
      <c r="G994" s="57"/>
      <c r="H994" s="53"/>
      <c r="I994" s="53"/>
      <c r="J994" s="55"/>
      <c r="K994" s="58"/>
      <c r="L994" s="59"/>
      <c r="M994" s="55"/>
      <c r="N994" s="60"/>
      <c r="O994" s="60"/>
      <c r="P994" s="165" t="str">
        <f t="shared" ca="1" si="111"/>
        <v/>
      </c>
      <c r="Q994" s="165" t="str">
        <f t="shared" ca="1" si="112"/>
        <v/>
      </c>
      <c r="R994" s="79"/>
      <c r="S994" s="80"/>
      <c r="T994" s="61">
        <f t="shared" si="113"/>
        <v>0</v>
      </c>
      <c r="U994" s="61">
        <f t="shared" si="114"/>
        <v>0</v>
      </c>
      <c r="V994" s="61">
        <f t="shared" si="115"/>
        <v>0</v>
      </c>
      <c r="W994" s="58"/>
      <c r="X994" s="58"/>
      <c r="Y994" s="53"/>
      <c r="Z994" s="57"/>
      <c r="AA994" s="62"/>
      <c r="AB994" s="62"/>
      <c r="AC994" s="62"/>
      <c r="AD994" s="62"/>
      <c r="AE994" s="62"/>
      <c r="AF994" s="63"/>
      <c r="AG994" s="64" t="str">
        <f t="shared" si="116"/>
        <v/>
      </c>
    </row>
    <row r="995" spans="1:33" x14ac:dyDescent="0.25">
      <c r="A995" s="46" t="str">
        <f>IF(ISBLANK(inbound_data[[#This Row],[Receiving Report ref.'#]]),"",IF(inbound_data[[#This Row],[Ending Quantity]]=0,"ZERO","INV"))</f>
        <v/>
      </c>
      <c r="B995" s="165" t="str">
        <f t="shared" si="110"/>
        <v/>
      </c>
      <c r="C995" s="165" t="str">
        <f>IF(ISBLANK(D995),"",inbound_data[[#This Row],[Pallet_Series]]&amp;inbound_data[[#This Row],[No.]])</f>
        <v/>
      </c>
      <c r="D995" s="54"/>
      <c r="E995" s="55"/>
      <c r="F995" s="56"/>
      <c r="G995" s="57"/>
      <c r="H995" s="53"/>
      <c r="I995" s="53"/>
      <c r="J995" s="55"/>
      <c r="K995" s="58"/>
      <c r="L995" s="59"/>
      <c r="M995" s="55"/>
      <c r="N995" s="60"/>
      <c r="O995" s="60"/>
      <c r="P995" s="165" t="str">
        <f t="shared" ca="1" si="111"/>
        <v/>
      </c>
      <c r="Q995" s="165" t="str">
        <f t="shared" ca="1" si="112"/>
        <v/>
      </c>
      <c r="R995" s="79"/>
      <c r="S995" s="80"/>
      <c r="T995" s="61">
        <f t="shared" si="113"/>
        <v>0</v>
      </c>
      <c r="U995" s="61">
        <f t="shared" si="114"/>
        <v>0</v>
      </c>
      <c r="V995" s="61">
        <f t="shared" si="115"/>
        <v>0</v>
      </c>
      <c r="W995" s="58"/>
      <c r="X995" s="58"/>
      <c r="Y995" s="53"/>
      <c r="Z995" s="57"/>
      <c r="AA995" s="62"/>
      <c r="AB995" s="62"/>
      <c r="AC995" s="62"/>
      <c r="AD995" s="62"/>
      <c r="AE995" s="62"/>
      <c r="AF995" s="63"/>
      <c r="AG995" s="64" t="str">
        <f t="shared" si="116"/>
        <v/>
      </c>
    </row>
    <row r="996" spans="1:33" x14ac:dyDescent="0.25">
      <c r="A996" s="46" t="str">
        <f>IF(ISBLANK(inbound_data[[#This Row],[Receiving Report ref.'#]]),"",IF(inbound_data[[#This Row],[Ending Quantity]]=0,"ZERO","INV"))</f>
        <v/>
      </c>
      <c r="B996" s="165" t="str">
        <f t="shared" si="110"/>
        <v/>
      </c>
      <c r="C996" s="165" t="str">
        <f>IF(ISBLANK(D996),"",inbound_data[[#This Row],[Pallet_Series]]&amp;inbound_data[[#This Row],[No.]])</f>
        <v/>
      </c>
      <c r="D996" s="54"/>
      <c r="E996" s="55"/>
      <c r="F996" s="56"/>
      <c r="G996" s="57"/>
      <c r="H996" s="53"/>
      <c r="I996" s="53"/>
      <c r="J996" s="55"/>
      <c r="K996" s="58"/>
      <c r="L996" s="59"/>
      <c r="M996" s="55"/>
      <c r="N996" s="60"/>
      <c r="O996" s="60"/>
      <c r="P996" s="165" t="str">
        <f t="shared" ca="1" si="111"/>
        <v/>
      </c>
      <c r="Q996" s="165" t="str">
        <f t="shared" ca="1" si="112"/>
        <v/>
      </c>
      <c r="R996" s="79"/>
      <c r="S996" s="80"/>
      <c r="T996" s="61">
        <f t="shared" si="113"/>
        <v>0</v>
      </c>
      <c r="U996" s="61">
        <f t="shared" si="114"/>
        <v>0</v>
      </c>
      <c r="V996" s="61">
        <f t="shared" si="115"/>
        <v>0</v>
      </c>
      <c r="W996" s="58"/>
      <c r="X996" s="58"/>
      <c r="Y996" s="53"/>
      <c r="Z996" s="57"/>
      <c r="AA996" s="62"/>
      <c r="AB996" s="62"/>
      <c r="AC996" s="62"/>
      <c r="AD996" s="62"/>
      <c r="AE996" s="62"/>
      <c r="AF996" s="63"/>
      <c r="AG996" s="64" t="str">
        <f t="shared" si="116"/>
        <v/>
      </c>
    </row>
    <row r="997" spans="1:33" x14ac:dyDescent="0.25">
      <c r="A997" s="46" t="str">
        <f>IF(ISBLANK(inbound_data[[#This Row],[Receiving Report ref.'#]]),"",IF(inbound_data[[#This Row],[Ending Quantity]]=0,"ZERO","INV"))</f>
        <v/>
      </c>
      <c r="B997" s="165" t="str">
        <f t="shared" si="110"/>
        <v/>
      </c>
      <c r="C997" s="165" t="str">
        <f>IF(ISBLANK(D997),"",inbound_data[[#This Row],[Pallet_Series]]&amp;inbound_data[[#This Row],[No.]])</f>
        <v/>
      </c>
      <c r="D997" s="54"/>
      <c r="E997" s="55"/>
      <c r="F997" s="56"/>
      <c r="G997" s="57"/>
      <c r="H997" s="53"/>
      <c r="I997" s="53"/>
      <c r="J997" s="55"/>
      <c r="K997" s="58"/>
      <c r="L997" s="59"/>
      <c r="M997" s="55"/>
      <c r="N997" s="60"/>
      <c r="O997" s="60"/>
      <c r="P997" s="165" t="str">
        <f t="shared" ca="1" si="111"/>
        <v/>
      </c>
      <c r="Q997" s="165" t="str">
        <f t="shared" ca="1" si="112"/>
        <v/>
      </c>
      <c r="R997" s="79"/>
      <c r="S997" s="80"/>
      <c r="T997" s="61">
        <f t="shared" si="113"/>
        <v>0</v>
      </c>
      <c r="U997" s="61">
        <f t="shared" si="114"/>
        <v>0</v>
      </c>
      <c r="V997" s="61">
        <f t="shared" si="115"/>
        <v>0</v>
      </c>
      <c r="W997" s="58"/>
      <c r="X997" s="58"/>
      <c r="Y997" s="53"/>
      <c r="Z997" s="57"/>
      <c r="AA997" s="62"/>
      <c r="AB997" s="62"/>
      <c r="AC997" s="62"/>
      <c r="AD997" s="62"/>
      <c r="AE997" s="62"/>
      <c r="AF997" s="63"/>
      <c r="AG997" s="64" t="str">
        <f t="shared" si="116"/>
        <v/>
      </c>
    </row>
    <row r="998" spans="1:33" x14ac:dyDescent="0.25">
      <c r="A998" s="46" t="str">
        <f>IF(ISBLANK(inbound_data[[#This Row],[Receiving Report ref.'#]]),"",IF(inbound_data[[#This Row],[Ending Quantity]]=0,"ZERO","INV"))</f>
        <v/>
      </c>
      <c r="B998" s="165" t="str">
        <f t="shared" si="110"/>
        <v/>
      </c>
      <c r="C998" s="165" t="str">
        <f>IF(ISBLANK(D998),"",inbound_data[[#This Row],[Pallet_Series]]&amp;inbound_data[[#This Row],[No.]])</f>
        <v/>
      </c>
      <c r="D998" s="54"/>
      <c r="E998" s="55"/>
      <c r="F998" s="56"/>
      <c r="G998" s="57"/>
      <c r="H998" s="53"/>
      <c r="I998" s="53"/>
      <c r="J998" s="55"/>
      <c r="K998" s="58"/>
      <c r="L998" s="59"/>
      <c r="M998" s="55"/>
      <c r="N998" s="60"/>
      <c r="O998" s="60"/>
      <c r="P998" s="165" t="str">
        <f t="shared" ca="1" si="111"/>
        <v/>
      </c>
      <c r="Q998" s="165" t="str">
        <f t="shared" ca="1" si="112"/>
        <v/>
      </c>
      <c r="R998" s="79"/>
      <c r="S998" s="80"/>
      <c r="T998" s="61">
        <f t="shared" si="113"/>
        <v>0</v>
      </c>
      <c r="U998" s="61">
        <f t="shared" si="114"/>
        <v>0</v>
      </c>
      <c r="V998" s="61">
        <f t="shared" si="115"/>
        <v>0</v>
      </c>
      <c r="W998" s="58"/>
      <c r="X998" s="58"/>
      <c r="Y998" s="53"/>
      <c r="Z998" s="57"/>
      <c r="AA998" s="62"/>
      <c r="AB998" s="62"/>
      <c r="AC998" s="62"/>
      <c r="AD998" s="62"/>
      <c r="AE998" s="62"/>
      <c r="AF998" s="63"/>
      <c r="AG998" s="64" t="str">
        <f t="shared" si="116"/>
        <v/>
      </c>
    </row>
    <row r="999" spans="1:33" x14ac:dyDescent="0.25">
      <c r="A999" s="46" t="str">
        <f>IF(ISBLANK(inbound_data[[#This Row],[Receiving Report ref.'#]]),"",IF(inbound_data[[#This Row],[Ending Quantity]]=0,"ZERO","INV"))</f>
        <v/>
      </c>
      <c r="B999" s="165" t="str">
        <f t="shared" si="110"/>
        <v/>
      </c>
      <c r="C999" s="165" t="str">
        <f>IF(ISBLANK(D999),"",inbound_data[[#This Row],[Pallet_Series]]&amp;inbound_data[[#This Row],[No.]])</f>
        <v/>
      </c>
      <c r="D999" s="54"/>
      <c r="E999" s="55"/>
      <c r="F999" s="56"/>
      <c r="G999" s="57"/>
      <c r="H999" s="53"/>
      <c r="I999" s="53"/>
      <c r="J999" s="55"/>
      <c r="K999" s="58"/>
      <c r="L999" s="59"/>
      <c r="M999" s="55"/>
      <c r="N999" s="60"/>
      <c r="O999" s="60"/>
      <c r="P999" s="165" t="str">
        <f t="shared" ca="1" si="111"/>
        <v/>
      </c>
      <c r="Q999" s="165" t="str">
        <f t="shared" ca="1" si="112"/>
        <v/>
      </c>
      <c r="R999" s="79"/>
      <c r="S999" s="80"/>
      <c r="T999" s="61">
        <f t="shared" si="113"/>
        <v>0</v>
      </c>
      <c r="U999" s="61">
        <f t="shared" si="114"/>
        <v>0</v>
      </c>
      <c r="V999" s="61">
        <f t="shared" si="115"/>
        <v>0</v>
      </c>
      <c r="W999" s="58"/>
      <c r="X999" s="58"/>
      <c r="Y999" s="53"/>
      <c r="Z999" s="57"/>
      <c r="AA999" s="62"/>
      <c r="AB999" s="62"/>
      <c r="AC999" s="62"/>
      <c r="AD999" s="62"/>
      <c r="AE999" s="62"/>
      <c r="AF999" s="63"/>
      <c r="AG999" s="64" t="str">
        <f t="shared" si="116"/>
        <v/>
      </c>
    </row>
    <row r="1000" spans="1:33" x14ac:dyDescent="0.25">
      <c r="A1000" s="46" t="str">
        <f>IF(ISBLANK(inbound_data[[#This Row],[Receiving Report ref.'#]]),"",IF(inbound_data[[#This Row],[Ending Quantity]]=0,"ZERO","INV"))</f>
        <v/>
      </c>
      <c r="B1000" s="165" t="str">
        <f t="shared" si="110"/>
        <v/>
      </c>
      <c r="C1000" s="165" t="str">
        <f>IF(ISBLANK(D1000),"",inbound_data[[#This Row],[Pallet_Series]]&amp;inbound_data[[#This Row],[No.]])</f>
        <v/>
      </c>
      <c r="D1000" s="54"/>
      <c r="E1000" s="55"/>
      <c r="F1000" s="56"/>
      <c r="G1000" s="57"/>
      <c r="H1000" s="53"/>
      <c r="I1000" s="53"/>
      <c r="J1000" s="55"/>
      <c r="K1000" s="58"/>
      <c r="L1000" s="59"/>
      <c r="M1000" s="55"/>
      <c r="N1000" s="60"/>
      <c r="O1000" s="60"/>
      <c r="P1000" s="165" t="str">
        <f t="shared" ca="1" si="111"/>
        <v/>
      </c>
      <c r="Q1000" s="165" t="str">
        <f t="shared" ca="1" si="112"/>
        <v/>
      </c>
      <c r="R1000" s="79"/>
      <c r="S1000" s="80"/>
      <c r="T1000" s="61">
        <f t="shared" si="113"/>
        <v>0</v>
      </c>
      <c r="U1000" s="61">
        <f t="shared" si="114"/>
        <v>0</v>
      </c>
      <c r="V1000" s="61">
        <f t="shared" si="115"/>
        <v>0</v>
      </c>
      <c r="W1000" s="58"/>
      <c r="X1000" s="58"/>
      <c r="Y1000" s="53"/>
      <c r="Z1000" s="57"/>
      <c r="AA1000" s="62"/>
      <c r="AB1000" s="62"/>
      <c r="AC1000" s="62"/>
      <c r="AD1000" s="62"/>
      <c r="AE1000" s="62"/>
      <c r="AF1000" s="63"/>
      <c r="AG1000" s="64" t="str">
        <f t="shared" si="116"/>
        <v/>
      </c>
    </row>
    <row r="1001" spans="1:33" x14ac:dyDescent="0.25">
      <c r="A1001" s="46" t="str">
        <f>IF(ISBLANK(inbound_data[[#This Row],[Receiving Report ref.'#]]),"",IF(inbound_data[[#This Row],[Ending Quantity]]=0,"ZERO","INV"))</f>
        <v/>
      </c>
      <c r="B1001" s="165" t="str">
        <f t="shared" si="110"/>
        <v/>
      </c>
      <c r="C1001" s="165" t="str">
        <f>IF(ISBLANK(D1001),"",inbound_data[[#This Row],[Pallet_Series]]&amp;inbound_data[[#This Row],[No.]])</f>
        <v/>
      </c>
      <c r="D1001" s="54"/>
      <c r="E1001" s="55"/>
      <c r="F1001" s="56"/>
      <c r="G1001" s="57"/>
      <c r="H1001" s="53"/>
      <c r="I1001" s="53"/>
      <c r="J1001" s="55"/>
      <c r="K1001" s="58"/>
      <c r="L1001" s="59"/>
      <c r="M1001" s="55"/>
      <c r="N1001" s="60"/>
      <c r="O1001" s="60"/>
      <c r="P1001" s="165" t="str">
        <f t="shared" ca="1" si="111"/>
        <v/>
      </c>
      <c r="Q1001" s="165" t="str">
        <f t="shared" ca="1" si="112"/>
        <v/>
      </c>
      <c r="R1001" s="79"/>
      <c r="S1001" s="80"/>
      <c r="T1001" s="61">
        <f t="shared" si="113"/>
        <v>0</v>
      </c>
      <c r="U1001" s="61">
        <f t="shared" si="114"/>
        <v>0</v>
      </c>
      <c r="V1001" s="61">
        <f t="shared" si="115"/>
        <v>0</v>
      </c>
      <c r="W1001" s="58"/>
      <c r="X1001" s="58"/>
      <c r="Y1001" s="53"/>
      <c r="Z1001" s="57"/>
      <c r="AA1001" s="62"/>
      <c r="AB1001" s="62"/>
      <c r="AC1001" s="62"/>
      <c r="AD1001" s="62"/>
      <c r="AE1001" s="62"/>
      <c r="AF1001" s="63"/>
      <c r="AG1001" s="64" t="str">
        <f t="shared" si="116"/>
        <v/>
      </c>
    </row>
    <row r="1002" spans="1:33" x14ac:dyDescent="0.25">
      <c r="A1002" s="46" t="str">
        <f>IF(ISBLANK(inbound_data[[#This Row],[Receiving Report ref.'#]]),"",IF(inbound_data[[#This Row],[Ending Quantity]]=0,"ZERO","INV"))</f>
        <v/>
      </c>
      <c r="B1002" s="165" t="str">
        <f t="shared" si="110"/>
        <v/>
      </c>
      <c r="C1002" s="165" t="str">
        <f>IF(ISBLANK(D1002),"",inbound_data[[#This Row],[Pallet_Series]]&amp;inbound_data[[#This Row],[No.]])</f>
        <v/>
      </c>
      <c r="D1002" s="54"/>
      <c r="E1002" s="55"/>
      <c r="F1002" s="56"/>
      <c r="G1002" s="57"/>
      <c r="H1002" s="53"/>
      <c r="I1002" s="53"/>
      <c r="J1002" s="55"/>
      <c r="K1002" s="58"/>
      <c r="L1002" s="59"/>
      <c r="M1002" s="55"/>
      <c r="N1002" s="60"/>
      <c r="O1002" s="60"/>
      <c r="P1002" s="165" t="str">
        <f t="shared" ca="1" si="111"/>
        <v/>
      </c>
      <c r="Q1002" s="165" t="str">
        <f t="shared" ca="1" si="112"/>
        <v/>
      </c>
      <c r="R1002" s="79"/>
      <c r="S1002" s="80"/>
      <c r="T1002" s="61">
        <f t="shared" si="113"/>
        <v>0</v>
      </c>
      <c r="U1002" s="61">
        <f t="shared" si="114"/>
        <v>0</v>
      </c>
      <c r="V1002" s="61">
        <f t="shared" si="115"/>
        <v>0</v>
      </c>
      <c r="W1002" s="58"/>
      <c r="X1002" s="58"/>
      <c r="Y1002" s="53"/>
      <c r="Z1002" s="57"/>
      <c r="AA1002" s="62"/>
      <c r="AB1002" s="62"/>
      <c r="AC1002" s="62"/>
      <c r="AD1002" s="62"/>
      <c r="AE1002" s="62"/>
      <c r="AF1002" s="63"/>
      <c r="AG1002" s="64" t="str">
        <f t="shared" si="116"/>
        <v/>
      </c>
    </row>
    <row r="1003" spans="1:33" x14ac:dyDescent="0.25">
      <c r="A1003" s="46" t="str">
        <f>IF(ISBLANK(inbound_data[[#This Row],[Receiving Report ref.'#]]),"",IF(inbound_data[[#This Row],[Ending Quantity]]=0,"ZERO","INV"))</f>
        <v/>
      </c>
      <c r="B1003" s="165" t="str">
        <f t="shared" si="110"/>
        <v/>
      </c>
      <c r="C1003" s="165" t="str">
        <f>IF(ISBLANK(D1003),"",inbound_data[[#This Row],[Pallet_Series]]&amp;inbound_data[[#This Row],[No.]])</f>
        <v/>
      </c>
      <c r="D1003" s="54"/>
      <c r="E1003" s="55"/>
      <c r="F1003" s="56"/>
      <c r="G1003" s="57"/>
      <c r="H1003" s="53"/>
      <c r="I1003" s="53"/>
      <c r="J1003" s="55"/>
      <c r="K1003" s="58"/>
      <c r="L1003" s="59"/>
      <c r="M1003" s="55"/>
      <c r="N1003" s="60"/>
      <c r="O1003" s="60"/>
      <c r="P1003" s="165" t="str">
        <f t="shared" ca="1" si="111"/>
        <v/>
      </c>
      <c r="Q1003" s="165" t="str">
        <f t="shared" ca="1" si="112"/>
        <v/>
      </c>
      <c r="R1003" s="79"/>
      <c r="S1003" s="80"/>
      <c r="T1003" s="61">
        <f t="shared" si="113"/>
        <v>0</v>
      </c>
      <c r="U1003" s="61">
        <f t="shared" si="114"/>
        <v>0</v>
      </c>
      <c r="V1003" s="61">
        <f t="shared" si="115"/>
        <v>0</v>
      </c>
      <c r="W1003" s="58"/>
      <c r="X1003" s="58"/>
      <c r="Y1003" s="53"/>
      <c r="Z1003" s="57"/>
      <c r="AA1003" s="62"/>
      <c r="AB1003" s="62"/>
      <c r="AC1003" s="62"/>
      <c r="AD1003" s="62"/>
      <c r="AE1003" s="62"/>
      <c r="AF1003" s="63"/>
      <c r="AG1003" s="64" t="str">
        <f t="shared" si="116"/>
        <v/>
      </c>
    </row>
    <row r="1004" spans="1:33" x14ac:dyDescent="0.25">
      <c r="A1004" s="46" t="str">
        <f>IF(ISBLANK(inbound_data[[#This Row],[Receiving Report ref.'#]]),"",IF(inbound_data[[#This Row],[Ending Quantity]]=0,"ZERO","INV"))</f>
        <v/>
      </c>
      <c r="B1004" s="165" t="str">
        <f t="shared" si="110"/>
        <v/>
      </c>
      <c r="C1004" s="165" t="str">
        <f>IF(ISBLANK(D1004),"",inbound_data[[#This Row],[Pallet_Series]]&amp;inbound_data[[#This Row],[No.]])</f>
        <v/>
      </c>
      <c r="D1004" s="54"/>
      <c r="E1004" s="55"/>
      <c r="F1004" s="56"/>
      <c r="G1004" s="57"/>
      <c r="H1004" s="53"/>
      <c r="I1004" s="53"/>
      <c r="J1004" s="55"/>
      <c r="K1004" s="58"/>
      <c r="L1004" s="59"/>
      <c r="M1004" s="55"/>
      <c r="N1004" s="60"/>
      <c r="O1004" s="60"/>
      <c r="P1004" s="165" t="str">
        <f t="shared" ca="1" si="111"/>
        <v/>
      </c>
      <c r="Q1004" s="165" t="str">
        <f t="shared" ca="1" si="112"/>
        <v/>
      </c>
      <c r="R1004" s="79"/>
      <c r="S1004" s="80"/>
      <c r="T1004" s="61">
        <f t="shared" si="113"/>
        <v>0</v>
      </c>
      <c r="U1004" s="61">
        <f t="shared" si="114"/>
        <v>0</v>
      </c>
      <c r="V1004" s="61">
        <f t="shared" si="115"/>
        <v>0</v>
      </c>
      <c r="W1004" s="58"/>
      <c r="X1004" s="58"/>
      <c r="Y1004" s="53"/>
      <c r="Z1004" s="57"/>
      <c r="AA1004" s="62"/>
      <c r="AB1004" s="62"/>
      <c r="AC1004" s="62"/>
      <c r="AD1004" s="62"/>
      <c r="AE1004" s="62"/>
      <c r="AF1004" s="63"/>
      <c r="AG1004" s="64" t="str">
        <f t="shared" si="116"/>
        <v/>
      </c>
    </row>
    <row r="1005" spans="1:33" x14ac:dyDescent="0.25">
      <c r="A1005" s="46" t="str">
        <f>IF(ISBLANK(inbound_data[[#This Row],[Receiving Report ref.'#]]),"",IF(inbound_data[[#This Row],[Ending Quantity]]=0,"ZERO","INV"))</f>
        <v/>
      </c>
      <c r="B1005" s="165" t="str">
        <f t="shared" si="110"/>
        <v/>
      </c>
      <c r="C1005" s="165" t="str">
        <f>IF(ISBLANK(D1005),"",inbound_data[[#This Row],[Pallet_Series]]&amp;inbound_data[[#This Row],[No.]])</f>
        <v/>
      </c>
      <c r="D1005" s="54"/>
      <c r="E1005" s="55"/>
      <c r="F1005" s="56"/>
      <c r="G1005" s="57"/>
      <c r="H1005" s="53"/>
      <c r="I1005" s="53"/>
      <c r="J1005" s="55"/>
      <c r="K1005" s="58"/>
      <c r="L1005" s="59"/>
      <c r="M1005" s="55"/>
      <c r="N1005" s="60"/>
      <c r="O1005" s="60"/>
      <c r="P1005" s="165" t="str">
        <f t="shared" ca="1" si="111"/>
        <v/>
      </c>
      <c r="Q1005" s="165" t="str">
        <f t="shared" ca="1" si="112"/>
        <v/>
      </c>
      <c r="R1005" s="79"/>
      <c r="S1005" s="80"/>
      <c r="T1005" s="61">
        <f t="shared" si="113"/>
        <v>0</v>
      </c>
      <c r="U1005" s="61">
        <f t="shared" si="114"/>
        <v>0</v>
      </c>
      <c r="V1005" s="61">
        <f t="shared" si="115"/>
        <v>0</v>
      </c>
      <c r="W1005" s="58"/>
      <c r="X1005" s="58"/>
      <c r="Y1005" s="53"/>
      <c r="Z1005" s="57"/>
      <c r="AA1005" s="62"/>
      <c r="AB1005" s="62"/>
      <c r="AC1005" s="62"/>
      <c r="AD1005" s="62"/>
      <c r="AE1005" s="62"/>
      <c r="AF1005" s="63"/>
      <c r="AG1005" s="64" t="str">
        <f t="shared" si="116"/>
        <v/>
      </c>
    </row>
    <row r="1006" spans="1:33" x14ac:dyDescent="0.25">
      <c r="A1006" s="46" t="str">
        <f>IF(ISBLANK(inbound_data[[#This Row],[Receiving Report ref.'#]]),"",IF(inbound_data[[#This Row],[Ending Quantity]]=0,"ZERO","INV"))</f>
        <v/>
      </c>
      <c r="B1006" s="165" t="str">
        <f t="shared" si="110"/>
        <v/>
      </c>
      <c r="C1006" s="165" t="str">
        <f>IF(ISBLANK(D1006),"",inbound_data[[#This Row],[Pallet_Series]]&amp;inbound_data[[#This Row],[No.]])</f>
        <v/>
      </c>
      <c r="D1006" s="54"/>
      <c r="E1006" s="55"/>
      <c r="F1006" s="56"/>
      <c r="G1006" s="57"/>
      <c r="H1006" s="53"/>
      <c r="I1006" s="53"/>
      <c r="J1006" s="55"/>
      <c r="K1006" s="58"/>
      <c r="L1006" s="59"/>
      <c r="M1006" s="55"/>
      <c r="N1006" s="60"/>
      <c r="O1006" s="60"/>
      <c r="P1006" s="165" t="str">
        <f t="shared" ca="1" si="111"/>
        <v/>
      </c>
      <c r="Q1006" s="165" t="str">
        <f t="shared" ca="1" si="112"/>
        <v/>
      </c>
      <c r="R1006" s="79"/>
      <c r="S1006" s="80"/>
      <c r="T1006" s="61">
        <f t="shared" si="113"/>
        <v>0</v>
      </c>
      <c r="U1006" s="61">
        <f t="shared" si="114"/>
        <v>0</v>
      </c>
      <c r="V1006" s="61">
        <f t="shared" si="115"/>
        <v>0</v>
      </c>
      <c r="W1006" s="58"/>
      <c r="X1006" s="58"/>
      <c r="Y1006" s="53"/>
      <c r="Z1006" s="57"/>
      <c r="AA1006" s="62"/>
      <c r="AB1006" s="62"/>
      <c r="AC1006" s="62"/>
      <c r="AD1006" s="62"/>
      <c r="AE1006" s="62"/>
      <c r="AF1006" s="63"/>
      <c r="AG1006" s="64" t="str">
        <f t="shared" si="116"/>
        <v/>
      </c>
    </row>
    <row r="1007" spans="1:33" x14ac:dyDescent="0.25">
      <c r="A1007" s="46" t="str">
        <f>IF(ISBLANK(inbound_data[[#This Row],[Receiving Report ref.'#]]),"",IF(inbound_data[[#This Row],[Ending Quantity]]=0,"ZERO","INV"))</f>
        <v/>
      </c>
      <c r="B1007" s="165" t="str">
        <f t="shared" si="110"/>
        <v/>
      </c>
      <c r="C1007" s="165" t="str">
        <f>IF(ISBLANK(D1007),"",inbound_data[[#This Row],[Pallet_Series]]&amp;inbound_data[[#This Row],[No.]])</f>
        <v/>
      </c>
      <c r="D1007" s="54"/>
      <c r="E1007" s="55"/>
      <c r="F1007" s="56"/>
      <c r="G1007" s="57"/>
      <c r="H1007" s="53"/>
      <c r="I1007" s="53"/>
      <c r="J1007" s="55"/>
      <c r="K1007" s="58"/>
      <c r="L1007" s="59"/>
      <c r="M1007" s="55"/>
      <c r="N1007" s="60"/>
      <c r="O1007" s="60"/>
      <c r="P1007" s="165" t="str">
        <f t="shared" ca="1" si="111"/>
        <v/>
      </c>
      <c r="Q1007" s="165" t="str">
        <f t="shared" ca="1" si="112"/>
        <v/>
      </c>
      <c r="R1007" s="79"/>
      <c r="S1007" s="80"/>
      <c r="T1007" s="61">
        <f t="shared" si="113"/>
        <v>0</v>
      </c>
      <c r="U1007" s="61">
        <f t="shared" si="114"/>
        <v>0</v>
      </c>
      <c r="V1007" s="61">
        <f t="shared" si="115"/>
        <v>0</v>
      </c>
      <c r="W1007" s="58"/>
      <c r="X1007" s="58"/>
      <c r="Y1007" s="53"/>
      <c r="Z1007" s="57"/>
      <c r="AA1007" s="62"/>
      <c r="AB1007" s="62"/>
      <c r="AC1007" s="62"/>
      <c r="AD1007" s="62"/>
      <c r="AE1007" s="62"/>
      <c r="AF1007" s="63"/>
      <c r="AG1007" s="64" t="str">
        <f t="shared" si="116"/>
        <v/>
      </c>
    </row>
    <row r="1008" spans="1:33" x14ac:dyDescent="0.25">
      <c r="A1008" s="46" t="str">
        <f>IF(ISBLANK(inbound_data[[#This Row],[Receiving Report ref.'#]]),"",IF(inbound_data[[#This Row],[Ending Quantity]]=0,"ZERO","INV"))</f>
        <v/>
      </c>
      <c r="B1008" s="165" t="str">
        <f t="shared" si="110"/>
        <v/>
      </c>
      <c r="C1008" s="165" t="str">
        <f>IF(ISBLANK(D1008),"",inbound_data[[#This Row],[Pallet_Series]]&amp;inbound_data[[#This Row],[No.]])</f>
        <v/>
      </c>
      <c r="D1008" s="54"/>
      <c r="E1008" s="55"/>
      <c r="F1008" s="56"/>
      <c r="G1008" s="57"/>
      <c r="H1008" s="53"/>
      <c r="I1008" s="53"/>
      <c r="J1008" s="55"/>
      <c r="K1008" s="58"/>
      <c r="L1008" s="59"/>
      <c r="M1008" s="55"/>
      <c r="N1008" s="60"/>
      <c r="O1008" s="60"/>
      <c r="P1008" s="165" t="str">
        <f t="shared" ca="1" si="111"/>
        <v/>
      </c>
      <c r="Q1008" s="165" t="str">
        <f t="shared" ca="1" si="112"/>
        <v/>
      </c>
      <c r="R1008" s="79"/>
      <c r="S1008" s="80"/>
      <c r="T1008" s="61">
        <f t="shared" si="113"/>
        <v>0</v>
      </c>
      <c r="U1008" s="61">
        <f t="shared" si="114"/>
        <v>0</v>
      </c>
      <c r="V1008" s="61">
        <f t="shared" si="115"/>
        <v>0</v>
      </c>
      <c r="W1008" s="58"/>
      <c r="X1008" s="58"/>
      <c r="Y1008" s="53"/>
      <c r="Z1008" s="57"/>
      <c r="AA1008" s="62"/>
      <c r="AB1008" s="62"/>
      <c r="AC1008" s="62"/>
      <c r="AD1008" s="62"/>
      <c r="AE1008" s="62"/>
      <c r="AF1008" s="63"/>
      <c r="AG1008" s="64" t="str">
        <f t="shared" si="116"/>
        <v/>
      </c>
    </row>
    <row r="1009" spans="1:33" x14ac:dyDescent="0.25">
      <c r="A1009" s="46" t="str">
        <f>IF(ISBLANK(inbound_data[[#This Row],[Receiving Report ref.'#]]),"",IF(inbound_data[[#This Row],[Ending Quantity]]=0,"ZERO","INV"))</f>
        <v/>
      </c>
      <c r="B1009" s="165" t="str">
        <f t="shared" si="110"/>
        <v/>
      </c>
      <c r="C1009" s="165" t="str">
        <f>IF(ISBLANK(D1009),"",inbound_data[[#This Row],[Pallet_Series]]&amp;inbound_data[[#This Row],[No.]])</f>
        <v/>
      </c>
      <c r="D1009" s="54"/>
      <c r="E1009" s="55"/>
      <c r="F1009" s="56"/>
      <c r="G1009" s="57"/>
      <c r="H1009" s="53"/>
      <c r="I1009" s="53"/>
      <c r="J1009" s="55"/>
      <c r="K1009" s="58"/>
      <c r="L1009" s="59"/>
      <c r="M1009" s="55"/>
      <c r="N1009" s="60"/>
      <c r="O1009" s="60"/>
      <c r="P1009" s="165" t="str">
        <f t="shared" ca="1" si="111"/>
        <v/>
      </c>
      <c r="Q1009" s="165" t="str">
        <f t="shared" ca="1" si="112"/>
        <v/>
      </c>
      <c r="R1009" s="79"/>
      <c r="S1009" s="80"/>
      <c r="T1009" s="61">
        <f t="shared" si="113"/>
        <v>0</v>
      </c>
      <c r="U1009" s="61">
        <f t="shared" si="114"/>
        <v>0</v>
      </c>
      <c r="V1009" s="61">
        <f t="shared" si="115"/>
        <v>0</v>
      </c>
      <c r="W1009" s="58"/>
      <c r="X1009" s="58"/>
      <c r="Y1009" s="53"/>
      <c r="Z1009" s="57"/>
      <c r="AA1009" s="62"/>
      <c r="AB1009" s="62"/>
      <c r="AC1009" s="62"/>
      <c r="AD1009" s="62"/>
      <c r="AE1009" s="62"/>
      <c r="AF1009" s="63"/>
      <c r="AG1009" s="64" t="str">
        <f t="shared" si="116"/>
        <v/>
      </c>
    </row>
    <row r="1010" spans="1:33" x14ac:dyDescent="0.25">
      <c r="A1010" s="46" t="str">
        <f>IF(ISBLANK(inbound_data[[#This Row],[Receiving Report ref.'#]]),"",IF(inbound_data[[#This Row],[Ending Quantity]]=0,"ZERO","INV"))</f>
        <v/>
      </c>
      <c r="B1010" s="165" t="str">
        <f t="shared" si="110"/>
        <v/>
      </c>
      <c r="C1010" s="165" t="str">
        <f>IF(ISBLANK(D1010),"",inbound_data[[#This Row],[Pallet_Series]]&amp;inbound_data[[#This Row],[No.]])</f>
        <v/>
      </c>
      <c r="D1010" s="54"/>
      <c r="E1010" s="55"/>
      <c r="F1010" s="56"/>
      <c r="G1010" s="57"/>
      <c r="H1010" s="53"/>
      <c r="I1010" s="53"/>
      <c r="J1010" s="55"/>
      <c r="K1010" s="58"/>
      <c r="L1010" s="59"/>
      <c r="M1010" s="55"/>
      <c r="N1010" s="60"/>
      <c r="O1010" s="60"/>
      <c r="P1010" s="165" t="str">
        <f t="shared" ca="1" si="111"/>
        <v/>
      </c>
      <c r="Q1010" s="165" t="str">
        <f t="shared" ca="1" si="112"/>
        <v/>
      </c>
      <c r="R1010" s="79"/>
      <c r="S1010" s="80"/>
      <c r="T1010" s="61">
        <f t="shared" si="113"/>
        <v>0</v>
      </c>
      <c r="U1010" s="61">
        <f t="shared" si="114"/>
        <v>0</v>
      </c>
      <c r="V1010" s="61">
        <f t="shared" si="115"/>
        <v>0</v>
      </c>
      <c r="W1010" s="58"/>
      <c r="X1010" s="58"/>
      <c r="Y1010" s="53"/>
      <c r="Z1010" s="57"/>
      <c r="AA1010" s="62"/>
      <c r="AB1010" s="62"/>
      <c r="AC1010" s="62"/>
      <c r="AD1010" s="62"/>
      <c r="AE1010" s="62"/>
      <c r="AF1010" s="63"/>
      <c r="AG1010" s="64" t="str">
        <f t="shared" si="116"/>
        <v/>
      </c>
    </row>
    <row r="1011" spans="1:33" x14ac:dyDescent="0.25">
      <c r="A1011" s="46" t="str">
        <f>IF(ISBLANK(inbound_data[[#This Row],[Receiving Report ref.'#]]),"",IF(inbound_data[[#This Row],[Ending Quantity]]=0,"ZERO","INV"))</f>
        <v/>
      </c>
      <c r="B1011" s="165" t="str">
        <f t="shared" si="110"/>
        <v/>
      </c>
      <c r="C1011" s="165" t="str">
        <f>IF(ISBLANK(D1011),"",inbound_data[[#This Row],[Pallet_Series]]&amp;inbound_data[[#This Row],[No.]])</f>
        <v/>
      </c>
      <c r="D1011" s="54"/>
      <c r="E1011" s="55"/>
      <c r="F1011" s="56"/>
      <c r="G1011" s="57"/>
      <c r="H1011" s="53"/>
      <c r="I1011" s="53"/>
      <c r="J1011" s="55"/>
      <c r="K1011" s="58"/>
      <c r="L1011" s="59"/>
      <c r="M1011" s="55"/>
      <c r="N1011" s="60"/>
      <c r="O1011" s="60"/>
      <c r="P1011" s="165" t="str">
        <f t="shared" ca="1" si="111"/>
        <v/>
      </c>
      <c r="Q1011" s="165" t="str">
        <f t="shared" ca="1" si="112"/>
        <v/>
      </c>
      <c r="R1011" s="79"/>
      <c r="S1011" s="80"/>
      <c r="T1011" s="61">
        <f t="shared" si="113"/>
        <v>0</v>
      </c>
      <c r="U1011" s="61">
        <f t="shared" si="114"/>
        <v>0</v>
      </c>
      <c r="V1011" s="61">
        <f t="shared" si="115"/>
        <v>0</v>
      </c>
      <c r="W1011" s="58"/>
      <c r="X1011" s="58"/>
      <c r="Y1011" s="53"/>
      <c r="Z1011" s="57"/>
      <c r="AA1011" s="62"/>
      <c r="AB1011" s="62"/>
      <c r="AC1011" s="62"/>
      <c r="AD1011" s="62"/>
      <c r="AE1011" s="62"/>
      <c r="AF1011" s="63"/>
      <c r="AG1011" s="64" t="str">
        <f t="shared" si="116"/>
        <v/>
      </c>
    </row>
    <row r="1012" spans="1:33" x14ac:dyDescent="0.25">
      <c r="A1012" s="46" t="str">
        <f>IF(ISBLANK(inbound_data[[#This Row],[Receiving Report ref.'#]]),"",IF(inbound_data[[#This Row],[Ending Quantity]]=0,"ZERO","INV"))</f>
        <v/>
      </c>
      <c r="B1012" s="165" t="str">
        <f t="shared" si="110"/>
        <v/>
      </c>
      <c r="C1012" s="165" t="str">
        <f>IF(ISBLANK(D1012),"",inbound_data[[#This Row],[Pallet_Series]]&amp;inbound_data[[#This Row],[No.]])</f>
        <v/>
      </c>
      <c r="D1012" s="54"/>
      <c r="E1012" s="55"/>
      <c r="F1012" s="56"/>
      <c r="G1012" s="57"/>
      <c r="H1012" s="53"/>
      <c r="I1012" s="53"/>
      <c r="J1012" s="55"/>
      <c r="K1012" s="58"/>
      <c r="L1012" s="59"/>
      <c r="M1012" s="55"/>
      <c r="N1012" s="60"/>
      <c r="O1012" s="60"/>
      <c r="P1012" s="165" t="str">
        <f t="shared" ca="1" si="111"/>
        <v/>
      </c>
      <c r="Q1012" s="165" t="str">
        <f t="shared" ca="1" si="112"/>
        <v/>
      </c>
      <c r="R1012" s="79"/>
      <c r="S1012" s="80"/>
      <c r="T1012" s="61">
        <f t="shared" si="113"/>
        <v>0</v>
      </c>
      <c r="U1012" s="61">
        <f t="shared" si="114"/>
        <v>0</v>
      </c>
      <c r="V1012" s="61">
        <f t="shared" si="115"/>
        <v>0</v>
      </c>
      <c r="W1012" s="58"/>
      <c r="X1012" s="58"/>
      <c r="Y1012" s="53"/>
      <c r="Z1012" s="57"/>
      <c r="AA1012" s="62"/>
      <c r="AB1012" s="62"/>
      <c r="AC1012" s="62"/>
      <c r="AD1012" s="62"/>
      <c r="AE1012" s="62"/>
      <c r="AF1012" s="63"/>
      <c r="AG1012" s="64" t="str">
        <f t="shared" si="116"/>
        <v/>
      </c>
    </row>
    <row r="1013" spans="1:33" x14ac:dyDescent="0.25">
      <c r="A1013" s="46" t="str">
        <f>IF(ISBLANK(inbound_data[[#This Row],[Receiving Report ref.'#]]),"",IF(inbound_data[[#This Row],[Ending Quantity]]=0,"ZERO","INV"))</f>
        <v/>
      </c>
      <c r="B1013" s="165" t="str">
        <f t="shared" si="110"/>
        <v/>
      </c>
      <c r="C1013" s="165" t="str">
        <f>IF(ISBLANK(D1013),"",inbound_data[[#This Row],[Pallet_Series]]&amp;inbound_data[[#This Row],[No.]])</f>
        <v/>
      </c>
      <c r="D1013" s="54"/>
      <c r="E1013" s="55"/>
      <c r="F1013" s="56"/>
      <c r="G1013" s="57"/>
      <c r="H1013" s="53"/>
      <c r="I1013" s="53"/>
      <c r="J1013" s="55"/>
      <c r="K1013" s="58"/>
      <c r="L1013" s="59"/>
      <c r="M1013" s="55"/>
      <c r="N1013" s="60"/>
      <c r="O1013" s="60"/>
      <c r="P1013" s="165" t="str">
        <f t="shared" ca="1" si="111"/>
        <v/>
      </c>
      <c r="Q1013" s="165" t="str">
        <f t="shared" ca="1" si="112"/>
        <v/>
      </c>
      <c r="R1013" s="79"/>
      <c r="S1013" s="80"/>
      <c r="T1013" s="61">
        <f t="shared" si="113"/>
        <v>0</v>
      </c>
      <c r="U1013" s="61">
        <f t="shared" si="114"/>
        <v>0</v>
      </c>
      <c r="V1013" s="61">
        <f t="shared" si="115"/>
        <v>0</v>
      </c>
      <c r="W1013" s="58"/>
      <c r="X1013" s="58"/>
      <c r="Y1013" s="53"/>
      <c r="Z1013" s="57"/>
      <c r="AA1013" s="62"/>
      <c r="AB1013" s="62"/>
      <c r="AC1013" s="62"/>
      <c r="AD1013" s="62"/>
      <c r="AE1013" s="62"/>
      <c r="AF1013" s="63"/>
      <c r="AG1013" s="64" t="str">
        <f t="shared" si="116"/>
        <v/>
      </c>
    </row>
    <row r="1014" spans="1:33" x14ac:dyDescent="0.25">
      <c r="A1014" s="46" t="str">
        <f>IF(ISBLANK(inbound_data[[#This Row],[Receiving Report ref.'#]]),"",IF(inbound_data[[#This Row],[Ending Quantity]]=0,"ZERO","INV"))</f>
        <v/>
      </c>
      <c r="B1014" s="165" t="str">
        <f t="shared" si="110"/>
        <v/>
      </c>
      <c r="C1014" s="165" t="str">
        <f>IF(ISBLANK(D1014),"",inbound_data[[#This Row],[Pallet_Series]]&amp;inbound_data[[#This Row],[No.]])</f>
        <v/>
      </c>
      <c r="D1014" s="54"/>
      <c r="E1014" s="55"/>
      <c r="F1014" s="56"/>
      <c r="G1014" s="57"/>
      <c r="H1014" s="53"/>
      <c r="I1014" s="53"/>
      <c r="J1014" s="55"/>
      <c r="K1014" s="58"/>
      <c r="L1014" s="59"/>
      <c r="M1014" s="55"/>
      <c r="N1014" s="60"/>
      <c r="O1014" s="60"/>
      <c r="P1014" s="165" t="str">
        <f t="shared" ca="1" si="111"/>
        <v/>
      </c>
      <c r="Q1014" s="165" t="str">
        <f t="shared" ca="1" si="112"/>
        <v/>
      </c>
      <c r="R1014" s="79"/>
      <c r="S1014" s="80"/>
      <c r="T1014" s="61">
        <f t="shared" si="113"/>
        <v>0</v>
      </c>
      <c r="U1014" s="61">
        <f t="shared" si="114"/>
        <v>0</v>
      </c>
      <c r="V1014" s="61">
        <f t="shared" si="115"/>
        <v>0</v>
      </c>
      <c r="W1014" s="58"/>
      <c r="X1014" s="58"/>
      <c r="Y1014" s="53"/>
      <c r="Z1014" s="57"/>
      <c r="AA1014" s="62"/>
      <c r="AB1014" s="62"/>
      <c r="AC1014" s="62"/>
      <c r="AD1014" s="62"/>
      <c r="AE1014" s="62"/>
      <c r="AF1014" s="63"/>
      <c r="AG1014" s="64" t="str">
        <f t="shared" si="116"/>
        <v/>
      </c>
    </row>
    <row r="1015" spans="1:33" x14ac:dyDescent="0.25">
      <c r="A1015" s="46" t="str">
        <f>IF(ISBLANK(inbound_data[[#This Row],[Receiving Report ref.'#]]),"",IF(inbound_data[[#This Row],[Ending Quantity]]=0,"ZERO","INV"))</f>
        <v/>
      </c>
      <c r="B1015" s="165" t="str">
        <f t="shared" si="110"/>
        <v/>
      </c>
      <c r="C1015" s="165" t="str">
        <f>IF(ISBLANK(D1015),"",inbound_data[[#This Row],[Pallet_Series]]&amp;inbound_data[[#This Row],[No.]])</f>
        <v/>
      </c>
      <c r="D1015" s="54"/>
      <c r="E1015" s="55"/>
      <c r="F1015" s="56"/>
      <c r="G1015" s="57"/>
      <c r="H1015" s="53"/>
      <c r="I1015" s="53"/>
      <c r="J1015" s="55"/>
      <c r="K1015" s="58"/>
      <c r="L1015" s="59"/>
      <c r="M1015" s="55"/>
      <c r="N1015" s="60"/>
      <c r="O1015" s="60"/>
      <c r="P1015" s="165" t="str">
        <f t="shared" ca="1" si="111"/>
        <v/>
      </c>
      <c r="Q1015" s="165" t="str">
        <f t="shared" ca="1" si="112"/>
        <v/>
      </c>
      <c r="R1015" s="79"/>
      <c r="S1015" s="80"/>
      <c r="T1015" s="61">
        <f t="shared" si="113"/>
        <v>0</v>
      </c>
      <c r="U1015" s="61">
        <f t="shared" si="114"/>
        <v>0</v>
      </c>
      <c r="V1015" s="61">
        <f t="shared" si="115"/>
        <v>0</v>
      </c>
      <c r="W1015" s="58"/>
      <c r="X1015" s="58"/>
      <c r="Y1015" s="53"/>
      <c r="Z1015" s="57"/>
      <c r="AA1015" s="62"/>
      <c r="AB1015" s="62"/>
      <c r="AC1015" s="62"/>
      <c r="AD1015" s="62"/>
      <c r="AE1015" s="62"/>
      <c r="AF1015" s="63"/>
      <c r="AG1015" s="64" t="str">
        <f t="shared" si="116"/>
        <v/>
      </c>
    </row>
    <row r="1016" spans="1:33" x14ac:dyDescent="0.25">
      <c r="A1016" s="46" t="str">
        <f>IF(ISBLANK(inbound_data[[#This Row],[Receiving Report ref.'#]]),"",IF(inbound_data[[#This Row],[Ending Quantity]]=0,"ZERO","INV"))</f>
        <v/>
      </c>
      <c r="B1016" s="165" t="str">
        <f t="shared" si="110"/>
        <v/>
      </c>
      <c r="C1016" s="165" t="str">
        <f>IF(ISBLANK(D1016),"",inbound_data[[#This Row],[Pallet_Series]]&amp;inbound_data[[#This Row],[No.]])</f>
        <v/>
      </c>
      <c r="D1016" s="54"/>
      <c r="E1016" s="55"/>
      <c r="F1016" s="56"/>
      <c r="G1016" s="57"/>
      <c r="H1016" s="53"/>
      <c r="I1016" s="53"/>
      <c r="J1016" s="55"/>
      <c r="K1016" s="58"/>
      <c r="L1016" s="59"/>
      <c r="M1016" s="55"/>
      <c r="N1016" s="60"/>
      <c r="O1016" s="60"/>
      <c r="P1016" s="165" t="str">
        <f t="shared" ca="1" si="111"/>
        <v/>
      </c>
      <c r="Q1016" s="165" t="str">
        <f t="shared" ca="1" si="112"/>
        <v/>
      </c>
      <c r="R1016" s="79"/>
      <c r="S1016" s="80"/>
      <c r="T1016" s="61">
        <f t="shared" si="113"/>
        <v>0</v>
      </c>
      <c r="U1016" s="61">
        <f t="shared" si="114"/>
        <v>0</v>
      </c>
      <c r="V1016" s="61">
        <f t="shared" si="115"/>
        <v>0</v>
      </c>
      <c r="W1016" s="58"/>
      <c r="X1016" s="58"/>
      <c r="Y1016" s="53"/>
      <c r="Z1016" s="57"/>
      <c r="AA1016" s="62"/>
      <c r="AB1016" s="62"/>
      <c r="AC1016" s="62"/>
      <c r="AD1016" s="62"/>
      <c r="AE1016" s="62"/>
      <c r="AF1016" s="63"/>
      <c r="AG1016" s="64" t="str">
        <f t="shared" si="116"/>
        <v/>
      </c>
    </row>
    <row r="1017" spans="1:33" x14ac:dyDescent="0.25">
      <c r="A1017" s="46" t="str">
        <f>IF(ISBLANK(inbound_data[[#This Row],[Receiving Report ref.'#]]),"",IF(inbound_data[[#This Row],[Ending Quantity]]=0,"ZERO","INV"))</f>
        <v/>
      </c>
      <c r="B1017" s="165" t="str">
        <f t="shared" si="110"/>
        <v/>
      </c>
      <c r="C1017" s="165" t="str">
        <f>IF(ISBLANK(D1017),"",inbound_data[[#This Row],[Pallet_Series]]&amp;inbound_data[[#This Row],[No.]])</f>
        <v/>
      </c>
      <c r="D1017" s="54"/>
      <c r="E1017" s="55"/>
      <c r="F1017" s="56"/>
      <c r="G1017" s="57"/>
      <c r="H1017" s="53"/>
      <c r="I1017" s="53"/>
      <c r="J1017" s="55"/>
      <c r="K1017" s="58"/>
      <c r="L1017" s="59"/>
      <c r="M1017" s="55"/>
      <c r="N1017" s="60"/>
      <c r="O1017" s="60"/>
      <c r="P1017" s="165" t="str">
        <f t="shared" ca="1" si="111"/>
        <v/>
      </c>
      <c r="Q1017" s="165" t="str">
        <f t="shared" ca="1" si="112"/>
        <v/>
      </c>
      <c r="R1017" s="79"/>
      <c r="S1017" s="80"/>
      <c r="T1017" s="61">
        <f t="shared" si="113"/>
        <v>0</v>
      </c>
      <c r="U1017" s="61">
        <f t="shared" si="114"/>
        <v>0</v>
      </c>
      <c r="V1017" s="61">
        <f t="shared" si="115"/>
        <v>0</v>
      </c>
      <c r="W1017" s="58"/>
      <c r="X1017" s="58"/>
      <c r="Y1017" s="53"/>
      <c r="Z1017" s="57"/>
      <c r="AA1017" s="62"/>
      <c r="AB1017" s="62"/>
      <c r="AC1017" s="62"/>
      <c r="AD1017" s="62"/>
      <c r="AE1017" s="62"/>
      <c r="AF1017" s="63"/>
      <c r="AG1017" s="64" t="str">
        <f t="shared" si="116"/>
        <v/>
      </c>
    </row>
    <row r="1018" spans="1:33" x14ac:dyDescent="0.25">
      <c r="A1018" s="46" t="str">
        <f>IF(ISBLANK(inbound_data[[#This Row],[Receiving Report ref.'#]]),"",IF(inbound_data[[#This Row],[Ending Quantity]]=0,"ZERO","INV"))</f>
        <v/>
      </c>
      <c r="B1018" s="165" t="str">
        <f t="shared" si="110"/>
        <v/>
      </c>
      <c r="C1018" s="165" t="str">
        <f>IF(ISBLANK(D1018),"",inbound_data[[#This Row],[Pallet_Series]]&amp;inbound_data[[#This Row],[No.]])</f>
        <v/>
      </c>
      <c r="D1018" s="54"/>
      <c r="E1018" s="55"/>
      <c r="F1018" s="56"/>
      <c r="G1018" s="57"/>
      <c r="H1018" s="53"/>
      <c r="I1018" s="53"/>
      <c r="J1018" s="55"/>
      <c r="K1018" s="58"/>
      <c r="L1018" s="59"/>
      <c r="M1018" s="55"/>
      <c r="N1018" s="60"/>
      <c r="O1018" s="60"/>
      <c r="P1018" s="165" t="str">
        <f t="shared" ca="1" si="111"/>
        <v/>
      </c>
      <c r="Q1018" s="165" t="str">
        <f t="shared" ca="1" si="112"/>
        <v/>
      </c>
      <c r="R1018" s="79"/>
      <c r="S1018" s="80"/>
      <c r="T1018" s="61">
        <f t="shared" si="113"/>
        <v>0</v>
      </c>
      <c r="U1018" s="61">
        <f t="shared" si="114"/>
        <v>0</v>
      </c>
      <c r="V1018" s="61">
        <f t="shared" si="115"/>
        <v>0</v>
      </c>
      <c r="W1018" s="58"/>
      <c r="X1018" s="58"/>
      <c r="Y1018" s="53"/>
      <c r="Z1018" s="57"/>
      <c r="AA1018" s="62"/>
      <c r="AB1018" s="62"/>
      <c r="AC1018" s="62"/>
      <c r="AD1018" s="62"/>
      <c r="AE1018" s="62"/>
      <c r="AF1018" s="63"/>
      <c r="AG1018" s="64" t="str">
        <f t="shared" si="116"/>
        <v/>
      </c>
    </row>
    <row r="1019" spans="1:33" x14ac:dyDescent="0.25">
      <c r="A1019" s="46" t="str">
        <f>IF(ISBLANK(inbound_data[[#This Row],[Receiving Report ref.'#]]),"",IF(inbound_data[[#This Row],[Ending Quantity]]=0,"ZERO","INV"))</f>
        <v/>
      </c>
      <c r="B1019" s="165" t="str">
        <f t="shared" si="110"/>
        <v/>
      </c>
      <c r="C1019" s="165" t="str">
        <f>IF(ISBLANK(D1019),"",inbound_data[[#This Row],[Pallet_Series]]&amp;inbound_data[[#This Row],[No.]])</f>
        <v/>
      </c>
      <c r="D1019" s="54"/>
      <c r="E1019" s="55"/>
      <c r="F1019" s="56"/>
      <c r="G1019" s="57"/>
      <c r="H1019" s="53"/>
      <c r="I1019" s="53"/>
      <c r="J1019" s="55"/>
      <c r="K1019" s="58"/>
      <c r="L1019" s="59"/>
      <c r="M1019" s="55"/>
      <c r="N1019" s="60"/>
      <c r="O1019" s="60"/>
      <c r="P1019" s="165" t="str">
        <f t="shared" ca="1" si="111"/>
        <v/>
      </c>
      <c r="Q1019" s="165" t="str">
        <f t="shared" ca="1" si="112"/>
        <v/>
      </c>
      <c r="R1019" s="79"/>
      <c r="S1019" s="80"/>
      <c r="T1019" s="61">
        <f t="shared" si="113"/>
        <v>0</v>
      </c>
      <c r="U1019" s="61">
        <f t="shared" si="114"/>
        <v>0</v>
      </c>
      <c r="V1019" s="61">
        <f t="shared" si="115"/>
        <v>0</v>
      </c>
      <c r="W1019" s="58"/>
      <c r="X1019" s="58"/>
      <c r="Y1019" s="53"/>
      <c r="Z1019" s="57"/>
      <c r="AA1019" s="62"/>
      <c r="AB1019" s="62"/>
      <c r="AC1019" s="62"/>
      <c r="AD1019" s="62"/>
      <c r="AE1019" s="62"/>
      <c r="AF1019" s="63"/>
      <c r="AG1019" s="64" t="str">
        <f t="shared" si="116"/>
        <v/>
      </c>
    </row>
    <row r="1020" spans="1:33" x14ac:dyDescent="0.25">
      <c r="A1020" s="46" t="str">
        <f>IF(ISBLANK(inbound_data[[#This Row],[Receiving Report ref.'#]]),"",IF(inbound_data[[#This Row],[Ending Quantity]]=0,"ZERO","INV"))</f>
        <v/>
      </c>
      <c r="B1020" s="165" t="str">
        <f t="shared" si="110"/>
        <v/>
      </c>
      <c r="C1020" s="165" t="str">
        <f>IF(ISBLANK(D1020),"",inbound_data[[#This Row],[Pallet_Series]]&amp;inbound_data[[#This Row],[No.]])</f>
        <v/>
      </c>
      <c r="D1020" s="54"/>
      <c r="E1020" s="55"/>
      <c r="F1020" s="56"/>
      <c r="G1020" s="57"/>
      <c r="H1020" s="53"/>
      <c r="I1020" s="53"/>
      <c r="J1020" s="55"/>
      <c r="K1020" s="58"/>
      <c r="L1020" s="59"/>
      <c r="M1020" s="55"/>
      <c r="N1020" s="60"/>
      <c r="O1020" s="60"/>
      <c r="P1020" s="165" t="str">
        <f t="shared" ca="1" si="111"/>
        <v/>
      </c>
      <c r="Q1020" s="165" t="str">
        <f t="shared" ca="1" si="112"/>
        <v/>
      </c>
      <c r="R1020" s="79"/>
      <c r="S1020" s="80"/>
      <c r="T1020" s="61">
        <f t="shared" si="113"/>
        <v>0</v>
      </c>
      <c r="U1020" s="61">
        <f t="shared" si="114"/>
        <v>0</v>
      </c>
      <c r="V1020" s="61">
        <f t="shared" si="115"/>
        <v>0</v>
      </c>
      <c r="W1020" s="58"/>
      <c r="X1020" s="58"/>
      <c r="Y1020" s="53"/>
      <c r="Z1020" s="57"/>
      <c r="AA1020" s="62"/>
      <c r="AB1020" s="62"/>
      <c r="AC1020" s="62"/>
      <c r="AD1020" s="62"/>
      <c r="AE1020" s="62"/>
      <c r="AF1020" s="63"/>
      <c r="AG1020" s="64" t="str">
        <f t="shared" si="116"/>
        <v/>
      </c>
    </row>
    <row r="1021" spans="1:33" x14ac:dyDescent="0.25">
      <c r="A1021" s="46" t="str">
        <f>IF(ISBLANK(inbound_data[[#This Row],[Receiving Report ref.'#]]),"",IF(inbound_data[[#This Row],[Ending Quantity]]=0,"ZERO","INV"))</f>
        <v/>
      </c>
      <c r="B1021" s="165" t="str">
        <f t="shared" si="110"/>
        <v/>
      </c>
      <c r="C1021" s="165" t="str">
        <f>IF(ISBLANK(D1021),"",inbound_data[[#This Row],[Pallet_Series]]&amp;inbound_data[[#This Row],[No.]])</f>
        <v/>
      </c>
      <c r="D1021" s="54"/>
      <c r="E1021" s="55"/>
      <c r="F1021" s="56"/>
      <c r="G1021" s="57"/>
      <c r="H1021" s="53"/>
      <c r="I1021" s="53"/>
      <c r="J1021" s="55"/>
      <c r="K1021" s="58"/>
      <c r="L1021" s="59"/>
      <c r="M1021" s="55"/>
      <c r="N1021" s="60"/>
      <c r="O1021" s="60"/>
      <c r="P1021" s="165" t="str">
        <f t="shared" ca="1" si="111"/>
        <v/>
      </c>
      <c r="Q1021" s="165" t="str">
        <f t="shared" ca="1" si="112"/>
        <v/>
      </c>
      <c r="R1021" s="79"/>
      <c r="S1021" s="80"/>
      <c r="T1021" s="61">
        <f t="shared" si="113"/>
        <v>0</v>
      </c>
      <c r="U1021" s="61">
        <f t="shared" si="114"/>
        <v>0</v>
      </c>
      <c r="V1021" s="61">
        <f t="shared" si="115"/>
        <v>0</v>
      </c>
      <c r="W1021" s="58"/>
      <c r="X1021" s="58"/>
      <c r="Y1021" s="53"/>
      <c r="Z1021" s="57"/>
      <c r="AA1021" s="62"/>
      <c r="AB1021" s="62"/>
      <c r="AC1021" s="62"/>
      <c r="AD1021" s="62"/>
      <c r="AE1021" s="62"/>
      <c r="AF1021" s="63"/>
      <c r="AG1021" s="64" t="str">
        <f t="shared" si="116"/>
        <v/>
      </c>
    </row>
    <row r="1022" spans="1:33" x14ac:dyDescent="0.25">
      <c r="A1022" s="46" t="str">
        <f>IF(ISBLANK(inbound_data[[#This Row],[Receiving Report ref.'#]]),"",IF(inbound_data[[#This Row],[Ending Quantity]]=0,"ZERO","INV"))</f>
        <v/>
      </c>
      <c r="B1022" s="165" t="str">
        <f t="shared" si="110"/>
        <v/>
      </c>
      <c r="C1022" s="165" t="str">
        <f>IF(ISBLANK(D1022),"",inbound_data[[#This Row],[Pallet_Series]]&amp;inbound_data[[#This Row],[No.]])</f>
        <v/>
      </c>
      <c r="D1022" s="54"/>
      <c r="E1022" s="55"/>
      <c r="F1022" s="56"/>
      <c r="G1022" s="57"/>
      <c r="H1022" s="53"/>
      <c r="I1022" s="53"/>
      <c r="J1022" s="55"/>
      <c r="K1022" s="58"/>
      <c r="L1022" s="59"/>
      <c r="M1022" s="55"/>
      <c r="N1022" s="60"/>
      <c r="O1022" s="60"/>
      <c r="P1022" s="165" t="str">
        <f t="shared" ca="1" si="111"/>
        <v/>
      </c>
      <c r="Q1022" s="165" t="str">
        <f t="shared" ca="1" si="112"/>
        <v/>
      </c>
      <c r="R1022" s="79"/>
      <c r="S1022" s="80"/>
      <c r="T1022" s="61">
        <f t="shared" si="113"/>
        <v>0</v>
      </c>
      <c r="U1022" s="61">
        <f t="shared" si="114"/>
        <v>0</v>
      </c>
      <c r="V1022" s="61">
        <f t="shared" si="115"/>
        <v>0</v>
      </c>
      <c r="W1022" s="58"/>
      <c r="X1022" s="58"/>
      <c r="Y1022" s="53"/>
      <c r="Z1022" s="57"/>
      <c r="AA1022" s="62"/>
      <c r="AB1022" s="62"/>
      <c r="AC1022" s="62"/>
      <c r="AD1022" s="62"/>
      <c r="AE1022" s="62"/>
      <c r="AF1022" s="63"/>
      <c r="AG1022" s="64" t="str">
        <f t="shared" si="116"/>
        <v/>
      </c>
    </row>
    <row r="1023" spans="1:33" x14ac:dyDescent="0.25">
      <c r="A1023" s="46" t="str">
        <f>IF(ISBLANK(inbound_data[[#This Row],[Receiving Report ref.'#]]),"",IF(inbound_data[[#This Row],[Ending Quantity]]=0,"ZERO","INV"))</f>
        <v/>
      </c>
      <c r="B1023" s="165" t="str">
        <f t="shared" si="110"/>
        <v/>
      </c>
      <c r="C1023" s="165" t="str">
        <f>IF(ISBLANK(D1023),"",inbound_data[[#This Row],[Pallet_Series]]&amp;inbound_data[[#This Row],[No.]])</f>
        <v/>
      </c>
      <c r="D1023" s="54"/>
      <c r="E1023" s="55"/>
      <c r="F1023" s="56"/>
      <c r="G1023" s="57"/>
      <c r="H1023" s="53"/>
      <c r="I1023" s="53"/>
      <c r="J1023" s="55"/>
      <c r="K1023" s="58"/>
      <c r="L1023" s="59"/>
      <c r="M1023" s="55"/>
      <c r="N1023" s="60"/>
      <c r="O1023" s="60"/>
      <c r="P1023" s="165" t="str">
        <f t="shared" ca="1" si="111"/>
        <v/>
      </c>
      <c r="Q1023" s="165" t="str">
        <f t="shared" ca="1" si="112"/>
        <v/>
      </c>
      <c r="R1023" s="79"/>
      <c r="S1023" s="80"/>
      <c r="T1023" s="61">
        <f t="shared" si="113"/>
        <v>0</v>
      </c>
      <c r="U1023" s="61">
        <f t="shared" si="114"/>
        <v>0</v>
      </c>
      <c r="V1023" s="61">
        <f t="shared" si="115"/>
        <v>0</v>
      </c>
      <c r="W1023" s="58"/>
      <c r="X1023" s="58"/>
      <c r="Y1023" s="53"/>
      <c r="Z1023" s="57"/>
      <c r="AA1023" s="62"/>
      <c r="AB1023" s="62"/>
      <c r="AC1023" s="62"/>
      <c r="AD1023" s="62"/>
      <c r="AE1023" s="62"/>
      <c r="AF1023" s="63"/>
      <c r="AG1023" s="64" t="str">
        <f t="shared" si="116"/>
        <v/>
      </c>
    </row>
    <row r="1024" spans="1:33" x14ac:dyDescent="0.25">
      <c r="A1024" s="46" t="str">
        <f>IF(ISBLANK(inbound_data[[#This Row],[Receiving Report ref.'#]]),"",IF(inbound_data[[#This Row],[Ending Quantity]]=0,"ZERO","INV"))</f>
        <v/>
      </c>
      <c r="B1024" s="165" t="str">
        <f t="shared" si="110"/>
        <v/>
      </c>
      <c r="C1024" s="165" t="str">
        <f>IF(ISBLANK(D1024),"",inbound_data[[#This Row],[Pallet_Series]]&amp;inbound_data[[#This Row],[No.]])</f>
        <v/>
      </c>
      <c r="D1024" s="54"/>
      <c r="E1024" s="55"/>
      <c r="F1024" s="56"/>
      <c r="G1024" s="57"/>
      <c r="H1024" s="53"/>
      <c r="I1024" s="53"/>
      <c r="J1024" s="55"/>
      <c r="K1024" s="58"/>
      <c r="L1024" s="59"/>
      <c r="M1024" s="55"/>
      <c r="N1024" s="60"/>
      <c r="O1024" s="60"/>
      <c r="P1024" s="165" t="str">
        <f t="shared" ca="1" si="111"/>
        <v/>
      </c>
      <c r="Q1024" s="165" t="str">
        <f t="shared" ca="1" si="112"/>
        <v/>
      </c>
      <c r="R1024" s="79"/>
      <c r="S1024" s="80"/>
      <c r="T1024" s="61">
        <f t="shared" si="113"/>
        <v>0</v>
      </c>
      <c r="U1024" s="61">
        <f t="shared" si="114"/>
        <v>0</v>
      </c>
      <c r="V1024" s="61">
        <f t="shared" si="115"/>
        <v>0</v>
      </c>
      <c r="W1024" s="58"/>
      <c r="X1024" s="58"/>
      <c r="Y1024" s="53"/>
      <c r="Z1024" s="57"/>
      <c r="AA1024" s="62"/>
      <c r="AB1024" s="62"/>
      <c r="AC1024" s="62"/>
      <c r="AD1024" s="62"/>
      <c r="AE1024" s="62"/>
      <c r="AF1024" s="63"/>
      <c r="AG1024" s="64" t="str">
        <f t="shared" si="116"/>
        <v/>
      </c>
    </row>
    <row r="1025" spans="1:33" x14ac:dyDescent="0.25">
      <c r="A1025" s="46" t="str">
        <f>IF(ISBLANK(inbound_data[[#This Row],[Receiving Report ref.'#]]),"",IF(inbound_data[[#This Row],[Ending Quantity]]=0,"ZERO","INV"))</f>
        <v/>
      </c>
      <c r="B1025" s="165" t="str">
        <f t="shared" si="110"/>
        <v/>
      </c>
      <c r="C1025" s="165" t="str">
        <f>IF(ISBLANK(D1025),"",inbound_data[[#This Row],[Pallet_Series]]&amp;inbound_data[[#This Row],[No.]])</f>
        <v/>
      </c>
      <c r="D1025" s="54"/>
      <c r="E1025" s="55"/>
      <c r="F1025" s="56"/>
      <c r="G1025" s="57"/>
      <c r="H1025" s="53"/>
      <c r="I1025" s="53"/>
      <c r="J1025" s="55"/>
      <c r="K1025" s="58"/>
      <c r="L1025" s="59"/>
      <c r="M1025" s="55"/>
      <c r="N1025" s="60"/>
      <c r="O1025" s="60"/>
      <c r="P1025" s="165" t="str">
        <f t="shared" ca="1" si="111"/>
        <v/>
      </c>
      <c r="Q1025" s="165" t="str">
        <f t="shared" ca="1" si="112"/>
        <v/>
      </c>
      <c r="R1025" s="79"/>
      <c r="S1025" s="80"/>
      <c r="T1025" s="61">
        <f t="shared" si="113"/>
        <v>0</v>
      </c>
      <c r="U1025" s="61">
        <f t="shared" si="114"/>
        <v>0</v>
      </c>
      <c r="V1025" s="61">
        <f t="shared" si="115"/>
        <v>0</v>
      </c>
      <c r="W1025" s="58"/>
      <c r="X1025" s="58"/>
      <c r="Y1025" s="53"/>
      <c r="Z1025" s="57"/>
      <c r="AA1025" s="62"/>
      <c r="AB1025" s="62"/>
      <c r="AC1025" s="62"/>
      <c r="AD1025" s="62"/>
      <c r="AE1025" s="62"/>
      <c r="AF1025" s="63"/>
      <c r="AG1025" s="64" t="str">
        <f t="shared" si="116"/>
        <v/>
      </c>
    </row>
    <row r="1026" spans="1:33" x14ac:dyDescent="0.25">
      <c r="A1026" s="46" t="str">
        <f>IF(ISBLANK(inbound_data[[#This Row],[Receiving Report ref.'#]]),"",IF(inbound_data[[#This Row],[Ending Quantity]]=0,"ZERO","INV"))</f>
        <v/>
      </c>
      <c r="B1026" s="165" t="str">
        <f t="shared" si="110"/>
        <v/>
      </c>
      <c r="C1026" s="165" t="str">
        <f>IF(ISBLANK(D1026),"",inbound_data[[#This Row],[Pallet_Series]]&amp;inbound_data[[#This Row],[No.]])</f>
        <v/>
      </c>
      <c r="D1026" s="54"/>
      <c r="E1026" s="55"/>
      <c r="F1026" s="56"/>
      <c r="G1026" s="57"/>
      <c r="H1026" s="53"/>
      <c r="I1026" s="53"/>
      <c r="J1026" s="55"/>
      <c r="K1026" s="58"/>
      <c r="L1026" s="59"/>
      <c r="M1026" s="55"/>
      <c r="N1026" s="60"/>
      <c r="O1026" s="60"/>
      <c r="P1026" s="165" t="str">
        <f t="shared" ca="1" si="111"/>
        <v/>
      </c>
      <c r="Q1026" s="165" t="str">
        <f t="shared" ca="1" si="112"/>
        <v/>
      </c>
      <c r="R1026" s="79"/>
      <c r="S1026" s="80"/>
      <c r="T1026" s="61">
        <f t="shared" si="113"/>
        <v>0</v>
      </c>
      <c r="U1026" s="61">
        <f t="shared" si="114"/>
        <v>0</v>
      </c>
      <c r="V1026" s="61">
        <f t="shared" si="115"/>
        <v>0</v>
      </c>
      <c r="W1026" s="58"/>
      <c r="X1026" s="58"/>
      <c r="Y1026" s="53"/>
      <c r="Z1026" s="57"/>
      <c r="AA1026" s="62"/>
      <c r="AB1026" s="62"/>
      <c r="AC1026" s="62"/>
      <c r="AD1026" s="62"/>
      <c r="AE1026" s="62"/>
      <c r="AF1026" s="63"/>
      <c r="AG1026" s="64" t="str">
        <f t="shared" si="116"/>
        <v/>
      </c>
    </row>
    <row r="1027" spans="1:33" x14ac:dyDescent="0.25">
      <c r="A1027" s="46" t="str">
        <f>IF(ISBLANK(inbound_data[[#This Row],[Receiving Report ref.'#]]),"",IF(inbound_data[[#This Row],[Ending Quantity]]=0,"ZERO","INV"))</f>
        <v/>
      </c>
      <c r="B1027" s="165" t="str">
        <f t="shared" si="110"/>
        <v/>
      </c>
      <c r="C1027" s="165" t="str">
        <f>IF(ISBLANK(D1027),"",inbound_data[[#This Row],[Pallet_Series]]&amp;inbound_data[[#This Row],[No.]])</f>
        <v/>
      </c>
      <c r="D1027" s="54"/>
      <c r="E1027" s="55"/>
      <c r="F1027" s="56"/>
      <c r="G1027" s="57"/>
      <c r="H1027" s="53"/>
      <c r="I1027" s="53"/>
      <c r="J1027" s="55"/>
      <c r="K1027" s="58"/>
      <c r="L1027" s="59"/>
      <c r="M1027" s="55"/>
      <c r="N1027" s="60"/>
      <c r="O1027" s="60"/>
      <c r="P1027" s="165" t="str">
        <f t="shared" ca="1" si="111"/>
        <v/>
      </c>
      <c r="Q1027" s="165" t="str">
        <f t="shared" ca="1" si="112"/>
        <v/>
      </c>
      <c r="R1027" s="79"/>
      <c r="S1027" s="80"/>
      <c r="T1027" s="61">
        <f t="shared" si="113"/>
        <v>0</v>
      </c>
      <c r="U1027" s="61">
        <f t="shared" si="114"/>
        <v>0</v>
      </c>
      <c r="V1027" s="61">
        <f t="shared" si="115"/>
        <v>0</v>
      </c>
      <c r="W1027" s="58"/>
      <c r="X1027" s="58"/>
      <c r="Y1027" s="53"/>
      <c r="Z1027" s="57"/>
      <c r="AA1027" s="62"/>
      <c r="AB1027" s="62"/>
      <c r="AC1027" s="62"/>
      <c r="AD1027" s="62"/>
      <c r="AE1027" s="62"/>
      <c r="AF1027" s="63"/>
      <c r="AG1027" s="64" t="str">
        <f t="shared" si="116"/>
        <v/>
      </c>
    </row>
    <row r="1028" spans="1:33" x14ac:dyDescent="0.25">
      <c r="A1028" s="46" t="str">
        <f>IF(ISBLANK(inbound_data[[#This Row],[Receiving Report ref.'#]]),"",IF(inbound_data[[#This Row],[Ending Quantity]]=0,"ZERO","INV"))</f>
        <v/>
      </c>
      <c r="B1028" s="165" t="str">
        <f t="shared" si="110"/>
        <v/>
      </c>
      <c r="C1028" s="165" t="str">
        <f>IF(ISBLANK(D1028),"",inbound_data[[#This Row],[Pallet_Series]]&amp;inbound_data[[#This Row],[No.]])</f>
        <v/>
      </c>
      <c r="D1028" s="54"/>
      <c r="E1028" s="55"/>
      <c r="F1028" s="56"/>
      <c r="G1028" s="57"/>
      <c r="H1028" s="53"/>
      <c r="I1028" s="53"/>
      <c r="J1028" s="55"/>
      <c r="K1028" s="58"/>
      <c r="L1028" s="59"/>
      <c r="M1028" s="55"/>
      <c r="N1028" s="60"/>
      <c r="O1028" s="60"/>
      <c r="P1028" s="165" t="str">
        <f t="shared" ca="1" si="111"/>
        <v/>
      </c>
      <c r="Q1028" s="165" t="str">
        <f t="shared" ca="1" si="112"/>
        <v/>
      </c>
      <c r="R1028" s="79"/>
      <c r="S1028" s="80"/>
      <c r="T1028" s="61">
        <f t="shared" si="113"/>
        <v>0</v>
      </c>
      <c r="U1028" s="61">
        <f t="shared" si="114"/>
        <v>0</v>
      </c>
      <c r="V1028" s="61">
        <f t="shared" si="115"/>
        <v>0</v>
      </c>
      <c r="W1028" s="58"/>
      <c r="X1028" s="58"/>
      <c r="Y1028" s="53"/>
      <c r="Z1028" s="57"/>
      <c r="AA1028" s="62"/>
      <c r="AB1028" s="62"/>
      <c r="AC1028" s="62"/>
      <c r="AD1028" s="62"/>
      <c r="AE1028" s="62"/>
      <c r="AF1028" s="63"/>
      <c r="AG1028" s="64" t="str">
        <f t="shared" si="116"/>
        <v/>
      </c>
    </row>
    <row r="1029" spans="1:33" x14ac:dyDescent="0.25">
      <c r="A1029" s="46" t="str">
        <f>IF(ISBLANK(inbound_data[[#This Row],[Receiving Report ref.'#]]),"",IF(inbound_data[[#This Row],[Ending Quantity]]=0,"ZERO","INV"))</f>
        <v/>
      </c>
      <c r="B1029" s="165" t="str">
        <f t="shared" si="110"/>
        <v/>
      </c>
      <c r="C1029" s="165" t="str">
        <f>IF(ISBLANK(D1029),"",inbound_data[[#This Row],[Pallet_Series]]&amp;inbound_data[[#This Row],[No.]])</f>
        <v/>
      </c>
      <c r="D1029" s="54"/>
      <c r="E1029" s="55"/>
      <c r="F1029" s="56"/>
      <c r="G1029" s="57"/>
      <c r="H1029" s="53"/>
      <c r="I1029" s="53"/>
      <c r="J1029" s="55"/>
      <c r="K1029" s="58"/>
      <c r="L1029" s="59"/>
      <c r="M1029" s="55"/>
      <c r="N1029" s="60"/>
      <c r="O1029" s="60"/>
      <c r="P1029" s="165" t="str">
        <f t="shared" ca="1" si="111"/>
        <v/>
      </c>
      <c r="Q1029" s="165" t="str">
        <f t="shared" ca="1" si="112"/>
        <v/>
      </c>
      <c r="R1029" s="79"/>
      <c r="S1029" s="80"/>
      <c r="T1029" s="61">
        <f t="shared" si="113"/>
        <v>0</v>
      </c>
      <c r="U1029" s="61">
        <f t="shared" si="114"/>
        <v>0</v>
      </c>
      <c r="V1029" s="61">
        <f t="shared" si="115"/>
        <v>0</v>
      </c>
      <c r="W1029" s="58"/>
      <c r="X1029" s="58"/>
      <c r="Y1029" s="53"/>
      <c r="Z1029" s="57"/>
      <c r="AA1029" s="62"/>
      <c r="AB1029" s="62"/>
      <c r="AC1029" s="62"/>
      <c r="AD1029" s="62"/>
      <c r="AE1029" s="62"/>
      <c r="AF1029" s="63"/>
      <c r="AG1029" s="64" t="str">
        <f t="shared" si="116"/>
        <v/>
      </c>
    </row>
    <row r="1030" spans="1:33" x14ac:dyDescent="0.25">
      <c r="A1030" s="46" t="str">
        <f>IF(ISBLANK(inbound_data[[#This Row],[Receiving Report ref.'#]]),"",IF(inbound_data[[#This Row],[Ending Quantity]]=0,"ZERO","INV"))</f>
        <v/>
      </c>
      <c r="B1030" s="165" t="str">
        <f t="shared" si="110"/>
        <v/>
      </c>
      <c r="C1030" s="165" t="str">
        <f>IF(ISBLANK(D1030),"",inbound_data[[#This Row],[Pallet_Series]]&amp;inbound_data[[#This Row],[No.]])</f>
        <v/>
      </c>
      <c r="D1030" s="54"/>
      <c r="E1030" s="55"/>
      <c r="F1030" s="56"/>
      <c r="G1030" s="57"/>
      <c r="H1030" s="53"/>
      <c r="I1030" s="53"/>
      <c r="J1030" s="55"/>
      <c r="K1030" s="58"/>
      <c r="L1030" s="59"/>
      <c r="M1030" s="55"/>
      <c r="N1030" s="60"/>
      <c r="O1030" s="60"/>
      <c r="P1030" s="165" t="str">
        <f t="shared" ca="1" si="111"/>
        <v/>
      </c>
      <c r="Q1030" s="165" t="str">
        <f t="shared" ca="1" si="112"/>
        <v/>
      </c>
      <c r="R1030" s="79"/>
      <c r="S1030" s="80"/>
      <c r="T1030" s="61">
        <f t="shared" si="113"/>
        <v>0</v>
      </c>
      <c r="U1030" s="61">
        <f t="shared" si="114"/>
        <v>0</v>
      </c>
      <c r="V1030" s="61">
        <f t="shared" si="115"/>
        <v>0</v>
      </c>
      <c r="W1030" s="58"/>
      <c r="X1030" s="58"/>
      <c r="Y1030" s="53"/>
      <c r="Z1030" s="57"/>
      <c r="AA1030" s="62"/>
      <c r="AB1030" s="62"/>
      <c r="AC1030" s="62"/>
      <c r="AD1030" s="62"/>
      <c r="AE1030" s="62"/>
      <c r="AF1030" s="63"/>
      <c r="AG1030" s="64" t="str">
        <f t="shared" si="116"/>
        <v/>
      </c>
    </row>
    <row r="1031" spans="1:33" x14ac:dyDescent="0.25">
      <c r="A1031" s="46" t="str">
        <f>IF(ISBLANK(inbound_data[[#This Row],[Receiving Report ref.'#]]),"",IF(inbound_data[[#This Row],[Ending Quantity]]=0,"ZERO","INV"))</f>
        <v/>
      </c>
      <c r="B1031" s="165" t="str">
        <f t="shared" si="110"/>
        <v/>
      </c>
      <c r="C1031" s="165" t="str">
        <f>IF(ISBLANK(D1031),"",inbound_data[[#This Row],[Pallet_Series]]&amp;inbound_data[[#This Row],[No.]])</f>
        <v/>
      </c>
      <c r="D1031" s="54"/>
      <c r="E1031" s="55"/>
      <c r="F1031" s="56"/>
      <c r="G1031" s="57"/>
      <c r="H1031" s="53"/>
      <c r="I1031" s="53"/>
      <c r="J1031" s="55"/>
      <c r="K1031" s="58"/>
      <c r="L1031" s="59"/>
      <c r="M1031" s="55"/>
      <c r="N1031" s="60"/>
      <c r="O1031" s="60"/>
      <c r="P1031" s="165" t="str">
        <f t="shared" ca="1" si="111"/>
        <v/>
      </c>
      <c r="Q1031" s="165" t="str">
        <f t="shared" ca="1" si="112"/>
        <v/>
      </c>
      <c r="R1031" s="79"/>
      <c r="S1031" s="80"/>
      <c r="T1031" s="61">
        <f t="shared" si="113"/>
        <v>0</v>
      </c>
      <c r="U1031" s="61">
        <f t="shared" si="114"/>
        <v>0</v>
      </c>
      <c r="V1031" s="61">
        <f t="shared" si="115"/>
        <v>0</v>
      </c>
      <c r="W1031" s="58"/>
      <c r="X1031" s="58"/>
      <c r="Y1031" s="53"/>
      <c r="Z1031" s="57"/>
      <c r="AA1031" s="62"/>
      <c r="AB1031" s="62"/>
      <c r="AC1031" s="62"/>
      <c r="AD1031" s="62"/>
      <c r="AE1031" s="62"/>
      <c r="AF1031" s="63"/>
      <c r="AG1031" s="64" t="str">
        <f t="shared" si="116"/>
        <v/>
      </c>
    </row>
    <row r="1032" spans="1:33" x14ac:dyDescent="0.25">
      <c r="A1032" s="46" t="str">
        <f>IF(ISBLANK(inbound_data[[#This Row],[Receiving Report ref.'#]]),"",IF(inbound_data[[#This Row],[Ending Quantity]]=0,"ZERO","INV"))</f>
        <v/>
      </c>
      <c r="B1032" s="165" t="str">
        <f t="shared" si="110"/>
        <v/>
      </c>
      <c r="C1032" s="165" t="str">
        <f>IF(ISBLANK(D1032),"",inbound_data[[#This Row],[Pallet_Series]]&amp;inbound_data[[#This Row],[No.]])</f>
        <v/>
      </c>
      <c r="D1032" s="54"/>
      <c r="E1032" s="55"/>
      <c r="F1032" s="56"/>
      <c r="G1032" s="57"/>
      <c r="H1032" s="53"/>
      <c r="I1032" s="53"/>
      <c r="J1032" s="55"/>
      <c r="K1032" s="58"/>
      <c r="L1032" s="59"/>
      <c r="M1032" s="55"/>
      <c r="N1032" s="60"/>
      <c r="O1032" s="60"/>
      <c r="P1032" s="165" t="str">
        <f t="shared" ca="1" si="111"/>
        <v/>
      </c>
      <c r="Q1032" s="165" t="str">
        <f t="shared" ca="1" si="112"/>
        <v/>
      </c>
      <c r="R1032" s="79"/>
      <c r="S1032" s="80"/>
      <c r="T1032" s="61">
        <f t="shared" si="113"/>
        <v>0</v>
      </c>
      <c r="U1032" s="61">
        <f t="shared" si="114"/>
        <v>0</v>
      </c>
      <c r="V1032" s="61">
        <f t="shared" si="115"/>
        <v>0</v>
      </c>
      <c r="W1032" s="58"/>
      <c r="X1032" s="58"/>
      <c r="Y1032" s="53"/>
      <c r="Z1032" s="57"/>
      <c r="AA1032" s="62"/>
      <c r="AB1032" s="62"/>
      <c r="AC1032" s="62"/>
      <c r="AD1032" s="62"/>
      <c r="AE1032" s="62"/>
      <c r="AF1032" s="63"/>
      <c r="AG1032" s="64" t="str">
        <f t="shared" si="116"/>
        <v/>
      </c>
    </row>
    <row r="1033" spans="1:33" x14ac:dyDescent="0.25">
      <c r="A1033" s="46" t="str">
        <f>IF(ISBLANK(inbound_data[[#This Row],[Receiving Report ref.'#]]),"",IF(inbound_data[[#This Row],[Ending Quantity]]=0,"ZERO","INV"))</f>
        <v/>
      </c>
      <c r="B1033" s="165" t="str">
        <f t="shared" ref="B1033:B1096" si="117">IF(ISBLANK(D1033),"",TEXT(ROW(),"00000"))</f>
        <v/>
      </c>
      <c r="C1033" s="165" t="str">
        <f>IF(ISBLANK(D1033),"",inbound_data[[#This Row],[Pallet_Series]]&amp;inbound_data[[#This Row],[No.]])</f>
        <v/>
      </c>
      <c r="D1033" s="54"/>
      <c r="E1033" s="55"/>
      <c r="F1033" s="56"/>
      <c r="G1033" s="57"/>
      <c r="H1033" s="53"/>
      <c r="I1033" s="53"/>
      <c r="J1033" s="55"/>
      <c r="K1033" s="58"/>
      <c r="L1033" s="59"/>
      <c r="M1033" s="55"/>
      <c r="N1033" s="60"/>
      <c r="O1033" s="60"/>
      <c r="P1033" s="165" t="str">
        <f t="shared" ref="P1033:P1096" ca="1" si="118">IF(A1033="ZERO","",IF(O1033="","",O1033-TODAY()))</f>
        <v/>
      </c>
      <c r="Q1033" s="165" t="str">
        <f t="shared" ref="Q1033:Q1096" ca="1" si="119">IF(A1033="ZERO","",IF(P1033&lt;0,"ALREADY EXPIRED",IF(P1033&lt;60,"NEARLY EXPIRED","")))</f>
        <v/>
      </c>
      <c r="R1033" s="79"/>
      <c r="S1033" s="80"/>
      <c r="T1033" s="61">
        <f t="shared" ref="T1033:T1096" si="120">IF(ISBLANK(R1033),0,R1033-SUMIF(STOCK_CODE_OUT,$C1033,QTY_OUT))</f>
        <v>0</v>
      </c>
      <c r="U1033" s="61">
        <f t="shared" ref="U1033:U1096" si="121">IF(ISBLANK(S1033),0,S1033-SUMIF(STOCK_CODE_OUT,$C1033,KILOS_OUT))</f>
        <v>0</v>
      </c>
      <c r="V1033" s="61">
        <f t="shared" ref="V1033:V1096" si="122">IF(ISBLANK(K1033),0,K1033-SUMIF(STOCK_CODE_OUT,$C1033,PALLET_OUT))</f>
        <v>0</v>
      </c>
      <c r="W1033" s="58"/>
      <c r="X1033" s="58"/>
      <c r="Y1033" s="53"/>
      <c r="Z1033" s="57"/>
      <c r="AA1033" s="62"/>
      <c r="AB1033" s="62"/>
      <c r="AC1033" s="62"/>
      <c r="AD1033" s="62"/>
      <c r="AE1033" s="62"/>
      <c r="AF1033" s="63"/>
      <c r="AG1033" s="64" t="str">
        <f t="shared" ref="AG1033:AG1096" si="123">IF(T1033&gt;0,CONCATENATE(AA1033,AB1033,TEXT(AC1033,"R00"),TEXT(AD1033,"L0."),TEXT(AE1033,"0")),"")</f>
        <v/>
      </c>
    </row>
    <row r="1034" spans="1:33" x14ac:dyDescent="0.25">
      <c r="A1034" s="46" t="str">
        <f>IF(ISBLANK(inbound_data[[#This Row],[Receiving Report ref.'#]]),"",IF(inbound_data[[#This Row],[Ending Quantity]]=0,"ZERO","INV"))</f>
        <v/>
      </c>
      <c r="B1034" s="165" t="str">
        <f t="shared" si="117"/>
        <v/>
      </c>
      <c r="C1034" s="165" t="str">
        <f>IF(ISBLANK(D1034),"",inbound_data[[#This Row],[Pallet_Series]]&amp;inbound_data[[#This Row],[No.]])</f>
        <v/>
      </c>
      <c r="D1034" s="54"/>
      <c r="E1034" s="55"/>
      <c r="F1034" s="56"/>
      <c r="G1034" s="57"/>
      <c r="H1034" s="53"/>
      <c r="I1034" s="53"/>
      <c r="J1034" s="55"/>
      <c r="K1034" s="58"/>
      <c r="L1034" s="59"/>
      <c r="M1034" s="55"/>
      <c r="N1034" s="60"/>
      <c r="O1034" s="60"/>
      <c r="P1034" s="165" t="str">
        <f t="shared" ca="1" si="118"/>
        <v/>
      </c>
      <c r="Q1034" s="165" t="str">
        <f t="shared" ca="1" si="119"/>
        <v/>
      </c>
      <c r="R1034" s="79"/>
      <c r="S1034" s="80"/>
      <c r="T1034" s="61">
        <f t="shared" si="120"/>
        <v>0</v>
      </c>
      <c r="U1034" s="61">
        <f t="shared" si="121"/>
        <v>0</v>
      </c>
      <c r="V1034" s="61">
        <f t="shared" si="122"/>
        <v>0</v>
      </c>
      <c r="W1034" s="58"/>
      <c r="X1034" s="58"/>
      <c r="Y1034" s="53"/>
      <c r="Z1034" s="57"/>
      <c r="AA1034" s="62"/>
      <c r="AB1034" s="62"/>
      <c r="AC1034" s="62"/>
      <c r="AD1034" s="62"/>
      <c r="AE1034" s="62"/>
      <c r="AF1034" s="63"/>
      <c r="AG1034" s="64" t="str">
        <f t="shared" si="123"/>
        <v/>
      </c>
    </row>
    <row r="1035" spans="1:33" x14ac:dyDescent="0.25">
      <c r="A1035" s="46" t="str">
        <f>IF(ISBLANK(inbound_data[[#This Row],[Receiving Report ref.'#]]),"",IF(inbound_data[[#This Row],[Ending Quantity]]=0,"ZERO","INV"))</f>
        <v/>
      </c>
      <c r="B1035" s="165" t="str">
        <f t="shared" si="117"/>
        <v/>
      </c>
      <c r="C1035" s="165" t="str">
        <f>IF(ISBLANK(D1035),"",inbound_data[[#This Row],[Pallet_Series]]&amp;inbound_data[[#This Row],[No.]])</f>
        <v/>
      </c>
      <c r="D1035" s="54"/>
      <c r="E1035" s="55"/>
      <c r="F1035" s="56"/>
      <c r="G1035" s="57"/>
      <c r="H1035" s="53"/>
      <c r="I1035" s="53"/>
      <c r="J1035" s="55"/>
      <c r="K1035" s="58"/>
      <c r="L1035" s="59"/>
      <c r="M1035" s="55"/>
      <c r="N1035" s="60"/>
      <c r="O1035" s="60"/>
      <c r="P1035" s="165" t="str">
        <f t="shared" ca="1" si="118"/>
        <v/>
      </c>
      <c r="Q1035" s="165" t="str">
        <f t="shared" ca="1" si="119"/>
        <v/>
      </c>
      <c r="R1035" s="79"/>
      <c r="S1035" s="80"/>
      <c r="T1035" s="61">
        <f t="shared" si="120"/>
        <v>0</v>
      </c>
      <c r="U1035" s="61">
        <f t="shared" si="121"/>
        <v>0</v>
      </c>
      <c r="V1035" s="61">
        <f t="shared" si="122"/>
        <v>0</v>
      </c>
      <c r="W1035" s="58"/>
      <c r="X1035" s="58"/>
      <c r="Y1035" s="53"/>
      <c r="Z1035" s="57"/>
      <c r="AA1035" s="62"/>
      <c r="AB1035" s="62"/>
      <c r="AC1035" s="62"/>
      <c r="AD1035" s="62"/>
      <c r="AE1035" s="62"/>
      <c r="AF1035" s="63"/>
      <c r="AG1035" s="64" t="str">
        <f t="shared" si="123"/>
        <v/>
      </c>
    </row>
    <row r="1036" spans="1:33" x14ac:dyDescent="0.25">
      <c r="A1036" s="46" t="str">
        <f>IF(ISBLANK(inbound_data[[#This Row],[Receiving Report ref.'#]]),"",IF(inbound_data[[#This Row],[Ending Quantity]]=0,"ZERO","INV"))</f>
        <v/>
      </c>
      <c r="B1036" s="165" t="str">
        <f t="shared" si="117"/>
        <v/>
      </c>
      <c r="C1036" s="165" t="str">
        <f>IF(ISBLANK(D1036),"",inbound_data[[#This Row],[Pallet_Series]]&amp;inbound_data[[#This Row],[No.]])</f>
        <v/>
      </c>
      <c r="D1036" s="54"/>
      <c r="E1036" s="55"/>
      <c r="F1036" s="56"/>
      <c r="G1036" s="57"/>
      <c r="H1036" s="53"/>
      <c r="I1036" s="53"/>
      <c r="J1036" s="55"/>
      <c r="K1036" s="58"/>
      <c r="L1036" s="59"/>
      <c r="M1036" s="55"/>
      <c r="N1036" s="60"/>
      <c r="O1036" s="60"/>
      <c r="P1036" s="165" t="str">
        <f t="shared" ca="1" si="118"/>
        <v/>
      </c>
      <c r="Q1036" s="165" t="str">
        <f t="shared" ca="1" si="119"/>
        <v/>
      </c>
      <c r="R1036" s="79"/>
      <c r="S1036" s="80"/>
      <c r="T1036" s="61">
        <f t="shared" si="120"/>
        <v>0</v>
      </c>
      <c r="U1036" s="61">
        <f t="shared" si="121"/>
        <v>0</v>
      </c>
      <c r="V1036" s="61">
        <f t="shared" si="122"/>
        <v>0</v>
      </c>
      <c r="W1036" s="58"/>
      <c r="X1036" s="58"/>
      <c r="Y1036" s="53"/>
      <c r="Z1036" s="57"/>
      <c r="AA1036" s="62"/>
      <c r="AB1036" s="62"/>
      <c r="AC1036" s="62"/>
      <c r="AD1036" s="62"/>
      <c r="AE1036" s="62"/>
      <c r="AF1036" s="63"/>
      <c r="AG1036" s="64" t="str">
        <f t="shared" si="123"/>
        <v/>
      </c>
    </row>
    <row r="1037" spans="1:33" x14ac:dyDescent="0.25">
      <c r="A1037" s="46" t="str">
        <f>IF(ISBLANK(inbound_data[[#This Row],[Receiving Report ref.'#]]),"",IF(inbound_data[[#This Row],[Ending Quantity]]=0,"ZERO","INV"))</f>
        <v/>
      </c>
      <c r="B1037" s="165" t="str">
        <f t="shared" si="117"/>
        <v/>
      </c>
      <c r="C1037" s="165" t="str">
        <f>IF(ISBLANK(D1037),"",inbound_data[[#This Row],[Pallet_Series]]&amp;inbound_data[[#This Row],[No.]])</f>
        <v/>
      </c>
      <c r="D1037" s="54"/>
      <c r="E1037" s="55"/>
      <c r="F1037" s="56"/>
      <c r="G1037" s="57"/>
      <c r="H1037" s="53"/>
      <c r="I1037" s="53"/>
      <c r="J1037" s="55"/>
      <c r="K1037" s="58"/>
      <c r="L1037" s="59"/>
      <c r="M1037" s="55"/>
      <c r="N1037" s="60"/>
      <c r="O1037" s="60"/>
      <c r="P1037" s="165" t="str">
        <f t="shared" ca="1" si="118"/>
        <v/>
      </c>
      <c r="Q1037" s="165" t="str">
        <f t="shared" ca="1" si="119"/>
        <v/>
      </c>
      <c r="R1037" s="79"/>
      <c r="S1037" s="80"/>
      <c r="T1037" s="61">
        <f t="shared" si="120"/>
        <v>0</v>
      </c>
      <c r="U1037" s="61">
        <f t="shared" si="121"/>
        <v>0</v>
      </c>
      <c r="V1037" s="61">
        <f t="shared" si="122"/>
        <v>0</v>
      </c>
      <c r="W1037" s="58"/>
      <c r="X1037" s="58"/>
      <c r="Y1037" s="53"/>
      <c r="Z1037" s="57"/>
      <c r="AA1037" s="62"/>
      <c r="AB1037" s="62"/>
      <c r="AC1037" s="62"/>
      <c r="AD1037" s="62"/>
      <c r="AE1037" s="62"/>
      <c r="AF1037" s="63"/>
      <c r="AG1037" s="64" t="str">
        <f t="shared" si="123"/>
        <v/>
      </c>
    </row>
    <row r="1038" spans="1:33" x14ac:dyDescent="0.25">
      <c r="A1038" s="46" t="str">
        <f>IF(ISBLANK(inbound_data[[#This Row],[Receiving Report ref.'#]]),"",IF(inbound_data[[#This Row],[Ending Quantity]]=0,"ZERO","INV"))</f>
        <v/>
      </c>
      <c r="B1038" s="165" t="str">
        <f t="shared" si="117"/>
        <v/>
      </c>
      <c r="C1038" s="165" t="str">
        <f>IF(ISBLANK(D1038),"",inbound_data[[#This Row],[Pallet_Series]]&amp;inbound_data[[#This Row],[No.]])</f>
        <v/>
      </c>
      <c r="D1038" s="54"/>
      <c r="E1038" s="55"/>
      <c r="F1038" s="56"/>
      <c r="G1038" s="57"/>
      <c r="H1038" s="53"/>
      <c r="I1038" s="53"/>
      <c r="J1038" s="55"/>
      <c r="K1038" s="58"/>
      <c r="L1038" s="59"/>
      <c r="M1038" s="55"/>
      <c r="N1038" s="60"/>
      <c r="O1038" s="60"/>
      <c r="P1038" s="165" t="str">
        <f t="shared" ca="1" si="118"/>
        <v/>
      </c>
      <c r="Q1038" s="165" t="str">
        <f t="shared" ca="1" si="119"/>
        <v/>
      </c>
      <c r="R1038" s="79"/>
      <c r="S1038" s="80"/>
      <c r="T1038" s="61">
        <f t="shared" si="120"/>
        <v>0</v>
      </c>
      <c r="U1038" s="61">
        <f t="shared" si="121"/>
        <v>0</v>
      </c>
      <c r="V1038" s="61">
        <f t="shared" si="122"/>
        <v>0</v>
      </c>
      <c r="W1038" s="58"/>
      <c r="X1038" s="58"/>
      <c r="Y1038" s="53"/>
      <c r="Z1038" s="57"/>
      <c r="AA1038" s="62"/>
      <c r="AB1038" s="62"/>
      <c r="AC1038" s="62"/>
      <c r="AD1038" s="62"/>
      <c r="AE1038" s="62"/>
      <c r="AF1038" s="63"/>
      <c r="AG1038" s="64" t="str">
        <f t="shared" si="123"/>
        <v/>
      </c>
    </row>
    <row r="1039" spans="1:33" x14ac:dyDescent="0.25">
      <c r="A1039" s="46" t="str">
        <f>IF(ISBLANK(inbound_data[[#This Row],[Receiving Report ref.'#]]),"",IF(inbound_data[[#This Row],[Ending Quantity]]=0,"ZERO","INV"))</f>
        <v/>
      </c>
      <c r="B1039" s="165" t="str">
        <f t="shared" si="117"/>
        <v/>
      </c>
      <c r="C1039" s="165" t="str">
        <f>IF(ISBLANK(D1039),"",inbound_data[[#This Row],[Pallet_Series]]&amp;inbound_data[[#This Row],[No.]])</f>
        <v/>
      </c>
      <c r="D1039" s="54"/>
      <c r="E1039" s="55"/>
      <c r="F1039" s="56"/>
      <c r="G1039" s="57"/>
      <c r="H1039" s="53"/>
      <c r="I1039" s="53"/>
      <c r="J1039" s="55"/>
      <c r="K1039" s="58"/>
      <c r="L1039" s="59"/>
      <c r="M1039" s="55"/>
      <c r="N1039" s="60"/>
      <c r="O1039" s="60"/>
      <c r="P1039" s="165" t="str">
        <f t="shared" ca="1" si="118"/>
        <v/>
      </c>
      <c r="Q1039" s="165" t="str">
        <f t="shared" ca="1" si="119"/>
        <v/>
      </c>
      <c r="R1039" s="79"/>
      <c r="S1039" s="80"/>
      <c r="T1039" s="61">
        <f t="shared" si="120"/>
        <v>0</v>
      </c>
      <c r="U1039" s="61">
        <f t="shared" si="121"/>
        <v>0</v>
      </c>
      <c r="V1039" s="61">
        <f t="shared" si="122"/>
        <v>0</v>
      </c>
      <c r="W1039" s="58"/>
      <c r="X1039" s="58"/>
      <c r="Y1039" s="53"/>
      <c r="Z1039" s="57"/>
      <c r="AA1039" s="62"/>
      <c r="AB1039" s="62"/>
      <c r="AC1039" s="62"/>
      <c r="AD1039" s="62"/>
      <c r="AE1039" s="62"/>
      <c r="AF1039" s="63"/>
      <c r="AG1039" s="64" t="str">
        <f t="shared" si="123"/>
        <v/>
      </c>
    </row>
    <row r="1040" spans="1:33" x14ac:dyDescent="0.25">
      <c r="A1040" s="46" t="str">
        <f>IF(ISBLANK(inbound_data[[#This Row],[Receiving Report ref.'#]]),"",IF(inbound_data[[#This Row],[Ending Quantity]]=0,"ZERO","INV"))</f>
        <v/>
      </c>
      <c r="B1040" s="165" t="str">
        <f t="shared" si="117"/>
        <v/>
      </c>
      <c r="C1040" s="165" t="str">
        <f>IF(ISBLANK(D1040),"",inbound_data[[#This Row],[Pallet_Series]]&amp;inbound_data[[#This Row],[No.]])</f>
        <v/>
      </c>
      <c r="D1040" s="54"/>
      <c r="E1040" s="55"/>
      <c r="F1040" s="56"/>
      <c r="G1040" s="57"/>
      <c r="H1040" s="53"/>
      <c r="I1040" s="53"/>
      <c r="J1040" s="55"/>
      <c r="K1040" s="58"/>
      <c r="L1040" s="59"/>
      <c r="M1040" s="55"/>
      <c r="N1040" s="60"/>
      <c r="O1040" s="60"/>
      <c r="P1040" s="165" t="str">
        <f t="shared" ca="1" si="118"/>
        <v/>
      </c>
      <c r="Q1040" s="165" t="str">
        <f t="shared" ca="1" si="119"/>
        <v/>
      </c>
      <c r="R1040" s="79"/>
      <c r="S1040" s="80"/>
      <c r="T1040" s="61">
        <f t="shared" si="120"/>
        <v>0</v>
      </c>
      <c r="U1040" s="61">
        <f t="shared" si="121"/>
        <v>0</v>
      </c>
      <c r="V1040" s="61">
        <f t="shared" si="122"/>
        <v>0</v>
      </c>
      <c r="W1040" s="58"/>
      <c r="X1040" s="58"/>
      <c r="Y1040" s="53"/>
      <c r="Z1040" s="57"/>
      <c r="AA1040" s="62"/>
      <c r="AB1040" s="62"/>
      <c r="AC1040" s="62"/>
      <c r="AD1040" s="62"/>
      <c r="AE1040" s="62"/>
      <c r="AF1040" s="63"/>
      <c r="AG1040" s="64" t="str">
        <f t="shared" si="123"/>
        <v/>
      </c>
    </row>
    <row r="1041" spans="1:33" x14ac:dyDescent="0.25">
      <c r="A1041" s="46" t="str">
        <f>IF(ISBLANK(inbound_data[[#This Row],[Receiving Report ref.'#]]),"",IF(inbound_data[[#This Row],[Ending Quantity]]=0,"ZERO","INV"))</f>
        <v/>
      </c>
      <c r="B1041" s="165" t="str">
        <f t="shared" si="117"/>
        <v/>
      </c>
      <c r="C1041" s="165" t="str">
        <f>IF(ISBLANK(D1041),"",inbound_data[[#This Row],[Pallet_Series]]&amp;inbound_data[[#This Row],[No.]])</f>
        <v/>
      </c>
      <c r="D1041" s="54"/>
      <c r="E1041" s="55"/>
      <c r="F1041" s="56"/>
      <c r="G1041" s="57"/>
      <c r="H1041" s="53"/>
      <c r="I1041" s="53"/>
      <c r="J1041" s="55"/>
      <c r="K1041" s="58"/>
      <c r="L1041" s="59"/>
      <c r="M1041" s="55"/>
      <c r="N1041" s="60"/>
      <c r="O1041" s="60"/>
      <c r="P1041" s="165" t="str">
        <f t="shared" ca="1" si="118"/>
        <v/>
      </c>
      <c r="Q1041" s="165" t="str">
        <f t="shared" ca="1" si="119"/>
        <v/>
      </c>
      <c r="R1041" s="79"/>
      <c r="S1041" s="80"/>
      <c r="T1041" s="61">
        <f t="shared" si="120"/>
        <v>0</v>
      </c>
      <c r="U1041" s="61">
        <f t="shared" si="121"/>
        <v>0</v>
      </c>
      <c r="V1041" s="61">
        <f t="shared" si="122"/>
        <v>0</v>
      </c>
      <c r="W1041" s="58"/>
      <c r="X1041" s="58"/>
      <c r="Y1041" s="53"/>
      <c r="Z1041" s="57"/>
      <c r="AA1041" s="62"/>
      <c r="AB1041" s="62"/>
      <c r="AC1041" s="62"/>
      <c r="AD1041" s="62"/>
      <c r="AE1041" s="62"/>
      <c r="AF1041" s="63"/>
      <c r="AG1041" s="64" t="str">
        <f t="shared" si="123"/>
        <v/>
      </c>
    </row>
    <row r="1042" spans="1:33" x14ac:dyDescent="0.25">
      <c r="A1042" s="46" t="str">
        <f>IF(ISBLANK(inbound_data[[#This Row],[Receiving Report ref.'#]]),"",IF(inbound_data[[#This Row],[Ending Quantity]]=0,"ZERO","INV"))</f>
        <v/>
      </c>
      <c r="B1042" s="165" t="str">
        <f t="shared" si="117"/>
        <v/>
      </c>
      <c r="C1042" s="165" t="str">
        <f>IF(ISBLANK(D1042),"",inbound_data[[#This Row],[Pallet_Series]]&amp;inbound_data[[#This Row],[No.]])</f>
        <v/>
      </c>
      <c r="D1042" s="54"/>
      <c r="E1042" s="55"/>
      <c r="F1042" s="56"/>
      <c r="G1042" s="57"/>
      <c r="H1042" s="53"/>
      <c r="I1042" s="53"/>
      <c r="J1042" s="55"/>
      <c r="K1042" s="58"/>
      <c r="L1042" s="59"/>
      <c r="M1042" s="55"/>
      <c r="N1042" s="60"/>
      <c r="O1042" s="60"/>
      <c r="P1042" s="165" t="str">
        <f t="shared" ca="1" si="118"/>
        <v/>
      </c>
      <c r="Q1042" s="165" t="str">
        <f t="shared" ca="1" si="119"/>
        <v/>
      </c>
      <c r="R1042" s="79"/>
      <c r="S1042" s="80"/>
      <c r="T1042" s="61">
        <f t="shared" si="120"/>
        <v>0</v>
      </c>
      <c r="U1042" s="61">
        <f t="shared" si="121"/>
        <v>0</v>
      </c>
      <c r="V1042" s="61">
        <f t="shared" si="122"/>
        <v>0</v>
      </c>
      <c r="W1042" s="58"/>
      <c r="X1042" s="58"/>
      <c r="Y1042" s="53"/>
      <c r="Z1042" s="57"/>
      <c r="AA1042" s="62"/>
      <c r="AB1042" s="62"/>
      <c r="AC1042" s="62"/>
      <c r="AD1042" s="62"/>
      <c r="AE1042" s="62"/>
      <c r="AF1042" s="63"/>
      <c r="AG1042" s="64" t="str">
        <f t="shared" si="123"/>
        <v/>
      </c>
    </row>
    <row r="1043" spans="1:33" x14ac:dyDescent="0.25">
      <c r="A1043" s="46" t="str">
        <f>IF(ISBLANK(inbound_data[[#This Row],[Receiving Report ref.'#]]),"",IF(inbound_data[[#This Row],[Ending Quantity]]=0,"ZERO","INV"))</f>
        <v/>
      </c>
      <c r="B1043" s="165" t="str">
        <f t="shared" si="117"/>
        <v/>
      </c>
      <c r="C1043" s="165" t="str">
        <f>IF(ISBLANK(D1043),"",inbound_data[[#This Row],[Pallet_Series]]&amp;inbound_data[[#This Row],[No.]])</f>
        <v/>
      </c>
      <c r="D1043" s="54"/>
      <c r="E1043" s="55"/>
      <c r="F1043" s="56"/>
      <c r="G1043" s="57"/>
      <c r="H1043" s="53"/>
      <c r="I1043" s="53"/>
      <c r="J1043" s="55"/>
      <c r="K1043" s="58"/>
      <c r="L1043" s="59"/>
      <c r="M1043" s="55"/>
      <c r="N1043" s="60"/>
      <c r="O1043" s="60"/>
      <c r="P1043" s="165" t="str">
        <f t="shared" ca="1" si="118"/>
        <v/>
      </c>
      <c r="Q1043" s="165" t="str">
        <f t="shared" ca="1" si="119"/>
        <v/>
      </c>
      <c r="R1043" s="79"/>
      <c r="S1043" s="80"/>
      <c r="T1043" s="61">
        <f t="shared" si="120"/>
        <v>0</v>
      </c>
      <c r="U1043" s="61">
        <f t="shared" si="121"/>
        <v>0</v>
      </c>
      <c r="V1043" s="61">
        <f t="shared" si="122"/>
        <v>0</v>
      </c>
      <c r="W1043" s="58"/>
      <c r="X1043" s="58"/>
      <c r="Y1043" s="53"/>
      <c r="Z1043" s="57"/>
      <c r="AA1043" s="62"/>
      <c r="AB1043" s="62"/>
      <c r="AC1043" s="62"/>
      <c r="AD1043" s="62"/>
      <c r="AE1043" s="62"/>
      <c r="AF1043" s="63"/>
      <c r="AG1043" s="64" t="str">
        <f t="shared" si="123"/>
        <v/>
      </c>
    </row>
    <row r="1044" spans="1:33" x14ac:dyDescent="0.25">
      <c r="A1044" s="46" t="str">
        <f>IF(ISBLANK(inbound_data[[#This Row],[Receiving Report ref.'#]]),"",IF(inbound_data[[#This Row],[Ending Quantity]]=0,"ZERO","INV"))</f>
        <v/>
      </c>
      <c r="B1044" s="165" t="str">
        <f t="shared" si="117"/>
        <v/>
      </c>
      <c r="C1044" s="165" t="str">
        <f>IF(ISBLANK(D1044),"",inbound_data[[#This Row],[Pallet_Series]]&amp;inbound_data[[#This Row],[No.]])</f>
        <v/>
      </c>
      <c r="D1044" s="54"/>
      <c r="E1044" s="55"/>
      <c r="F1044" s="56"/>
      <c r="G1044" s="57"/>
      <c r="H1044" s="53"/>
      <c r="I1044" s="53"/>
      <c r="J1044" s="55"/>
      <c r="K1044" s="58"/>
      <c r="L1044" s="59"/>
      <c r="M1044" s="55"/>
      <c r="N1044" s="60"/>
      <c r="O1044" s="60"/>
      <c r="P1044" s="165" t="str">
        <f t="shared" ca="1" si="118"/>
        <v/>
      </c>
      <c r="Q1044" s="165" t="str">
        <f t="shared" ca="1" si="119"/>
        <v/>
      </c>
      <c r="R1044" s="79"/>
      <c r="S1044" s="80"/>
      <c r="T1044" s="61">
        <f t="shared" si="120"/>
        <v>0</v>
      </c>
      <c r="U1044" s="61">
        <f t="shared" si="121"/>
        <v>0</v>
      </c>
      <c r="V1044" s="61">
        <f t="shared" si="122"/>
        <v>0</v>
      </c>
      <c r="W1044" s="58"/>
      <c r="X1044" s="58"/>
      <c r="Y1044" s="53"/>
      <c r="Z1044" s="57"/>
      <c r="AA1044" s="62"/>
      <c r="AB1044" s="62"/>
      <c r="AC1044" s="62"/>
      <c r="AD1044" s="62"/>
      <c r="AE1044" s="62"/>
      <c r="AF1044" s="63"/>
      <c r="AG1044" s="64" t="str">
        <f t="shared" si="123"/>
        <v/>
      </c>
    </row>
    <row r="1045" spans="1:33" x14ac:dyDescent="0.25">
      <c r="A1045" s="46" t="str">
        <f>IF(ISBLANK(inbound_data[[#This Row],[Receiving Report ref.'#]]),"",IF(inbound_data[[#This Row],[Ending Quantity]]=0,"ZERO","INV"))</f>
        <v/>
      </c>
      <c r="B1045" s="165" t="str">
        <f t="shared" si="117"/>
        <v/>
      </c>
      <c r="C1045" s="165" t="str">
        <f>IF(ISBLANK(D1045),"",inbound_data[[#This Row],[Pallet_Series]]&amp;inbound_data[[#This Row],[No.]])</f>
        <v/>
      </c>
      <c r="D1045" s="54"/>
      <c r="E1045" s="55"/>
      <c r="F1045" s="56"/>
      <c r="G1045" s="57"/>
      <c r="H1045" s="53"/>
      <c r="I1045" s="53"/>
      <c r="J1045" s="55"/>
      <c r="K1045" s="58"/>
      <c r="L1045" s="59"/>
      <c r="M1045" s="55"/>
      <c r="N1045" s="60"/>
      <c r="O1045" s="60"/>
      <c r="P1045" s="165" t="str">
        <f t="shared" ca="1" si="118"/>
        <v/>
      </c>
      <c r="Q1045" s="165" t="str">
        <f t="shared" ca="1" si="119"/>
        <v/>
      </c>
      <c r="R1045" s="79"/>
      <c r="S1045" s="80"/>
      <c r="T1045" s="61">
        <f t="shared" si="120"/>
        <v>0</v>
      </c>
      <c r="U1045" s="61">
        <f t="shared" si="121"/>
        <v>0</v>
      </c>
      <c r="V1045" s="61">
        <f t="shared" si="122"/>
        <v>0</v>
      </c>
      <c r="W1045" s="58"/>
      <c r="X1045" s="58"/>
      <c r="Y1045" s="53"/>
      <c r="Z1045" s="57"/>
      <c r="AA1045" s="62"/>
      <c r="AB1045" s="62"/>
      <c r="AC1045" s="62"/>
      <c r="AD1045" s="62"/>
      <c r="AE1045" s="62"/>
      <c r="AF1045" s="63"/>
      <c r="AG1045" s="64" t="str">
        <f t="shared" si="123"/>
        <v/>
      </c>
    </row>
    <row r="1046" spans="1:33" x14ac:dyDescent="0.25">
      <c r="A1046" s="46" t="str">
        <f>IF(ISBLANK(inbound_data[[#This Row],[Receiving Report ref.'#]]),"",IF(inbound_data[[#This Row],[Ending Quantity]]=0,"ZERO","INV"))</f>
        <v/>
      </c>
      <c r="B1046" s="165" t="str">
        <f t="shared" si="117"/>
        <v/>
      </c>
      <c r="C1046" s="165" t="str">
        <f>IF(ISBLANK(D1046),"",inbound_data[[#This Row],[Pallet_Series]]&amp;inbound_data[[#This Row],[No.]])</f>
        <v/>
      </c>
      <c r="D1046" s="54"/>
      <c r="E1046" s="55"/>
      <c r="F1046" s="56"/>
      <c r="G1046" s="57"/>
      <c r="H1046" s="53"/>
      <c r="I1046" s="53"/>
      <c r="J1046" s="55"/>
      <c r="K1046" s="58"/>
      <c r="L1046" s="59"/>
      <c r="M1046" s="55"/>
      <c r="N1046" s="60"/>
      <c r="O1046" s="60"/>
      <c r="P1046" s="165" t="str">
        <f t="shared" ca="1" si="118"/>
        <v/>
      </c>
      <c r="Q1046" s="165" t="str">
        <f t="shared" ca="1" si="119"/>
        <v/>
      </c>
      <c r="R1046" s="79"/>
      <c r="S1046" s="80"/>
      <c r="T1046" s="61">
        <f t="shared" si="120"/>
        <v>0</v>
      </c>
      <c r="U1046" s="61">
        <f t="shared" si="121"/>
        <v>0</v>
      </c>
      <c r="V1046" s="61">
        <f t="shared" si="122"/>
        <v>0</v>
      </c>
      <c r="W1046" s="58"/>
      <c r="X1046" s="58"/>
      <c r="Y1046" s="53"/>
      <c r="Z1046" s="57"/>
      <c r="AA1046" s="62"/>
      <c r="AB1046" s="62"/>
      <c r="AC1046" s="62"/>
      <c r="AD1046" s="62"/>
      <c r="AE1046" s="62"/>
      <c r="AF1046" s="63"/>
      <c r="AG1046" s="64" t="str">
        <f t="shared" si="123"/>
        <v/>
      </c>
    </row>
    <row r="1047" spans="1:33" x14ac:dyDescent="0.25">
      <c r="A1047" s="46" t="str">
        <f>IF(ISBLANK(inbound_data[[#This Row],[Receiving Report ref.'#]]),"",IF(inbound_data[[#This Row],[Ending Quantity]]=0,"ZERO","INV"))</f>
        <v/>
      </c>
      <c r="B1047" s="165" t="str">
        <f t="shared" si="117"/>
        <v/>
      </c>
      <c r="C1047" s="165" t="str">
        <f>IF(ISBLANK(D1047),"",inbound_data[[#This Row],[Pallet_Series]]&amp;inbound_data[[#This Row],[No.]])</f>
        <v/>
      </c>
      <c r="D1047" s="54"/>
      <c r="E1047" s="55"/>
      <c r="F1047" s="56"/>
      <c r="G1047" s="57"/>
      <c r="H1047" s="53"/>
      <c r="I1047" s="53"/>
      <c r="J1047" s="55"/>
      <c r="K1047" s="58"/>
      <c r="L1047" s="59"/>
      <c r="M1047" s="55"/>
      <c r="N1047" s="60"/>
      <c r="O1047" s="60"/>
      <c r="P1047" s="165" t="str">
        <f t="shared" ca="1" si="118"/>
        <v/>
      </c>
      <c r="Q1047" s="165" t="str">
        <f t="shared" ca="1" si="119"/>
        <v/>
      </c>
      <c r="R1047" s="79"/>
      <c r="S1047" s="80"/>
      <c r="T1047" s="61">
        <f t="shared" si="120"/>
        <v>0</v>
      </c>
      <c r="U1047" s="61">
        <f t="shared" si="121"/>
        <v>0</v>
      </c>
      <c r="V1047" s="61">
        <f t="shared" si="122"/>
        <v>0</v>
      </c>
      <c r="W1047" s="58"/>
      <c r="X1047" s="58"/>
      <c r="Y1047" s="53"/>
      <c r="Z1047" s="57"/>
      <c r="AA1047" s="62"/>
      <c r="AB1047" s="62"/>
      <c r="AC1047" s="62"/>
      <c r="AD1047" s="62"/>
      <c r="AE1047" s="62"/>
      <c r="AF1047" s="63"/>
      <c r="AG1047" s="64" t="str">
        <f t="shared" si="123"/>
        <v/>
      </c>
    </row>
    <row r="1048" spans="1:33" x14ac:dyDescent="0.25">
      <c r="A1048" s="46" t="str">
        <f>IF(ISBLANK(inbound_data[[#This Row],[Receiving Report ref.'#]]),"",IF(inbound_data[[#This Row],[Ending Quantity]]=0,"ZERO","INV"))</f>
        <v/>
      </c>
      <c r="B1048" s="165" t="str">
        <f t="shared" si="117"/>
        <v/>
      </c>
      <c r="C1048" s="165" t="str">
        <f>IF(ISBLANK(D1048),"",inbound_data[[#This Row],[Pallet_Series]]&amp;inbound_data[[#This Row],[No.]])</f>
        <v/>
      </c>
      <c r="D1048" s="54"/>
      <c r="E1048" s="55"/>
      <c r="F1048" s="56"/>
      <c r="G1048" s="57"/>
      <c r="H1048" s="53"/>
      <c r="I1048" s="53"/>
      <c r="J1048" s="55"/>
      <c r="K1048" s="58"/>
      <c r="L1048" s="59"/>
      <c r="M1048" s="55"/>
      <c r="N1048" s="60"/>
      <c r="O1048" s="60"/>
      <c r="P1048" s="165" t="str">
        <f t="shared" ca="1" si="118"/>
        <v/>
      </c>
      <c r="Q1048" s="165" t="str">
        <f t="shared" ca="1" si="119"/>
        <v/>
      </c>
      <c r="R1048" s="79"/>
      <c r="S1048" s="80"/>
      <c r="T1048" s="61">
        <f t="shared" si="120"/>
        <v>0</v>
      </c>
      <c r="U1048" s="61">
        <f t="shared" si="121"/>
        <v>0</v>
      </c>
      <c r="V1048" s="61">
        <f t="shared" si="122"/>
        <v>0</v>
      </c>
      <c r="W1048" s="58"/>
      <c r="X1048" s="58"/>
      <c r="Y1048" s="53"/>
      <c r="Z1048" s="57"/>
      <c r="AA1048" s="62"/>
      <c r="AB1048" s="62"/>
      <c r="AC1048" s="62"/>
      <c r="AD1048" s="62"/>
      <c r="AE1048" s="62"/>
      <c r="AF1048" s="63"/>
      <c r="AG1048" s="64" t="str">
        <f t="shared" si="123"/>
        <v/>
      </c>
    </row>
    <row r="1049" spans="1:33" x14ac:dyDescent="0.25">
      <c r="A1049" s="46" t="str">
        <f>IF(ISBLANK(inbound_data[[#This Row],[Receiving Report ref.'#]]),"",IF(inbound_data[[#This Row],[Ending Quantity]]=0,"ZERO","INV"))</f>
        <v/>
      </c>
      <c r="B1049" s="165" t="str">
        <f t="shared" si="117"/>
        <v/>
      </c>
      <c r="C1049" s="165" t="str">
        <f>IF(ISBLANK(D1049),"",inbound_data[[#This Row],[Pallet_Series]]&amp;inbound_data[[#This Row],[No.]])</f>
        <v/>
      </c>
      <c r="D1049" s="54"/>
      <c r="E1049" s="55"/>
      <c r="F1049" s="56"/>
      <c r="G1049" s="57"/>
      <c r="H1049" s="53"/>
      <c r="I1049" s="53"/>
      <c r="J1049" s="55"/>
      <c r="K1049" s="58"/>
      <c r="L1049" s="59"/>
      <c r="M1049" s="55"/>
      <c r="N1049" s="60"/>
      <c r="O1049" s="60"/>
      <c r="P1049" s="165" t="str">
        <f t="shared" ca="1" si="118"/>
        <v/>
      </c>
      <c r="Q1049" s="165" t="str">
        <f t="shared" ca="1" si="119"/>
        <v/>
      </c>
      <c r="R1049" s="79"/>
      <c r="S1049" s="80"/>
      <c r="T1049" s="61">
        <f t="shared" si="120"/>
        <v>0</v>
      </c>
      <c r="U1049" s="61">
        <f t="shared" si="121"/>
        <v>0</v>
      </c>
      <c r="V1049" s="61">
        <f t="shared" si="122"/>
        <v>0</v>
      </c>
      <c r="W1049" s="58"/>
      <c r="X1049" s="58"/>
      <c r="Y1049" s="53"/>
      <c r="Z1049" s="57"/>
      <c r="AA1049" s="62"/>
      <c r="AB1049" s="62"/>
      <c r="AC1049" s="62"/>
      <c r="AD1049" s="62"/>
      <c r="AE1049" s="62"/>
      <c r="AF1049" s="63"/>
      <c r="AG1049" s="64" t="str">
        <f t="shared" si="123"/>
        <v/>
      </c>
    </row>
    <row r="1050" spans="1:33" x14ac:dyDescent="0.25">
      <c r="A1050" s="46" t="str">
        <f>IF(ISBLANK(inbound_data[[#This Row],[Receiving Report ref.'#]]),"",IF(inbound_data[[#This Row],[Ending Quantity]]=0,"ZERO","INV"))</f>
        <v/>
      </c>
      <c r="B1050" s="165" t="str">
        <f t="shared" si="117"/>
        <v/>
      </c>
      <c r="C1050" s="165" t="str">
        <f>IF(ISBLANK(D1050),"",inbound_data[[#This Row],[Pallet_Series]]&amp;inbound_data[[#This Row],[No.]])</f>
        <v/>
      </c>
      <c r="D1050" s="54"/>
      <c r="E1050" s="55"/>
      <c r="F1050" s="56"/>
      <c r="G1050" s="57"/>
      <c r="H1050" s="53"/>
      <c r="I1050" s="53"/>
      <c r="J1050" s="55"/>
      <c r="K1050" s="58"/>
      <c r="L1050" s="59"/>
      <c r="M1050" s="55"/>
      <c r="N1050" s="60"/>
      <c r="O1050" s="60"/>
      <c r="P1050" s="165" t="str">
        <f t="shared" ca="1" si="118"/>
        <v/>
      </c>
      <c r="Q1050" s="165" t="str">
        <f t="shared" ca="1" si="119"/>
        <v/>
      </c>
      <c r="R1050" s="79"/>
      <c r="S1050" s="80"/>
      <c r="T1050" s="61">
        <f t="shared" si="120"/>
        <v>0</v>
      </c>
      <c r="U1050" s="61">
        <f t="shared" si="121"/>
        <v>0</v>
      </c>
      <c r="V1050" s="61">
        <f t="shared" si="122"/>
        <v>0</v>
      </c>
      <c r="W1050" s="58"/>
      <c r="X1050" s="58"/>
      <c r="Y1050" s="53"/>
      <c r="Z1050" s="57"/>
      <c r="AA1050" s="62"/>
      <c r="AB1050" s="62"/>
      <c r="AC1050" s="62"/>
      <c r="AD1050" s="62"/>
      <c r="AE1050" s="62"/>
      <c r="AF1050" s="63"/>
      <c r="AG1050" s="64" t="str">
        <f t="shared" si="123"/>
        <v/>
      </c>
    </row>
    <row r="1051" spans="1:33" x14ac:dyDescent="0.25">
      <c r="A1051" s="46" t="str">
        <f>IF(ISBLANK(inbound_data[[#This Row],[Receiving Report ref.'#]]),"",IF(inbound_data[[#This Row],[Ending Quantity]]=0,"ZERO","INV"))</f>
        <v/>
      </c>
      <c r="B1051" s="165" t="str">
        <f t="shared" si="117"/>
        <v/>
      </c>
      <c r="C1051" s="165" t="str">
        <f>IF(ISBLANK(D1051),"",inbound_data[[#This Row],[Pallet_Series]]&amp;inbound_data[[#This Row],[No.]])</f>
        <v/>
      </c>
      <c r="D1051" s="54"/>
      <c r="E1051" s="55"/>
      <c r="F1051" s="56"/>
      <c r="G1051" s="57"/>
      <c r="H1051" s="53"/>
      <c r="I1051" s="53"/>
      <c r="J1051" s="55"/>
      <c r="K1051" s="58"/>
      <c r="L1051" s="59"/>
      <c r="M1051" s="55"/>
      <c r="N1051" s="60"/>
      <c r="O1051" s="60"/>
      <c r="P1051" s="165" t="str">
        <f t="shared" ca="1" si="118"/>
        <v/>
      </c>
      <c r="Q1051" s="165" t="str">
        <f t="shared" ca="1" si="119"/>
        <v/>
      </c>
      <c r="R1051" s="79"/>
      <c r="S1051" s="80"/>
      <c r="T1051" s="61">
        <f t="shared" si="120"/>
        <v>0</v>
      </c>
      <c r="U1051" s="61">
        <f t="shared" si="121"/>
        <v>0</v>
      </c>
      <c r="V1051" s="61">
        <f t="shared" si="122"/>
        <v>0</v>
      </c>
      <c r="W1051" s="58"/>
      <c r="X1051" s="58"/>
      <c r="Y1051" s="53"/>
      <c r="Z1051" s="57"/>
      <c r="AA1051" s="62"/>
      <c r="AB1051" s="62"/>
      <c r="AC1051" s="62"/>
      <c r="AD1051" s="62"/>
      <c r="AE1051" s="62"/>
      <c r="AF1051" s="63"/>
      <c r="AG1051" s="64" t="str">
        <f t="shared" si="123"/>
        <v/>
      </c>
    </row>
    <row r="1052" spans="1:33" x14ac:dyDescent="0.25">
      <c r="A1052" s="46" t="str">
        <f>IF(ISBLANK(inbound_data[[#This Row],[Receiving Report ref.'#]]),"",IF(inbound_data[[#This Row],[Ending Quantity]]=0,"ZERO","INV"))</f>
        <v/>
      </c>
      <c r="B1052" s="165" t="str">
        <f t="shared" si="117"/>
        <v/>
      </c>
      <c r="C1052" s="165" t="str">
        <f>IF(ISBLANK(D1052),"",inbound_data[[#This Row],[Pallet_Series]]&amp;inbound_data[[#This Row],[No.]])</f>
        <v/>
      </c>
      <c r="D1052" s="54"/>
      <c r="E1052" s="55"/>
      <c r="F1052" s="56"/>
      <c r="G1052" s="57"/>
      <c r="H1052" s="53"/>
      <c r="I1052" s="53"/>
      <c r="J1052" s="55"/>
      <c r="K1052" s="58"/>
      <c r="L1052" s="59"/>
      <c r="M1052" s="55"/>
      <c r="N1052" s="60"/>
      <c r="O1052" s="60"/>
      <c r="P1052" s="165" t="str">
        <f t="shared" ca="1" si="118"/>
        <v/>
      </c>
      <c r="Q1052" s="165" t="str">
        <f t="shared" ca="1" si="119"/>
        <v/>
      </c>
      <c r="R1052" s="79"/>
      <c r="S1052" s="80"/>
      <c r="T1052" s="61">
        <f t="shared" si="120"/>
        <v>0</v>
      </c>
      <c r="U1052" s="61">
        <f t="shared" si="121"/>
        <v>0</v>
      </c>
      <c r="V1052" s="61">
        <f t="shared" si="122"/>
        <v>0</v>
      </c>
      <c r="W1052" s="58"/>
      <c r="X1052" s="58"/>
      <c r="Y1052" s="53"/>
      <c r="Z1052" s="57"/>
      <c r="AA1052" s="62"/>
      <c r="AB1052" s="62"/>
      <c r="AC1052" s="62"/>
      <c r="AD1052" s="62"/>
      <c r="AE1052" s="62"/>
      <c r="AF1052" s="63"/>
      <c r="AG1052" s="64" t="str">
        <f t="shared" si="123"/>
        <v/>
      </c>
    </row>
    <row r="1053" spans="1:33" x14ac:dyDescent="0.25">
      <c r="A1053" s="46" t="str">
        <f>IF(ISBLANK(inbound_data[[#This Row],[Receiving Report ref.'#]]),"",IF(inbound_data[[#This Row],[Ending Quantity]]=0,"ZERO","INV"))</f>
        <v/>
      </c>
      <c r="B1053" s="165" t="str">
        <f t="shared" si="117"/>
        <v/>
      </c>
      <c r="C1053" s="165" t="str">
        <f>IF(ISBLANK(D1053),"",inbound_data[[#This Row],[Pallet_Series]]&amp;inbound_data[[#This Row],[No.]])</f>
        <v/>
      </c>
      <c r="D1053" s="54"/>
      <c r="E1053" s="55"/>
      <c r="F1053" s="56"/>
      <c r="G1053" s="57"/>
      <c r="H1053" s="53"/>
      <c r="I1053" s="53"/>
      <c r="J1053" s="55"/>
      <c r="K1053" s="58"/>
      <c r="L1053" s="59"/>
      <c r="M1053" s="55"/>
      <c r="N1053" s="60"/>
      <c r="O1053" s="60"/>
      <c r="P1053" s="165" t="str">
        <f t="shared" ca="1" si="118"/>
        <v/>
      </c>
      <c r="Q1053" s="165" t="str">
        <f t="shared" ca="1" si="119"/>
        <v/>
      </c>
      <c r="R1053" s="79"/>
      <c r="S1053" s="80"/>
      <c r="T1053" s="61">
        <f t="shared" si="120"/>
        <v>0</v>
      </c>
      <c r="U1053" s="61">
        <f t="shared" si="121"/>
        <v>0</v>
      </c>
      <c r="V1053" s="61">
        <f t="shared" si="122"/>
        <v>0</v>
      </c>
      <c r="W1053" s="58"/>
      <c r="X1053" s="58"/>
      <c r="Y1053" s="53"/>
      <c r="Z1053" s="57"/>
      <c r="AA1053" s="62"/>
      <c r="AB1053" s="62"/>
      <c r="AC1053" s="62"/>
      <c r="AD1053" s="62"/>
      <c r="AE1053" s="62"/>
      <c r="AF1053" s="63"/>
      <c r="AG1053" s="64" t="str">
        <f t="shared" si="123"/>
        <v/>
      </c>
    </row>
    <row r="1054" spans="1:33" x14ac:dyDescent="0.25">
      <c r="A1054" s="46" t="str">
        <f>IF(ISBLANK(inbound_data[[#This Row],[Receiving Report ref.'#]]),"",IF(inbound_data[[#This Row],[Ending Quantity]]=0,"ZERO","INV"))</f>
        <v/>
      </c>
      <c r="B1054" s="165" t="str">
        <f t="shared" si="117"/>
        <v/>
      </c>
      <c r="C1054" s="165" t="str">
        <f>IF(ISBLANK(D1054),"",inbound_data[[#This Row],[Pallet_Series]]&amp;inbound_data[[#This Row],[No.]])</f>
        <v/>
      </c>
      <c r="D1054" s="54"/>
      <c r="E1054" s="55"/>
      <c r="F1054" s="56"/>
      <c r="G1054" s="57"/>
      <c r="H1054" s="53"/>
      <c r="I1054" s="53"/>
      <c r="J1054" s="55"/>
      <c r="K1054" s="58"/>
      <c r="L1054" s="59"/>
      <c r="M1054" s="55"/>
      <c r="N1054" s="60"/>
      <c r="O1054" s="60"/>
      <c r="P1054" s="165" t="str">
        <f t="shared" ca="1" si="118"/>
        <v/>
      </c>
      <c r="Q1054" s="165" t="str">
        <f t="shared" ca="1" si="119"/>
        <v/>
      </c>
      <c r="R1054" s="79"/>
      <c r="S1054" s="80"/>
      <c r="T1054" s="61">
        <f t="shared" si="120"/>
        <v>0</v>
      </c>
      <c r="U1054" s="61">
        <f t="shared" si="121"/>
        <v>0</v>
      </c>
      <c r="V1054" s="61">
        <f t="shared" si="122"/>
        <v>0</v>
      </c>
      <c r="W1054" s="58"/>
      <c r="X1054" s="58"/>
      <c r="Y1054" s="53"/>
      <c r="Z1054" s="57"/>
      <c r="AA1054" s="62"/>
      <c r="AB1054" s="62"/>
      <c r="AC1054" s="62"/>
      <c r="AD1054" s="62"/>
      <c r="AE1054" s="62"/>
      <c r="AF1054" s="63"/>
      <c r="AG1054" s="64" t="str">
        <f t="shared" si="123"/>
        <v/>
      </c>
    </row>
    <row r="1055" spans="1:33" x14ac:dyDescent="0.25">
      <c r="A1055" s="46" t="str">
        <f>IF(ISBLANK(inbound_data[[#This Row],[Receiving Report ref.'#]]),"",IF(inbound_data[[#This Row],[Ending Quantity]]=0,"ZERO","INV"))</f>
        <v/>
      </c>
      <c r="B1055" s="165" t="str">
        <f t="shared" si="117"/>
        <v/>
      </c>
      <c r="C1055" s="165" t="str">
        <f>IF(ISBLANK(D1055),"",inbound_data[[#This Row],[Pallet_Series]]&amp;inbound_data[[#This Row],[No.]])</f>
        <v/>
      </c>
      <c r="D1055" s="54"/>
      <c r="E1055" s="55"/>
      <c r="F1055" s="56"/>
      <c r="G1055" s="57"/>
      <c r="H1055" s="53"/>
      <c r="I1055" s="53"/>
      <c r="J1055" s="55"/>
      <c r="K1055" s="58"/>
      <c r="L1055" s="59"/>
      <c r="M1055" s="55"/>
      <c r="N1055" s="60"/>
      <c r="O1055" s="60"/>
      <c r="P1055" s="165" t="str">
        <f t="shared" ca="1" si="118"/>
        <v/>
      </c>
      <c r="Q1055" s="165" t="str">
        <f t="shared" ca="1" si="119"/>
        <v/>
      </c>
      <c r="R1055" s="79"/>
      <c r="S1055" s="80"/>
      <c r="T1055" s="61">
        <f t="shared" si="120"/>
        <v>0</v>
      </c>
      <c r="U1055" s="61">
        <f t="shared" si="121"/>
        <v>0</v>
      </c>
      <c r="V1055" s="61">
        <f t="shared" si="122"/>
        <v>0</v>
      </c>
      <c r="W1055" s="58"/>
      <c r="X1055" s="58"/>
      <c r="Y1055" s="53"/>
      <c r="Z1055" s="57"/>
      <c r="AA1055" s="62"/>
      <c r="AB1055" s="62"/>
      <c r="AC1055" s="62"/>
      <c r="AD1055" s="62"/>
      <c r="AE1055" s="62"/>
      <c r="AF1055" s="63"/>
      <c r="AG1055" s="64" t="str">
        <f t="shared" si="123"/>
        <v/>
      </c>
    </row>
    <row r="1056" spans="1:33" x14ac:dyDescent="0.25">
      <c r="A1056" s="46" t="str">
        <f>IF(ISBLANK(inbound_data[[#This Row],[Receiving Report ref.'#]]),"",IF(inbound_data[[#This Row],[Ending Quantity]]=0,"ZERO","INV"))</f>
        <v/>
      </c>
      <c r="B1056" s="165" t="str">
        <f t="shared" si="117"/>
        <v/>
      </c>
      <c r="C1056" s="165" t="str">
        <f>IF(ISBLANK(D1056),"",inbound_data[[#This Row],[Pallet_Series]]&amp;inbound_data[[#This Row],[No.]])</f>
        <v/>
      </c>
      <c r="D1056" s="54"/>
      <c r="E1056" s="55"/>
      <c r="F1056" s="56"/>
      <c r="G1056" s="57"/>
      <c r="H1056" s="53"/>
      <c r="I1056" s="53"/>
      <c r="J1056" s="55"/>
      <c r="K1056" s="58"/>
      <c r="L1056" s="59"/>
      <c r="M1056" s="55"/>
      <c r="N1056" s="60"/>
      <c r="O1056" s="60"/>
      <c r="P1056" s="165" t="str">
        <f t="shared" ca="1" si="118"/>
        <v/>
      </c>
      <c r="Q1056" s="165" t="str">
        <f t="shared" ca="1" si="119"/>
        <v/>
      </c>
      <c r="R1056" s="79"/>
      <c r="S1056" s="80"/>
      <c r="T1056" s="61">
        <f t="shared" si="120"/>
        <v>0</v>
      </c>
      <c r="U1056" s="61">
        <f t="shared" si="121"/>
        <v>0</v>
      </c>
      <c r="V1056" s="61">
        <f t="shared" si="122"/>
        <v>0</v>
      </c>
      <c r="W1056" s="58"/>
      <c r="X1056" s="58"/>
      <c r="Y1056" s="53"/>
      <c r="Z1056" s="57"/>
      <c r="AA1056" s="62"/>
      <c r="AB1056" s="62"/>
      <c r="AC1056" s="62"/>
      <c r="AD1056" s="62"/>
      <c r="AE1056" s="62"/>
      <c r="AF1056" s="63"/>
      <c r="AG1056" s="64" t="str">
        <f t="shared" si="123"/>
        <v/>
      </c>
    </row>
    <row r="1057" spans="1:33" x14ac:dyDescent="0.25">
      <c r="A1057" s="46" t="str">
        <f>IF(ISBLANK(inbound_data[[#This Row],[Receiving Report ref.'#]]),"",IF(inbound_data[[#This Row],[Ending Quantity]]=0,"ZERO","INV"))</f>
        <v/>
      </c>
      <c r="B1057" s="165" t="str">
        <f t="shared" si="117"/>
        <v/>
      </c>
      <c r="C1057" s="165" t="str">
        <f>IF(ISBLANK(D1057),"",inbound_data[[#This Row],[Pallet_Series]]&amp;inbound_data[[#This Row],[No.]])</f>
        <v/>
      </c>
      <c r="D1057" s="54"/>
      <c r="E1057" s="55"/>
      <c r="F1057" s="56"/>
      <c r="G1057" s="57"/>
      <c r="H1057" s="53"/>
      <c r="I1057" s="53"/>
      <c r="J1057" s="55"/>
      <c r="K1057" s="58"/>
      <c r="L1057" s="59"/>
      <c r="M1057" s="55"/>
      <c r="N1057" s="60"/>
      <c r="O1057" s="60"/>
      <c r="P1057" s="165" t="str">
        <f t="shared" ca="1" si="118"/>
        <v/>
      </c>
      <c r="Q1057" s="165" t="str">
        <f t="shared" ca="1" si="119"/>
        <v/>
      </c>
      <c r="R1057" s="79"/>
      <c r="S1057" s="80"/>
      <c r="T1057" s="61">
        <f t="shared" si="120"/>
        <v>0</v>
      </c>
      <c r="U1057" s="61">
        <f t="shared" si="121"/>
        <v>0</v>
      </c>
      <c r="V1057" s="61">
        <f t="shared" si="122"/>
        <v>0</v>
      </c>
      <c r="W1057" s="58"/>
      <c r="X1057" s="58"/>
      <c r="Y1057" s="53"/>
      <c r="Z1057" s="57"/>
      <c r="AA1057" s="62"/>
      <c r="AB1057" s="62"/>
      <c r="AC1057" s="62"/>
      <c r="AD1057" s="62"/>
      <c r="AE1057" s="62"/>
      <c r="AF1057" s="63"/>
      <c r="AG1057" s="64" t="str">
        <f t="shared" si="123"/>
        <v/>
      </c>
    </row>
    <row r="1058" spans="1:33" x14ac:dyDescent="0.25">
      <c r="A1058" s="46" t="str">
        <f>IF(ISBLANK(inbound_data[[#This Row],[Receiving Report ref.'#]]),"",IF(inbound_data[[#This Row],[Ending Quantity]]=0,"ZERO","INV"))</f>
        <v/>
      </c>
      <c r="B1058" s="165" t="str">
        <f t="shared" si="117"/>
        <v/>
      </c>
      <c r="C1058" s="165" t="str">
        <f>IF(ISBLANK(D1058),"",inbound_data[[#This Row],[Pallet_Series]]&amp;inbound_data[[#This Row],[No.]])</f>
        <v/>
      </c>
      <c r="D1058" s="54"/>
      <c r="E1058" s="55"/>
      <c r="F1058" s="56"/>
      <c r="G1058" s="57"/>
      <c r="H1058" s="53"/>
      <c r="I1058" s="53"/>
      <c r="J1058" s="55"/>
      <c r="K1058" s="58"/>
      <c r="L1058" s="59"/>
      <c r="M1058" s="55"/>
      <c r="N1058" s="60"/>
      <c r="O1058" s="60"/>
      <c r="P1058" s="165" t="str">
        <f t="shared" ca="1" si="118"/>
        <v/>
      </c>
      <c r="Q1058" s="165" t="str">
        <f t="shared" ca="1" si="119"/>
        <v/>
      </c>
      <c r="R1058" s="79"/>
      <c r="S1058" s="80"/>
      <c r="T1058" s="61">
        <f t="shared" si="120"/>
        <v>0</v>
      </c>
      <c r="U1058" s="61">
        <f t="shared" si="121"/>
        <v>0</v>
      </c>
      <c r="V1058" s="61">
        <f t="shared" si="122"/>
        <v>0</v>
      </c>
      <c r="W1058" s="58"/>
      <c r="X1058" s="58"/>
      <c r="Y1058" s="53"/>
      <c r="Z1058" s="57"/>
      <c r="AA1058" s="62"/>
      <c r="AB1058" s="62"/>
      <c r="AC1058" s="62"/>
      <c r="AD1058" s="62"/>
      <c r="AE1058" s="62"/>
      <c r="AF1058" s="63"/>
      <c r="AG1058" s="64" t="str">
        <f t="shared" si="123"/>
        <v/>
      </c>
    </row>
    <row r="1059" spans="1:33" x14ac:dyDescent="0.25">
      <c r="A1059" s="46" t="str">
        <f>IF(ISBLANK(inbound_data[[#This Row],[Receiving Report ref.'#]]),"",IF(inbound_data[[#This Row],[Ending Quantity]]=0,"ZERO","INV"))</f>
        <v/>
      </c>
      <c r="B1059" s="165" t="str">
        <f t="shared" si="117"/>
        <v/>
      </c>
      <c r="C1059" s="165" t="str">
        <f>IF(ISBLANK(D1059),"",inbound_data[[#This Row],[Pallet_Series]]&amp;inbound_data[[#This Row],[No.]])</f>
        <v/>
      </c>
      <c r="D1059" s="54"/>
      <c r="E1059" s="55"/>
      <c r="F1059" s="56"/>
      <c r="G1059" s="57"/>
      <c r="H1059" s="53"/>
      <c r="I1059" s="53"/>
      <c r="J1059" s="55"/>
      <c r="K1059" s="58"/>
      <c r="L1059" s="59"/>
      <c r="M1059" s="55"/>
      <c r="N1059" s="60"/>
      <c r="O1059" s="60"/>
      <c r="P1059" s="165" t="str">
        <f t="shared" ca="1" si="118"/>
        <v/>
      </c>
      <c r="Q1059" s="165" t="str">
        <f t="shared" ca="1" si="119"/>
        <v/>
      </c>
      <c r="R1059" s="79"/>
      <c r="S1059" s="80"/>
      <c r="T1059" s="61">
        <f t="shared" si="120"/>
        <v>0</v>
      </c>
      <c r="U1059" s="61">
        <f t="shared" si="121"/>
        <v>0</v>
      </c>
      <c r="V1059" s="61">
        <f t="shared" si="122"/>
        <v>0</v>
      </c>
      <c r="W1059" s="58"/>
      <c r="X1059" s="58"/>
      <c r="Y1059" s="53"/>
      <c r="Z1059" s="57"/>
      <c r="AA1059" s="62"/>
      <c r="AB1059" s="62"/>
      <c r="AC1059" s="62"/>
      <c r="AD1059" s="62"/>
      <c r="AE1059" s="62"/>
      <c r="AF1059" s="63"/>
      <c r="AG1059" s="64" t="str">
        <f t="shared" si="123"/>
        <v/>
      </c>
    </row>
    <row r="1060" spans="1:33" x14ac:dyDescent="0.25">
      <c r="A1060" s="46" t="str">
        <f>IF(ISBLANK(inbound_data[[#This Row],[Receiving Report ref.'#]]),"",IF(inbound_data[[#This Row],[Ending Quantity]]=0,"ZERO","INV"))</f>
        <v/>
      </c>
      <c r="B1060" s="165" t="str">
        <f t="shared" si="117"/>
        <v/>
      </c>
      <c r="C1060" s="165" t="str">
        <f>IF(ISBLANK(D1060),"",inbound_data[[#This Row],[Pallet_Series]]&amp;inbound_data[[#This Row],[No.]])</f>
        <v/>
      </c>
      <c r="D1060" s="54"/>
      <c r="E1060" s="55"/>
      <c r="F1060" s="56"/>
      <c r="G1060" s="57"/>
      <c r="H1060" s="53"/>
      <c r="I1060" s="53"/>
      <c r="J1060" s="55"/>
      <c r="K1060" s="58"/>
      <c r="L1060" s="59"/>
      <c r="M1060" s="55"/>
      <c r="N1060" s="60"/>
      <c r="O1060" s="60"/>
      <c r="P1060" s="165" t="str">
        <f t="shared" ca="1" si="118"/>
        <v/>
      </c>
      <c r="Q1060" s="165" t="str">
        <f t="shared" ca="1" si="119"/>
        <v/>
      </c>
      <c r="R1060" s="79"/>
      <c r="S1060" s="80"/>
      <c r="T1060" s="61">
        <f t="shared" si="120"/>
        <v>0</v>
      </c>
      <c r="U1060" s="61">
        <f t="shared" si="121"/>
        <v>0</v>
      </c>
      <c r="V1060" s="61">
        <f t="shared" si="122"/>
        <v>0</v>
      </c>
      <c r="W1060" s="58"/>
      <c r="X1060" s="58"/>
      <c r="Y1060" s="53"/>
      <c r="Z1060" s="57"/>
      <c r="AA1060" s="62"/>
      <c r="AB1060" s="62"/>
      <c r="AC1060" s="62"/>
      <c r="AD1060" s="62"/>
      <c r="AE1060" s="62"/>
      <c r="AF1060" s="63"/>
      <c r="AG1060" s="64" t="str">
        <f t="shared" si="123"/>
        <v/>
      </c>
    </row>
    <row r="1061" spans="1:33" x14ac:dyDescent="0.25">
      <c r="A1061" s="46" t="str">
        <f>IF(ISBLANK(inbound_data[[#This Row],[Receiving Report ref.'#]]),"",IF(inbound_data[[#This Row],[Ending Quantity]]=0,"ZERO","INV"))</f>
        <v/>
      </c>
      <c r="B1061" s="165" t="str">
        <f t="shared" si="117"/>
        <v/>
      </c>
      <c r="C1061" s="165" t="str">
        <f>IF(ISBLANK(D1061),"",inbound_data[[#This Row],[Pallet_Series]]&amp;inbound_data[[#This Row],[No.]])</f>
        <v/>
      </c>
      <c r="D1061" s="54"/>
      <c r="E1061" s="55"/>
      <c r="F1061" s="56"/>
      <c r="G1061" s="57"/>
      <c r="H1061" s="53"/>
      <c r="I1061" s="53"/>
      <c r="J1061" s="55"/>
      <c r="K1061" s="58"/>
      <c r="L1061" s="59"/>
      <c r="M1061" s="55"/>
      <c r="N1061" s="60"/>
      <c r="O1061" s="60"/>
      <c r="P1061" s="165" t="str">
        <f t="shared" ca="1" si="118"/>
        <v/>
      </c>
      <c r="Q1061" s="165" t="str">
        <f t="shared" ca="1" si="119"/>
        <v/>
      </c>
      <c r="R1061" s="79"/>
      <c r="S1061" s="80"/>
      <c r="T1061" s="61">
        <f t="shared" si="120"/>
        <v>0</v>
      </c>
      <c r="U1061" s="61">
        <f t="shared" si="121"/>
        <v>0</v>
      </c>
      <c r="V1061" s="61">
        <f t="shared" si="122"/>
        <v>0</v>
      </c>
      <c r="W1061" s="58"/>
      <c r="X1061" s="58"/>
      <c r="Y1061" s="53"/>
      <c r="Z1061" s="57"/>
      <c r="AA1061" s="62"/>
      <c r="AB1061" s="62"/>
      <c r="AC1061" s="62"/>
      <c r="AD1061" s="62"/>
      <c r="AE1061" s="62"/>
      <c r="AF1061" s="63"/>
      <c r="AG1061" s="64" t="str">
        <f t="shared" si="123"/>
        <v/>
      </c>
    </row>
    <row r="1062" spans="1:33" x14ac:dyDescent="0.25">
      <c r="A1062" s="46" t="str">
        <f>IF(ISBLANK(inbound_data[[#This Row],[Receiving Report ref.'#]]),"",IF(inbound_data[[#This Row],[Ending Quantity]]=0,"ZERO","INV"))</f>
        <v/>
      </c>
      <c r="B1062" s="165" t="str">
        <f t="shared" si="117"/>
        <v/>
      </c>
      <c r="C1062" s="165" t="str">
        <f>IF(ISBLANK(D1062),"",inbound_data[[#This Row],[Pallet_Series]]&amp;inbound_data[[#This Row],[No.]])</f>
        <v/>
      </c>
      <c r="D1062" s="54"/>
      <c r="E1062" s="55"/>
      <c r="F1062" s="56"/>
      <c r="G1062" s="57"/>
      <c r="H1062" s="53"/>
      <c r="I1062" s="53"/>
      <c r="J1062" s="55"/>
      <c r="K1062" s="58"/>
      <c r="L1062" s="59"/>
      <c r="M1062" s="55"/>
      <c r="N1062" s="60"/>
      <c r="O1062" s="60"/>
      <c r="P1062" s="165" t="str">
        <f t="shared" ca="1" si="118"/>
        <v/>
      </c>
      <c r="Q1062" s="165" t="str">
        <f t="shared" ca="1" si="119"/>
        <v/>
      </c>
      <c r="R1062" s="79"/>
      <c r="S1062" s="80"/>
      <c r="T1062" s="61">
        <f t="shared" si="120"/>
        <v>0</v>
      </c>
      <c r="U1062" s="61">
        <f t="shared" si="121"/>
        <v>0</v>
      </c>
      <c r="V1062" s="61">
        <f t="shared" si="122"/>
        <v>0</v>
      </c>
      <c r="W1062" s="58"/>
      <c r="X1062" s="58"/>
      <c r="Y1062" s="53"/>
      <c r="Z1062" s="57"/>
      <c r="AA1062" s="62"/>
      <c r="AB1062" s="62"/>
      <c r="AC1062" s="62"/>
      <c r="AD1062" s="62"/>
      <c r="AE1062" s="62"/>
      <c r="AF1062" s="63"/>
      <c r="AG1062" s="64" t="str">
        <f t="shared" si="123"/>
        <v/>
      </c>
    </row>
    <row r="1063" spans="1:33" x14ac:dyDescent="0.25">
      <c r="A1063" s="46" t="str">
        <f>IF(ISBLANK(inbound_data[[#This Row],[Receiving Report ref.'#]]),"",IF(inbound_data[[#This Row],[Ending Quantity]]=0,"ZERO","INV"))</f>
        <v/>
      </c>
      <c r="B1063" s="165" t="str">
        <f t="shared" si="117"/>
        <v/>
      </c>
      <c r="C1063" s="165" t="str">
        <f>IF(ISBLANK(D1063),"",inbound_data[[#This Row],[Pallet_Series]]&amp;inbound_data[[#This Row],[No.]])</f>
        <v/>
      </c>
      <c r="D1063" s="54"/>
      <c r="E1063" s="55"/>
      <c r="F1063" s="56"/>
      <c r="G1063" s="57"/>
      <c r="H1063" s="53"/>
      <c r="I1063" s="53"/>
      <c r="J1063" s="55"/>
      <c r="K1063" s="58"/>
      <c r="L1063" s="59"/>
      <c r="M1063" s="55"/>
      <c r="N1063" s="60"/>
      <c r="O1063" s="60"/>
      <c r="P1063" s="165" t="str">
        <f t="shared" ca="1" si="118"/>
        <v/>
      </c>
      <c r="Q1063" s="165" t="str">
        <f t="shared" ca="1" si="119"/>
        <v/>
      </c>
      <c r="R1063" s="79"/>
      <c r="S1063" s="80"/>
      <c r="T1063" s="61">
        <f t="shared" si="120"/>
        <v>0</v>
      </c>
      <c r="U1063" s="61">
        <f t="shared" si="121"/>
        <v>0</v>
      </c>
      <c r="V1063" s="61">
        <f t="shared" si="122"/>
        <v>0</v>
      </c>
      <c r="W1063" s="58"/>
      <c r="X1063" s="58"/>
      <c r="Y1063" s="53"/>
      <c r="Z1063" s="57"/>
      <c r="AA1063" s="62"/>
      <c r="AB1063" s="62"/>
      <c r="AC1063" s="62"/>
      <c r="AD1063" s="62"/>
      <c r="AE1063" s="62"/>
      <c r="AF1063" s="63"/>
      <c r="AG1063" s="64" t="str">
        <f t="shared" si="123"/>
        <v/>
      </c>
    </row>
    <row r="1064" spans="1:33" x14ac:dyDescent="0.25">
      <c r="A1064" s="46" t="str">
        <f>IF(ISBLANK(inbound_data[[#This Row],[Receiving Report ref.'#]]),"",IF(inbound_data[[#This Row],[Ending Quantity]]=0,"ZERO","INV"))</f>
        <v/>
      </c>
      <c r="B1064" s="165" t="str">
        <f t="shared" si="117"/>
        <v/>
      </c>
      <c r="C1064" s="165" t="str">
        <f>IF(ISBLANK(D1064),"",inbound_data[[#This Row],[Pallet_Series]]&amp;inbound_data[[#This Row],[No.]])</f>
        <v/>
      </c>
      <c r="D1064" s="54"/>
      <c r="E1064" s="55"/>
      <c r="F1064" s="56"/>
      <c r="G1064" s="57"/>
      <c r="H1064" s="53"/>
      <c r="I1064" s="53"/>
      <c r="J1064" s="55"/>
      <c r="K1064" s="58"/>
      <c r="L1064" s="59"/>
      <c r="M1064" s="55"/>
      <c r="N1064" s="60"/>
      <c r="O1064" s="60"/>
      <c r="P1064" s="165" t="str">
        <f t="shared" ca="1" si="118"/>
        <v/>
      </c>
      <c r="Q1064" s="165" t="str">
        <f t="shared" ca="1" si="119"/>
        <v/>
      </c>
      <c r="R1064" s="79"/>
      <c r="S1064" s="80"/>
      <c r="T1064" s="61">
        <f t="shared" si="120"/>
        <v>0</v>
      </c>
      <c r="U1064" s="61">
        <f t="shared" si="121"/>
        <v>0</v>
      </c>
      <c r="V1064" s="61">
        <f t="shared" si="122"/>
        <v>0</v>
      </c>
      <c r="W1064" s="58"/>
      <c r="X1064" s="58"/>
      <c r="Y1064" s="53"/>
      <c r="Z1064" s="57"/>
      <c r="AA1064" s="62"/>
      <c r="AB1064" s="62"/>
      <c r="AC1064" s="62"/>
      <c r="AD1064" s="62"/>
      <c r="AE1064" s="62"/>
      <c r="AF1064" s="63"/>
      <c r="AG1064" s="64" t="str">
        <f t="shared" si="123"/>
        <v/>
      </c>
    </row>
    <row r="1065" spans="1:33" x14ac:dyDescent="0.25">
      <c r="A1065" s="46" t="str">
        <f>IF(ISBLANK(inbound_data[[#This Row],[Receiving Report ref.'#]]),"",IF(inbound_data[[#This Row],[Ending Quantity]]=0,"ZERO","INV"))</f>
        <v/>
      </c>
      <c r="B1065" s="165" t="str">
        <f t="shared" si="117"/>
        <v/>
      </c>
      <c r="C1065" s="165" t="str">
        <f>IF(ISBLANK(D1065),"",inbound_data[[#This Row],[Pallet_Series]]&amp;inbound_data[[#This Row],[No.]])</f>
        <v/>
      </c>
      <c r="D1065" s="54"/>
      <c r="E1065" s="55"/>
      <c r="F1065" s="56"/>
      <c r="G1065" s="57"/>
      <c r="H1065" s="53"/>
      <c r="I1065" s="53"/>
      <c r="J1065" s="55"/>
      <c r="K1065" s="58"/>
      <c r="L1065" s="59"/>
      <c r="M1065" s="55"/>
      <c r="N1065" s="60"/>
      <c r="O1065" s="60"/>
      <c r="P1065" s="165" t="str">
        <f t="shared" ca="1" si="118"/>
        <v/>
      </c>
      <c r="Q1065" s="165" t="str">
        <f t="shared" ca="1" si="119"/>
        <v/>
      </c>
      <c r="R1065" s="79"/>
      <c r="S1065" s="80"/>
      <c r="T1065" s="61">
        <f t="shared" si="120"/>
        <v>0</v>
      </c>
      <c r="U1065" s="61">
        <f t="shared" si="121"/>
        <v>0</v>
      </c>
      <c r="V1065" s="61">
        <f t="shared" si="122"/>
        <v>0</v>
      </c>
      <c r="W1065" s="58"/>
      <c r="X1065" s="58"/>
      <c r="Y1065" s="53"/>
      <c r="Z1065" s="57"/>
      <c r="AA1065" s="62"/>
      <c r="AB1065" s="62"/>
      <c r="AC1065" s="62"/>
      <c r="AD1065" s="62"/>
      <c r="AE1065" s="62"/>
      <c r="AF1065" s="63"/>
      <c r="AG1065" s="64" t="str">
        <f t="shared" si="123"/>
        <v/>
      </c>
    </row>
    <row r="1066" spans="1:33" x14ac:dyDescent="0.25">
      <c r="A1066" s="46" t="str">
        <f>IF(ISBLANK(inbound_data[[#This Row],[Receiving Report ref.'#]]),"",IF(inbound_data[[#This Row],[Ending Quantity]]=0,"ZERO","INV"))</f>
        <v/>
      </c>
      <c r="B1066" s="165" t="str">
        <f t="shared" si="117"/>
        <v/>
      </c>
      <c r="C1066" s="165" t="str">
        <f>IF(ISBLANK(D1066),"",inbound_data[[#This Row],[Pallet_Series]]&amp;inbound_data[[#This Row],[No.]])</f>
        <v/>
      </c>
      <c r="D1066" s="54"/>
      <c r="E1066" s="55"/>
      <c r="F1066" s="56"/>
      <c r="G1066" s="57"/>
      <c r="H1066" s="53"/>
      <c r="I1066" s="53"/>
      <c r="J1066" s="55"/>
      <c r="K1066" s="58"/>
      <c r="L1066" s="59"/>
      <c r="M1066" s="55"/>
      <c r="N1066" s="60"/>
      <c r="O1066" s="60"/>
      <c r="P1066" s="165" t="str">
        <f t="shared" ca="1" si="118"/>
        <v/>
      </c>
      <c r="Q1066" s="165" t="str">
        <f t="shared" ca="1" si="119"/>
        <v/>
      </c>
      <c r="R1066" s="79"/>
      <c r="S1066" s="80"/>
      <c r="T1066" s="61">
        <f t="shared" si="120"/>
        <v>0</v>
      </c>
      <c r="U1066" s="61">
        <f t="shared" si="121"/>
        <v>0</v>
      </c>
      <c r="V1066" s="61">
        <f t="shared" si="122"/>
        <v>0</v>
      </c>
      <c r="W1066" s="58"/>
      <c r="X1066" s="58"/>
      <c r="Y1066" s="53"/>
      <c r="Z1066" s="57"/>
      <c r="AA1066" s="62"/>
      <c r="AB1066" s="62"/>
      <c r="AC1066" s="62"/>
      <c r="AD1066" s="62"/>
      <c r="AE1066" s="62"/>
      <c r="AF1066" s="63"/>
      <c r="AG1066" s="64" t="str">
        <f t="shared" si="123"/>
        <v/>
      </c>
    </row>
    <row r="1067" spans="1:33" x14ac:dyDescent="0.25">
      <c r="A1067" s="46" t="str">
        <f>IF(ISBLANK(inbound_data[[#This Row],[Receiving Report ref.'#]]),"",IF(inbound_data[[#This Row],[Ending Quantity]]=0,"ZERO","INV"))</f>
        <v/>
      </c>
      <c r="B1067" s="165" t="str">
        <f t="shared" si="117"/>
        <v/>
      </c>
      <c r="C1067" s="165" t="str">
        <f>IF(ISBLANK(D1067),"",inbound_data[[#This Row],[Pallet_Series]]&amp;inbound_data[[#This Row],[No.]])</f>
        <v/>
      </c>
      <c r="D1067" s="54"/>
      <c r="E1067" s="55"/>
      <c r="F1067" s="56"/>
      <c r="G1067" s="57"/>
      <c r="H1067" s="53"/>
      <c r="I1067" s="53"/>
      <c r="J1067" s="55"/>
      <c r="K1067" s="58"/>
      <c r="L1067" s="59"/>
      <c r="M1067" s="55"/>
      <c r="N1067" s="60"/>
      <c r="O1067" s="60"/>
      <c r="P1067" s="165" t="str">
        <f t="shared" ca="1" si="118"/>
        <v/>
      </c>
      <c r="Q1067" s="165" t="str">
        <f t="shared" ca="1" si="119"/>
        <v/>
      </c>
      <c r="R1067" s="79"/>
      <c r="S1067" s="80"/>
      <c r="T1067" s="61">
        <f t="shared" si="120"/>
        <v>0</v>
      </c>
      <c r="U1067" s="61">
        <f t="shared" si="121"/>
        <v>0</v>
      </c>
      <c r="V1067" s="61">
        <f t="shared" si="122"/>
        <v>0</v>
      </c>
      <c r="W1067" s="58"/>
      <c r="X1067" s="58"/>
      <c r="Y1067" s="53"/>
      <c r="Z1067" s="57"/>
      <c r="AA1067" s="62"/>
      <c r="AB1067" s="62"/>
      <c r="AC1067" s="62"/>
      <c r="AD1067" s="62"/>
      <c r="AE1067" s="62"/>
      <c r="AF1067" s="63"/>
      <c r="AG1067" s="64" t="str">
        <f t="shared" si="123"/>
        <v/>
      </c>
    </row>
    <row r="1068" spans="1:33" x14ac:dyDescent="0.25">
      <c r="A1068" s="46" t="str">
        <f>IF(ISBLANK(inbound_data[[#This Row],[Receiving Report ref.'#]]),"",IF(inbound_data[[#This Row],[Ending Quantity]]=0,"ZERO","INV"))</f>
        <v/>
      </c>
      <c r="B1068" s="165" t="str">
        <f t="shared" si="117"/>
        <v/>
      </c>
      <c r="C1068" s="165" t="str">
        <f>IF(ISBLANK(D1068),"",inbound_data[[#This Row],[Pallet_Series]]&amp;inbound_data[[#This Row],[No.]])</f>
        <v/>
      </c>
      <c r="D1068" s="54"/>
      <c r="E1068" s="55"/>
      <c r="F1068" s="56"/>
      <c r="G1068" s="57"/>
      <c r="H1068" s="53"/>
      <c r="I1068" s="53"/>
      <c r="J1068" s="55"/>
      <c r="K1068" s="58"/>
      <c r="L1068" s="59"/>
      <c r="M1068" s="55"/>
      <c r="N1068" s="60"/>
      <c r="O1068" s="60"/>
      <c r="P1068" s="165" t="str">
        <f t="shared" ca="1" si="118"/>
        <v/>
      </c>
      <c r="Q1068" s="165" t="str">
        <f t="shared" ca="1" si="119"/>
        <v/>
      </c>
      <c r="R1068" s="79"/>
      <c r="S1068" s="80"/>
      <c r="T1068" s="61">
        <f t="shared" si="120"/>
        <v>0</v>
      </c>
      <c r="U1068" s="61">
        <f t="shared" si="121"/>
        <v>0</v>
      </c>
      <c r="V1068" s="61">
        <f t="shared" si="122"/>
        <v>0</v>
      </c>
      <c r="W1068" s="58"/>
      <c r="X1068" s="58"/>
      <c r="Y1068" s="53"/>
      <c r="Z1068" s="57"/>
      <c r="AA1068" s="62"/>
      <c r="AB1068" s="62"/>
      <c r="AC1068" s="62"/>
      <c r="AD1068" s="62"/>
      <c r="AE1068" s="62"/>
      <c r="AF1068" s="63"/>
      <c r="AG1068" s="64" t="str">
        <f t="shared" si="123"/>
        <v/>
      </c>
    </row>
    <row r="1069" spans="1:33" x14ac:dyDescent="0.25">
      <c r="A1069" s="46" t="str">
        <f>IF(ISBLANK(inbound_data[[#This Row],[Receiving Report ref.'#]]),"",IF(inbound_data[[#This Row],[Ending Quantity]]=0,"ZERO","INV"))</f>
        <v/>
      </c>
      <c r="B1069" s="165" t="str">
        <f t="shared" si="117"/>
        <v/>
      </c>
      <c r="C1069" s="165" t="str">
        <f>IF(ISBLANK(D1069),"",inbound_data[[#This Row],[Pallet_Series]]&amp;inbound_data[[#This Row],[No.]])</f>
        <v/>
      </c>
      <c r="D1069" s="54"/>
      <c r="E1069" s="55"/>
      <c r="F1069" s="56"/>
      <c r="G1069" s="57"/>
      <c r="H1069" s="53"/>
      <c r="I1069" s="53"/>
      <c r="J1069" s="55"/>
      <c r="K1069" s="58"/>
      <c r="L1069" s="59"/>
      <c r="M1069" s="55"/>
      <c r="N1069" s="60"/>
      <c r="O1069" s="60"/>
      <c r="P1069" s="165" t="str">
        <f t="shared" ca="1" si="118"/>
        <v/>
      </c>
      <c r="Q1069" s="165" t="str">
        <f t="shared" ca="1" si="119"/>
        <v/>
      </c>
      <c r="R1069" s="79"/>
      <c r="S1069" s="80"/>
      <c r="T1069" s="61">
        <f t="shared" si="120"/>
        <v>0</v>
      </c>
      <c r="U1069" s="61">
        <f t="shared" si="121"/>
        <v>0</v>
      </c>
      <c r="V1069" s="61">
        <f t="shared" si="122"/>
        <v>0</v>
      </c>
      <c r="W1069" s="58"/>
      <c r="X1069" s="58"/>
      <c r="Y1069" s="53"/>
      <c r="Z1069" s="57"/>
      <c r="AA1069" s="62"/>
      <c r="AB1069" s="62"/>
      <c r="AC1069" s="62"/>
      <c r="AD1069" s="62"/>
      <c r="AE1069" s="62"/>
      <c r="AF1069" s="63"/>
      <c r="AG1069" s="64" t="str">
        <f t="shared" si="123"/>
        <v/>
      </c>
    </row>
    <row r="1070" spans="1:33" x14ac:dyDescent="0.25">
      <c r="A1070" s="46" t="str">
        <f>IF(ISBLANK(inbound_data[[#This Row],[Receiving Report ref.'#]]),"",IF(inbound_data[[#This Row],[Ending Quantity]]=0,"ZERO","INV"))</f>
        <v/>
      </c>
      <c r="B1070" s="165" t="str">
        <f t="shared" si="117"/>
        <v/>
      </c>
      <c r="C1070" s="165" t="str">
        <f>IF(ISBLANK(D1070),"",inbound_data[[#This Row],[Pallet_Series]]&amp;inbound_data[[#This Row],[No.]])</f>
        <v/>
      </c>
      <c r="D1070" s="54"/>
      <c r="E1070" s="55"/>
      <c r="F1070" s="56"/>
      <c r="G1070" s="57"/>
      <c r="H1070" s="53"/>
      <c r="I1070" s="53"/>
      <c r="J1070" s="55"/>
      <c r="K1070" s="58"/>
      <c r="L1070" s="59"/>
      <c r="M1070" s="55"/>
      <c r="N1070" s="60"/>
      <c r="O1070" s="60"/>
      <c r="P1070" s="165" t="str">
        <f t="shared" ca="1" si="118"/>
        <v/>
      </c>
      <c r="Q1070" s="165" t="str">
        <f t="shared" ca="1" si="119"/>
        <v/>
      </c>
      <c r="R1070" s="79"/>
      <c r="S1070" s="80"/>
      <c r="T1070" s="61">
        <f t="shared" si="120"/>
        <v>0</v>
      </c>
      <c r="U1070" s="61">
        <f t="shared" si="121"/>
        <v>0</v>
      </c>
      <c r="V1070" s="61">
        <f t="shared" si="122"/>
        <v>0</v>
      </c>
      <c r="W1070" s="58"/>
      <c r="X1070" s="58"/>
      <c r="Y1070" s="53"/>
      <c r="Z1070" s="57"/>
      <c r="AA1070" s="62"/>
      <c r="AB1070" s="62"/>
      <c r="AC1070" s="62"/>
      <c r="AD1070" s="62"/>
      <c r="AE1070" s="62"/>
      <c r="AF1070" s="63"/>
      <c r="AG1070" s="64" t="str">
        <f t="shared" si="123"/>
        <v/>
      </c>
    </row>
    <row r="1071" spans="1:33" x14ac:dyDescent="0.25">
      <c r="A1071" s="46" t="str">
        <f>IF(ISBLANK(inbound_data[[#This Row],[Receiving Report ref.'#]]),"",IF(inbound_data[[#This Row],[Ending Quantity]]=0,"ZERO","INV"))</f>
        <v/>
      </c>
      <c r="B1071" s="165" t="str">
        <f t="shared" si="117"/>
        <v/>
      </c>
      <c r="C1071" s="165" t="str">
        <f>IF(ISBLANK(D1071),"",inbound_data[[#This Row],[Pallet_Series]]&amp;inbound_data[[#This Row],[No.]])</f>
        <v/>
      </c>
      <c r="D1071" s="54"/>
      <c r="E1071" s="55"/>
      <c r="F1071" s="56"/>
      <c r="G1071" s="57"/>
      <c r="H1071" s="53"/>
      <c r="I1071" s="53"/>
      <c r="J1071" s="55"/>
      <c r="K1071" s="58"/>
      <c r="L1071" s="59"/>
      <c r="M1071" s="55"/>
      <c r="N1071" s="60"/>
      <c r="O1071" s="60"/>
      <c r="P1071" s="165" t="str">
        <f t="shared" ca="1" si="118"/>
        <v/>
      </c>
      <c r="Q1071" s="165" t="str">
        <f t="shared" ca="1" si="119"/>
        <v/>
      </c>
      <c r="R1071" s="79"/>
      <c r="S1071" s="80"/>
      <c r="T1071" s="61">
        <f t="shared" si="120"/>
        <v>0</v>
      </c>
      <c r="U1071" s="61">
        <f t="shared" si="121"/>
        <v>0</v>
      </c>
      <c r="V1071" s="61">
        <f t="shared" si="122"/>
        <v>0</v>
      </c>
      <c r="W1071" s="58"/>
      <c r="X1071" s="58"/>
      <c r="Y1071" s="53"/>
      <c r="Z1071" s="57"/>
      <c r="AA1071" s="62"/>
      <c r="AB1071" s="62"/>
      <c r="AC1071" s="62"/>
      <c r="AD1071" s="62"/>
      <c r="AE1071" s="62"/>
      <c r="AF1071" s="63"/>
      <c r="AG1071" s="64" t="str">
        <f t="shared" si="123"/>
        <v/>
      </c>
    </row>
    <row r="1072" spans="1:33" x14ac:dyDescent="0.25">
      <c r="A1072" s="46" t="str">
        <f>IF(ISBLANK(inbound_data[[#This Row],[Receiving Report ref.'#]]),"",IF(inbound_data[[#This Row],[Ending Quantity]]=0,"ZERO","INV"))</f>
        <v/>
      </c>
      <c r="B1072" s="165" t="str">
        <f t="shared" si="117"/>
        <v/>
      </c>
      <c r="C1072" s="165" t="str">
        <f>IF(ISBLANK(D1072),"",inbound_data[[#This Row],[Pallet_Series]]&amp;inbound_data[[#This Row],[No.]])</f>
        <v/>
      </c>
      <c r="D1072" s="54"/>
      <c r="E1072" s="55"/>
      <c r="F1072" s="56"/>
      <c r="G1072" s="57"/>
      <c r="H1072" s="53"/>
      <c r="I1072" s="53"/>
      <c r="J1072" s="55"/>
      <c r="K1072" s="58"/>
      <c r="L1072" s="59"/>
      <c r="M1072" s="55"/>
      <c r="N1072" s="60"/>
      <c r="O1072" s="60"/>
      <c r="P1072" s="165" t="str">
        <f t="shared" ca="1" si="118"/>
        <v/>
      </c>
      <c r="Q1072" s="165" t="str">
        <f t="shared" ca="1" si="119"/>
        <v/>
      </c>
      <c r="R1072" s="79"/>
      <c r="S1072" s="80"/>
      <c r="T1072" s="61">
        <f t="shared" si="120"/>
        <v>0</v>
      </c>
      <c r="U1072" s="61">
        <f t="shared" si="121"/>
        <v>0</v>
      </c>
      <c r="V1072" s="61">
        <f t="shared" si="122"/>
        <v>0</v>
      </c>
      <c r="W1072" s="58"/>
      <c r="X1072" s="58"/>
      <c r="Y1072" s="53"/>
      <c r="Z1072" s="57"/>
      <c r="AA1072" s="62"/>
      <c r="AB1072" s="62"/>
      <c r="AC1072" s="62"/>
      <c r="AD1072" s="62"/>
      <c r="AE1072" s="62"/>
      <c r="AF1072" s="63"/>
      <c r="AG1072" s="64" t="str">
        <f t="shared" si="123"/>
        <v/>
      </c>
    </row>
    <row r="1073" spans="1:33" x14ac:dyDescent="0.25">
      <c r="A1073" s="46" t="str">
        <f>IF(ISBLANK(inbound_data[[#This Row],[Receiving Report ref.'#]]),"",IF(inbound_data[[#This Row],[Ending Quantity]]=0,"ZERO","INV"))</f>
        <v/>
      </c>
      <c r="B1073" s="165" t="str">
        <f t="shared" si="117"/>
        <v/>
      </c>
      <c r="C1073" s="165" t="str">
        <f>IF(ISBLANK(D1073),"",inbound_data[[#This Row],[Pallet_Series]]&amp;inbound_data[[#This Row],[No.]])</f>
        <v/>
      </c>
      <c r="D1073" s="54"/>
      <c r="E1073" s="55"/>
      <c r="F1073" s="56"/>
      <c r="G1073" s="57"/>
      <c r="H1073" s="53"/>
      <c r="I1073" s="53"/>
      <c r="J1073" s="55"/>
      <c r="K1073" s="58"/>
      <c r="L1073" s="59"/>
      <c r="M1073" s="55"/>
      <c r="N1073" s="60"/>
      <c r="O1073" s="60"/>
      <c r="P1073" s="165" t="str">
        <f t="shared" ca="1" si="118"/>
        <v/>
      </c>
      <c r="Q1073" s="165" t="str">
        <f t="shared" ca="1" si="119"/>
        <v/>
      </c>
      <c r="R1073" s="79"/>
      <c r="S1073" s="80"/>
      <c r="T1073" s="61">
        <f t="shared" si="120"/>
        <v>0</v>
      </c>
      <c r="U1073" s="61">
        <f t="shared" si="121"/>
        <v>0</v>
      </c>
      <c r="V1073" s="61">
        <f t="shared" si="122"/>
        <v>0</v>
      </c>
      <c r="W1073" s="58"/>
      <c r="X1073" s="58"/>
      <c r="Y1073" s="53"/>
      <c r="Z1073" s="57"/>
      <c r="AA1073" s="62"/>
      <c r="AB1073" s="62"/>
      <c r="AC1073" s="62"/>
      <c r="AD1073" s="62"/>
      <c r="AE1073" s="62"/>
      <c r="AF1073" s="63"/>
      <c r="AG1073" s="64" t="str">
        <f t="shared" si="123"/>
        <v/>
      </c>
    </row>
    <row r="1074" spans="1:33" x14ac:dyDescent="0.25">
      <c r="A1074" s="46" t="str">
        <f>IF(ISBLANK(inbound_data[[#This Row],[Receiving Report ref.'#]]),"",IF(inbound_data[[#This Row],[Ending Quantity]]=0,"ZERO","INV"))</f>
        <v/>
      </c>
      <c r="B1074" s="165" t="str">
        <f t="shared" si="117"/>
        <v/>
      </c>
      <c r="C1074" s="165" t="str">
        <f>IF(ISBLANK(D1074),"",inbound_data[[#This Row],[Pallet_Series]]&amp;inbound_data[[#This Row],[No.]])</f>
        <v/>
      </c>
      <c r="D1074" s="54"/>
      <c r="E1074" s="55"/>
      <c r="F1074" s="56"/>
      <c r="G1074" s="57"/>
      <c r="H1074" s="53"/>
      <c r="I1074" s="53"/>
      <c r="J1074" s="55"/>
      <c r="K1074" s="58"/>
      <c r="L1074" s="59"/>
      <c r="M1074" s="55"/>
      <c r="N1074" s="60"/>
      <c r="O1074" s="60"/>
      <c r="P1074" s="165" t="str">
        <f t="shared" ca="1" si="118"/>
        <v/>
      </c>
      <c r="Q1074" s="165" t="str">
        <f t="shared" ca="1" si="119"/>
        <v/>
      </c>
      <c r="R1074" s="79"/>
      <c r="S1074" s="80"/>
      <c r="T1074" s="61">
        <f t="shared" si="120"/>
        <v>0</v>
      </c>
      <c r="U1074" s="61">
        <f t="shared" si="121"/>
        <v>0</v>
      </c>
      <c r="V1074" s="61">
        <f t="shared" si="122"/>
        <v>0</v>
      </c>
      <c r="W1074" s="58"/>
      <c r="X1074" s="58"/>
      <c r="Y1074" s="53"/>
      <c r="Z1074" s="57"/>
      <c r="AA1074" s="62"/>
      <c r="AB1074" s="62"/>
      <c r="AC1074" s="62"/>
      <c r="AD1074" s="62"/>
      <c r="AE1074" s="62"/>
      <c r="AF1074" s="63"/>
      <c r="AG1074" s="64" t="str">
        <f t="shared" si="123"/>
        <v/>
      </c>
    </row>
    <row r="1075" spans="1:33" x14ac:dyDescent="0.25">
      <c r="A1075" s="46" t="str">
        <f>IF(ISBLANK(inbound_data[[#This Row],[Receiving Report ref.'#]]),"",IF(inbound_data[[#This Row],[Ending Quantity]]=0,"ZERO","INV"))</f>
        <v/>
      </c>
      <c r="B1075" s="165" t="str">
        <f t="shared" si="117"/>
        <v/>
      </c>
      <c r="C1075" s="165" t="str">
        <f>IF(ISBLANK(D1075),"",inbound_data[[#This Row],[Pallet_Series]]&amp;inbound_data[[#This Row],[No.]])</f>
        <v/>
      </c>
      <c r="D1075" s="54"/>
      <c r="E1075" s="55"/>
      <c r="F1075" s="56"/>
      <c r="G1075" s="57"/>
      <c r="H1075" s="53"/>
      <c r="I1075" s="53"/>
      <c r="J1075" s="55"/>
      <c r="K1075" s="58"/>
      <c r="L1075" s="59"/>
      <c r="M1075" s="55"/>
      <c r="N1075" s="60"/>
      <c r="O1075" s="60"/>
      <c r="P1075" s="165" t="str">
        <f t="shared" ca="1" si="118"/>
        <v/>
      </c>
      <c r="Q1075" s="165" t="str">
        <f t="shared" ca="1" si="119"/>
        <v/>
      </c>
      <c r="R1075" s="79"/>
      <c r="S1075" s="80"/>
      <c r="T1075" s="61">
        <f t="shared" si="120"/>
        <v>0</v>
      </c>
      <c r="U1075" s="61">
        <f t="shared" si="121"/>
        <v>0</v>
      </c>
      <c r="V1075" s="61">
        <f t="shared" si="122"/>
        <v>0</v>
      </c>
      <c r="W1075" s="58"/>
      <c r="X1075" s="58"/>
      <c r="Y1075" s="53"/>
      <c r="Z1075" s="57"/>
      <c r="AA1075" s="62"/>
      <c r="AB1075" s="62"/>
      <c r="AC1075" s="62"/>
      <c r="AD1075" s="62"/>
      <c r="AE1075" s="62"/>
      <c r="AF1075" s="63"/>
      <c r="AG1075" s="64" t="str">
        <f t="shared" si="123"/>
        <v/>
      </c>
    </row>
    <row r="1076" spans="1:33" x14ac:dyDescent="0.25">
      <c r="A1076" s="46" t="str">
        <f>IF(ISBLANK(inbound_data[[#This Row],[Receiving Report ref.'#]]),"",IF(inbound_data[[#This Row],[Ending Quantity]]=0,"ZERO","INV"))</f>
        <v/>
      </c>
      <c r="B1076" s="165" t="str">
        <f t="shared" si="117"/>
        <v/>
      </c>
      <c r="C1076" s="165" t="str">
        <f>IF(ISBLANK(D1076),"",inbound_data[[#This Row],[Pallet_Series]]&amp;inbound_data[[#This Row],[No.]])</f>
        <v/>
      </c>
      <c r="D1076" s="54"/>
      <c r="E1076" s="55"/>
      <c r="F1076" s="56"/>
      <c r="G1076" s="57"/>
      <c r="H1076" s="53"/>
      <c r="I1076" s="53"/>
      <c r="J1076" s="55"/>
      <c r="K1076" s="58"/>
      <c r="L1076" s="59"/>
      <c r="M1076" s="55"/>
      <c r="N1076" s="60"/>
      <c r="O1076" s="60"/>
      <c r="P1076" s="165" t="str">
        <f t="shared" ca="1" si="118"/>
        <v/>
      </c>
      <c r="Q1076" s="165" t="str">
        <f t="shared" ca="1" si="119"/>
        <v/>
      </c>
      <c r="R1076" s="79"/>
      <c r="S1076" s="80"/>
      <c r="T1076" s="61">
        <f t="shared" si="120"/>
        <v>0</v>
      </c>
      <c r="U1076" s="61">
        <f t="shared" si="121"/>
        <v>0</v>
      </c>
      <c r="V1076" s="61">
        <f t="shared" si="122"/>
        <v>0</v>
      </c>
      <c r="W1076" s="58"/>
      <c r="X1076" s="58"/>
      <c r="Y1076" s="53"/>
      <c r="Z1076" s="57"/>
      <c r="AA1076" s="62"/>
      <c r="AB1076" s="62"/>
      <c r="AC1076" s="62"/>
      <c r="AD1076" s="62"/>
      <c r="AE1076" s="62"/>
      <c r="AF1076" s="63"/>
      <c r="AG1076" s="64" t="str">
        <f t="shared" si="123"/>
        <v/>
      </c>
    </row>
    <row r="1077" spans="1:33" x14ac:dyDescent="0.25">
      <c r="A1077" s="46" t="str">
        <f>IF(ISBLANK(inbound_data[[#This Row],[Receiving Report ref.'#]]),"",IF(inbound_data[[#This Row],[Ending Quantity]]=0,"ZERO","INV"))</f>
        <v/>
      </c>
      <c r="B1077" s="165" t="str">
        <f t="shared" si="117"/>
        <v/>
      </c>
      <c r="C1077" s="165" t="str">
        <f>IF(ISBLANK(D1077),"",inbound_data[[#This Row],[Pallet_Series]]&amp;inbound_data[[#This Row],[No.]])</f>
        <v/>
      </c>
      <c r="D1077" s="54"/>
      <c r="E1077" s="55"/>
      <c r="F1077" s="56"/>
      <c r="G1077" s="57"/>
      <c r="H1077" s="53"/>
      <c r="I1077" s="53"/>
      <c r="J1077" s="55"/>
      <c r="K1077" s="58"/>
      <c r="L1077" s="59"/>
      <c r="M1077" s="55"/>
      <c r="N1077" s="60"/>
      <c r="O1077" s="60"/>
      <c r="P1077" s="165" t="str">
        <f t="shared" ca="1" si="118"/>
        <v/>
      </c>
      <c r="Q1077" s="165" t="str">
        <f t="shared" ca="1" si="119"/>
        <v/>
      </c>
      <c r="R1077" s="79"/>
      <c r="S1077" s="80"/>
      <c r="T1077" s="61">
        <f t="shared" si="120"/>
        <v>0</v>
      </c>
      <c r="U1077" s="61">
        <f t="shared" si="121"/>
        <v>0</v>
      </c>
      <c r="V1077" s="61">
        <f t="shared" si="122"/>
        <v>0</v>
      </c>
      <c r="W1077" s="58"/>
      <c r="X1077" s="58"/>
      <c r="Y1077" s="53"/>
      <c r="Z1077" s="57"/>
      <c r="AA1077" s="62"/>
      <c r="AB1077" s="62"/>
      <c r="AC1077" s="62"/>
      <c r="AD1077" s="62"/>
      <c r="AE1077" s="62"/>
      <c r="AF1077" s="63"/>
      <c r="AG1077" s="64" t="str">
        <f t="shared" si="123"/>
        <v/>
      </c>
    </row>
    <row r="1078" spans="1:33" x14ac:dyDescent="0.25">
      <c r="A1078" s="46" t="str">
        <f>IF(ISBLANK(inbound_data[[#This Row],[Receiving Report ref.'#]]),"",IF(inbound_data[[#This Row],[Ending Quantity]]=0,"ZERO","INV"))</f>
        <v/>
      </c>
      <c r="B1078" s="165" t="str">
        <f t="shared" si="117"/>
        <v/>
      </c>
      <c r="C1078" s="165" t="str">
        <f>IF(ISBLANK(D1078),"",inbound_data[[#This Row],[Pallet_Series]]&amp;inbound_data[[#This Row],[No.]])</f>
        <v/>
      </c>
      <c r="D1078" s="54"/>
      <c r="E1078" s="55"/>
      <c r="F1078" s="56"/>
      <c r="G1078" s="57"/>
      <c r="H1078" s="53"/>
      <c r="I1078" s="53"/>
      <c r="J1078" s="55"/>
      <c r="K1078" s="58"/>
      <c r="L1078" s="59"/>
      <c r="M1078" s="55"/>
      <c r="N1078" s="60"/>
      <c r="O1078" s="60"/>
      <c r="P1078" s="165" t="str">
        <f t="shared" ca="1" si="118"/>
        <v/>
      </c>
      <c r="Q1078" s="165" t="str">
        <f t="shared" ca="1" si="119"/>
        <v/>
      </c>
      <c r="R1078" s="79"/>
      <c r="S1078" s="80"/>
      <c r="T1078" s="61">
        <f t="shared" si="120"/>
        <v>0</v>
      </c>
      <c r="U1078" s="61">
        <f t="shared" si="121"/>
        <v>0</v>
      </c>
      <c r="V1078" s="61">
        <f t="shared" si="122"/>
        <v>0</v>
      </c>
      <c r="W1078" s="58"/>
      <c r="X1078" s="58"/>
      <c r="Y1078" s="53"/>
      <c r="Z1078" s="57"/>
      <c r="AA1078" s="62"/>
      <c r="AB1078" s="62"/>
      <c r="AC1078" s="62"/>
      <c r="AD1078" s="62"/>
      <c r="AE1078" s="62"/>
      <c r="AF1078" s="63"/>
      <c r="AG1078" s="64" t="str">
        <f t="shared" si="123"/>
        <v/>
      </c>
    </row>
    <row r="1079" spans="1:33" x14ac:dyDescent="0.25">
      <c r="A1079" s="46" t="str">
        <f>IF(ISBLANK(inbound_data[[#This Row],[Receiving Report ref.'#]]),"",IF(inbound_data[[#This Row],[Ending Quantity]]=0,"ZERO","INV"))</f>
        <v/>
      </c>
      <c r="B1079" s="165" t="str">
        <f t="shared" si="117"/>
        <v/>
      </c>
      <c r="C1079" s="165" t="str">
        <f>IF(ISBLANK(D1079),"",inbound_data[[#This Row],[Pallet_Series]]&amp;inbound_data[[#This Row],[No.]])</f>
        <v/>
      </c>
      <c r="D1079" s="54"/>
      <c r="E1079" s="55"/>
      <c r="F1079" s="56"/>
      <c r="G1079" s="57"/>
      <c r="H1079" s="53"/>
      <c r="I1079" s="53"/>
      <c r="J1079" s="55"/>
      <c r="K1079" s="58"/>
      <c r="L1079" s="59"/>
      <c r="M1079" s="55"/>
      <c r="N1079" s="60"/>
      <c r="O1079" s="60"/>
      <c r="P1079" s="165" t="str">
        <f t="shared" ca="1" si="118"/>
        <v/>
      </c>
      <c r="Q1079" s="165" t="str">
        <f t="shared" ca="1" si="119"/>
        <v/>
      </c>
      <c r="R1079" s="79"/>
      <c r="S1079" s="80"/>
      <c r="T1079" s="61">
        <f t="shared" si="120"/>
        <v>0</v>
      </c>
      <c r="U1079" s="61">
        <f t="shared" si="121"/>
        <v>0</v>
      </c>
      <c r="V1079" s="61">
        <f t="shared" si="122"/>
        <v>0</v>
      </c>
      <c r="W1079" s="58"/>
      <c r="X1079" s="58"/>
      <c r="Y1079" s="53"/>
      <c r="Z1079" s="57"/>
      <c r="AA1079" s="62"/>
      <c r="AB1079" s="62"/>
      <c r="AC1079" s="62"/>
      <c r="AD1079" s="62"/>
      <c r="AE1079" s="62"/>
      <c r="AF1079" s="63"/>
      <c r="AG1079" s="64" t="str">
        <f t="shared" si="123"/>
        <v/>
      </c>
    </row>
    <row r="1080" spans="1:33" x14ac:dyDescent="0.25">
      <c r="A1080" s="46" t="str">
        <f>IF(ISBLANK(inbound_data[[#This Row],[Receiving Report ref.'#]]),"",IF(inbound_data[[#This Row],[Ending Quantity]]=0,"ZERO","INV"))</f>
        <v/>
      </c>
      <c r="B1080" s="165" t="str">
        <f t="shared" si="117"/>
        <v/>
      </c>
      <c r="C1080" s="165" t="str">
        <f>IF(ISBLANK(D1080),"",inbound_data[[#This Row],[Pallet_Series]]&amp;inbound_data[[#This Row],[No.]])</f>
        <v/>
      </c>
      <c r="D1080" s="54"/>
      <c r="E1080" s="55"/>
      <c r="F1080" s="56"/>
      <c r="G1080" s="57"/>
      <c r="H1080" s="53"/>
      <c r="I1080" s="53"/>
      <c r="J1080" s="55"/>
      <c r="K1080" s="58"/>
      <c r="L1080" s="59"/>
      <c r="M1080" s="55"/>
      <c r="N1080" s="60"/>
      <c r="O1080" s="60"/>
      <c r="P1080" s="165" t="str">
        <f t="shared" ca="1" si="118"/>
        <v/>
      </c>
      <c r="Q1080" s="165" t="str">
        <f t="shared" ca="1" si="119"/>
        <v/>
      </c>
      <c r="R1080" s="79"/>
      <c r="S1080" s="80"/>
      <c r="T1080" s="61">
        <f t="shared" si="120"/>
        <v>0</v>
      </c>
      <c r="U1080" s="61">
        <f t="shared" si="121"/>
        <v>0</v>
      </c>
      <c r="V1080" s="61">
        <f t="shared" si="122"/>
        <v>0</v>
      </c>
      <c r="W1080" s="58"/>
      <c r="X1080" s="58"/>
      <c r="Y1080" s="53"/>
      <c r="Z1080" s="57"/>
      <c r="AA1080" s="62"/>
      <c r="AB1080" s="62"/>
      <c r="AC1080" s="62"/>
      <c r="AD1080" s="62"/>
      <c r="AE1080" s="62"/>
      <c r="AF1080" s="63"/>
      <c r="AG1080" s="64" t="str">
        <f t="shared" si="123"/>
        <v/>
      </c>
    </row>
    <row r="1081" spans="1:33" x14ac:dyDescent="0.25">
      <c r="A1081" s="46" t="str">
        <f>IF(ISBLANK(inbound_data[[#This Row],[Receiving Report ref.'#]]),"",IF(inbound_data[[#This Row],[Ending Quantity]]=0,"ZERO","INV"))</f>
        <v/>
      </c>
      <c r="B1081" s="165" t="str">
        <f t="shared" si="117"/>
        <v/>
      </c>
      <c r="C1081" s="165" t="str">
        <f>IF(ISBLANK(D1081),"",inbound_data[[#This Row],[Pallet_Series]]&amp;inbound_data[[#This Row],[No.]])</f>
        <v/>
      </c>
      <c r="D1081" s="54"/>
      <c r="E1081" s="55"/>
      <c r="F1081" s="56"/>
      <c r="G1081" s="57"/>
      <c r="H1081" s="53"/>
      <c r="I1081" s="53"/>
      <c r="J1081" s="55"/>
      <c r="K1081" s="58"/>
      <c r="L1081" s="59"/>
      <c r="M1081" s="55"/>
      <c r="N1081" s="60"/>
      <c r="O1081" s="60"/>
      <c r="P1081" s="165" t="str">
        <f t="shared" ca="1" si="118"/>
        <v/>
      </c>
      <c r="Q1081" s="165" t="str">
        <f t="shared" ca="1" si="119"/>
        <v/>
      </c>
      <c r="R1081" s="79"/>
      <c r="S1081" s="80"/>
      <c r="T1081" s="61">
        <f t="shared" si="120"/>
        <v>0</v>
      </c>
      <c r="U1081" s="61">
        <f t="shared" si="121"/>
        <v>0</v>
      </c>
      <c r="V1081" s="61">
        <f t="shared" si="122"/>
        <v>0</v>
      </c>
      <c r="W1081" s="58"/>
      <c r="X1081" s="58"/>
      <c r="Y1081" s="53"/>
      <c r="Z1081" s="57"/>
      <c r="AA1081" s="62"/>
      <c r="AB1081" s="62"/>
      <c r="AC1081" s="62"/>
      <c r="AD1081" s="62"/>
      <c r="AE1081" s="62"/>
      <c r="AF1081" s="63"/>
      <c r="AG1081" s="64" t="str">
        <f t="shared" si="123"/>
        <v/>
      </c>
    </row>
    <row r="1082" spans="1:33" x14ac:dyDescent="0.25">
      <c r="A1082" s="46" t="str">
        <f>IF(ISBLANK(inbound_data[[#This Row],[Receiving Report ref.'#]]),"",IF(inbound_data[[#This Row],[Ending Quantity]]=0,"ZERO","INV"))</f>
        <v/>
      </c>
      <c r="B1082" s="165" t="str">
        <f t="shared" si="117"/>
        <v/>
      </c>
      <c r="C1082" s="165" t="str">
        <f>IF(ISBLANK(D1082),"",inbound_data[[#This Row],[Pallet_Series]]&amp;inbound_data[[#This Row],[No.]])</f>
        <v/>
      </c>
      <c r="D1082" s="54"/>
      <c r="E1082" s="55"/>
      <c r="F1082" s="56"/>
      <c r="G1082" s="57"/>
      <c r="H1082" s="53"/>
      <c r="I1082" s="53"/>
      <c r="J1082" s="55"/>
      <c r="K1082" s="58"/>
      <c r="L1082" s="59"/>
      <c r="M1082" s="55"/>
      <c r="N1082" s="60"/>
      <c r="O1082" s="60"/>
      <c r="P1082" s="165" t="str">
        <f t="shared" ca="1" si="118"/>
        <v/>
      </c>
      <c r="Q1082" s="165" t="str">
        <f t="shared" ca="1" si="119"/>
        <v/>
      </c>
      <c r="R1082" s="79"/>
      <c r="S1082" s="80"/>
      <c r="T1082" s="61">
        <f t="shared" si="120"/>
        <v>0</v>
      </c>
      <c r="U1082" s="61">
        <f t="shared" si="121"/>
        <v>0</v>
      </c>
      <c r="V1082" s="61">
        <f t="shared" si="122"/>
        <v>0</v>
      </c>
      <c r="W1082" s="58"/>
      <c r="X1082" s="58"/>
      <c r="Y1082" s="53"/>
      <c r="Z1082" s="57"/>
      <c r="AA1082" s="62"/>
      <c r="AB1082" s="62"/>
      <c r="AC1082" s="62"/>
      <c r="AD1082" s="62"/>
      <c r="AE1082" s="62"/>
      <c r="AF1082" s="63"/>
      <c r="AG1082" s="64" t="str">
        <f t="shared" si="123"/>
        <v/>
      </c>
    </row>
    <row r="1083" spans="1:33" x14ac:dyDescent="0.25">
      <c r="A1083" s="46" t="str">
        <f>IF(ISBLANK(inbound_data[[#This Row],[Receiving Report ref.'#]]),"",IF(inbound_data[[#This Row],[Ending Quantity]]=0,"ZERO","INV"))</f>
        <v/>
      </c>
      <c r="B1083" s="165" t="str">
        <f t="shared" si="117"/>
        <v/>
      </c>
      <c r="C1083" s="165" t="str">
        <f>IF(ISBLANK(D1083),"",inbound_data[[#This Row],[Pallet_Series]]&amp;inbound_data[[#This Row],[No.]])</f>
        <v/>
      </c>
      <c r="D1083" s="54"/>
      <c r="E1083" s="55"/>
      <c r="F1083" s="56"/>
      <c r="G1083" s="57"/>
      <c r="H1083" s="53"/>
      <c r="I1083" s="53"/>
      <c r="J1083" s="55"/>
      <c r="K1083" s="58"/>
      <c r="L1083" s="59"/>
      <c r="M1083" s="55"/>
      <c r="N1083" s="60"/>
      <c r="O1083" s="60"/>
      <c r="P1083" s="165" t="str">
        <f t="shared" ca="1" si="118"/>
        <v/>
      </c>
      <c r="Q1083" s="165" t="str">
        <f t="shared" ca="1" si="119"/>
        <v/>
      </c>
      <c r="R1083" s="79"/>
      <c r="S1083" s="80"/>
      <c r="T1083" s="61">
        <f t="shared" si="120"/>
        <v>0</v>
      </c>
      <c r="U1083" s="61">
        <f t="shared" si="121"/>
        <v>0</v>
      </c>
      <c r="V1083" s="61">
        <f t="shared" si="122"/>
        <v>0</v>
      </c>
      <c r="W1083" s="58"/>
      <c r="X1083" s="58"/>
      <c r="Y1083" s="53"/>
      <c r="Z1083" s="57"/>
      <c r="AA1083" s="62"/>
      <c r="AB1083" s="62"/>
      <c r="AC1083" s="62"/>
      <c r="AD1083" s="62"/>
      <c r="AE1083" s="62"/>
      <c r="AF1083" s="63"/>
      <c r="AG1083" s="64" t="str">
        <f t="shared" si="123"/>
        <v/>
      </c>
    </row>
    <row r="1084" spans="1:33" x14ac:dyDescent="0.25">
      <c r="A1084" s="46" t="str">
        <f>IF(ISBLANK(inbound_data[[#This Row],[Receiving Report ref.'#]]),"",IF(inbound_data[[#This Row],[Ending Quantity]]=0,"ZERO","INV"))</f>
        <v/>
      </c>
      <c r="B1084" s="165" t="str">
        <f t="shared" si="117"/>
        <v/>
      </c>
      <c r="C1084" s="165" t="str">
        <f>IF(ISBLANK(D1084),"",inbound_data[[#This Row],[Pallet_Series]]&amp;inbound_data[[#This Row],[No.]])</f>
        <v/>
      </c>
      <c r="D1084" s="54"/>
      <c r="E1084" s="55"/>
      <c r="F1084" s="56"/>
      <c r="G1084" s="57"/>
      <c r="H1084" s="53"/>
      <c r="I1084" s="53"/>
      <c r="J1084" s="55"/>
      <c r="K1084" s="58"/>
      <c r="L1084" s="59"/>
      <c r="M1084" s="55"/>
      <c r="N1084" s="60"/>
      <c r="O1084" s="60"/>
      <c r="P1084" s="165" t="str">
        <f t="shared" ca="1" si="118"/>
        <v/>
      </c>
      <c r="Q1084" s="165" t="str">
        <f t="shared" ca="1" si="119"/>
        <v/>
      </c>
      <c r="R1084" s="79"/>
      <c r="S1084" s="80"/>
      <c r="T1084" s="61">
        <f t="shared" si="120"/>
        <v>0</v>
      </c>
      <c r="U1084" s="61">
        <f t="shared" si="121"/>
        <v>0</v>
      </c>
      <c r="V1084" s="61">
        <f t="shared" si="122"/>
        <v>0</v>
      </c>
      <c r="W1084" s="58"/>
      <c r="X1084" s="58"/>
      <c r="Y1084" s="53"/>
      <c r="Z1084" s="57"/>
      <c r="AA1084" s="62"/>
      <c r="AB1084" s="62"/>
      <c r="AC1084" s="62"/>
      <c r="AD1084" s="62"/>
      <c r="AE1084" s="62"/>
      <c r="AF1084" s="63"/>
      <c r="AG1084" s="64" t="str">
        <f t="shared" si="123"/>
        <v/>
      </c>
    </row>
    <row r="1085" spans="1:33" x14ac:dyDescent="0.25">
      <c r="A1085" s="46" t="str">
        <f>IF(ISBLANK(inbound_data[[#This Row],[Receiving Report ref.'#]]),"",IF(inbound_data[[#This Row],[Ending Quantity]]=0,"ZERO","INV"))</f>
        <v/>
      </c>
      <c r="B1085" s="165" t="str">
        <f t="shared" si="117"/>
        <v/>
      </c>
      <c r="C1085" s="165" t="str">
        <f>IF(ISBLANK(D1085),"",inbound_data[[#This Row],[Pallet_Series]]&amp;inbound_data[[#This Row],[No.]])</f>
        <v/>
      </c>
      <c r="D1085" s="54"/>
      <c r="E1085" s="55"/>
      <c r="F1085" s="56"/>
      <c r="G1085" s="57"/>
      <c r="H1085" s="53"/>
      <c r="I1085" s="53"/>
      <c r="J1085" s="55"/>
      <c r="K1085" s="58"/>
      <c r="L1085" s="59"/>
      <c r="M1085" s="55"/>
      <c r="N1085" s="60"/>
      <c r="O1085" s="60"/>
      <c r="P1085" s="165" t="str">
        <f t="shared" ca="1" si="118"/>
        <v/>
      </c>
      <c r="Q1085" s="165" t="str">
        <f t="shared" ca="1" si="119"/>
        <v/>
      </c>
      <c r="R1085" s="79"/>
      <c r="S1085" s="80"/>
      <c r="T1085" s="61">
        <f t="shared" si="120"/>
        <v>0</v>
      </c>
      <c r="U1085" s="61">
        <f t="shared" si="121"/>
        <v>0</v>
      </c>
      <c r="V1085" s="61">
        <f t="shared" si="122"/>
        <v>0</v>
      </c>
      <c r="W1085" s="58"/>
      <c r="X1085" s="58"/>
      <c r="Y1085" s="53"/>
      <c r="Z1085" s="57"/>
      <c r="AA1085" s="62"/>
      <c r="AB1085" s="62"/>
      <c r="AC1085" s="62"/>
      <c r="AD1085" s="62"/>
      <c r="AE1085" s="62"/>
      <c r="AF1085" s="63"/>
      <c r="AG1085" s="64" t="str">
        <f t="shared" si="123"/>
        <v/>
      </c>
    </row>
    <row r="1086" spans="1:33" x14ac:dyDescent="0.25">
      <c r="A1086" s="46" t="str">
        <f>IF(ISBLANK(inbound_data[[#This Row],[Receiving Report ref.'#]]),"",IF(inbound_data[[#This Row],[Ending Quantity]]=0,"ZERO","INV"))</f>
        <v/>
      </c>
      <c r="B1086" s="165" t="str">
        <f t="shared" si="117"/>
        <v/>
      </c>
      <c r="C1086" s="165" t="str">
        <f>IF(ISBLANK(D1086),"",inbound_data[[#This Row],[Pallet_Series]]&amp;inbound_data[[#This Row],[No.]])</f>
        <v/>
      </c>
      <c r="D1086" s="54"/>
      <c r="E1086" s="55"/>
      <c r="F1086" s="56"/>
      <c r="G1086" s="57"/>
      <c r="H1086" s="53"/>
      <c r="I1086" s="53"/>
      <c r="J1086" s="55"/>
      <c r="K1086" s="58"/>
      <c r="L1086" s="59"/>
      <c r="M1086" s="55"/>
      <c r="N1086" s="60"/>
      <c r="O1086" s="60"/>
      <c r="P1086" s="165" t="str">
        <f t="shared" ca="1" si="118"/>
        <v/>
      </c>
      <c r="Q1086" s="165" t="str">
        <f t="shared" ca="1" si="119"/>
        <v/>
      </c>
      <c r="R1086" s="79"/>
      <c r="S1086" s="80"/>
      <c r="T1086" s="61">
        <f t="shared" si="120"/>
        <v>0</v>
      </c>
      <c r="U1086" s="61">
        <f t="shared" si="121"/>
        <v>0</v>
      </c>
      <c r="V1086" s="61">
        <f t="shared" si="122"/>
        <v>0</v>
      </c>
      <c r="W1086" s="58"/>
      <c r="X1086" s="58"/>
      <c r="Y1086" s="53"/>
      <c r="Z1086" s="57"/>
      <c r="AA1086" s="62"/>
      <c r="AB1086" s="62"/>
      <c r="AC1086" s="62"/>
      <c r="AD1086" s="62"/>
      <c r="AE1086" s="62"/>
      <c r="AF1086" s="63"/>
      <c r="AG1086" s="64" t="str">
        <f t="shared" si="123"/>
        <v/>
      </c>
    </row>
    <row r="1087" spans="1:33" x14ac:dyDescent="0.25">
      <c r="A1087" s="46" t="str">
        <f>IF(ISBLANK(inbound_data[[#This Row],[Receiving Report ref.'#]]),"",IF(inbound_data[[#This Row],[Ending Quantity]]=0,"ZERO","INV"))</f>
        <v/>
      </c>
      <c r="B1087" s="165" t="str">
        <f t="shared" si="117"/>
        <v/>
      </c>
      <c r="C1087" s="165" t="str">
        <f>IF(ISBLANK(D1087),"",inbound_data[[#This Row],[Pallet_Series]]&amp;inbound_data[[#This Row],[No.]])</f>
        <v/>
      </c>
      <c r="D1087" s="54"/>
      <c r="E1087" s="55"/>
      <c r="F1087" s="56"/>
      <c r="G1087" s="57"/>
      <c r="H1087" s="53"/>
      <c r="I1087" s="53"/>
      <c r="J1087" s="55"/>
      <c r="K1087" s="58"/>
      <c r="L1087" s="59"/>
      <c r="M1087" s="55"/>
      <c r="N1087" s="60"/>
      <c r="O1087" s="60"/>
      <c r="P1087" s="165" t="str">
        <f t="shared" ca="1" si="118"/>
        <v/>
      </c>
      <c r="Q1087" s="165" t="str">
        <f t="shared" ca="1" si="119"/>
        <v/>
      </c>
      <c r="R1087" s="79"/>
      <c r="S1087" s="80"/>
      <c r="T1087" s="61">
        <f t="shared" si="120"/>
        <v>0</v>
      </c>
      <c r="U1087" s="61">
        <f t="shared" si="121"/>
        <v>0</v>
      </c>
      <c r="V1087" s="61">
        <f t="shared" si="122"/>
        <v>0</v>
      </c>
      <c r="W1087" s="58"/>
      <c r="X1087" s="58"/>
      <c r="Y1087" s="53"/>
      <c r="Z1087" s="57"/>
      <c r="AA1087" s="62"/>
      <c r="AB1087" s="62"/>
      <c r="AC1087" s="62"/>
      <c r="AD1087" s="62"/>
      <c r="AE1087" s="62"/>
      <c r="AF1087" s="63"/>
      <c r="AG1087" s="64" t="str">
        <f t="shared" si="123"/>
        <v/>
      </c>
    </row>
    <row r="1088" spans="1:33" x14ac:dyDescent="0.25">
      <c r="A1088" s="46" t="str">
        <f>IF(ISBLANK(inbound_data[[#This Row],[Receiving Report ref.'#]]),"",IF(inbound_data[[#This Row],[Ending Quantity]]=0,"ZERO","INV"))</f>
        <v/>
      </c>
      <c r="B1088" s="165" t="str">
        <f t="shared" si="117"/>
        <v/>
      </c>
      <c r="C1088" s="165" t="str">
        <f>IF(ISBLANK(D1088),"",inbound_data[[#This Row],[Pallet_Series]]&amp;inbound_data[[#This Row],[No.]])</f>
        <v/>
      </c>
      <c r="D1088" s="54"/>
      <c r="E1088" s="55"/>
      <c r="F1088" s="56"/>
      <c r="G1088" s="57"/>
      <c r="H1088" s="53"/>
      <c r="I1088" s="53"/>
      <c r="J1088" s="55"/>
      <c r="K1088" s="58"/>
      <c r="L1088" s="59"/>
      <c r="M1088" s="55"/>
      <c r="N1088" s="60"/>
      <c r="O1088" s="60"/>
      <c r="P1088" s="165" t="str">
        <f t="shared" ca="1" si="118"/>
        <v/>
      </c>
      <c r="Q1088" s="165" t="str">
        <f t="shared" ca="1" si="119"/>
        <v/>
      </c>
      <c r="R1088" s="79"/>
      <c r="S1088" s="80"/>
      <c r="T1088" s="61">
        <f t="shared" si="120"/>
        <v>0</v>
      </c>
      <c r="U1088" s="61">
        <f t="shared" si="121"/>
        <v>0</v>
      </c>
      <c r="V1088" s="61">
        <f t="shared" si="122"/>
        <v>0</v>
      </c>
      <c r="W1088" s="58"/>
      <c r="X1088" s="58"/>
      <c r="Y1088" s="53"/>
      <c r="Z1088" s="57"/>
      <c r="AA1088" s="62"/>
      <c r="AB1088" s="62"/>
      <c r="AC1088" s="62"/>
      <c r="AD1088" s="62"/>
      <c r="AE1088" s="62"/>
      <c r="AF1088" s="63"/>
      <c r="AG1088" s="64" t="str">
        <f t="shared" si="123"/>
        <v/>
      </c>
    </row>
    <row r="1089" spans="1:33" x14ac:dyDescent="0.25">
      <c r="A1089" s="46" t="str">
        <f>IF(ISBLANK(inbound_data[[#This Row],[Receiving Report ref.'#]]),"",IF(inbound_data[[#This Row],[Ending Quantity]]=0,"ZERO","INV"))</f>
        <v/>
      </c>
      <c r="B1089" s="165" t="str">
        <f t="shared" si="117"/>
        <v/>
      </c>
      <c r="C1089" s="165" t="str">
        <f>IF(ISBLANK(D1089),"",inbound_data[[#This Row],[Pallet_Series]]&amp;inbound_data[[#This Row],[No.]])</f>
        <v/>
      </c>
      <c r="D1089" s="54"/>
      <c r="E1089" s="55"/>
      <c r="F1089" s="56"/>
      <c r="G1089" s="57"/>
      <c r="H1089" s="53"/>
      <c r="I1089" s="53"/>
      <c r="J1089" s="55"/>
      <c r="K1089" s="58"/>
      <c r="L1089" s="59"/>
      <c r="M1089" s="55"/>
      <c r="N1089" s="60"/>
      <c r="O1089" s="60"/>
      <c r="P1089" s="165" t="str">
        <f t="shared" ca="1" si="118"/>
        <v/>
      </c>
      <c r="Q1089" s="165" t="str">
        <f t="shared" ca="1" si="119"/>
        <v/>
      </c>
      <c r="R1089" s="79"/>
      <c r="S1089" s="80"/>
      <c r="T1089" s="61">
        <f t="shared" si="120"/>
        <v>0</v>
      </c>
      <c r="U1089" s="61">
        <f t="shared" si="121"/>
        <v>0</v>
      </c>
      <c r="V1089" s="61">
        <f t="shared" si="122"/>
        <v>0</v>
      </c>
      <c r="W1089" s="58"/>
      <c r="X1089" s="58"/>
      <c r="Y1089" s="53"/>
      <c r="Z1089" s="57"/>
      <c r="AA1089" s="62"/>
      <c r="AB1089" s="62"/>
      <c r="AC1089" s="62"/>
      <c r="AD1089" s="62"/>
      <c r="AE1089" s="62"/>
      <c r="AF1089" s="63"/>
      <c r="AG1089" s="64" t="str">
        <f t="shared" si="123"/>
        <v/>
      </c>
    </row>
    <row r="1090" spans="1:33" x14ac:dyDescent="0.25">
      <c r="A1090" s="46" t="str">
        <f>IF(ISBLANK(inbound_data[[#This Row],[Receiving Report ref.'#]]),"",IF(inbound_data[[#This Row],[Ending Quantity]]=0,"ZERO","INV"))</f>
        <v/>
      </c>
      <c r="B1090" s="165" t="str">
        <f t="shared" si="117"/>
        <v/>
      </c>
      <c r="C1090" s="165" t="str">
        <f>IF(ISBLANK(D1090),"",inbound_data[[#This Row],[Pallet_Series]]&amp;inbound_data[[#This Row],[No.]])</f>
        <v/>
      </c>
      <c r="D1090" s="54"/>
      <c r="E1090" s="55"/>
      <c r="F1090" s="56"/>
      <c r="G1090" s="57"/>
      <c r="H1090" s="53"/>
      <c r="I1090" s="53"/>
      <c r="J1090" s="55"/>
      <c r="K1090" s="58"/>
      <c r="L1090" s="59"/>
      <c r="M1090" s="55"/>
      <c r="N1090" s="60"/>
      <c r="O1090" s="60"/>
      <c r="P1090" s="165" t="str">
        <f t="shared" ca="1" si="118"/>
        <v/>
      </c>
      <c r="Q1090" s="165" t="str">
        <f t="shared" ca="1" si="119"/>
        <v/>
      </c>
      <c r="R1090" s="79"/>
      <c r="S1090" s="80"/>
      <c r="T1090" s="61">
        <f t="shared" si="120"/>
        <v>0</v>
      </c>
      <c r="U1090" s="61">
        <f t="shared" si="121"/>
        <v>0</v>
      </c>
      <c r="V1090" s="61">
        <f t="shared" si="122"/>
        <v>0</v>
      </c>
      <c r="W1090" s="58"/>
      <c r="X1090" s="58"/>
      <c r="Y1090" s="53"/>
      <c r="Z1090" s="57"/>
      <c r="AA1090" s="62"/>
      <c r="AB1090" s="62"/>
      <c r="AC1090" s="62"/>
      <c r="AD1090" s="62"/>
      <c r="AE1090" s="62"/>
      <c r="AF1090" s="63"/>
      <c r="AG1090" s="64" t="str">
        <f t="shared" si="123"/>
        <v/>
      </c>
    </row>
    <row r="1091" spans="1:33" x14ac:dyDescent="0.25">
      <c r="A1091" s="46" t="str">
        <f>IF(ISBLANK(inbound_data[[#This Row],[Receiving Report ref.'#]]),"",IF(inbound_data[[#This Row],[Ending Quantity]]=0,"ZERO","INV"))</f>
        <v/>
      </c>
      <c r="B1091" s="165" t="str">
        <f t="shared" si="117"/>
        <v/>
      </c>
      <c r="C1091" s="165" t="str">
        <f>IF(ISBLANK(D1091),"",inbound_data[[#This Row],[Pallet_Series]]&amp;inbound_data[[#This Row],[No.]])</f>
        <v/>
      </c>
      <c r="D1091" s="54"/>
      <c r="E1091" s="55"/>
      <c r="F1091" s="56"/>
      <c r="G1091" s="57"/>
      <c r="H1091" s="53"/>
      <c r="I1091" s="53"/>
      <c r="J1091" s="55"/>
      <c r="K1091" s="58"/>
      <c r="L1091" s="59"/>
      <c r="M1091" s="55"/>
      <c r="N1091" s="60"/>
      <c r="O1091" s="60"/>
      <c r="P1091" s="165" t="str">
        <f t="shared" ca="1" si="118"/>
        <v/>
      </c>
      <c r="Q1091" s="165" t="str">
        <f t="shared" ca="1" si="119"/>
        <v/>
      </c>
      <c r="R1091" s="79"/>
      <c r="S1091" s="80"/>
      <c r="T1091" s="61">
        <f t="shared" si="120"/>
        <v>0</v>
      </c>
      <c r="U1091" s="61">
        <f t="shared" si="121"/>
        <v>0</v>
      </c>
      <c r="V1091" s="61">
        <f t="shared" si="122"/>
        <v>0</v>
      </c>
      <c r="W1091" s="58"/>
      <c r="X1091" s="58"/>
      <c r="Y1091" s="53"/>
      <c r="Z1091" s="57"/>
      <c r="AA1091" s="62"/>
      <c r="AB1091" s="62"/>
      <c r="AC1091" s="62"/>
      <c r="AD1091" s="62"/>
      <c r="AE1091" s="62"/>
      <c r="AF1091" s="63"/>
      <c r="AG1091" s="64" t="str">
        <f t="shared" si="123"/>
        <v/>
      </c>
    </row>
    <row r="1092" spans="1:33" x14ac:dyDescent="0.25">
      <c r="A1092" s="46" t="str">
        <f>IF(ISBLANK(inbound_data[[#This Row],[Receiving Report ref.'#]]),"",IF(inbound_data[[#This Row],[Ending Quantity]]=0,"ZERO","INV"))</f>
        <v/>
      </c>
      <c r="B1092" s="165" t="str">
        <f t="shared" si="117"/>
        <v/>
      </c>
      <c r="C1092" s="165" t="str">
        <f>IF(ISBLANK(D1092),"",inbound_data[[#This Row],[Pallet_Series]]&amp;inbound_data[[#This Row],[No.]])</f>
        <v/>
      </c>
      <c r="D1092" s="54"/>
      <c r="E1092" s="55"/>
      <c r="F1092" s="56"/>
      <c r="G1092" s="57"/>
      <c r="H1092" s="53"/>
      <c r="I1092" s="53"/>
      <c r="J1092" s="55"/>
      <c r="K1092" s="58"/>
      <c r="L1092" s="59"/>
      <c r="M1092" s="55"/>
      <c r="N1092" s="60"/>
      <c r="O1092" s="60"/>
      <c r="P1092" s="165" t="str">
        <f t="shared" ca="1" si="118"/>
        <v/>
      </c>
      <c r="Q1092" s="165" t="str">
        <f t="shared" ca="1" si="119"/>
        <v/>
      </c>
      <c r="R1092" s="79"/>
      <c r="S1092" s="80"/>
      <c r="T1092" s="61">
        <f t="shared" si="120"/>
        <v>0</v>
      </c>
      <c r="U1092" s="61">
        <f t="shared" si="121"/>
        <v>0</v>
      </c>
      <c r="V1092" s="61">
        <f t="shared" si="122"/>
        <v>0</v>
      </c>
      <c r="W1092" s="58"/>
      <c r="X1092" s="58"/>
      <c r="Y1092" s="53"/>
      <c r="Z1092" s="57"/>
      <c r="AA1092" s="62"/>
      <c r="AB1092" s="62"/>
      <c r="AC1092" s="62"/>
      <c r="AD1092" s="62"/>
      <c r="AE1092" s="62"/>
      <c r="AF1092" s="63"/>
      <c r="AG1092" s="64" t="str">
        <f t="shared" si="123"/>
        <v/>
      </c>
    </row>
    <row r="1093" spans="1:33" x14ac:dyDescent="0.25">
      <c r="A1093" s="46" t="str">
        <f>IF(ISBLANK(inbound_data[[#This Row],[Receiving Report ref.'#]]),"",IF(inbound_data[[#This Row],[Ending Quantity]]=0,"ZERO","INV"))</f>
        <v/>
      </c>
      <c r="B1093" s="165" t="str">
        <f t="shared" si="117"/>
        <v/>
      </c>
      <c r="C1093" s="165" t="str">
        <f>IF(ISBLANK(D1093),"",inbound_data[[#This Row],[Pallet_Series]]&amp;inbound_data[[#This Row],[No.]])</f>
        <v/>
      </c>
      <c r="D1093" s="54"/>
      <c r="E1093" s="55"/>
      <c r="F1093" s="56"/>
      <c r="G1093" s="57"/>
      <c r="H1093" s="53"/>
      <c r="I1093" s="53"/>
      <c r="J1093" s="55"/>
      <c r="K1093" s="58"/>
      <c r="L1093" s="59"/>
      <c r="M1093" s="55"/>
      <c r="N1093" s="60"/>
      <c r="O1093" s="60"/>
      <c r="P1093" s="165" t="str">
        <f t="shared" ca="1" si="118"/>
        <v/>
      </c>
      <c r="Q1093" s="165" t="str">
        <f t="shared" ca="1" si="119"/>
        <v/>
      </c>
      <c r="R1093" s="79"/>
      <c r="S1093" s="80"/>
      <c r="T1093" s="61">
        <f t="shared" si="120"/>
        <v>0</v>
      </c>
      <c r="U1093" s="61">
        <f t="shared" si="121"/>
        <v>0</v>
      </c>
      <c r="V1093" s="61">
        <f t="shared" si="122"/>
        <v>0</v>
      </c>
      <c r="W1093" s="58"/>
      <c r="X1093" s="58"/>
      <c r="Y1093" s="53"/>
      <c r="Z1093" s="57"/>
      <c r="AA1093" s="62"/>
      <c r="AB1093" s="62"/>
      <c r="AC1093" s="62"/>
      <c r="AD1093" s="62"/>
      <c r="AE1093" s="62"/>
      <c r="AF1093" s="63"/>
      <c r="AG1093" s="64" t="str">
        <f t="shared" si="123"/>
        <v/>
      </c>
    </row>
    <row r="1094" spans="1:33" x14ac:dyDescent="0.25">
      <c r="A1094" s="46" t="str">
        <f>IF(ISBLANK(inbound_data[[#This Row],[Receiving Report ref.'#]]),"",IF(inbound_data[[#This Row],[Ending Quantity]]=0,"ZERO","INV"))</f>
        <v/>
      </c>
      <c r="B1094" s="165" t="str">
        <f t="shared" si="117"/>
        <v/>
      </c>
      <c r="C1094" s="165" t="str">
        <f>IF(ISBLANK(D1094),"",inbound_data[[#This Row],[Pallet_Series]]&amp;inbound_data[[#This Row],[No.]])</f>
        <v/>
      </c>
      <c r="D1094" s="54"/>
      <c r="E1094" s="55"/>
      <c r="F1094" s="56"/>
      <c r="G1094" s="57"/>
      <c r="H1094" s="53"/>
      <c r="I1094" s="53"/>
      <c r="J1094" s="55"/>
      <c r="K1094" s="58"/>
      <c r="L1094" s="59"/>
      <c r="M1094" s="55"/>
      <c r="N1094" s="60"/>
      <c r="O1094" s="60"/>
      <c r="P1094" s="165" t="str">
        <f t="shared" ca="1" si="118"/>
        <v/>
      </c>
      <c r="Q1094" s="165" t="str">
        <f t="shared" ca="1" si="119"/>
        <v/>
      </c>
      <c r="R1094" s="79"/>
      <c r="S1094" s="80"/>
      <c r="T1094" s="61">
        <f t="shared" si="120"/>
        <v>0</v>
      </c>
      <c r="U1094" s="61">
        <f t="shared" si="121"/>
        <v>0</v>
      </c>
      <c r="V1094" s="61">
        <f t="shared" si="122"/>
        <v>0</v>
      </c>
      <c r="W1094" s="58"/>
      <c r="X1094" s="58"/>
      <c r="Y1094" s="53"/>
      <c r="Z1094" s="57"/>
      <c r="AA1094" s="62"/>
      <c r="AB1094" s="62"/>
      <c r="AC1094" s="62"/>
      <c r="AD1094" s="62"/>
      <c r="AE1094" s="62"/>
      <c r="AF1094" s="63"/>
      <c r="AG1094" s="64" t="str">
        <f t="shared" si="123"/>
        <v/>
      </c>
    </row>
    <row r="1095" spans="1:33" x14ac:dyDescent="0.25">
      <c r="A1095" s="46" t="str">
        <f>IF(ISBLANK(inbound_data[[#This Row],[Receiving Report ref.'#]]),"",IF(inbound_data[[#This Row],[Ending Quantity]]=0,"ZERO","INV"))</f>
        <v/>
      </c>
      <c r="B1095" s="165" t="str">
        <f t="shared" si="117"/>
        <v/>
      </c>
      <c r="C1095" s="165" t="str">
        <f>IF(ISBLANK(D1095),"",inbound_data[[#This Row],[Pallet_Series]]&amp;inbound_data[[#This Row],[No.]])</f>
        <v/>
      </c>
      <c r="D1095" s="54"/>
      <c r="E1095" s="55"/>
      <c r="F1095" s="56"/>
      <c r="G1095" s="57"/>
      <c r="H1095" s="53"/>
      <c r="I1095" s="53"/>
      <c r="J1095" s="55"/>
      <c r="K1095" s="58"/>
      <c r="L1095" s="59"/>
      <c r="M1095" s="55"/>
      <c r="N1095" s="60"/>
      <c r="O1095" s="60"/>
      <c r="P1095" s="165" t="str">
        <f t="shared" ca="1" si="118"/>
        <v/>
      </c>
      <c r="Q1095" s="165" t="str">
        <f t="shared" ca="1" si="119"/>
        <v/>
      </c>
      <c r="R1095" s="79"/>
      <c r="S1095" s="80"/>
      <c r="T1095" s="61">
        <f t="shared" si="120"/>
        <v>0</v>
      </c>
      <c r="U1095" s="61">
        <f t="shared" si="121"/>
        <v>0</v>
      </c>
      <c r="V1095" s="61">
        <f t="shared" si="122"/>
        <v>0</v>
      </c>
      <c r="W1095" s="58"/>
      <c r="X1095" s="58"/>
      <c r="Y1095" s="53"/>
      <c r="Z1095" s="57"/>
      <c r="AA1095" s="62"/>
      <c r="AB1095" s="62"/>
      <c r="AC1095" s="62"/>
      <c r="AD1095" s="62"/>
      <c r="AE1095" s="62"/>
      <c r="AF1095" s="63"/>
      <c r="AG1095" s="64" t="str">
        <f t="shared" si="123"/>
        <v/>
      </c>
    </row>
    <row r="1096" spans="1:33" x14ac:dyDescent="0.25">
      <c r="A1096" s="46" t="str">
        <f>IF(ISBLANK(inbound_data[[#This Row],[Receiving Report ref.'#]]),"",IF(inbound_data[[#This Row],[Ending Quantity]]=0,"ZERO","INV"))</f>
        <v/>
      </c>
      <c r="B1096" s="165" t="str">
        <f t="shared" si="117"/>
        <v/>
      </c>
      <c r="C1096" s="165" t="str">
        <f>IF(ISBLANK(D1096),"",inbound_data[[#This Row],[Pallet_Series]]&amp;inbound_data[[#This Row],[No.]])</f>
        <v/>
      </c>
      <c r="D1096" s="54"/>
      <c r="E1096" s="55"/>
      <c r="F1096" s="56"/>
      <c r="G1096" s="57"/>
      <c r="H1096" s="53"/>
      <c r="I1096" s="53"/>
      <c r="J1096" s="55"/>
      <c r="K1096" s="58"/>
      <c r="L1096" s="59"/>
      <c r="M1096" s="55"/>
      <c r="N1096" s="60"/>
      <c r="O1096" s="60"/>
      <c r="P1096" s="165" t="str">
        <f t="shared" ca="1" si="118"/>
        <v/>
      </c>
      <c r="Q1096" s="165" t="str">
        <f t="shared" ca="1" si="119"/>
        <v/>
      </c>
      <c r="R1096" s="79"/>
      <c r="S1096" s="80"/>
      <c r="T1096" s="61">
        <f t="shared" si="120"/>
        <v>0</v>
      </c>
      <c r="U1096" s="61">
        <f t="shared" si="121"/>
        <v>0</v>
      </c>
      <c r="V1096" s="61">
        <f t="shared" si="122"/>
        <v>0</v>
      </c>
      <c r="W1096" s="58"/>
      <c r="X1096" s="58"/>
      <c r="Y1096" s="53"/>
      <c r="Z1096" s="57"/>
      <c r="AA1096" s="62"/>
      <c r="AB1096" s="62"/>
      <c r="AC1096" s="62"/>
      <c r="AD1096" s="62"/>
      <c r="AE1096" s="62"/>
      <c r="AF1096" s="63"/>
      <c r="AG1096" s="64" t="str">
        <f t="shared" si="123"/>
        <v/>
      </c>
    </row>
    <row r="1097" spans="1:33" x14ac:dyDescent="0.25">
      <c r="A1097" s="46" t="str">
        <f>IF(ISBLANK(inbound_data[[#This Row],[Receiving Report ref.'#]]),"",IF(inbound_data[[#This Row],[Ending Quantity]]=0,"ZERO","INV"))</f>
        <v/>
      </c>
      <c r="B1097" s="165" t="str">
        <f t="shared" ref="B1097:B1160" si="124">IF(ISBLANK(D1097),"",TEXT(ROW(),"00000"))</f>
        <v/>
      </c>
      <c r="C1097" s="165" t="str">
        <f>IF(ISBLANK(D1097),"",inbound_data[[#This Row],[Pallet_Series]]&amp;inbound_data[[#This Row],[No.]])</f>
        <v/>
      </c>
      <c r="D1097" s="54"/>
      <c r="E1097" s="55"/>
      <c r="F1097" s="56"/>
      <c r="G1097" s="57"/>
      <c r="H1097" s="53"/>
      <c r="I1097" s="53"/>
      <c r="J1097" s="55"/>
      <c r="K1097" s="58"/>
      <c r="L1097" s="59"/>
      <c r="M1097" s="55"/>
      <c r="N1097" s="60"/>
      <c r="O1097" s="60"/>
      <c r="P1097" s="165" t="str">
        <f t="shared" ref="P1097:P1160" ca="1" si="125">IF(A1097="ZERO","",IF(O1097="","",O1097-TODAY()))</f>
        <v/>
      </c>
      <c r="Q1097" s="165" t="str">
        <f t="shared" ref="Q1097:Q1160" ca="1" si="126">IF(A1097="ZERO","",IF(P1097&lt;0,"ALREADY EXPIRED",IF(P1097&lt;60,"NEARLY EXPIRED","")))</f>
        <v/>
      </c>
      <c r="R1097" s="79"/>
      <c r="S1097" s="80"/>
      <c r="T1097" s="61">
        <f t="shared" ref="T1097:T1160" si="127">IF(ISBLANK(R1097),0,R1097-SUMIF(STOCK_CODE_OUT,$C1097,QTY_OUT))</f>
        <v>0</v>
      </c>
      <c r="U1097" s="61">
        <f t="shared" ref="U1097:U1160" si="128">IF(ISBLANK(S1097),0,S1097-SUMIF(STOCK_CODE_OUT,$C1097,KILOS_OUT))</f>
        <v>0</v>
      </c>
      <c r="V1097" s="61">
        <f t="shared" ref="V1097:V1160" si="129">IF(ISBLANK(K1097),0,K1097-SUMIF(STOCK_CODE_OUT,$C1097,PALLET_OUT))</f>
        <v>0</v>
      </c>
      <c r="W1097" s="58"/>
      <c r="X1097" s="58"/>
      <c r="Y1097" s="53"/>
      <c r="Z1097" s="57"/>
      <c r="AA1097" s="62"/>
      <c r="AB1097" s="62"/>
      <c r="AC1097" s="62"/>
      <c r="AD1097" s="62"/>
      <c r="AE1097" s="62"/>
      <c r="AF1097" s="63"/>
      <c r="AG1097" s="64" t="str">
        <f t="shared" ref="AG1097:AG1160" si="130">IF(T1097&gt;0,CONCATENATE(AA1097,AB1097,TEXT(AC1097,"R00"),TEXT(AD1097,"L0."),TEXT(AE1097,"0")),"")</f>
        <v/>
      </c>
    </row>
    <row r="1098" spans="1:33" x14ac:dyDescent="0.25">
      <c r="A1098" s="46" t="str">
        <f>IF(ISBLANK(inbound_data[[#This Row],[Receiving Report ref.'#]]),"",IF(inbound_data[[#This Row],[Ending Quantity]]=0,"ZERO","INV"))</f>
        <v/>
      </c>
      <c r="B1098" s="165" t="str">
        <f t="shared" si="124"/>
        <v/>
      </c>
      <c r="C1098" s="165" t="str">
        <f>IF(ISBLANK(D1098),"",inbound_data[[#This Row],[Pallet_Series]]&amp;inbound_data[[#This Row],[No.]])</f>
        <v/>
      </c>
      <c r="D1098" s="54"/>
      <c r="E1098" s="55"/>
      <c r="F1098" s="56"/>
      <c r="G1098" s="57"/>
      <c r="H1098" s="53"/>
      <c r="I1098" s="53"/>
      <c r="J1098" s="55"/>
      <c r="K1098" s="58"/>
      <c r="L1098" s="59"/>
      <c r="M1098" s="55"/>
      <c r="N1098" s="60"/>
      <c r="O1098" s="60"/>
      <c r="P1098" s="165" t="str">
        <f t="shared" ca="1" si="125"/>
        <v/>
      </c>
      <c r="Q1098" s="165" t="str">
        <f t="shared" ca="1" si="126"/>
        <v/>
      </c>
      <c r="R1098" s="79"/>
      <c r="S1098" s="80"/>
      <c r="T1098" s="61">
        <f t="shared" si="127"/>
        <v>0</v>
      </c>
      <c r="U1098" s="61">
        <f t="shared" si="128"/>
        <v>0</v>
      </c>
      <c r="V1098" s="61">
        <f t="shared" si="129"/>
        <v>0</v>
      </c>
      <c r="W1098" s="58"/>
      <c r="X1098" s="58"/>
      <c r="Y1098" s="53"/>
      <c r="Z1098" s="57"/>
      <c r="AA1098" s="62"/>
      <c r="AB1098" s="62"/>
      <c r="AC1098" s="62"/>
      <c r="AD1098" s="62"/>
      <c r="AE1098" s="62"/>
      <c r="AF1098" s="63"/>
      <c r="AG1098" s="64" t="str">
        <f t="shared" si="130"/>
        <v/>
      </c>
    </row>
    <row r="1099" spans="1:33" x14ac:dyDescent="0.25">
      <c r="A1099" s="46" t="str">
        <f>IF(ISBLANK(inbound_data[[#This Row],[Receiving Report ref.'#]]),"",IF(inbound_data[[#This Row],[Ending Quantity]]=0,"ZERO","INV"))</f>
        <v/>
      </c>
      <c r="B1099" s="165" t="str">
        <f t="shared" si="124"/>
        <v/>
      </c>
      <c r="C1099" s="165" t="str">
        <f>IF(ISBLANK(D1099),"",inbound_data[[#This Row],[Pallet_Series]]&amp;inbound_data[[#This Row],[No.]])</f>
        <v/>
      </c>
      <c r="D1099" s="54"/>
      <c r="E1099" s="55"/>
      <c r="F1099" s="56"/>
      <c r="G1099" s="57"/>
      <c r="H1099" s="53"/>
      <c r="I1099" s="53"/>
      <c r="J1099" s="55"/>
      <c r="K1099" s="58"/>
      <c r="L1099" s="59"/>
      <c r="M1099" s="55"/>
      <c r="N1099" s="60"/>
      <c r="O1099" s="60"/>
      <c r="P1099" s="165" t="str">
        <f t="shared" ca="1" si="125"/>
        <v/>
      </c>
      <c r="Q1099" s="165" t="str">
        <f t="shared" ca="1" si="126"/>
        <v/>
      </c>
      <c r="R1099" s="79"/>
      <c r="S1099" s="80"/>
      <c r="T1099" s="61">
        <f t="shared" si="127"/>
        <v>0</v>
      </c>
      <c r="U1099" s="61">
        <f t="shared" si="128"/>
        <v>0</v>
      </c>
      <c r="V1099" s="61">
        <f t="shared" si="129"/>
        <v>0</v>
      </c>
      <c r="W1099" s="58"/>
      <c r="X1099" s="58"/>
      <c r="Y1099" s="53"/>
      <c r="Z1099" s="57"/>
      <c r="AA1099" s="62"/>
      <c r="AB1099" s="62"/>
      <c r="AC1099" s="62"/>
      <c r="AD1099" s="62"/>
      <c r="AE1099" s="62"/>
      <c r="AF1099" s="63"/>
      <c r="AG1099" s="64" t="str">
        <f t="shared" si="130"/>
        <v/>
      </c>
    </row>
    <row r="1100" spans="1:33" x14ac:dyDescent="0.25">
      <c r="A1100" s="46" t="str">
        <f>IF(ISBLANK(inbound_data[[#This Row],[Receiving Report ref.'#]]),"",IF(inbound_data[[#This Row],[Ending Quantity]]=0,"ZERO","INV"))</f>
        <v/>
      </c>
      <c r="B1100" s="165" t="str">
        <f t="shared" si="124"/>
        <v/>
      </c>
      <c r="C1100" s="165" t="str">
        <f>IF(ISBLANK(D1100),"",inbound_data[[#This Row],[Pallet_Series]]&amp;inbound_data[[#This Row],[No.]])</f>
        <v/>
      </c>
      <c r="D1100" s="54"/>
      <c r="E1100" s="55"/>
      <c r="F1100" s="56"/>
      <c r="G1100" s="57"/>
      <c r="H1100" s="53"/>
      <c r="I1100" s="53"/>
      <c r="J1100" s="55"/>
      <c r="K1100" s="58"/>
      <c r="L1100" s="59"/>
      <c r="M1100" s="55"/>
      <c r="N1100" s="60"/>
      <c r="O1100" s="60"/>
      <c r="P1100" s="165" t="str">
        <f t="shared" ca="1" si="125"/>
        <v/>
      </c>
      <c r="Q1100" s="165" t="str">
        <f t="shared" ca="1" si="126"/>
        <v/>
      </c>
      <c r="R1100" s="79"/>
      <c r="S1100" s="80"/>
      <c r="T1100" s="61">
        <f t="shared" si="127"/>
        <v>0</v>
      </c>
      <c r="U1100" s="61">
        <f t="shared" si="128"/>
        <v>0</v>
      </c>
      <c r="V1100" s="61">
        <f t="shared" si="129"/>
        <v>0</v>
      </c>
      <c r="W1100" s="58"/>
      <c r="X1100" s="58"/>
      <c r="Y1100" s="53"/>
      <c r="Z1100" s="57"/>
      <c r="AA1100" s="62"/>
      <c r="AB1100" s="62"/>
      <c r="AC1100" s="62"/>
      <c r="AD1100" s="62"/>
      <c r="AE1100" s="62"/>
      <c r="AF1100" s="63"/>
      <c r="AG1100" s="64" t="str">
        <f t="shared" si="130"/>
        <v/>
      </c>
    </row>
    <row r="1101" spans="1:33" x14ac:dyDescent="0.25">
      <c r="A1101" s="46" t="str">
        <f>IF(ISBLANK(inbound_data[[#This Row],[Receiving Report ref.'#]]),"",IF(inbound_data[[#This Row],[Ending Quantity]]=0,"ZERO","INV"))</f>
        <v/>
      </c>
      <c r="B1101" s="165" t="str">
        <f t="shared" si="124"/>
        <v/>
      </c>
      <c r="C1101" s="165" t="str">
        <f>IF(ISBLANK(D1101),"",inbound_data[[#This Row],[Pallet_Series]]&amp;inbound_data[[#This Row],[No.]])</f>
        <v/>
      </c>
      <c r="D1101" s="54"/>
      <c r="E1101" s="55"/>
      <c r="F1101" s="56"/>
      <c r="G1101" s="57"/>
      <c r="H1101" s="53"/>
      <c r="I1101" s="53"/>
      <c r="J1101" s="55"/>
      <c r="K1101" s="58"/>
      <c r="L1101" s="59"/>
      <c r="M1101" s="55"/>
      <c r="N1101" s="60"/>
      <c r="O1101" s="60"/>
      <c r="P1101" s="165" t="str">
        <f t="shared" ca="1" si="125"/>
        <v/>
      </c>
      <c r="Q1101" s="165" t="str">
        <f t="shared" ca="1" si="126"/>
        <v/>
      </c>
      <c r="R1101" s="79"/>
      <c r="S1101" s="80"/>
      <c r="T1101" s="61">
        <f t="shared" si="127"/>
        <v>0</v>
      </c>
      <c r="U1101" s="61">
        <f t="shared" si="128"/>
        <v>0</v>
      </c>
      <c r="V1101" s="61">
        <f t="shared" si="129"/>
        <v>0</v>
      </c>
      <c r="W1101" s="58"/>
      <c r="X1101" s="58"/>
      <c r="Y1101" s="53"/>
      <c r="Z1101" s="57"/>
      <c r="AA1101" s="62"/>
      <c r="AB1101" s="62"/>
      <c r="AC1101" s="62"/>
      <c r="AD1101" s="62"/>
      <c r="AE1101" s="62"/>
      <c r="AF1101" s="63"/>
      <c r="AG1101" s="64" t="str">
        <f t="shared" si="130"/>
        <v/>
      </c>
    </row>
    <row r="1102" spans="1:33" x14ac:dyDescent="0.25">
      <c r="A1102" s="46" t="str">
        <f>IF(ISBLANK(inbound_data[[#This Row],[Receiving Report ref.'#]]),"",IF(inbound_data[[#This Row],[Ending Quantity]]=0,"ZERO","INV"))</f>
        <v/>
      </c>
      <c r="B1102" s="165" t="str">
        <f t="shared" si="124"/>
        <v/>
      </c>
      <c r="C1102" s="165" t="str">
        <f>IF(ISBLANK(D1102),"",inbound_data[[#This Row],[Pallet_Series]]&amp;inbound_data[[#This Row],[No.]])</f>
        <v/>
      </c>
      <c r="D1102" s="54"/>
      <c r="E1102" s="55"/>
      <c r="F1102" s="56"/>
      <c r="G1102" s="57"/>
      <c r="H1102" s="53"/>
      <c r="I1102" s="53"/>
      <c r="J1102" s="55"/>
      <c r="K1102" s="58"/>
      <c r="L1102" s="59"/>
      <c r="M1102" s="55"/>
      <c r="N1102" s="60"/>
      <c r="O1102" s="60"/>
      <c r="P1102" s="165" t="str">
        <f t="shared" ca="1" si="125"/>
        <v/>
      </c>
      <c r="Q1102" s="165" t="str">
        <f t="shared" ca="1" si="126"/>
        <v/>
      </c>
      <c r="R1102" s="79"/>
      <c r="S1102" s="80"/>
      <c r="T1102" s="61">
        <f t="shared" si="127"/>
        <v>0</v>
      </c>
      <c r="U1102" s="61">
        <f t="shared" si="128"/>
        <v>0</v>
      </c>
      <c r="V1102" s="61">
        <f t="shared" si="129"/>
        <v>0</v>
      </c>
      <c r="W1102" s="58"/>
      <c r="X1102" s="58"/>
      <c r="Y1102" s="53"/>
      <c r="Z1102" s="57"/>
      <c r="AA1102" s="62"/>
      <c r="AB1102" s="62"/>
      <c r="AC1102" s="62"/>
      <c r="AD1102" s="62"/>
      <c r="AE1102" s="62"/>
      <c r="AF1102" s="63"/>
      <c r="AG1102" s="64" t="str">
        <f t="shared" si="130"/>
        <v/>
      </c>
    </row>
    <row r="1103" spans="1:33" x14ac:dyDescent="0.25">
      <c r="A1103" s="46" t="str">
        <f>IF(ISBLANK(inbound_data[[#This Row],[Receiving Report ref.'#]]),"",IF(inbound_data[[#This Row],[Ending Quantity]]=0,"ZERO","INV"))</f>
        <v/>
      </c>
      <c r="B1103" s="165" t="str">
        <f t="shared" si="124"/>
        <v/>
      </c>
      <c r="C1103" s="165" t="str">
        <f>IF(ISBLANK(D1103),"",inbound_data[[#This Row],[Pallet_Series]]&amp;inbound_data[[#This Row],[No.]])</f>
        <v/>
      </c>
      <c r="D1103" s="54"/>
      <c r="E1103" s="55"/>
      <c r="F1103" s="56"/>
      <c r="G1103" s="57"/>
      <c r="H1103" s="53"/>
      <c r="I1103" s="53"/>
      <c r="J1103" s="55"/>
      <c r="K1103" s="58"/>
      <c r="L1103" s="59"/>
      <c r="M1103" s="55"/>
      <c r="N1103" s="60"/>
      <c r="O1103" s="60"/>
      <c r="P1103" s="165" t="str">
        <f t="shared" ca="1" si="125"/>
        <v/>
      </c>
      <c r="Q1103" s="165" t="str">
        <f t="shared" ca="1" si="126"/>
        <v/>
      </c>
      <c r="R1103" s="79"/>
      <c r="S1103" s="80"/>
      <c r="T1103" s="61">
        <f t="shared" si="127"/>
        <v>0</v>
      </c>
      <c r="U1103" s="61">
        <f t="shared" si="128"/>
        <v>0</v>
      </c>
      <c r="V1103" s="61">
        <f t="shared" si="129"/>
        <v>0</v>
      </c>
      <c r="W1103" s="58"/>
      <c r="X1103" s="58"/>
      <c r="Y1103" s="53"/>
      <c r="Z1103" s="57"/>
      <c r="AA1103" s="62"/>
      <c r="AB1103" s="62"/>
      <c r="AC1103" s="62"/>
      <c r="AD1103" s="62"/>
      <c r="AE1103" s="62"/>
      <c r="AF1103" s="63"/>
      <c r="AG1103" s="64" t="str">
        <f t="shared" si="130"/>
        <v/>
      </c>
    </row>
    <row r="1104" spans="1:33" x14ac:dyDescent="0.25">
      <c r="A1104" s="46" t="str">
        <f>IF(ISBLANK(inbound_data[[#This Row],[Receiving Report ref.'#]]),"",IF(inbound_data[[#This Row],[Ending Quantity]]=0,"ZERO","INV"))</f>
        <v/>
      </c>
      <c r="B1104" s="165" t="str">
        <f t="shared" si="124"/>
        <v/>
      </c>
      <c r="C1104" s="165" t="str">
        <f>IF(ISBLANK(D1104),"",inbound_data[[#This Row],[Pallet_Series]]&amp;inbound_data[[#This Row],[No.]])</f>
        <v/>
      </c>
      <c r="D1104" s="54"/>
      <c r="E1104" s="55"/>
      <c r="F1104" s="56"/>
      <c r="G1104" s="57"/>
      <c r="H1104" s="53"/>
      <c r="I1104" s="53"/>
      <c r="J1104" s="55"/>
      <c r="K1104" s="58"/>
      <c r="L1104" s="59"/>
      <c r="M1104" s="55"/>
      <c r="N1104" s="60"/>
      <c r="O1104" s="60"/>
      <c r="P1104" s="165" t="str">
        <f t="shared" ca="1" si="125"/>
        <v/>
      </c>
      <c r="Q1104" s="165" t="str">
        <f t="shared" ca="1" si="126"/>
        <v/>
      </c>
      <c r="R1104" s="79"/>
      <c r="S1104" s="80"/>
      <c r="T1104" s="61">
        <f t="shared" si="127"/>
        <v>0</v>
      </c>
      <c r="U1104" s="61">
        <f t="shared" si="128"/>
        <v>0</v>
      </c>
      <c r="V1104" s="61">
        <f t="shared" si="129"/>
        <v>0</v>
      </c>
      <c r="W1104" s="58"/>
      <c r="X1104" s="58"/>
      <c r="Y1104" s="53"/>
      <c r="Z1104" s="57"/>
      <c r="AA1104" s="62"/>
      <c r="AB1104" s="62"/>
      <c r="AC1104" s="62"/>
      <c r="AD1104" s="62"/>
      <c r="AE1104" s="62"/>
      <c r="AF1104" s="63"/>
      <c r="AG1104" s="64" t="str">
        <f t="shared" si="130"/>
        <v/>
      </c>
    </row>
    <row r="1105" spans="1:33" x14ac:dyDescent="0.25">
      <c r="A1105" s="46" t="str">
        <f>IF(ISBLANK(inbound_data[[#This Row],[Receiving Report ref.'#]]),"",IF(inbound_data[[#This Row],[Ending Quantity]]=0,"ZERO","INV"))</f>
        <v/>
      </c>
      <c r="B1105" s="165" t="str">
        <f t="shared" si="124"/>
        <v/>
      </c>
      <c r="C1105" s="165" t="str">
        <f>IF(ISBLANK(D1105),"",inbound_data[[#This Row],[Pallet_Series]]&amp;inbound_data[[#This Row],[No.]])</f>
        <v/>
      </c>
      <c r="D1105" s="54"/>
      <c r="E1105" s="55"/>
      <c r="F1105" s="56"/>
      <c r="G1105" s="57"/>
      <c r="H1105" s="53"/>
      <c r="I1105" s="53"/>
      <c r="J1105" s="55"/>
      <c r="K1105" s="58"/>
      <c r="L1105" s="59"/>
      <c r="M1105" s="55"/>
      <c r="N1105" s="60"/>
      <c r="O1105" s="60"/>
      <c r="P1105" s="165" t="str">
        <f t="shared" ca="1" si="125"/>
        <v/>
      </c>
      <c r="Q1105" s="165" t="str">
        <f t="shared" ca="1" si="126"/>
        <v/>
      </c>
      <c r="R1105" s="79"/>
      <c r="S1105" s="80"/>
      <c r="T1105" s="61">
        <f t="shared" si="127"/>
        <v>0</v>
      </c>
      <c r="U1105" s="61">
        <f t="shared" si="128"/>
        <v>0</v>
      </c>
      <c r="V1105" s="61">
        <f t="shared" si="129"/>
        <v>0</v>
      </c>
      <c r="W1105" s="58"/>
      <c r="X1105" s="58"/>
      <c r="Y1105" s="53"/>
      <c r="Z1105" s="57"/>
      <c r="AA1105" s="62"/>
      <c r="AB1105" s="62"/>
      <c r="AC1105" s="62"/>
      <c r="AD1105" s="62"/>
      <c r="AE1105" s="62"/>
      <c r="AF1105" s="63"/>
      <c r="AG1105" s="64" t="str">
        <f t="shared" si="130"/>
        <v/>
      </c>
    </row>
    <row r="1106" spans="1:33" x14ac:dyDescent="0.25">
      <c r="A1106" s="46" t="str">
        <f>IF(ISBLANK(inbound_data[[#This Row],[Receiving Report ref.'#]]),"",IF(inbound_data[[#This Row],[Ending Quantity]]=0,"ZERO","INV"))</f>
        <v/>
      </c>
      <c r="B1106" s="165" t="str">
        <f t="shared" si="124"/>
        <v/>
      </c>
      <c r="C1106" s="165" t="str">
        <f>IF(ISBLANK(D1106),"",inbound_data[[#This Row],[Pallet_Series]]&amp;inbound_data[[#This Row],[No.]])</f>
        <v/>
      </c>
      <c r="D1106" s="54"/>
      <c r="E1106" s="55"/>
      <c r="F1106" s="56"/>
      <c r="G1106" s="57"/>
      <c r="H1106" s="53"/>
      <c r="I1106" s="53"/>
      <c r="J1106" s="55"/>
      <c r="K1106" s="58"/>
      <c r="L1106" s="59"/>
      <c r="M1106" s="55"/>
      <c r="N1106" s="60"/>
      <c r="O1106" s="60"/>
      <c r="P1106" s="165" t="str">
        <f t="shared" ca="1" si="125"/>
        <v/>
      </c>
      <c r="Q1106" s="165" t="str">
        <f t="shared" ca="1" si="126"/>
        <v/>
      </c>
      <c r="R1106" s="79"/>
      <c r="S1106" s="80"/>
      <c r="T1106" s="61">
        <f t="shared" si="127"/>
        <v>0</v>
      </c>
      <c r="U1106" s="61">
        <f t="shared" si="128"/>
        <v>0</v>
      </c>
      <c r="V1106" s="61">
        <f t="shared" si="129"/>
        <v>0</v>
      </c>
      <c r="W1106" s="58"/>
      <c r="X1106" s="58"/>
      <c r="Y1106" s="53"/>
      <c r="Z1106" s="57"/>
      <c r="AA1106" s="62"/>
      <c r="AB1106" s="62"/>
      <c r="AC1106" s="62"/>
      <c r="AD1106" s="62"/>
      <c r="AE1106" s="62"/>
      <c r="AF1106" s="63"/>
      <c r="AG1106" s="64" t="str">
        <f t="shared" si="130"/>
        <v/>
      </c>
    </row>
    <row r="1107" spans="1:33" x14ac:dyDescent="0.25">
      <c r="A1107" s="46" t="str">
        <f>IF(ISBLANK(inbound_data[[#This Row],[Receiving Report ref.'#]]),"",IF(inbound_data[[#This Row],[Ending Quantity]]=0,"ZERO","INV"))</f>
        <v/>
      </c>
      <c r="B1107" s="165" t="str">
        <f t="shared" si="124"/>
        <v/>
      </c>
      <c r="C1107" s="165" t="str">
        <f>IF(ISBLANK(D1107),"",inbound_data[[#This Row],[Pallet_Series]]&amp;inbound_data[[#This Row],[No.]])</f>
        <v/>
      </c>
      <c r="D1107" s="54"/>
      <c r="E1107" s="55"/>
      <c r="F1107" s="56"/>
      <c r="G1107" s="57"/>
      <c r="H1107" s="53"/>
      <c r="I1107" s="53"/>
      <c r="J1107" s="55"/>
      <c r="K1107" s="58"/>
      <c r="L1107" s="59"/>
      <c r="M1107" s="55"/>
      <c r="N1107" s="60"/>
      <c r="O1107" s="60"/>
      <c r="P1107" s="165" t="str">
        <f t="shared" ca="1" si="125"/>
        <v/>
      </c>
      <c r="Q1107" s="165" t="str">
        <f t="shared" ca="1" si="126"/>
        <v/>
      </c>
      <c r="R1107" s="79"/>
      <c r="S1107" s="80"/>
      <c r="T1107" s="61">
        <f t="shared" si="127"/>
        <v>0</v>
      </c>
      <c r="U1107" s="61">
        <f t="shared" si="128"/>
        <v>0</v>
      </c>
      <c r="V1107" s="61">
        <f t="shared" si="129"/>
        <v>0</v>
      </c>
      <c r="W1107" s="58"/>
      <c r="X1107" s="58"/>
      <c r="Y1107" s="53"/>
      <c r="Z1107" s="57"/>
      <c r="AA1107" s="62"/>
      <c r="AB1107" s="62"/>
      <c r="AC1107" s="62"/>
      <c r="AD1107" s="62"/>
      <c r="AE1107" s="62"/>
      <c r="AF1107" s="63"/>
      <c r="AG1107" s="64" t="str">
        <f t="shared" si="130"/>
        <v/>
      </c>
    </row>
    <row r="1108" spans="1:33" x14ac:dyDescent="0.25">
      <c r="A1108" s="46" t="str">
        <f>IF(ISBLANK(inbound_data[[#This Row],[Receiving Report ref.'#]]),"",IF(inbound_data[[#This Row],[Ending Quantity]]=0,"ZERO","INV"))</f>
        <v/>
      </c>
      <c r="B1108" s="165" t="str">
        <f t="shared" si="124"/>
        <v/>
      </c>
      <c r="C1108" s="165" t="str">
        <f>IF(ISBLANK(D1108),"",inbound_data[[#This Row],[Pallet_Series]]&amp;inbound_data[[#This Row],[No.]])</f>
        <v/>
      </c>
      <c r="D1108" s="54"/>
      <c r="E1108" s="55"/>
      <c r="F1108" s="56"/>
      <c r="G1108" s="57"/>
      <c r="H1108" s="53"/>
      <c r="I1108" s="53"/>
      <c r="J1108" s="55"/>
      <c r="K1108" s="58"/>
      <c r="L1108" s="59"/>
      <c r="M1108" s="55"/>
      <c r="N1108" s="60"/>
      <c r="O1108" s="60"/>
      <c r="P1108" s="165" t="str">
        <f t="shared" ca="1" si="125"/>
        <v/>
      </c>
      <c r="Q1108" s="165" t="str">
        <f t="shared" ca="1" si="126"/>
        <v/>
      </c>
      <c r="R1108" s="79"/>
      <c r="S1108" s="80"/>
      <c r="T1108" s="61">
        <f t="shared" si="127"/>
        <v>0</v>
      </c>
      <c r="U1108" s="61">
        <f t="shared" si="128"/>
        <v>0</v>
      </c>
      <c r="V1108" s="61">
        <f t="shared" si="129"/>
        <v>0</v>
      </c>
      <c r="W1108" s="58"/>
      <c r="X1108" s="58"/>
      <c r="Y1108" s="53"/>
      <c r="Z1108" s="57"/>
      <c r="AA1108" s="62"/>
      <c r="AB1108" s="62"/>
      <c r="AC1108" s="62"/>
      <c r="AD1108" s="62"/>
      <c r="AE1108" s="62"/>
      <c r="AF1108" s="63"/>
      <c r="AG1108" s="64" t="str">
        <f t="shared" si="130"/>
        <v/>
      </c>
    </row>
    <row r="1109" spans="1:33" x14ac:dyDescent="0.25">
      <c r="A1109" s="46" t="str">
        <f>IF(ISBLANK(inbound_data[[#This Row],[Receiving Report ref.'#]]),"",IF(inbound_data[[#This Row],[Ending Quantity]]=0,"ZERO","INV"))</f>
        <v/>
      </c>
      <c r="B1109" s="165" t="str">
        <f t="shared" si="124"/>
        <v/>
      </c>
      <c r="C1109" s="165" t="str">
        <f>IF(ISBLANK(D1109),"",inbound_data[[#This Row],[Pallet_Series]]&amp;inbound_data[[#This Row],[No.]])</f>
        <v/>
      </c>
      <c r="D1109" s="54"/>
      <c r="E1109" s="55"/>
      <c r="F1109" s="56"/>
      <c r="G1109" s="57"/>
      <c r="H1109" s="53"/>
      <c r="I1109" s="53"/>
      <c r="J1109" s="55"/>
      <c r="K1109" s="58"/>
      <c r="L1109" s="59"/>
      <c r="M1109" s="55"/>
      <c r="N1109" s="60"/>
      <c r="O1109" s="60"/>
      <c r="P1109" s="165" t="str">
        <f t="shared" ca="1" si="125"/>
        <v/>
      </c>
      <c r="Q1109" s="165" t="str">
        <f t="shared" ca="1" si="126"/>
        <v/>
      </c>
      <c r="R1109" s="79"/>
      <c r="S1109" s="80"/>
      <c r="T1109" s="61">
        <f t="shared" si="127"/>
        <v>0</v>
      </c>
      <c r="U1109" s="61">
        <f t="shared" si="128"/>
        <v>0</v>
      </c>
      <c r="V1109" s="61">
        <f t="shared" si="129"/>
        <v>0</v>
      </c>
      <c r="W1109" s="58"/>
      <c r="X1109" s="58"/>
      <c r="Y1109" s="53"/>
      <c r="Z1109" s="57"/>
      <c r="AA1109" s="62"/>
      <c r="AB1109" s="62"/>
      <c r="AC1109" s="62"/>
      <c r="AD1109" s="62"/>
      <c r="AE1109" s="62"/>
      <c r="AF1109" s="63"/>
      <c r="AG1109" s="64" t="str">
        <f t="shared" si="130"/>
        <v/>
      </c>
    </row>
    <row r="1110" spans="1:33" x14ac:dyDescent="0.25">
      <c r="A1110" s="46" t="str">
        <f>IF(ISBLANK(inbound_data[[#This Row],[Receiving Report ref.'#]]),"",IF(inbound_data[[#This Row],[Ending Quantity]]=0,"ZERO","INV"))</f>
        <v/>
      </c>
      <c r="B1110" s="165" t="str">
        <f t="shared" si="124"/>
        <v/>
      </c>
      <c r="C1110" s="165" t="str">
        <f>IF(ISBLANK(D1110),"",inbound_data[[#This Row],[Pallet_Series]]&amp;inbound_data[[#This Row],[No.]])</f>
        <v/>
      </c>
      <c r="D1110" s="54"/>
      <c r="E1110" s="55"/>
      <c r="F1110" s="56"/>
      <c r="G1110" s="57"/>
      <c r="H1110" s="53"/>
      <c r="I1110" s="53"/>
      <c r="J1110" s="55"/>
      <c r="K1110" s="58"/>
      <c r="L1110" s="59"/>
      <c r="M1110" s="55"/>
      <c r="N1110" s="60"/>
      <c r="O1110" s="60"/>
      <c r="P1110" s="165" t="str">
        <f t="shared" ca="1" si="125"/>
        <v/>
      </c>
      <c r="Q1110" s="165" t="str">
        <f t="shared" ca="1" si="126"/>
        <v/>
      </c>
      <c r="R1110" s="79"/>
      <c r="S1110" s="80"/>
      <c r="T1110" s="61">
        <f t="shared" si="127"/>
        <v>0</v>
      </c>
      <c r="U1110" s="61">
        <f t="shared" si="128"/>
        <v>0</v>
      </c>
      <c r="V1110" s="61">
        <f t="shared" si="129"/>
        <v>0</v>
      </c>
      <c r="W1110" s="58"/>
      <c r="X1110" s="58"/>
      <c r="Y1110" s="53"/>
      <c r="Z1110" s="57"/>
      <c r="AA1110" s="62"/>
      <c r="AB1110" s="62"/>
      <c r="AC1110" s="62"/>
      <c r="AD1110" s="62"/>
      <c r="AE1110" s="62"/>
      <c r="AF1110" s="63"/>
      <c r="AG1110" s="64" t="str">
        <f t="shared" si="130"/>
        <v/>
      </c>
    </row>
    <row r="1111" spans="1:33" x14ac:dyDescent="0.25">
      <c r="A1111" s="46" t="str">
        <f>IF(ISBLANK(inbound_data[[#This Row],[Receiving Report ref.'#]]),"",IF(inbound_data[[#This Row],[Ending Quantity]]=0,"ZERO","INV"))</f>
        <v/>
      </c>
      <c r="B1111" s="165" t="str">
        <f t="shared" si="124"/>
        <v/>
      </c>
      <c r="C1111" s="165" t="str">
        <f>IF(ISBLANK(D1111),"",inbound_data[[#This Row],[Pallet_Series]]&amp;inbound_data[[#This Row],[No.]])</f>
        <v/>
      </c>
      <c r="D1111" s="54"/>
      <c r="E1111" s="55"/>
      <c r="F1111" s="56"/>
      <c r="G1111" s="57"/>
      <c r="H1111" s="53"/>
      <c r="I1111" s="53"/>
      <c r="J1111" s="55"/>
      <c r="K1111" s="58"/>
      <c r="L1111" s="59"/>
      <c r="M1111" s="55"/>
      <c r="N1111" s="60"/>
      <c r="O1111" s="60"/>
      <c r="P1111" s="165" t="str">
        <f t="shared" ca="1" si="125"/>
        <v/>
      </c>
      <c r="Q1111" s="165" t="str">
        <f t="shared" ca="1" si="126"/>
        <v/>
      </c>
      <c r="R1111" s="79"/>
      <c r="S1111" s="80"/>
      <c r="T1111" s="61">
        <f t="shared" si="127"/>
        <v>0</v>
      </c>
      <c r="U1111" s="61">
        <f t="shared" si="128"/>
        <v>0</v>
      </c>
      <c r="V1111" s="61">
        <f t="shared" si="129"/>
        <v>0</v>
      </c>
      <c r="W1111" s="58"/>
      <c r="X1111" s="58"/>
      <c r="Y1111" s="53"/>
      <c r="Z1111" s="57"/>
      <c r="AA1111" s="62"/>
      <c r="AB1111" s="62"/>
      <c r="AC1111" s="62"/>
      <c r="AD1111" s="62"/>
      <c r="AE1111" s="62"/>
      <c r="AF1111" s="63"/>
      <c r="AG1111" s="64" t="str">
        <f t="shared" si="130"/>
        <v/>
      </c>
    </row>
    <row r="1112" spans="1:33" x14ac:dyDescent="0.25">
      <c r="A1112" s="46" t="str">
        <f>IF(ISBLANK(inbound_data[[#This Row],[Receiving Report ref.'#]]),"",IF(inbound_data[[#This Row],[Ending Quantity]]=0,"ZERO","INV"))</f>
        <v/>
      </c>
      <c r="B1112" s="165" t="str">
        <f t="shared" si="124"/>
        <v/>
      </c>
      <c r="C1112" s="165" t="str">
        <f>IF(ISBLANK(D1112),"",inbound_data[[#This Row],[Pallet_Series]]&amp;inbound_data[[#This Row],[No.]])</f>
        <v/>
      </c>
      <c r="D1112" s="54"/>
      <c r="E1112" s="55"/>
      <c r="F1112" s="56"/>
      <c r="G1112" s="57"/>
      <c r="H1112" s="53"/>
      <c r="I1112" s="53"/>
      <c r="J1112" s="55"/>
      <c r="K1112" s="58"/>
      <c r="L1112" s="59"/>
      <c r="M1112" s="55"/>
      <c r="N1112" s="60"/>
      <c r="O1112" s="60"/>
      <c r="P1112" s="165" t="str">
        <f t="shared" ca="1" si="125"/>
        <v/>
      </c>
      <c r="Q1112" s="165" t="str">
        <f t="shared" ca="1" si="126"/>
        <v/>
      </c>
      <c r="R1112" s="79"/>
      <c r="S1112" s="80"/>
      <c r="T1112" s="61">
        <f t="shared" si="127"/>
        <v>0</v>
      </c>
      <c r="U1112" s="61">
        <f t="shared" si="128"/>
        <v>0</v>
      </c>
      <c r="V1112" s="61">
        <f t="shared" si="129"/>
        <v>0</v>
      </c>
      <c r="W1112" s="58"/>
      <c r="X1112" s="58"/>
      <c r="Y1112" s="53"/>
      <c r="Z1112" s="57"/>
      <c r="AA1112" s="62"/>
      <c r="AB1112" s="62"/>
      <c r="AC1112" s="62"/>
      <c r="AD1112" s="62"/>
      <c r="AE1112" s="62"/>
      <c r="AF1112" s="63"/>
      <c r="AG1112" s="64" t="str">
        <f t="shared" si="130"/>
        <v/>
      </c>
    </row>
    <row r="1113" spans="1:33" x14ac:dyDescent="0.25">
      <c r="A1113" s="46" t="str">
        <f>IF(ISBLANK(inbound_data[[#This Row],[Receiving Report ref.'#]]),"",IF(inbound_data[[#This Row],[Ending Quantity]]=0,"ZERO","INV"))</f>
        <v/>
      </c>
      <c r="B1113" s="165" t="str">
        <f t="shared" si="124"/>
        <v/>
      </c>
      <c r="C1113" s="165" t="str">
        <f>IF(ISBLANK(D1113),"",inbound_data[[#This Row],[Pallet_Series]]&amp;inbound_data[[#This Row],[No.]])</f>
        <v/>
      </c>
      <c r="D1113" s="54"/>
      <c r="E1113" s="55"/>
      <c r="F1113" s="56"/>
      <c r="G1113" s="57"/>
      <c r="H1113" s="53"/>
      <c r="I1113" s="53"/>
      <c r="J1113" s="55"/>
      <c r="K1113" s="58"/>
      <c r="L1113" s="59"/>
      <c r="M1113" s="55"/>
      <c r="N1113" s="60"/>
      <c r="O1113" s="60"/>
      <c r="P1113" s="165" t="str">
        <f t="shared" ca="1" si="125"/>
        <v/>
      </c>
      <c r="Q1113" s="165" t="str">
        <f t="shared" ca="1" si="126"/>
        <v/>
      </c>
      <c r="R1113" s="79"/>
      <c r="S1113" s="80"/>
      <c r="T1113" s="61">
        <f t="shared" si="127"/>
        <v>0</v>
      </c>
      <c r="U1113" s="61">
        <f t="shared" si="128"/>
        <v>0</v>
      </c>
      <c r="V1113" s="61">
        <f t="shared" si="129"/>
        <v>0</v>
      </c>
      <c r="W1113" s="58"/>
      <c r="X1113" s="58"/>
      <c r="Y1113" s="53"/>
      <c r="Z1113" s="57"/>
      <c r="AA1113" s="62"/>
      <c r="AB1113" s="62"/>
      <c r="AC1113" s="62"/>
      <c r="AD1113" s="62"/>
      <c r="AE1113" s="62"/>
      <c r="AF1113" s="63"/>
      <c r="AG1113" s="64" t="str">
        <f t="shared" si="130"/>
        <v/>
      </c>
    </row>
    <row r="1114" spans="1:33" x14ac:dyDescent="0.25">
      <c r="A1114" s="46" t="str">
        <f>IF(ISBLANK(inbound_data[[#This Row],[Receiving Report ref.'#]]),"",IF(inbound_data[[#This Row],[Ending Quantity]]=0,"ZERO","INV"))</f>
        <v/>
      </c>
      <c r="B1114" s="165" t="str">
        <f t="shared" si="124"/>
        <v/>
      </c>
      <c r="C1114" s="165" t="str">
        <f>IF(ISBLANK(D1114),"",inbound_data[[#This Row],[Pallet_Series]]&amp;inbound_data[[#This Row],[No.]])</f>
        <v/>
      </c>
      <c r="D1114" s="54"/>
      <c r="E1114" s="55"/>
      <c r="F1114" s="56"/>
      <c r="G1114" s="57"/>
      <c r="H1114" s="53"/>
      <c r="I1114" s="53"/>
      <c r="J1114" s="55"/>
      <c r="K1114" s="58"/>
      <c r="L1114" s="59"/>
      <c r="M1114" s="55"/>
      <c r="N1114" s="60"/>
      <c r="O1114" s="60"/>
      <c r="P1114" s="165" t="str">
        <f t="shared" ca="1" si="125"/>
        <v/>
      </c>
      <c r="Q1114" s="165" t="str">
        <f t="shared" ca="1" si="126"/>
        <v/>
      </c>
      <c r="R1114" s="79"/>
      <c r="S1114" s="80"/>
      <c r="T1114" s="61">
        <f t="shared" si="127"/>
        <v>0</v>
      </c>
      <c r="U1114" s="61">
        <f t="shared" si="128"/>
        <v>0</v>
      </c>
      <c r="V1114" s="61">
        <f t="shared" si="129"/>
        <v>0</v>
      </c>
      <c r="W1114" s="58"/>
      <c r="X1114" s="58"/>
      <c r="Y1114" s="53"/>
      <c r="Z1114" s="57"/>
      <c r="AA1114" s="62"/>
      <c r="AB1114" s="62"/>
      <c r="AC1114" s="62"/>
      <c r="AD1114" s="62"/>
      <c r="AE1114" s="62"/>
      <c r="AF1114" s="63"/>
      <c r="AG1114" s="64" t="str">
        <f t="shared" si="130"/>
        <v/>
      </c>
    </row>
    <row r="1115" spans="1:33" x14ac:dyDescent="0.25">
      <c r="A1115" s="46" t="str">
        <f>IF(ISBLANK(inbound_data[[#This Row],[Receiving Report ref.'#]]),"",IF(inbound_data[[#This Row],[Ending Quantity]]=0,"ZERO","INV"))</f>
        <v/>
      </c>
      <c r="B1115" s="165" t="str">
        <f t="shared" si="124"/>
        <v/>
      </c>
      <c r="C1115" s="165" t="str">
        <f>IF(ISBLANK(D1115),"",inbound_data[[#This Row],[Pallet_Series]]&amp;inbound_data[[#This Row],[No.]])</f>
        <v/>
      </c>
      <c r="D1115" s="54"/>
      <c r="E1115" s="55"/>
      <c r="F1115" s="56"/>
      <c r="G1115" s="57"/>
      <c r="H1115" s="53"/>
      <c r="I1115" s="53"/>
      <c r="J1115" s="55"/>
      <c r="K1115" s="58"/>
      <c r="L1115" s="59"/>
      <c r="M1115" s="55"/>
      <c r="N1115" s="60"/>
      <c r="O1115" s="60"/>
      <c r="P1115" s="165" t="str">
        <f t="shared" ca="1" si="125"/>
        <v/>
      </c>
      <c r="Q1115" s="165" t="str">
        <f t="shared" ca="1" si="126"/>
        <v/>
      </c>
      <c r="R1115" s="79"/>
      <c r="S1115" s="80"/>
      <c r="T1115" s="61">
        <f t="shared" si="127"/>
        <v>0</v>
      </c>
      <c r="U1115" s="61">
        <f t="shared" si="128"/>
        <v>0</v>
      </c>
      <c r="V1115" s="61">
        <f t="shared" si="129"/>
        <v>0</v>
      </c>
      <c r="W1115" s="58"/>
      <c r="X1115" s="58"/>
      <c r="Y1115" s="53"/>
      <c r="Z1115" s="57"/>
      <c r="AA1115" s="62"/>
      <c r="AB1115" s="62"/>
      <c r="AC1115" s="62"/>
      <c r="AD1115" s="62"/>
      <c r="AE1115" s="62"/>
      <c r="AF1115" s="63"/>
      <c r="AG1115" s="64" t="str">
        <f t="shared" si="130"/>
        <v/>
      </c>
    </row>
    <row r="1116" spans="1:33" x14ac:dyDescent="0.25">
      <c r="A1116" s="46" t="str">
        <f>IF(ISBLANK(inbound_data[[#This Row],[Receiving Report ref.'#]]),"",IF(inbound_data[[#This Row],[Ending Quantity]]=0,"ZERO","INV"))</f>
        <v/>
      </c>
      <c r="B1116" s="165" t="str">
        <f t="shared" si="124"/>
        <v/>
      </c>
      <c r="C1116" s="165" t="str">
        <f>IF(ISBLANK(D1116),"",inbound_data[[#This Row],[Pallet_Series]]&amp;inbound_data[[#This Row],[No.]])</f>
        <v/>
      </c>
      <c r="D1116" s="54"/>
      <c r="E1116" s="55"/>
      <c r="F1116" s="56"/>
      <c r="G1116" s="57"/>
      <c r="H1116" s="53"/>
      <c r="I1116" s="53"/>
      <c r="J1116" s="55"/>
      <c r="K1116" s="58"/>
      <c r="L1116" s="59"/>
      <c r="M1116" s="55"/>
      <c r="N1116" s="60"/>
      <c r="O1116" s="60"/>
      <c r="P1116" s="165" t="str">
        <f t="shared" ca="1" si="125"/>
        <v/>
      </c>
      <c r="Q1116" s="165" t="str">
        <f t="shared" ca="1" si="126"/>
        <v/>
      </c>
      <c r="R1116" s="79"/>
      <c r="S1116" s="80"/>
      <c r="T1116" s="61">
        <f t="shared" si="127"/>
        <v>0</v>
      </c>
      <c r="U1116" s="61">
        <f t="shared" si="128"/>
        <v>0</v>
      </c>
      <c r="V1116" s="61">
        <f t="shared" si="129"/>
        <v>0</v>
      </c>
      <c r="W1116" s="58"/>
      <c r="X1116" s="58"/>
      <c r="Y1116" s="53"/>
      <c r="Z1116" s="57"/>
      <c r="AA1116" s="62"/>
      <c r="AB1116" s="62"/>
      <c r="AC1116" s="62"/>
      <c r="AD1116" s="62"/>
      <c r="AE1116" s="62"/>
      <c r="AF1116" s="63"/>
      <c r="AG1116" s="64" t="str">
        <f t="shared" si="130"/>
        <v/>
      </c>
    </row>
    <row r="1117" spans="1:33" x14ac:dyDescent="0.25">
      <c r="A1117" s="46" t="str">
        <f>IF(ISBLANK(inbound_data[[#This Row],[Receiving Report ref.'#]]),"",IF(inbound_data[[#This Row],[Ending Quantity]]=0,"ZERO","INV"))</f>
        <v/>
      </c>
      <c r="B1117" s="165" t="str">
        <f t="shared" si="124"/>
        <v/>
      </c>
      <c r="C1117" s="165" t="str">
        <f>IF(ISBLANK(D1117),"",inbound_data[[#This Row],[Pallet_Series]]&amp;inbound_data[[#This Row],[No.]])</f>
        <v/>
      </c>
      <c r="D1117" s="54"/>
      <c r="E1117" s="55"/>
      <c r="F1117" s="56"/>
      <c r="G1117" s="57"/>
      <c r="H1117" s="53"/>
      <c r="I1117" s="53"/>
      <c r="J1117" s="55"/>
      <c r="K1117" s="58"/>
      <c r="L1117" s="59"/>
      <c r="M1117" s="55"/>
      <c r="N1117" s="60"/>
      <c r="O1117" s="60"/>
      <c r="P1117" s="165" t="str">
        <f t="shared" ca="1" si="125"/>
        <v/>
      </c>
      <c r="Q1117" s="165" t="str">
        <f t="shared" ca="1" si="126"/>
        <v/>
      </c>
      <c r="R1117" s="79"/>
      <c r="S1117" s="80"/>
      <c r="T1117" s="61">
        <f t="shared" si="127"/>
        <v>0</v>
      </c>
      <c r="U1117" s="61">
        <f t="shared" si="128"/>
        <v>0</v>
      </c>
      <c r="V1117" s="61">
        <f t="shared" si="129"/>
        <v>0</v>
      </c>
      <c r="W1117" s="58"/>
      <c r="X1117" s="58"/>
      <c r="Y1117" s="53"/>
      <c r="Z1117" s="57"/>
      <c r="AA1117" s="62"/>
      <c r="AB1117" s="62"/>
      <c r="AC1117" s="62"/>
      <c r="AD1117" s="62"/>
      <c r="AE1117" s="62"/>
      <c r="AF1117" s="63"/>
      <c r="AG1117" s="64" t="str">
        <f t="shared" si="130"/>
        <v/>
      </c>
    </row>
    <row r="1118" spans="1:33" x14ac:dyDescent="0.25">
      <c r="A1118" s="46" t="str">
        <f>IF(ISBLANK(inbound_data[[#This Row],[Receiving Report ref.'#]]),"",IF(inbound_data[[#This Row],[Ending Quantity]]=0,"ZERO","INV"))</f>
        <v/>
      </c>
      <c r="B1118" s="165" t="str">
        <f t="shared" si="124"/>
        <v/>
      </c>
      <c r="C1118" s="165" t="str">
        <f>IF(ISBLANK(D1118),"",inbound_data[[#This Row],[Pallet_Series]]&amp;inbound_data[[#This Row],[No.]])</f>
        <v/>
      </c>
      <c r="D1118" s="54"/>
      <c r="E1118" s="55"/>
      <c r="F1118" s="56"/>
      <c r="G1118" s="57"/>
      <c r="H1118" s="53"/>
      <c r="I1118" s="53"/>
      <c r="J1118" s="55"/>
      <c r="K1118" s="58"/>
      <c r="L1118" s="59"/>
      <c r="M1118" s="55"/>
      <c r="N1118" s="60"/>
      <c r="O1118" s="60"/>
      <c r="P1118" s="165" t="str">
        <f t="shared" ca="1" si="125"/>
        <v/>
      </c>
      <c r="Q1118" s="165" t="str">
        <f t="shared" ca="1" si="126"/>
        <v/>
      </c>
      <c r="R1118" s="79"/>
      <c r="S1118" s="80"/>
      <c r="T1118" s="61">
        <f t="shared" si="127"/>
        <v>0</v>
      </c>
      <c r="U1118" s="61">
        <f t="shared" si="128"/>
        <v>0</v>
      </c>
      <c r="V1118" s="61">
        <f t="shared" si="129"/>
        <v>0</v>
      </c>
      <c r="W1118" s="58"/>
      <c r="X1118" s="58"/>
      <c r="Y1118" s="53"/>
      <c r="Z1118" s="57"/>
      <c r="AA1118" s="62"/>
      <c r="AB1118" s="62"/>
      <c r="AC1118" s="62"/>
      <c r="AD1118" s="62"/>
      <c r="AE1118" s="62"/>
      <c r="AF1118" s="63"/>
      <c r="AG1118" s="64" t="str">
        <f t="shared" si="130"/>
        <v/>
      </c>
    </row>
    <row r="1119" spans="1:33" x14ac:dyDescent="0.25">
      <c r="A1119" s="46" t="str">
        <f>IF(ISBLANK(inbound_data[[#This Row],[Receiving Report ref.'#]]),"",IF(inbound_data[[#This Row],[Ending Quantity]]=0,"ZERO","INV"))</f>
        <v/>
      </c>
      <c r="B1119" s="165" t="str">
        <f t="shared" si="124"/>
        <v/>
      </c>
      <c r="C1119" s="165" t="str">
        <f>IF(ISBLANK(D1119),"",inbound_data[[#This Row],[Pallet_Series]]&amp;inbound_data[[#This Row],[No.]])</f>
        <v/>
      </c>
      <c r="D1119" s="54"/>
      <c r="E1119" s="55"/>
      <c r="F1119" s="56"/>
      <c r="G1119" s="57"/>
      <c r="H1119" s="53"/>
      <c r="I1119" s="53"/>
      <c r="J1119" s="55"/>
      <c r="K1119" s="58"/>
      <c r="L1119" s="59"/>
      <c r="M1119" s="55"/>
      <c r="N1119" s="60"/>
      <c r="O1119" s="60"/>
      <c r="P1119" s="165" t="str">
        <f t="shared" ca="1" si="125"/>
        <v/>
      </c>
      <c r="Q1119" s="165" t="str">
        <f t="shared" ca="1" si="126"/>
        <v/>
      </c>
      <c r="R1119" s="79"/>
      <c r="S1119" s="80"/>
      <c r="T1119" s="61">
        <f t="shared" si="127"/>
        <v>0</v>
      </c>
      <c r="U1119" s="61">
        <f t="shared" si="128"/>
        <v>0</v>
      </c>
      <c r="V1119" s="61">
        <f t="shared" si="129"/>
        <v>0</v>
      </c>
      <c r="W1119" s="58"/>
      <c r="X1119" s="58"/>
      <c r="Y1119" s="53"/>
      <c r="Z1119" s="57"/>
      <c r="AA1119" s="62"/>
      <c r="AB1119" s="62"/>
      <c r="AC1119" s="62"/>
      <c r="AD1119" s="62"/>
      <c r="AE1119" s="62"/>
      <c r="AF1119" s="63"/>
      <c r="AG1119" s="64" t="str">
        <f t="shared" si="130"/>
        <v/>
      </c>
    </row>
    <row r="1120" spans="1:33" x14ac:dyDescent="0.25">
      <c r="A1120" s="46" t="str">
        <f>IF(ISBLANK(inbound_data[[#This Row],[Receiving Report ref.'#]]),"",IF(inbound_data[[#This Row],[Ending Quantity]]=0,"ZERO","INV"))</f>
        <v/>
      </c>
      <c r="B1120" s="165" t="str">
        <f t="shared" si="124"/>
        <v/>
      </c>
      <c r="C1120" s="165" t="str">
        <f>IF(ISBLANK(D1120),"",inbound_data[[#This Row],[Pallet_Series]]&amp;inbound_data[[#This Row],[No.]])</f>
        <v/>
      </c>
      <c r="D1120" s="54"/>
      <c r="E1120" s="55"/>
      <c r="F1120" s="56"/>
      <c r="G1120" s="57"/>
      <c r="H1120" s="53"/>
      <c r="I1120" s="53"/>
      <c r="J1120" s="55"/>
      <c r="K1120" s="58"/>
      <c r="L1120" s="59"/>
      <c r="M1120" s="55"/>
      <c r="N1120" s="60"/>
      <c r="O1120" s="60"/>
      <c r="P1120" s="165" t="str">
        <f t="shared" ca="1" si="125"/>
        <v/>
      </c>
      <c r="Q1120" s="165" t="str">
        <f t="shared" ca="1" si="126"/>
        <v/>
      </c>
      <c r="R1120" s="79"/>
      <c r="S1120" s="80"/>
      <c r="T1120" s="61">
        <f t="shared" si="127"/>
        <v>0</v>
      </c>
      <c r="U1120" s="61">
        <f t="shared" si="128"/>
        <v>0</v>
      </c>
      <c r="V1120" s="61">
        <f t="shared" si="129"/>
        <v>0</v>
      </c>
      <c r="W1120" s="58"/>
      <c r="X1120" s="58"/>
      <c r="Y1120" s="53"/>
      <c r="Z1120" s="57"/>
      <c r="AA1120" s="62"/>
      <c r="AB1120" s="62"/>
      <c r="AC1120" s="62"/>
      <c r="AD1120" s="62"/>
      <c r="AE1120" s="62"/>
      <c r="AF1120" s="63"/>
      <c r="AG1120" s="64" t="str">
        <f t="shared" si="130"/>
        <v/>
      </c>
    </row>
    <row r="1121" spans="1:33" x14ac:dyDescent="0.25">
      <c r="A1121" s="46" t="str">
        <f>IF(ISBLANK(inbound_data[[#This Row],[Receiving Report ref.'#]]),"",IF(inbound_data[[#This Row],[Ending Quantity]]=0,"ZERO","INV"))</f>
        <v/>
      </c>
      <c r="B1121" s="165" t="str">
        <f t="shared" si="124"/>
        <v/>
      </c>
      <c r="C1121" s="165" t="str">
        <f>IF(ISBLANK(D1121),"",inbound_data[[#This Row],[Pallet_Series]]&amp;inbound_data[[#This Row],[No.]])</f>
        <v/>
      </c>
      <c r="D1121" s="54"/>
      <c r="E1121" s="55"/>
      <c r="F1121" s="56"/>
      <c r="G1121" s="57"/>
      <c r="H1121" s="53"/>
      <c r="I1121" s="53"/>
      <c r="J1121" s="55"/>
      <c r="K1121" s="58"/>
      <c r="L1121" s="59"/>
      <c r="M1121" s="55"/>
      <c r="N1121" s="60"/>
      <c r="O1121" s="60"/>
      <c r="P1121" s="165" t="str">
        <f t="shared" ca="1" si="125"/>
        <v/>
      </c>
      <c r="Q1121" s="165" t="str">
        <f t="shared" ca="1" si="126"/>
        <v/>
      </c>
      <c r="R1121" s="79"/>
      <c r="S1121" s="80"/>
      <c r="T1121" s="61">
        <f t="shared" si="127"/>
        <v>0</v>
      </c>
      <c r="U1121" s="61">
        <f t="shared" si="128"/>
        <v>0</v>
      </c>
      <c r="V1121" s="61">
        <f t="shared" si="129"/>
        <v>0</v>
      </c>
      <c r="W1121" s="58"/>
      <c r="X1121" s="58"/>
      <c r="Y1121" s="53"/>
      <c r="Z1121" s="57"/>
      <c r="AA1121" s="62"/>
      <c r="AB1121" s="62"/>
      <c r="AC1121" s="62"/>
      <c r="AD1121" s="62"/>
      <c r="AE1121" s="62"/>
      <c r="AF1121" s="63"/>
      <c r="AG1121" s="64" t="str">
        <f t="shared" si="130"/>
        <v/>
      </c>
    </row>
    <row r="1122" spans="1:33" x14ac:dyDescent="0.25">
      <c r="A1122" s="46" t="str">
        <f>IF(ISBLANK(inbound_data[[#This Row],[Receiving Report ref.'#]]),"",IF(inbound_data[[#This Row],[Ending Quantity]]=0,"ZERO","INV"))</f>
        <v/>
      </c>
      <c r="B1122" s="165" t="str">
        <f t="shared" si="124"/>
        <v/>
      </c>
      <c r="C1122" s="165" t="str">
        <f>IF(ISBLANK(D1122),"",inbound_data[[#This Row],[Pallet_Series]]&amp;inbound_data[[#This Row],[No.]])</f>
        <v/>
      </c>
      <c r="D1122" s="54"/>
      <c r="E1122" s="55"/>
      <c r="F1122" s="56"/>
      <c r="G1122" s="57"/>
      <c r="H1122" s="53"/>
      <c r="I1122" s="53"/>
      <c r="J1122" s="55"/>
      <c r="K1122" s="58"/>
      <c r="L1122" s="59"/>
      <c r="M1122" s="55"/>
      <c r="N1122" s="60"/>
      <c r="O1122" s="60"/>
      <c r="P1122" s="165" t="str">
        <f t="shared" ca="1" si="125"/>
        <v/>
      </c>
      <c r="Q1122" s="165" t="str">
        <f t="shared" ca="1" si="126"/>
        <v/>
      </c>
      <c r="R1122" s="79"/>
      <c r="S1122" s="80"/>
      <c r="T1122" s="61">
        <f t="shared" si="127"/>
        <v>0</v>
      </c>
      <c r="U1122" s="61">
        <f t="shared" si="128"/>
        <v>0</v>
      </c>
      <c r="V1122" s="61">
        <f t="shared" si="129"/>
        <v>0</v>
      </c>
      <c r="W1122" s="58"/>
      <c r="X1122" s="58"/>
      <c r="Y1122" s="53"/>
      <c r="Z1122" s="57"/>
      <c r="AA1122" s="62"/>
      <c r="AB1122" s="62"/>
      <c r="AC1122" s="62"/>
      <c r="AD1122" s="62"/>
      <c r="AE1122" s="62"/>
      <c r="AF1122" s="63"/>
      <c r="AG1122" s="64" t="str">
        <f t="shared" si="130"/>
        <v/>
      </c>
    </row>
    <row r="1123" spans="1:33" x14ac:dyDescent="0.25">
      <c r="A1123" s="46" t="str">
        <f>IF(ISBLANK(inbound_data[[#This Row],[Receiving Report ref.'#]]),"",IF(inbound_data[[#This Row],[Ending Quantity]]=0,"ZERO","INV"))</f>
        <v/>
      </c>
      <c r="B1123" s="165" t="str">
        <f t="shared" si="124"/>
        <v/>
      </c>
      <c r="C1123" s="165" t="str">
        <f>IF(ISBLANK(D1123),"",inbound_data[[#This Row],[Pallet_Series]]&amp;inbound_data[[#This Row],[No.]])</f>
        <v/>
      </c>
      <c r="D1123" s="54"/>
      <c r="E1123" s="55"/>
      <c r="F1123" s="56"/>
      <c r="G1123" s="57"/>
      <c r="H1123" s="53"/>
      <c r="I1123" s="53"/>
      <c r="J1123" s="55"/>
      <c r="K1123" s="58"/>
      <c r="L1123" s="59"/>
      <c r="M1123" s="55"/>
      <c r="N1123" s="60"/>
      <c r="O1123" s="60"/>
      <c r="P1123" s="165" t="str">
        <f t="shared" ca="1" si="125"/>
        <v/>
      </c>
      <c r="Q1123" s="165" t="str">
        <f t="shared" ca="1" si="126"/>
        <v/>
      </c>
      <c r="R1123" s="79"/>
      <c r="S1123" s="80"/>
      <c r="T1123" s="61">
        <f t="shared" si="127"/>
        <v>0</v>
      </c>
      <c r="U1123" s="61">
        <f t="shared" si="128"/>
        <v>0</v>
      </c>
      <c r="V1123" s="61">
        <f t="shared" si="129"/>
        <v>0</v>
      </c>
      <c r="W1123" s="58"/>
      <c r="X1123" s="58"/>
      <c r="Y1123" s="53"/>
      <c r="Z1123" s="57"/>
      <c r="AA1123" s="62"/>
      <c r="AB1123" s="62"/>
      <c r="AC1123" s="62"/>
      <c r="AD1123" s="62"/>
      <c r="AE1123" s="62"/>
      <c r="AF1123" s="63"/>
      <c r="AG1123" s="64" t="str">
        <f t="shared" si="130"/>
        <v/>
      </c>
    </row>
    <row r="1124" spans="1:33" x14ac:dyDescent="0.25">
      <c r="A1124" s="46" t="str">
        <f>IF(ISBLANK(inbound_data[[#This Row],[Receiving Report ref.'#]]),"",IF(inbound_data[[#This Row],[Ending Quantity]]=0,"ZERO","INV"))</f>
        <v/>
      </c>
      <c r="B1124" s="165" t="str">
        <f t="shared" si="124"/>
        <v/>
      </c>
      <c r="C1124" s="165" t="str">
        <f>IF(ISBLANK(D1124),"",inbound_data[[#This Row],[Pallet_Series]]&amp;inbound_data[[#This Row],[No.]])</f>
        <v/>
      </c>
      <c r="D1124" s="54"/>
      <c r="E1124" s="55"/>
      <c r="F1124" s="56"/>
      <c r="G1124" s="57"/>
      <c r="H1124" s="53"/>
      <c r="I1124" s="53"/>
      <c r="J1124" s="55"/>
      <c r="K1124" s="58"/>
      <c r="L1124" s="59"/>
      <c r="M1124" s="55"/>
      <c r="N1124" s="60"/>
      <c r="O1124" s="60"/>
      <c r="P1124" s="165" t="str">
        <f t="shared" ca="1" si="125"/>
        <v/>
      </c>
      <c r="Q1124" s="165" t="str">
        <f t="shared" ca="1" si="126"/>
        <v/>
      </c>
      <c r="R1124" s="79"/>
      <c r="S1124" s="80"/>
      <c r="T1124" s="61">
        <f t="shared" si="127"/>
        <v>0</v>
      </c>
      <c r="U1124" s="61">
        <f t="shared" si="128"/>
        <v>0</v>
      </c>
      <c r="V1124" s="61">
        <f t="shared" si="129"/>
        <v>0</v>
      </c>
      <c r="W1124" s="58"/>
      <c r="X1124" s="58"/>
      <c r="Y1124" s="53"/>
      <c r="Z1124" s="57"/>
      <c r="AA1124" s="62"/>
      <c r="AB1124" s="62"/>
      <c r="AC1124" s="62"/>
      <c r="AD1124" s="62"/>
      <c r="AE1124" s="62"/>
      <c r="AF1124" s="63"/>
      <c r="AG1124" s="64" t="str">
        <f t="shared" si="130"/>
        <v/>
      </c>
    </row>
    <row r="1125" spans="1:33" x14ac:dyDescent="0.25">
      <c r="A1125" s="46" t="str">
        <f>IF(ISBLANK(inbound_data[[#This Row],[Receiving Report ref.'#]]),"",IF(inbound_data[[#This Row],[Ending Quantity]]=0,"ZERO","INV"))</f>
        <v/>
      </c>
      <c r="B1125" s="165" t="str">
        <f t="shared" si="124"/>
        <v/>
      </c>
      <c r="C1125" s="165" t="str">
        <f>IF(ISBLANK(D1125),"",inbound_data[[#This Row],[Pallet_Series]]&amp;inbound_data[[#This Row],[No.]])</f>
        <v/>
      </c>
      <c r="D1125" s="54"/>
      <c r="E1125" s="55"/>
      <c r="F1125" s="56"/>
      <c r="G1125" s="57"/>
      <c r="H1125" s="53"/>
      <c r="I1125" s="53"/>
      <c r="J1125" s="55"/>
      <c r="K1125" s="58"/>
      <c r="L1125" s="59"/>
      <c r="M1125" s="55"/>
      <c r="N1125" s="60"/>
      <c r="O1125" s="60"/>
      <c r="P1125" s="165" t="str">
        <f t="shared" ca="1" si="125"/>
        <v/>
      </c>
      <c r="Q1125" s="165" t="str">
        <f t="shared" ca="1" si="126"/>
        <v/>
      </c>
      <c r="R1125" s="79"/>
      <c r="S1125" s="80"/>
      <c r="T1125" s="61">
        <f t="shared" si="127"/>
        <v>0</v>
      </c>
      <c r="U1125" s="61">
        <f t="shared" si="128"/>
        <v>0</v>
      </c>
      <c r="V1125" s="61">
        <f t="shared" si="129"/>
        <v>0</v>
      </c>
      <c r="W1125" s="58"/>
      <c r="X1125" s="58"/>
      <c r="Y1125" s="53"/>
      <c r="Z1125" s="57"/>
      <c r="AA1125" s="62"/>
      <c r="AB1125" s="62"/>
      <c r="AC1125" s="62"/>
      <c r="AD1125" s="62"/>
      <c r="AE1125" s="62"/>
      <c r="AF1125" s="63"/>
      <c r="AG1125" s="64" t="str">
        <f t="shared" si="130"/>
        <v/>
      </c>
    </row>
    <row r="1126" spans="1:33" x14ac:dyDescent="0.25">
      <c r="A1126" s="46" t="str">
        <f>IF(ISBLANK(inbound_data[[#This Row],[Receiving Report ref.'#]]),"",IF(inbound_data[[#This Row],[Ending Quantity]]=0,"ZERO","INV"))</f>
        <v/>
      </c>
      <c r="B1126" s="165" t="str">
        <f t="shared" si="124"/>
        <v/>
      </c>
      <c r="C1126" s="165" t="str">
        <f>IF(ISBLANK(D1126),"",inbound_data[[#This Row],[Pallet_Series]]&amp;inbound_data[[#This Row],[No.]])</f>
        <v/>
      </c>
      <c r="D1126" s="54"/>
      <c r="E1126" s="55"/>
      <c r="F1126" s="56"/>
      <c r="G1126" s="57"/>
      <c r="H1126" s="53"/>
      <c r="I1126" s="53"/>
      <c r="J1126" s="55"/>
      <c r="K1126" s="58"/>
      <c r="L1126" s="59"/>
      <c r="M1126" s="55"/>
      <c r="N1126" s="60"/>
      <c r="O1126" s="60"/>
      <c r="P1126" s="165" t="str">
        <f t="shared" ca="1" si="125"/>
        <v/>
      </c>
      <c r="Q1126" s="165" t="str">
        <f t="shared" ca="1" si="126"/>
        <v/>
      </c>
      <c r="R1126" s="79"/>
      <c r="S1126" s="80"/>
      <c r="T1126" s="61">
        <f t="shared" si="127"/>
        <v>0</v>
      </c>
      <c r="U1126" s="61">
        <f t="shared" si="128"/>
        <v>0</v>
      </c>
      <c r="V1126" s="61">
        <f t="shared" si="129"/>
        <v>0</v>
      </c>
      <c r="W1126" s="58"/>
      <c r="X1126" s="58"/>
      <c r="Y1126" s="53"/>
      <c r="Z1126" s="57"/>
      <c r="AA1126" s="62"/>
      <c r="AB1126" s="62"/>
      <c r="AC1126" s="62"/>
      <c r="AD1126" s="62"/>
      <c r="AE1126" s="62"/>
      <c r="AF1126" s="63"/>
      <c r="AG1126" s="64" t="str">
        <f t="shared" si="130"/>
        <v/>
      </c>
    </row>
    <row r="1127" spans="1:33" x14ac:dyDescent="0.25">
      <c r="A1127" s="46" t="str">
        <f>IF(ISBLANK(inbound_data[[#This Row],[Receiving Report ref.'#]]),"",IF(inbound_data[[#This Row],[Ending Quantity]]=0,"ZERO","INV"))</f>
        <v/>
      </c>
      <c r="B1127" s="165" t="str">
        <f t="shared" si="124"/>
        <v/>
      </c>
      <c r="C1127" s="165" t="str">
        <f>IF(ISBLANK(D1127),"",inbound_data[[#This Row],[Pallet_Series]]&amp;inbound_data[[#This Row],[No.]])</f>
        <v/>
      </c>
      <c r="D1127" s="54"/>
      <c r="E1127" s="55"/>
      <c r="F1127" s="56"/>
      <c r="G1127" s="57"/>
      <c r="H1127" s="53"/>
      <c r="I1127" s="53"/>
      <c r="J1127" s="55"/>
      <c r="K1127" s="58"/>
      <c r="L1127" s="59"/>
      <c r="M1127" s="55"/>
      <c r="N1127" s="60"/>
      <c r="O1127" s="60"/>
      <c r="P1127" s="165" t="str">
        <f t="shared" ca="1" si="125"/>
        <v/>
      </c>
      <c r="Q1127" s="165" t="str">
        <f t="shared" ca="1" si="126"/>
        <v/>
      </c>
      <c r="R1127" s="79"/>
      <c r="S1127" s="80"/>
      <c r="T1127" s="61">
        <f t="shared" si="127"/>
        <v>0</v>
      </c>
      <c r="U1127" s="61">
        <f t="shared" si="128"/>
        <v>0</v>
      </c>
      <c r="V1127" s="61">
        <f t="shared" si="129"/>
        <v>0</v>
      </c>
      <c r="W1127" s="58"/>
      <c r="X1127" s="58"/>
      <c r="Y1127" s="53"/>
      <c r="Z1127" s="57"/>
      <c r="AA1127" s="62"/>
      <c r="AB1127" s="62"/>
      <c r="AC1127" s="62"/>
      <c r="AD1127" s="62"/>
      <c r="AE1127" s="62"/>
      <c r="AF1127" s="63"/>
      <c r="AG1127" s="64" t="str">
        <f t="shared" si="130"/>
        <v/>
      </c>
    </row>
    <row r="1128" spans="1:33" x14ac:dyDescent="0.25">
      <c r="A1128" s="46" t="str">
        <f>IF(ISBLANK(inbound_data[[#This Row],[Receiving Report ref.'#]]),"",IF(inbound_data[[#This Row],[Ending Quantity]]=0,"ZERO","INV"))</f>
        <v/>
      </c>
      <c r="B1128" s="165" t="str">
        <f t="shared" si="124"/>
        <v/>
      </c>
      <c r="C1128" s="165" t="str">
        <f>IF(ISBLANK(D1128),"",inbound_data[[#This Row],[Pallet_Series]]&amp;inbound_data[[#This Row],[No.]])</f>
        <v/>
      </c>
      <c r="D1128" s="54"/>
      <c r="E1128" s="55"/>
      <c r="F1128" s="56"/>
      <c r="G1128" s="57"/>
      <c r="H1128" s="53"/>
      <c r="I1128" s="53"/>
      <c r="J1128" s="55"/>
      <c r="K1128" s="58"/>
      <c r="L1128" s="59"/>
      <c r="M1128" s="55"/>
      <c r="N1128" s="60"/>
      <c r="O1128" s="60"/>
      <c r="P1128" s="165" t="str">
        <f t="shared" ca="1" si="125"/>
        <v/>
      </c>
      <c r="Q1128" s="165" t="str">
        <f t="shared" ca="1" si="126"/>
        <v/>
      </c>
      <c r="R1128" s="79"/>
      <c r="S1128" s="80"/>
      <c r="T1128" s="61">
        <f t="shared" si="127"/>
        <v>0</v>
      </c>
      <c r="U1128" s="61">
        <f t="shared" si="128"/>
        <v>0</v>
      </c>
      <c r="V1128" s="61">
        <f t="shared" si="129"/>
        <v>0</v>
      </c>
      <c r="W1128" s="58"/>
      <c r="X1128" s="58"/>
      <c r="Y1128" s="53"/>
      <c r="Z1128" s="57"/>
      <c r="AA1128" s="62"/>
      <c r="AB1128" s="62"/>
      <c r="AC1128" s="62"/>
      <c r="AD1128" s="62"/>
      <c r="AE1128" s="62"/>
      <c r="AF1128" s="63"/>
      <c r="AG1128" s="64" t="str">
        <f t="shared" si="130"/>
        <v/>
      </c>
    </row>
    <row r="1129" spans="1:33" x14ac:dyDescent="0.25">
      <c r="A1129" s="46" t="str">
        <f>IF(ISBLANK(inbound_data[[#This Row],[Receiving Report ref.'#]]),"",IF(inbound_data[[#This Row],[Ending Quantity]]=0,"ZERO","INV"))</f>
        <v/>
      </c>
      <c r="B1129" s="165" t="str">
        <f t="shared" si="124"/>
        <v/>
      </c>
      <c r="C1129" s="165" t="str">
        <f>IF(ISBLANK(D1129),"",inbound_data[[#This Row],[Pallet_Series]]&amp;inbound_data[[#This Row],[No.]])</f>
        <v/>
      </c>
      <c r="D1129" s="54"/>
      <c r="E1129" s="55"/>
      <c r="F1129" s="56"/>
      <c r="G1129" s="57"/>
      <c r="H1129" s="53"/>
      <c r="I1129" s="53"/>
      <c r="J1129" s="55"/>
      <c r="K1129" s="58"/>
      <c r="L1129" s="59"/>
      <c r="M1129" s="55"/>
      <c r="N1129" s="60"/>
      <c r="O1129" s="60"/>
      <c r="P1129" s="165" t="str">
        <f t="shared" ca="1" si="125"/>
        <v/>
      </c>
      <c r="Q1129" s="165" t="str">
        <f t="shared" ca="1" si="126"/>
        <v/>
      </c>
      <c r="R1129" s="79"/>
      <c r="S1129" s="80"/>
      <c r="T1129" s="61">
        <f t="shared" si="127"/>
        <v>0</v>
      </c>
      <c r="U1129" s="61">
        <f t="shared" si="128"/>
        <v>0</v>
      </c>
      <c r="V1129" s="61">
        <f t="shared" si="129"/>
        <v>0</v>
      </c>
      <c r="W1129" s="58"/>
      <c r="X1129" s="58"/>
      <c r="Y1129" s="53"/>
      <c r="Z1129" s="57"/>
      <c r="AA1129" s="62"/>
      <c r="AB1129" s="62"/>
      <c r="AC1129" s="62"/>
      <c r="AD1129" s="62"/>
      <c r="AE1129" s="62"/>
      <c r="AF1129" s="63"/>
      <c r="AG1129" s="64" t="str">
        <f t="shared" si="130"/>
        <v/>
      </c>
    </row>
    <row r="1130" spans="1:33" x14ac:dyDescent="0.25">
      <c r="A1130" s="46" t="str">
        <f>IF(ISBLANK(inbound_data[[#This Row],[Receiving Report ref.'#]]),"",IF(inbound_data[[#This Row],[Ending Quantity]]=0,"ZERO","INV"))</f>
        <v/>
      </c>
      <c r="B1130" s="165" t="str">
        <f t="shared" si="124"/>
        <v/>
      </c>
      <c r="C1130" s="165" t="str">
        <f>IF(ISBLANK(D1130),"",inbound_data[[#This Row],[Pallet_Series]]&amp;inbound_data[[#This Row],[No.]])</f>
        <v/>
      </c>
      <c r="D1130" s="54"/>
      <c r="E1130" s="55"/>
      <c r="F1130" s="56"/>
      <c r="G1130" s="57"/>
      <c r="H1130" s="53"/>
      <c r="I1130" s="53"/>
      <c r="J1130" s="55"/>
      <c r="K1130" s="58"/>
      <c r="L1130" s="59"/>
      <c r="M1130" s="55"/>
      <c r="N1130" s="60"/>
      <c r="O1130" s="60"/>
      <c r="P1130" s="165" t="str">
        <f t="shared" ca="1" si="125"/>
        <v/>
      </c>
      <c r="Q1130" s="165" t="str">
        <f t="shared" ca="1" si="126"/>
        <v/>
      </c>
      <c r="R1130" s="79"/>
      <c r="S1130" s="80"/>
      <c r="T1130" s="61">
        <f t="shared" si="127"/>
        <v>0</v>
      </c>
      <c r="U1130" s="61">
        <f t="shared" si="128"/>
        <v>0</v>
      </c>
      <c r="V1130" s="61">
        <f t="shared" si="129"/>
        <v>0</v>
      </c>
      <c r="W1130" s="58"/>
      <c r="X1130" s="58"/>
      <c r="Y1130" s="53"/>
      <c r="Z1130" s="57"/>
      <c r="AA1130" s="62"/>
      <c r="AB1130" s="62"/>
      <c r="AC1130" s="62"/>
      <c r="AD1130" s="62"/>
      <c r="AE1130" s="62"/>
      <c r="AF1130" s="63"/>
      <c r="AG1130" s="64" t="str">
        <f t="shared" si="130"/>
        <v/>
      </c>
    </row>
    <row r="1131" spans="1:33" x14ac:dyDescent="0.25">
      <c r="A1131" s="46" t="str">
        <f>IF(ISBLANK(inbound_data[[#This Row],[Receiving Report ref.'#]]),"",IF(inbound_data[[#This Row],[Ending Quantity]]=0,"ZERO","INV"))</f>
        <v/>
      </c>
      <c r="B1131" s="165" t="str">
        <f t="shared" si="124"/>
        <v/>
      </c>
      <c r="C1131" s="165" t="str">
        <f>IF(ISBLANK(D1131),"",inbound_data[[#This Row],[Pallet_Series]]&amp;inbound_data[[#This Row],[No.]])</f>
        <v/>
      </c>
      <c r="D1131" s="54"/>
      <c r="E1131" s="55"/>
      <c r="F1131" s="56"/>
      <c r="G1131" s="57"/>
      <c r="H1131" s="53"/>
      <c r="I1131" s="53"/>
      <c r="J1131" s="55"/>
      <c r="K1131" s="58"/>
      <c r="L1131" s="59"/>
      <c r="M1131" s="55"/>
      <c r="N1131" s="60"/>
      <c r="O1131" s="60"/>
      <c r="P1131" s="165" t="str">
        <f t="shared" ca="1" si="125"/>
        <v/>
      </c>
      <c r="Q1131" s="165" t="str">
        <f t="shared" ca="1" si="126"/>
        <v/>
      </c>
      <c r="R1131" s="79"/>
      <c r="S1131" s="80"/>
      <c r="T1131" s="61">
        <f t="shared" si="127"/>
        <v>0</v>
      </c>
      <c r="U1131" s="61">
        <f t="shared" si="128"/>
        <v>0</v>
      </c>
      <c r="V1131" s="61">
        <f t="shared" si="129"/>
        <v>0</v>
      </c>
      <c r="W1131" s="58"/>
      <c r="X1131" s="58"/>
      <c r="Y1131" s="53"/>
      <c r="Z1131" s="57"/>
      <c r="AA1131" s="62"/>
      <c r="AB1131" s="62"/>
      <c r="AC1131" s="62"/>
      <c r="AD1131" s="62"/>
      <c r="AE1131" s="62"/>
      <c r="AF1131" s="63"/>
      <c r="AG1131" s="64" t="str">
        <f t="shared" si="130"/>
        <v/>
      </c>
    </row>
    <row r="1132" spans="1:33" x14ac:dyDescent="0.25">
      <c r="A1132" s="46" t="str">
        <f>IF(ISBLANK(inbound_data[[#This Row],[Receiving Report ref.'#]]),"",IF(inbound_data[[#This Row],[Ending Quantity]]=0,"ZERO","INV"))</f>
        <v/>
      </c>
      <c r="B1132" s="165" t="str">
        <f t="shared" si="124"/>
        <v/>
      </c>
      <c r="C1132" s="165" t="str">
        <f>IF(ISBLANK(D1132),"",inbound_data[[#This Row],[Pallet_Series]]&amp;inbound_data[[#This Row],[No.]])</f>
        <v/>
      </c>
      <c r="D1132" s="54"/>
      <c r="E1132" s="55"/>
      <c r="F1132" s="56"/>
      <c r="G1132" s="57"/>
      <c r="H1132" s="53"/>
      <c r="I1132" s="53"/>
      <c r="J1132" s="55"/>
      <c r="K1132" s="58"/>
      <c r="L1132" s="59"/>
      <c r="M1132" s="55"/>
      <c r="N1132" s="60"/>
      <c r="O1132" s="60"/>
      <c r="P1132" s="165" t="str">
        <f t="shared" ca="1" si="125"/>
        <v/>
      </c>
      <c r="Q1132" s="165" t="str">
        <f t="shared" ca="1" si="126"/>
        <v/>
      </c>
      <c r="R1132" s="79"/>
      <c r="S1132" s="80"/>
      <c r="T1132" s="61">
        <f t="shared" si="127"/>
        <v>0</v>
      </c>
      <c r="U1132" s="61">
        <f t="shared" si="128"/>
        <v>0</v>
      </c>
      <c r="V1132" s="61">
        <f t="shared" si="129"/>
        <v>0</v>
      </c>
      <c r="W1132" s="58"/>
      <c r="X1132" s="58"/>
      <c r="Y1132" s="53"/>
      <c r="Z1132" s="57"/>
      <c r="AA1132" s="62"/>
      <c r="AB1132" s="62"/>
      <c r="AC1132" s="62"/>
      <c r="AD1132" s="62"/>
      <c r="AE1132" s="62"/>
      <c r="AF1132" s="63"/>
      <c r="AG1132" s="64" t="str">
        <f t="shared" si="130"/>
        <v/>
      </c>
    </row>
    <row r="1133" spans="1:33" x14ac:dyDescent="0.25">
      <c r="A1133" s="46" t="str">
        <f>IF(ISBLANK(inbound_data[[#This Row],[Receiving Report ref.'#]]),"",IF(inbound_data[[#This Row],[Ending Quantity]]=0,"ZERO","INV"))</f>
        <v/>
      </c>
      <c r="B1133" s="165" t="str">
        <f t="shared" si="124"/>
        <v/>
      </c>
      <c r="C1133" s="165" t="str">
        <f>IF(ISBLANK(D1133),"",inbound_data[[#This Row],[Pallet_Series]]&amp;inbound_data[[#This Row],[No.]])</f>
        <v/>
      </c>
      <c r="D1133" s="54"/>
      <c r="E1133" s="55"/>
      <c r="F1133" s="56"/>
      <c r="G1133" s="57"/>
      <c r="H1133" s="53"/>
      <c r="I1133" s="53"/>
      <c r="J1133" s="55"/>
      <c r="K1133" s="58"/>
      <c r="L1133" s="59"/>
      <c r="M1133" s="55"/>
      <c r="N1133" s="60"/>
      <c r="O1133" s="60"/>
      <c r="P1133" s="165" t="str">
        <f t="shared" ca="1" si="125"/>
        <v/>
      </c>
      <c r="Q1133" s="165" t="str">
        <f t="shared" ca="1" si="126"/>
        <v/>
      </c>
      <c r="R1133" s="79"/>
      <c r="S1133" s="80"/>
      <c r="T1133" s="61">
        <f t="shared" si="127"/>
        <v>0</v>
      </c>
      <c r="U1133" s="61">
        <f t="shared" si="128"/>
        <v>0</v>
      </c>
      <c r="V1133" s="61">
        <f t="shared" si="129"/>
        <v>0</v>
      </c>
      <c r="W1133" s="58"/>
      <c r="X1133" s="58"/>
      <c r="Y1133" s="53"/>
      <c r="Z1133" s="57"/>
      <c r="AA1133" s="62"/>
      <c r="AB1133" s="62"/>
      <c r="AC1133" s="62"/>
      <c r="AD1133" s="62"/>
      <c r="AE1133" s="62"/>
      <c r="AF1133" s="63"/>
      <c r="AG1133" s="64" t="str">
        <f t="shared" si="130"/>
        <v/>
      </c>
    </row>
    <row r="1134" spans="1:33" x14ac:dyDescent="0.25">
      <c r="A1134" s="46" t="str">
        <f>IF(ISBLANK(inbound_data[[#This Row],[Receiving Report ref.'#]]),"",IF(inbound_data[[#This Row],[Ending Quantity]]=0,"ZERO","INV"))</f>
        <v/>
      </c>
      <c r="B1134" s="165" t="str">
        <f t="shared" si="124"/>
        <v/>
      </c>
      <c r="C1134" s="165" t="str">
        <f>IF(ISBLANK(D1134),"",inbound_data[[#This Row],[Pallet_Series]]&amp;inbound_data[[#This Row],[No.]])</f>
        <v/>
      </c>
      <c r="D1134" s="54"/>
      <c r="E1134" s="55"/>
      <c r="F1134" s="56"/>
      <c r="G1134" s="57"/>
      <c r="H1134" s="53"/>
      <c r="I1134" s="53"/>
      <c r="J1134" s="55"/>
      <c r="K1134" s="58"/>
      <c r="L1134" s="59"/>
      <c r="M1134" s="55"/>
      <c r="N1134" s="60"/>
      <c r="O1134" s="60"/>
      <c r="P1134" s="165" t="str">
        <f t="shared" ca="1" si="125"/>
        <v/>
      </c>
      <c r="Q1134" s="165" t="str">
        <f t="shared" ca="1" si="126"/>
        <v/>
      </c>
      <c r="R1134" s="79"/>
      <c r="S1134" s="80"/>
      <c r="T1134" s="61">
        <f t="shared" si="127"/>
        <v>0</v>
      </c>
      <c r="U1134" s="61">
        <f t="shared" si="128"/>
        <v>0</v>
      </c>
      <c r="V1134" s="61">
        <f t="shared" si="129"/>
        <v>0</v>
      </c>
      <c r="W1134" s="58"/>
      <c r="X1134" s="58"/>
      <c r="Y1134" s="53"/>
      <c r="Z1134" s="57"/>
      <c r="AA1134" s="62"/>
      <c r="AB1134" s="62"/>
      <c r="AC1134" s="62"/>
      <c r="AD1134" s="62"/>
      <c r="AE1134" s="62"/>
      <c r="AF1134" s="63"/>
      <c r="AG1134" s="64" t="str">
        <f t="shared" si="130"/>
        <v/>
      </c>
    </row>
    <row r="1135" spans="1:33" x14ac:dyDescent="0.25">
      <c r="A1135" s="46" t="str">
        <f>IF(ISBLANK(inbound_data[[#This Row],[Receiving Report ref.'#]]),"",IF(inbound_data[[#This Row],[Ending Quantity]]=0,"ZERO","INV"))</f>
        <v/>
      </c>
      <c r="B1135" s="165" t="str">
        <f t="shared" si="124"/>
        <v/>
      </c>
      <c r="C1135" s="165" t="str">
        <f>IF(ISBLANK(D1135),"",inbound_data[[#This Row],[Pallet_Series]]&amp;inbound_data[[#This Row],[No.]])</f>
        <v/>
      </c>
      <c r="D1135" s="54"/>
      <c r="E1135" s="55"/>
      <c r="F1135" s="56"/>
      <c r="G1135" s="57"/>
      <c r="H1135" s="53"/>
      <c r="I1135" s="53"/>
      <c r="J1135" s="55"/>
      <c r="K1135" s="58"/>
      <c r="L1135" s="59"/>
      <c r="M1135" s="55"/>
      <c r="N1135" s="60"/>
      <c r="O1135" s="60"/>
      <c r="P1135" s="165" t="str">
        <f t="shared" ca="1" si="125"/>
        <v/>
      </c>
      <c r="Q1135" s="165" t="str">
        <f t="shared" ca="1" si="126"/>
        <v/>
      </c>
      <c r="R1135" s="79"/>
      <c r="S1135" s="80"/>
      <c r="T1135" s="61">
        <f t="shared" si="127"/>
        <v>0</v>
      </c>
      <c r="U1135" s="61">
        <f t="shared" si="128"/>
        <v>0</v>
      </c>
      <c r="V1135" s="61">
        <f t="shared" si="129"/>
        <v>0</v>
      </c>
      <c r="W1135" s="58"/>
      <c r="X1135" s="58"/>
      <c r="Y1135" s="53"/>
      <c r="Z1135" s="57"/>
      <c r="AA1135" s="62"/>
      <c r="AB1135" s="62"/>
      <c r="AC1135" s="62"/>
      <c r="AD1135" s="62"/>
      <c r="AE1135" s="62"/>
      <c r="AF1135" s="63"/>
      <c r="AG1135" s="64" t="str">
        <f t="shared" si="130"/>
        <v/>
      </c>
    </row>
    <row r="1136" spans="1:33" x14ac:dyDescent="0.25">
      <c r="A1136" s="46" t="str">
        <f>IF(ISBLANK(inbound_data[[#This Row],[Receiving Report ref.'#]]),"",IF(inbound_data[[#This Row],[Ending Quantity]]=0,"ZERO","INV"))</f>
        <v/>
      </c>
      <c r="B1136" s="165" t="str">
        <f t="shared" si="124"/>
        <v/>
      </c>
      <c r="C1136" s="165" t="str">
        <f>IF(ISBLANK(D1136),"",inbound_data[[#This Row],[Pallet_Series]]&amp;inbound_data[[#This Row],[No.]])</f>
        <v/>
      </c>
      <c r="D1136" s="54"/>
      <c r="E1136" s="55"/>
      <c r="F1136" s="56"/>
      <c r="G1136" s="57"/>
      <c r="H1136" s="53"/>
      <c r="I1136" s="53"/>
      <c r="J1136" s="55"/>
      <c r="K1136" s="58"/>
      <c r="L1136" s="59"/>
      <c r="M1136" s="55"/>
      <c r="N1136" s="60"/>
      <c r="O1136" s="60"/>
      <c r="P1136" s="165" t="str">
        <f t="shared" ca="1" si="125"/>
        <v/>
      </c>
      <c r="Q1136" s="165" t="str">
        <f t="shared" ca="1" si="126"/>
        <v/>
      </c>
      <c r="R1136" s="79"/>
      <c r="S1136" s="80"/>
      <c r="T1136" s="61">
        <f t="shared" si="127"/>
        <v>0</v>
      </c>
      <c r="U1136" s="61">
        <f t="shared" si="128"/>
        <v>0</v>
      </c>
      <c r="V1136" s="61">
        <f t="shared" si="129"/>
        <v>0</v>
      </c>
      <c r="W1136" s="58"/>
      <c r="X1136" s="58"/>
      <c r="Y1136" s="53"/>
      <c r="Z1136" s="57"/>
      <c r="AA1136" s="62"/>
      <c r="AB1136" s="62"/>
      <c r="AC1136" s="62"/>
      <c r="AD1136" s="62"/>
      <c r="AE1136" s="62"/>
      <c r="AF1136" s="63"/>
      <c r="AG1136" s="64" t="str">
        <f t="shared" si="130"/>
        <v/>
      </c>
    </row>
    <row r="1137" spans="1:33" x14ac:dyDescent="0.25">
      <c r="A1137" s="46" t="str">
        <f>IF(ISBLANK(inbound_data[[#This Row],[Receiving Report ref.'#]]),"",IF(inbound_data[[#This Row],[Ending Quantity]]=0,"ZERO","INV"))</f>
        <v/>
      </c>
      <c r="B1137" s="165" t="str">
        <f t="shared" si="124"/>
        <v/>
      </c>
      <c r="C1137" s="165" t="str">
        <f>IF(ISBLANK(D1137),"",inbound_data[[#This Row],[Pallet_Series]]&amp;inbound_data[[#This Row],[No.]])</f>
        <v/>
      </c>
      <c r="D1137" s="54"/>
      <c r="E1137" s="55"/>
      <c r="F1137" s="56"/>
      <c r="G1137" s="57"/>
      <c r="H1137" s="53"/>
      <c r="I1137" s="53"/>
      <c r="J1137" s="55"/>
      <c r="K1137" s="58"/>
      <c r="L1137" s="59"/>
      <c r="M1137" s="55"/>
      <c r="N1137" s="60"/>
      <c r="O1137" s="60"/>
      <c r="P1137" s="165" t="str">
        <f t="shared" ca="1" si="125"/>
        <v/>
      </c>
      <c r="Q1137" s="165" t="str">
        <f t="shared" ca="1" si="126"/>
        <v/>
      </c>
      <c r="R1137" s="79"/>
      <c r="S1137" s="80"/>
      <c r="T1137" s="61">
        <f t="shared" si="127"/>
        <v>0</v>
      </c>
      <c r="U1137" s="61">
        <f t="shared" si="128"/>
        <v>0</v>
      </c>
      <c r="V1137" s="61">
        <f t="shared" si="129"/>
        <v>0</v>
      </c>
      <c r="W1137" s="58"/>
      <c r="X1137" s="58"/>
      <c r="Y1137" s="53"/>
      <c r="Z1137" s="57"/>
      <c r="AA1137" s="62"/>
      <c r="AB1137" s="62"/>
      <c r="AC1137" s="62"/>
      <c r="AD1137" s="62"/>
      <c r="AE1137" s="62"/>
      <c r="AF1137" s="63"/>
      <c r="AG1137" s="64" t="str">
        <f t="shared" si="130"/>
        <v/>
      </c>
    </row>
    <row r="1138" spans="1:33" x14ac:dyDescent="0.25">
      <c r="A1138" s="46" t="str">
        <f>IF(ISBLANK(inbound_data[[#This Row],[Receiving Report ref.'#]]),"",IF(inbound_data[[#This Row],[Ending Quantity]]=0,"ZERO","INV"))</f>
        <v/>
      </c>
      <c r="B1138" s="165" t="str">
        <f t="shared" si="124"/>
        <v/>
      </c>
      <c r="C1138" s="165" t="str">
        <f>IF(ISBLANK(D1138),"",inbound_data[[#This Row],[Pallet_Series]]&amp;inbound_data[[#This Row],[No.]])</f>
        <v/>
      </c>
      <c r="D1138" s="54"/>
      <c r="E1138" s="55"/>
      <c r="F1138" s="56"/>
      <c r="G1138" s="57"/>
      <c r="H1138" s="53"/>
      <c r="I1138" s="53"/>
      <c r="J1138" s="55"/>
      <c r="K1138" s="58"/>
      <c r="L1138" s="59"/>
      <c r="M1138" s="55"/>
      <c r="N1138" s="60"/>
      <c r="O1138" s="60"/>
      <c r="P1138" s="165" t="str">
        <f t="shared" ca="1" si="125"/>
        <v/>
      </c>
      <c r="Q1138" s="165" t="str">
        <f t="shared" ca="1" si="126"/>
        <v/>
      </c>
      <c r="R1138" s="79"/>
      <c r="S1138" s="80"/>
      <c r="T1138" s="61">
        <f t="shared" si="127"/>
        <v>0</v>
      </c>
      <c r="U1138" s="61">
        <f t="shared" si="128"/>
        <v>0</v>
      </c>
      <c r="V1138" s="61">
        <f t="shared" si="129"/>
        <v>0</v>
      </c>
      <c r="W1138" s="58"/>
      <c r="X1138" s="58"/>
      <c r="Y1138" s="53"/>
      <c r="Z1138" s="57"/>
      <c r="AA1138" s="62"/>
      <c r="AB1138" s="62"/>
      <c r="AC1138" s="62"/>
      <c r="AD1138" s="62"/>
      <c r="AE1138" s="62"/>
      <c r="AF1138" s="63"/>
      <c r="AG1138" s="64" t="str">
        <f t="shared" si="130"/>
        <v/>
      </c>
    </row>
    <row r="1139" spans="1:33" x14ac:dyDescent="0.25">
      <c r="A1139" s="46" t="str">
        <f>IF(ISBLANK(inbound_data[[#This Row],[Receiving Report ref.'#]]),"",IF(inbound_data[[#This Row],[Ending Quantity]]=0,"ZERO","INV"))</f>
        <v/>
      </c>
      <c r="B1139" s="165" t="str">
        <f t="shared" si="124"/>
        <v/>
      </c>
      <c r="C1139" s="165" t="str">
        <f>IF(ISBLANK(D1139),"",inbound_data[[#This Row],[Pallet_Series]]&amp;inbound_data[[#This Row],[No.]])</f>
        <v/>
      </c>
      <c r="D1139" s="54"/>
      <c r="E1139" s="55"/>
      <c r="F1139" s="56"/>
      <c r="G1139" s="57"/>
      <c r="H1139" s="53"/>
      <c r="I1139" s="53"/>
      <c r="J1139" s="55"/>
      <c r="K1139" s="58"/>
      <c r="L1139" s="59"/>
      <c r="M1139" s="55"/>
      <c r="N1139" s="60"/>
      <c r="O1139" s="60"/>
      <c r="P1139" s="165" t="str">
        <f t="shared" ca="1" si="125"/>
        <v/>
      </c>
      <c r="Q1139" s="165" t="str">
        <f t="shared" ca="1" si="126"/>
        <v/>
      </c>
      <c r="R1139" s="79"/>
      <c r="S1139" s="80"/>
      <c r="T1139" s="61">
        <f t="shared" si="127"/>
        <v>0</v>
      </c>
      <c r="U1139" s="61">
        <f t="shared" si="128"/>
        <v>0</v>
      </c>
      <c r="V1139" s="61">
        <f t="shared" si="129"/>
        <v>0</v>
      </c>
      <c r="W1139" s="58"/>
      <c r="X1139" s="58"/>
      <c r="Y1139" s="53"/>
      <c r="Z1139" s="57"/>
      <c r="AA1139" s="62"/>
      <c r="AB1139" s="62"/>
      <c r="AC1139" s="62"/>
      <c r="AD1139" s="62"/>
      <c r="AE1139" s="62"/>
      <c r="AF1139" s="63"/>
      <c r="AG1139" s="64" t="str">
        <f t="shared" si="130"/>
        <v/>
      </c>
    </row>
    <row r="1140" spans="1:33" x14ac:dyDescent="0.25">
      <c r="A1140" s="46" t="str">
        <f>IF(ISBLANK(inbound_data[[#This Row],[Receiving Report ref.'#]]),"",IF(inbound_data[[#This Row],[Ending Quantity]]=0,"ZERO","INV"))</f>
        <v/>
      </c>
      <c r="B1140" s="165" t="str">
        <f t="shared" si="124"/>
        <v/>
      </c>
      <c r="C1140" s="165" t="str">
        <f>IF(ISBLANK(D1140),"",inbound_data[[#This Row],[Pallet_Series]]&amp;inbound_data[[#This Row],[No.]])</f>
        <v/>
      </c>
      <c r="D1140" s="54"/>
      <c r="E1140" s="55"/>
      <c r="F1140" s="56"/>
      <c r="G1140" s="57"/>
      <c r="H1140" s="53"/>
      <c r="I1140" s="53"/>
      <c r="J1140" s="55"/>
      <c r="K1140" s="58"/>
      <c r="L1140" s="59"/>
      <c r="M1140" s="55"/>
      <c r="N1140" s="60"/>
      <c r="O1140" s="60"/>
      <c r="P1140" s="165" t="str">
        <f t="shared" ca="1" si="125"/>
        <v/>
      </c>
      <c r="Q1140" s="165" t="str">
        <f t="shared" ca="1" si="126"/>
        <v/>
      </c>
      <c r="R1140" s="79"/>
      <c r="S1140" s="80"/>
      <c r="T1140" s="61">
        <f t="shared" si="127"/>
        <v>0</v>
      </c>
      <c r="U1140" s="61">
        <f t="shared" si="128"/>
        <v>0</v>
      </c>
      <c r="V1140" s="61">
        <f t="shared" si="129"/>
        <v>0</v>
      </c>
      <c r="W1140" s="58"/>
      <c r="X1140" s="58"/>
      <c r="Y1140" s="53"/>
      <c r="Z1140" s="57"/>
      <c r="AA1140" s="62"/>
      <c r="AB1140" s="62"/>
      <c r="AC1140" s="62"/>
      <c r="AD1140" s="62"/>
      <c r="AE1140" s="62"/>
      <c r="AF1140" s="63"/>
      <c r="AG1140" s="64" t="str">
        <f t="shared" si="130"/>
        <v/>
      </c>
    </row>
    <row r="1141" spans="1:33" x14ac:dyDescent="0.25">
      <c r="A1141" s="46" t="str">
        <f>IF(ISBLANK(inbound_data[[#This Row],[Receiving Report ref.'#]]),"",IF(inbound_data[[#This Row],[Ending Quantity]]=0,"ZERO","INV"))</f>
        <v/>
      </c>
      <c r="B1141" s="165" t="str">
        <f t="shared" si="124"/>
        <v/>
      </c>
      <c r="C1141" s="165" t="str">
        <f>IF(ISBLANK(D1141),"",inbound_data[[#This Row],[Pallet_Series]]&amp;inbound_data[[#This Row],[No.]])</f>
        <v/>
      </c>
      <c r="D1141" s="54"/>
      <c r="E1141" s="55"/>
      <c r="F1141" s="56"/>
      <c r="G1141" s="57"/>
      <c r="H1141" s="53"/>
      <c r="I1141" s="53"/>
      <c r="J1141" s="55"/>
      <c r="K1141" s="58"/>
      <c r="L1141" s="59"/>
      <c r="M1141" s="55"/>
      <c r="N1141" s="60"/>
      <c r="O1141" s="60"/>
      <c r="P1141" s="165" t="str">
        <f t="shared" ca="1" si="125"/>
        <v/>
      </c>
      <c r="Q1141" s="165" t="str">
        <f t="shared" ca="1" si="126"/>
        <v/>
      </c>
      <c r="R1141" s="79"/>
      <c r="S1141" s="80"/>
      <c r="T1141" s="61">
        <f t="shared" si="127"/>
        <v>0</v>
      </c>
      <c r="U1141" s="61">
        <f t="shared" si="128"/>
        <v>0</v>
      </c>
      <c r="V1141" s="61">
        <f t="shared" si="129"/>
        <v>0</v>
      </c>
      <c r="W1141" s="58"/>
      <c r="X1141" s="58"/>
      <c r="Y1141" s="53"/>
      <c r="Z1141" s="57"/>
      <c r="AA1141" s="62"/>
      <c r="AB1141" s="62"/>
      <c r="AC1141" s="62"/>
      <c r="AD1141" s="62"/>
      <c r="AE1141" s="62"/>
      <c r="AF1141" s="63"/>
      <c r="AG1141" s="64" t="str">
        <f t="shared" si="130"/>
        <v/>
      </c>
    </row>
    <row r="1142" spans="1:33" x14ac:dyDescent="0.25">
      <c r="A1142" s="46" t="str">
        <f>IF(ISBLANK(inbound_data[[#This Row],[Receiving Report ref.'#]]),"",IF(inbound_data[[#This Row],[Ending Quantity]]=0,"ZERO","INV"))</f>
        <v/>
      </c>
      <c r="B1142" s="165" t="str">
        <f t="shared" si="124"/>
        <v/>
      </c>
      <c r="C1142" s="165" t="str">
        <f>IF(ISBLANK(D1142),"",inbound_data[[#This Row],[Pallet_Series]]&amp;inbound_data[[#This Row],[No.]])</f>
        <v/>
      </c>
      <c r="D1142" s="54"/>
      <c r="E1142" s="55"/>
      <c r="F1142" s="56"/>
      <c r="G1142" s="57"/>
      <c r="H1142" s="53"/>
      <c r="I1142" s="53"/>
      <c r="J1142" s="55"/>
      <c r="K1142" s="58"/>
      <c r="L1142" s="59"/>
      <c r="M1142" s="55"/>
      <c r="N1142" s="60"/>
      <c r="O1142" s="60"/>
      <c r="P1142" s="165" t="str">
        <f t="shared" ca="1" si="125"/>
        <v/>
      </c>
      <c r="Q1142" s="165" t="str">
        <f t="shared" ca="1" si="126"/>
        <v/>
      </c>
      <c r="R1142" s="79"/>
      <c r="S1142" s="80"/>
      <c r="T1142" s="61">
        <f t="shared" si="127"/>
        <v>0</v>
      </c>
      <c r="U1142" s="61">
        <f t="shared" si="128"/>
        <v>0</v>
      </c>
      <c r="V1142" s="61">
        <f t="shared" si="129"/>
        <v>0</v>
      </c>
      <c r="W1142" s="58"/>
      <c r="X1142" s="58"/>
      <c r="Y1142" s="53"/>
      <c r="Z1142" s="57"/>
      <c r="AA1142" s="62"/>
      <c r="AB1142" s="62"/>
      <c r="AC1142" s="62"/>
      <c r="AD1142" s="62"/>
      <c r="AE1142" s="62"/>
      <c r="AF1142" s="63"/>
      <c r="AG1142" s="64" t="str">
        <f t="shared" si="130"/>
        <v/>
      </c>
    </row>
    <row r="1143" spans="1:33" x14ac:dyDescent="0.25">
      <c r="A1143" s="46" t="str">
        <f>IF(ISBLANK(inbound_data[[#This Row],[Receiving Report ref.'#]]),"",IF(inbound_data[[#This Row],[Ending Quantity]]=0,"ZERO","INV"))</f>
        <v/>
      </c>
      <c r="B1143" s="165" t="str">
        <f t="shared" si="124"/>
        <v/>
      </c>
      <c r="C1143" s="165" t="str">
        <f>IF(ISBLANK(D1143),"",inbound_data[[#This Row],[Pallet_Series]]&amp;inbound_data[[#This Row],[No.]])</f>
        <v/>
      </c>
      <c r="D1143" s="54"/>
      <c r="E1143" s="55"/>
      <c r="F1143" s="56"/>
      <c r="G1143" s="57"/>
      <c r="H1143" s="53"/>
      <c r="I1143" s="53"/>
      <c r="J1143" s="55"/>
      <c r="K1143" s="58"/>
      <c r="L1143" s="59"/>
      <c r="M1143" s="55"/>
      <c r="N1143" s="60"/>
      <c r="O1143" s="60"/>
      <c r="P1143" s="165" t="str">
        <f t="shared" ca="1" si="125"/>
        <v/>
      </c>
      <c r="Q1143" s="165" t="str">
        <f t="shared" ca="1" si="126"/>
        <v/>
      </c>
      <c r="R1143" s="79"/>
      <c r="S1143" s="80"/>
      <c r="T1143" s="61">
        <f t="shared" si="127"/>
        <v>0</v>
      </c>
      <c r="U1143" s="61">
        <f t="shared" si="128"/>
        <v>0</v>
      </c>
      <c r="V1143" s="61">
        <f t="shared" si="129"/>
        <v>0</v>
      </c>
      <c r="W1143" s="58"/>
      <c r="X1143" s="58"/>
      <c r="Y1143" s="53"/>
      <c r="Z1143" s="57"/>
      <c r="AA1143" s="62"/>
      <c r="AB1143" s="62"/>
      <c r="AC1143" s="62"/>
      <c r="AD1143" s="62"/>
      <c r="AE1143" s="62"/>
      <c r="AF1143" s="63"/>
      <c r="AG1143" s="64" t="str">
        <f t="shared" si="130"/>
        <v/>
      </c>
    </row>
    <row r="1144" spans="1:33" x14ac:dyDescent="0.25">
      <c r="A1144" s="46" t="str">
        <f>IF(ISBLANK(inbound_data[[#This Row],[Receiving Report ref.'#]]),"",IF(inbound_data[[#This Row],[Ending Quantity]]=0,"ZERO","INV"))</f>
        <v/>
      </c>
      <c r="B1144" s="165" t="str">
        <f t="shared" si="124"/>
        <v/>
      </c>
      <c r="C1144" s="165" t="str">
        <f>IF(ISBLANK(D1144),"",inbound_data[[#This Row],[Pallet_Series]]&amp;inbound_data[[#This Row],[No.]])</f>
        <v/>
      </c>
      <c r="D1144" s="54"/>
      <c r="E1144" s="55"/>
      <c r="F1144" s="56"/>
      <c r="G1144" s="57"/>
      <c r="H1144" s="53"/>
      <c r="I1144" s="53"/>
      <c r="J1144" s="55"/>
      <c r="K1144" s="58"/>
      <c r="L1144" s="59"/>
      <c r="M1144" s="55"/>
      <c r="N1144" s="60"/>
      <c r="O1144" s="60"/>
      <c r="P1144" s="165" t="str">
        <f t="shared" ca="1" si="125"/>
        <v/>
      </c>
      <c r="Q1144" s="165" t="str">
        <f t="shared" ca="1" si="126"/>
        <v/>
      </c>
      <c r="R1144" s="79"/>
      <c r="S1144" s="80"/>
      <c r="T1144" s="61">
        <f t="shared" si="127"/>
        <v>0</v>
      </c>
      <c r="U1144" s="61">
        <f t="shared" si="128"/>
        <v>0</v>
      </c>
      <c r="V1144" s="61">
        <f t="shared" si="129"/>
        <v>0</v>
      </c>
      <c r="W1144" s="58"/>
      <c r="X1144" s="58"/>
      <c r="Y1144" s="53"/>
      <c r="Z1144" s="57"/>
      <c r="AA1144" s="62"/>
      <c r="AB1144" s="62"/>
      <c r="AC1144" s="62"/>
      <c r="AD1144" s="62"/>
      <c r="AE1144" s="62"/>
      <c r="AF1144" s="63"/>
      <c r="AG1144" s="64" t="str">
        <f t="shared" si="130"/>
        <v/>
      </c>
    </row>
    <row r="1145" spans="1:33" x14ac:dyDescent="0.25">
      <c r="A1145" s="46" t="str">
        <f>IF(ISBLANK(inbound_data[[#This Row],[Receiving Report ref.'#]]),"",IF(inbound_data[[#This Row],[Ending Quantity]]=0,"ZERO","INV"))</f>
        <v/>
      </c>
      <c r="B1145" s="165" t="str">
        <f t="shared" si="124"/>
        <v/>
      </c>
      <c r="C1145" s="165" t="str">
        <f>IF(ISBLANK(D1145),"",inbound_data[[#This Row],[Pallet_Series]]&amp;inbound_data[[#This Row],[No.]])</f>
        <v/>
      </c>
      <c r="D1145" s="54"/>
      <c r="E1145" s="55"/>
      <c r="F1145" s="56"/>
      <c r="G1145" s="57"/>
      <c r="H1145" s="53"/>
      <c r="I1145" s="53"/>
      <c r="J1145" s="55"/>
      <c r="K1145" s="58"/>
      <c r="L1145" s="59"/>
      <c r="M1145" s="55"/>
      <c r="N1145" s="60"/>
      <c r="O1145" s="60"/>
      <c r="P1145" s="165" t="str">
        <f t="shared" ca="1" si="125"/>
        <v/>
      </c>
      <c r="Q1145" s="165" t="str">
        <f t="shared" ca="1" si="126"/>
        <v/>
      </c>
      <c r="R1145" s="79"/>
      <c r="S1145" s="80"/>
      <c r="T1145" s="61">
        <f t="shared" si="127"/>
        <v>0</v>
      </c>
      <c r="U1145" s="61">
        <f t="shared" si="128"/>
        <v>0</v>
      </c>
      <c r="V1145" s="61">
        <f t="shared" si="129"/>
        <v>0</v>
      </c>
      <c r="W1145" s="58"/>
      <c r="X1145" s="58"/>
      <c r="Y1145" s="53"/>
      <c r="Z1145" s="57"/>
      <c r="AA1145" s="62"/>
      <c r="AB1145" s="62"/>
      <c r="AC1145" s="62"/>
      <c r="AD1145" s="62"/>
      <c r="AE1145" s="62"/>
      <c r="AF1145" s="63"/>
      <c r="AG1145" s="64" t="str">
        <f t="shared" si="130"/>
        <v/>
      </c>
    </row>
    <row r="1146" spans="1:33" x14ac:dyDescent="0.25">
      <c r="A1146" s="46" t="str">
        <f>IF(ISBLANK(inbound_data[[#This Row],[Receiving Report ref.'#]]),"",IF(inbound_data[[#This Row],[Ending Quantity]]=0,"ZERO","INV"))</f>
        <v/>
      </c>
      <c r="B1146" s="165" t="str">
        <f t="shared" si="124"/>
        <v/>
      </c>
      <c r="C1146" s="165" t="str">
        <f>IF(ISBLANK(D1146),"",inbound_data[[#This Row],[Pallet_Series]]&amp;inbound_data[[#This Row],[No.]])</f>
        <v/>
      </c>
      <c r="D1146" s="54"/>
      <c r="E1146" s="55"/>
      <c r="F1146" s="56"/>
      <c r="G1146" s="57"/>
      <c r="H1146" s="53"/>
      <c r="I1146" s="53"/>
      <c r="J1146" s="55"/>
      <c r="K1146" s="58"/>
      <c r="L1146" s="59"/>
      <c r="M1146" s="55"/>
      <c r="N1146" s="60"/>
      <c r="O1146" s="60"/>
      <c r="P1146" s="165" t="str">
        <f t="shared" ca="1" si="125"/>
        <v/>
      </c>
      <c r="Q1146" s="165" t="str">
        <f t="shared" ca="1" si="126"/>
        <v/>
      </c>
      <c r="R1146" s="79"/>
      <c r="S1146" s="80"/>
      <c r="T1146" s="61">
        <f t="shared" si="127"/>
        <v>0</v>
      </c>
      <c r="U1146" s="61">
        <f t="shared" si="128"/>
        <v>0</v>
      </c>
      <c r="V1146" s="61">
        <f t="shared" si="129"/>
        <v>0</v>
      </c>
      <c r="W1146" s="58"/>
      <c r="X1146" s="58"/>
      <c r="Y1146" s="53"/>
      <c r="Z1146" s="57"/>
      <c r="AA1146" s="62"/>
      <c r="AB1146" s="62"/>
      <c r="AC1146" s="62"/>
      <c r="AD1146" s="62"/>
      <c r="AE1146" s="62"/>
      <c r="AF1146" s="63"/>
      <c r="AG1146" s="64" t="str">
        <f t="shared" si="130"/>
        <v/>
      </c>
    </row>
    <row r="1147" spans="1:33" x14ac:dyDescent="0.25">
      <c r="A1147" s="46" t="str">
        <f>IF(ISBLANK(inbound_data[[#This Row],[Receiving Report ref.'#]]),"",IF(inbound_data[[#This Row],[Ending Quantity]]=0,"ZERO","INV"))</f>
        <v/>
      </c>
      <c r="B1147" s="165" t="str">
        <f t="shared" si="124"/>
        <v/>
      </c>
      <c r="C1147" s="165" t="str">
        <f>IF(ISBLANK(D1147),"",inbound_data[[#This Row],[Pallet_Series]]&amp;inbound_data[[#This Row],[No.]])</f>
        <v/>
      </c>
      <c r="D1147" s="54"/>
      <c r="E1147" s="55"/>
      <c r="F1147" s="56"/>
      <c r="G1147" s="57"/>
      <c r="H1147" s="53"/>
      <c r="I1147" s="53"/>
      <c r="J1147" s="55"/>
      <c r="K1147" s="58"/>
      <c r="L1147" s="59"/>
      <c r="M1147" s="55"/>
      <c r="N1147" s="60"/>
      <c r="O1147" s="60"/>
      <c r="P1147" s="165" t="str">
        <f t="shared" ca="1" si="125"/>
        <v/>
      </c>
      <c r="Q1147" s="165" t="str">
        <f t="shared" ca="1" si="126"/>
        <v/>
      </c>
      <c r="R1147" s="79"/>
      <c r="S1147" s="80"/>
      <c r="T1147" s="61">
        <f t="shared" si="127"/>
        <v>0</v>
      </c>
      <c r="U1147" s="61">
        <f t="shared" si="128"/>
        <v>0</v>
      </c>
      <c r="V1147" s="61">
        <f t="shared" si="129"/>
        <v>0</v>
      </c>
      <c r="W1147" s="58"/>
      <c r="X1147" s="58"/>
      <c r="Y1147" s="53"/>
      <c r="Z1147" s="57"/>
      <c r="AA1147" s="62"/>
      <c r="AB1147" s="62"/>
      <c r="AC1147" s="62"/>
      <c r="AD1147" s="62"/>
      <c r="AE1147" s="62"/>
      <c r="AF1147" s="63"/>
      <c r="AG1147" s="64" t="str">
        <f t="shared" si="130"/>
        <v/>
      </c>
    </row>
    <row r="1148" spans="1:33" x14ac:dyDescent="0.25">
      <c r="A1148" s="46" t="str">
        <f>IF(ISBLANK(inbound_data[[#This Row],[Receiving Report ref.'#]]),"",IF(inbound_data[[#This Row],[Ending Quantity]]=0,"ZERO","INV"))</f>
        <v/>
      </c>
      <c r="B1148" s="165" t="str">
        <f t="shared" si="124"/>
        <v/>
      </c>
      <c r="C1148" s="165" t="str">
        <f>IF(ISBLANK(D1148),"",inbound_data[[#This Row],[Pallet_Series]]&amp;inbound_data[[#This Row],[No.]])</f>
        <v/>
      </c>
      <c r="D1148" s="54"/>
      <c r="E1148" s="55"/>
      <c r="F1148" s="56"/>
      <c r="G1148" s="57"/>
      <c r="H1148" s="53"/>
      <c r="I1148" s="53"/>
      <c r="J1148" s="55"/>
      <c r="K1148" s="58"/>
      <c r="L1148" s="59"/>
      <c r="M1148" s="55"/>
      <c r="N1148" s="60"/>
      <c r="O1148" s="60"/>
      <c r="P1148" s="165" t="str">
        <f t="shared" ca="1" si="125"/>
        <v/>
      </c>
      <c r="Q1148" s="165" t="str">
        <f t="shared" ca="1" si="126"/>
        <v/>
      </c>
      <c r="R1148" s="79"/>
      <c r="S1148" s="80"/>
      <c r="T1148" s="61">
        <f t="shared" si="127"/>
        <v>0</v>
      </c>
      <c r="U1148" s="61">
        <f t="shared" si="128"/>
        <v>0</v>
      </c>
      <c r="V1148" s="61">
        <f t="shared" si="129"/>
        <v>0</v>
      </c>
      <c r="W1148" s="58"/>
      <c r="X1148" s="58"/>
      <c r="Y1148" s="53"/>
      <c r="Z1148" s="57"/>
      <c r="AA1148" s="62"/>
      <c r="AB1148" s="62"/>
      <c r="AC1148" s="62"/>
      <c r="AD1148" s="62"/>
      <c r="AE1148" s="62"/>
      <c r="AF1148" s="63"/>
      <c r="AG1148" s="64" t="str">
        <f t="shared" si="130"/>
        <v/>
      </c>
    </row>
    <row r="1149" spans="1:33" x14ac:dyDescent="0.25">
      <c r="A1149" s="46" t="str">
        <f>IF(ISBLANK(inbound_data[[#This Row],[Receiving Report ref.'#]]),"",IF(inbound_data[[#This Row],[Ending Quantity]]=0,"ZERO","INV"))</f>
        <v/>
      </c>
      <c r="B1149" s="165" t="str">
        <f t="shared" si="124"/>
        <v/>
      </c>
      <c r="C1149" s="165" t="str">
        <f>IF(ISBLANK(D1149),"",inbound_data[[#This Row],[Pallet_Series]]&amp;inbound_data[[#This Row],[No.]])</f>
        <v/>
      </c>
      <c r="D1149" s="54"/>
      <c r="E1149" s="55"/>
      <c r="F1149" s="56"/>
      <c r="G1149" s="57"/>
      <c r="H1149" s="53"/>
      <c r="I1149" s="53"/>
      <c r="J1149" s="55"/>
      <c r="K1149" s="58"/>
      <c r="L1149" s="59"/>
      <c r="M1149" s="55"/>
      <c r="N1149" s="60"/>
      <c r="O1149" s="60"/>
      <c r="P1149" s="165" t="str">
        <f t="shared" ca="1" si="125"/>
        <v/>
      </c>
      <c r="Q1149" s="165" t="str">
        <f t="shared" ca="1" si="126"/>
        <v/>
      </c>
      <c r="R1149" s="79"/>
      <c r="S1149" s="80"/>
      <c r="T1149" s="61">
        <f t="shared" si="127"/>
        <v>0</v>
      </c>
      <c r="U1149" s="61">
        <f t="shared" si="128"/>
        <v>0</v>
      </c>
      <c r="V1149" s="61">
        <f t="shared" si="129"/>
        <v>0</v>
      </c>
      <c r="W1149" s="58"/>
      <c r="X1149" s="58"/>
      <c r="Y1149" s="53"/>
      <c r="Z1149" s="57"/>
      <c r="AA1149" s="62"/>
      <c r="AB1149" s="62"/>
      <c r="AC1149" s="62"/>
      <c r="AD1149" s="62"/>
      <c r="AE1149" s="62"/>
      <c r="AF1149" s="63"/>
      <c r="AG1149" s="64" t="str">
        <f t="shared" si="130"/>
        <v/>
      </c>
    </row>
    <row r="1150" spans="1:33" x14ac:dyDescent="0.25">
      <c r="A1150" s="46" t="str">
        <f>IF(ISBLANK(inbound_data[[#This Row],[Receiving Report ref.'#]]),"",IF(inbound_data[[#This Row],[Ending Quantity]]=0,"ZERO","INV"))</f>
        <v/>
      </c>
      <c r="B1150" s="165" t="str">
        <f t="shared" si="124"/>
        <v/>
      </c>
      <c r="C1150" s="165" t="str">
        <f>IF(ISBLANK(D1150),"",inbound_data[[#This Row],[Pallet_Series]]&amp;inbound_data[[#This Row],[No.]])</f>
        <v/>
      </c>
      <c r="D1150" s="54"/>
      <c r="E1150" s="55"/>
      <c r="F1150" s="56"/>
      <c r="G1150" s="57"/>
      <c r="H1150" s="53"/>
      <c r="I1150" s="53"/>
      <c r="J1150" s="55"/>
      <c r="K1150" s="58"/>
      <c r="L1150" s="59"/>
      <c r="M1150" s="55"/>
      <c r="N1150" s="60"/>
      <c r="O1150" s="60"/>
      <c r="P1150" s="165" t="str">
        <f t="shared" ca="1" si="125"/>
        <v/>
      </c>
      <c r="Q1150" s="165" t="str">
        <f t="shared" ca="1" si="126"/>
        <v/>
      </c>
      <c r="R1150" s="79"/>
      <c r="S1150" s="80"/>
      <c r="T1150" s="61">
        <f t="shared" si="127"/>
        <v>0</v>
      </c>
      <c r="U1150" s="61">
        <f t="shared" si="128"/>
        <v>0</v>
      </c>
      <c r="V1150" s="61">
        <f t="shared" si="129"/>
        <v>0</v>
      </c>
      <c r="W1150" s="58"/>
      <c r="X1150" s="58"/>
      <c r="Y1150" s="53"/>
      <c r="Z1150" s="57"/>
      <c r="AA1150" s="62"/>
      <c r="AB1150" s="62"/>
      <c r="AC1150" s="62"/>
      <c r="AD1150" s="62"/>
      <c r="AE1150" s="62"/>
      <c r="AF1150" s="63"/>
      <c r="AG1150" s="64" t="str">
        <f t="shared" si="130"/>
        <v/>
      </c>
    </row>
    <row r="1151" spans="1:33" x14ac:dyDescent="0.25">
      <c r="A1151" s="46" t="str">
        <f>IF(ISBLANK(inbound_data[[#This Row],[Receiving Report ref.'#]]),"",IF(inbound_data[[#This Row],[Ending Quantity]]=0,"ZERO","INV"))</f>
        <v/>
      </c>
      <c r="B1151" s="165" t="str">
        <f t="shared" si="124"/>
        <v/>
      </c>
      <c r="C1151" s="165" t="str">
        <f>IF(ISBLANK(D1151),"",inbound_data[[#This Row],[Pallet_Series]]&amp;inbound_data[[#This Row],[No.]])</f>
        <v/>
      </c>
      <c r="D1151" s="54"/>
      <c r="E1151" s="55"/>
      <c r="F1151" s="56"/>
      <c r="G1151" s="57"/>
      <c r="H1151" s="53"/>
      <c r="I1151" s="53"/>
      <c r="J1151" s="55"/>
      <c r="K1151" s="58"/>
      <c r="L1151" s="59"/>
      <c r="M1151" s="55"/>
      <c r="N1151" s="60"/>
      <c r="O1151" s="60"/>
      <c r="P1151" s="165" t="str">
        <f t="shared" ca="1" si="125"/>
        <v/>
      </c>
      <c r="Q1151" s="165" t="str">
        <f t="shared" ca="1" si="126"/>
        <v/>
      </c>
      <c r="R1151" s="79"/>
      <c r="S1151" s="80"/>
      <c r="T1151" s="61">
        <f t="shared" si="127"/>
        <v>0</v>
      </c>
      <c r="U1151" s="61">
        <f t="shared" si="128"/>
        <v>0</v>
      </c>
      <c r="V1151" s="61">
        <f t="shared" si="129"/>
        <v>0</v>
      </c>
      <c r="W1151" s="58"/>
      <c r="X1151" s="58"/>
      <c r="Y1151" s="53"/>
      <c r="Z1151" s="57"/>
      <c r="AA1151" s="62"/>
      <c r="AB1151" s="62"/>
      <c r="AC1151" s="62"/>
      <c r="AD1151" s="62"/>
      <c r="AE1151" s="62"/>
      <c r="AF1151" s="63"/>
      <c r="AG1151" s="64" t="str">
        <f t="shared" si="130"/>
        <v/>
      </c>
    </row>
    <row r="1152" spans="1:33" x14ac:dyDescent="0.25">
      <c r="A1152" s="46" t="str">
        <f>IF(ISBLANK(inbound_data[[#This Row],[Receiving Report ref.'#]]),"",IF(inbound_data[[#This Row],[Ending Quantity]]=0,"ZERO","INV"))</f>
        <v/>
      </c>
      <c r="B1152" s="165" t="str">
        <f t="shared" si="124"/>
        <v/>
      </c>
      <c r="C1152" s="165" t="str">
        <f>IF(ISBLANK(D1152),"",inbound_data[[#This Row],[Pallet_Series]]&amp;inbound_data[[#This Row],[No.]])</f>
        <v/>
      </c>
      <c r="D1152" s="54"/>
      <c r="E1152" s="55"/>
      <c r="F1152" s="56"/>
      <c r="G1152" s="57"/>
      <c r="H1152" s="53"/>
      <c r="I1152" s="53"/>
      <c r="J1152" s="55"/>
      <c r="K1152" s="58"/>
      <c r="L1152" s="59"/>
      <c r="M1152" s="55"/>
      <c r="N1152" s="60"/>
      <c r="O1152" s="60"/>
      <c r="P1152" s="165" t="str">
        <f t="shared" ca="1" si="125"/>
        <v/>
      </c>
      <c r="Q1152" s="165" t="str">
        <f t="shared" ca="1" si="126"/>
        <v/>
      </c>
      <c r="R1152" s="79"/>
      <c r="S1152" s="80"/>
      <c r="T1152" s="61">
        <f t="shared" si="127"/>
        <v>0</v>
      </c>
      <c r="U1152" s="61">
        <f t="shared" si="128"/>
        <v>0</v>
      </c>
      <c r="V1152" s="61">
        <f t="shared" si="129"/>
        <v>0</v>
      </c>
      <c r="W1152" s="58"/>
      <c r="X1152" s="58"/>
      <c r="Y1152" s="53"/>
      <c r="Z1152" s="57"/>
      <c r="AA1152" s="62"/>
      <c r="AB1152" s="62"/>
      <c r="AC1152" s="62"/>
      <c r="AD1152" s="62"/>
      <c r="AE1152" s="62"/>
      <c r="AF1152" s="63"/>
      <c r="AG1152" s="64" t="str">
        <f t="shared" si="130"/>
        <v/>
      </c>
    </row>
    <row r="1153" spans="1:33" x14ac:dyDescent="0.25">
      <c r="A1153" s="46" t="str">
        <f>IF(ISBLANK(inbound_data[[#This Row],[Receiving Report ref.'#]]),"",IF(inbound_data[[#This Row],[Ending Quantity]]=0,"ZERO","INV"))</f>
        <v/>
      </c>
      <c r="B1153" s="165" t="str">
        <f t="shared" si="124"/>
        <v/>
      </c>
      <c r="C1153" s="165" t="str">
        <f>IF(ISBLANK(D1153),"",inbound_data[[#This Row],[Pallet_Series]]&amp;inbound_data[[#This Row],[No.]])</f>
        <v/>
      </c>
      <c r="D1153" s="54"/>
      <c r="E1153" s="55"/>
      <c r="F1153" s="56"/>
      <c r="G1153" s="57"/>
      <c r="H1153" s="53"/>
      <c r="I1153" s="53"/>
      <c r="J1153" s="55"/>
      <c r="K1153" s="58"/>
      <c r="L1153" s="59"/>
      <c r="M1153" s="55"/>
      <c r="N1153" s="60"/>
      <c r="O1153" s="60"/>
      <c r="P1153" s="165" t="str">
        <f t="shared" ca="1" si="125"/>
        <v/>
      </c>
      <c r="Q1153" s="165" t="str">
        <f t="shared" ca="1" si="126"/>
        <v/>
      </c>
      <c r="R1153" s="79"/>
      <c r="S1153" s="80"/>
      <c r="T1153" s="61">
        <f t="shared" si="127"/>
        <v>0</v>
      </c>
      <c r="U1153" s="61">
        <f t="shared" si="128"/>
        <v>0</v>
      </c>
      <c r="V1153" s="61">
        <f t="shared" si="129"/>
        <v>0</v>
      </c>
      <c r="W1153" s="58"/>
      <c r="X1153" s="58"/>
      <c r="Y1153" s="53"/>
      <c r="Z1153" s="57"/>
      <c r="AA1153" s="62"/>
      <c r="AB1153" s="62"/>
      <c r="AC1153" s="62"/>
      <c r="AD1153" s="62"/>
      <c r="AE1153" s="62"/>
      <c r="AF1153" s="63"/>
      <c r="AG1153" s="64" t="str">
        <f t="shared" si="130"/>
        <v/>
      </c>
    </row>
    <row r="1154" spans="1:33" x14ac:dyDescent="0.25">
      <c r="A1154" s="46" t="str">
        <f>IF(ISBLANK(inbound_data[[#This Row],[Receiving Report ref.'#]]),"",IF(inbound_data[[#This Row],[Ending Quantity]]=0,"ZERO","INV"))</f>
        <v/>
      </c>
      <c r="B1154" s="165" t="str">
        <f t="shared" si="124"/>
        <v/>
      </c>
      <c r="C1154" s="165" t="str">
        <f>IF(ISBLANK(D1154),"",inbound_data[[#This Row],[Pallet_Series]]&amp;inbound_data[[#This Row],[No.]])</f>
        <v/>
      </c>
      <c r="D1154" s="54"/>
      <c r="E1154" s="55"/>
      <c r="F1154" s="56"/>
      <c r="G1154" s="57"/>
      <c r="H1154" s="53"/>
      <c r="I1154" s="53"/>
      <c r="J1154" s="55"/>
      <c r="K1154" s="58"/>
      <c r="L1154" s="59"/>
      <c r="M1154" s="55"/>
      <c r="N1154" s="60"/>
      <c r="O1154" s="60"/>
      <c r="P1154" s="165" t="str">
        <f t="shared" ca="1" si="125"/>
        <v/>
      </c>
      <c r="Q1154" s="165" t="str">
        <f t="shared" ca="1" si="126"/>
        <v/>
      </c>
      <c r="R1154" s="79"/>
      <c r="S1154" s="80"/>
      <c r="T1154" s="61">
        <f t="shared" si="127"/>
        <v>0</v>
      </c>
      <c r="U1154" s="61">
        <f t="shared" si="128"/>
        <v>0</v>
      </c>
      <c r="V1154" s="61">
        <f t="shared" si="129"/>
        <v>0</v>
      </c>
      <c r="W1154" s="58"/>
      <c r="X1154" s="58"/>
      <c r="Y1154" s="53"/>
      <c r="Z1154" s="57"/>
      <c r="AA1154" s="62"/>
      <c r="AB1154" s="62"/>
      <c r="AC1154" s="62"/>
      <c r="AD1154" s="62"/>
      <c r="AE1154" s="62"/>
      <c r="AF1154" s="63"/>
      <c r="AG1154" s="64" t="str">
        <f t="shared" si="130"/>
        <v/>
      </c>
    </row>
    <row r="1155" spans="1:33" x14ac:dyDescent="0.25">
      <c r="A1155" s="46" t="str">
        <f>IF(ISBLANK(inbound_data[[#This Row],[Receiving Report ref.'#]]),"",IF(inbound_data[[#This Row],[Ending Quantity]]=0,"ZERO","INV"))</f>
        <v/>
      </c>
      <c r="B1155" s="165" t="str">
        <f t="shared" si="124"/>
        <v/>
      </c>
      <c r="C1155" s="165" t="str">
        <f>IF(ISBLANK(D1155),"",inbound_data[[#This Row],[Pallet_Series]]&amp;inbound_data[[#This Row],[No.]])</f>
        <v/>
      </c>
      <c r="D1155" s="54"/>
      <c r="E1155" s="55"/>
      <c r="F1155" s="56"/>
      <c r="G1155" s="57"/>
      <c r="H1155" s="53"/>
      <c r="I1155" s="53"/>
      <c r="J1155" s="55"/>
      <c r="K1155" s="58"/>
      <c r="L1155" s="59"/>
      <c r="M1155" s="55"/>
      <c r="N1155" s="60"/>
      <c r="O1155" s="60"/>
      <c r="P1155" s="165" t="str">
        <f t="shared" ca="1" si="125"/>
        <v/>
      </c>
      <c r="Q1155" s="165" t="str">
        <f t="shared" ca="1" si="126"/>
        <v/>
      </c>
      <c r="R1155" s="79"/>
      <c r="S1155" s="80"/>
      <c r="T1155" s="61">
        <f t="shared" si="127"/>
        <v>0</v>
      </c>
      <c r="U1155" s="61">
        <f t="shared" si="128"/>
        <v>0</v>
      </c>
      <c r="V1155" s="61">
        <f t="shared" si="129"/>
        <v>0</v>
      </c>
      <c r="W1155" s="58"/>
      <c r="X1155" s="58"/>
      <c r="Y1155" s="53"/>
      <c r="Z1155" s="57"/>
      <c r="AA1155" s="62"/>
      <c r="AB1155" s="62"/>
      <c r="AC1155" s="62"/>
      <c r="AD1155" s="62"/>
      <c r="AE1155" s="62"/>
      <c r="AF1155" s="63"/>
      <c r="AG1155" s="64" t="str">
        <f t="shared" si="130"/>
        <v/>
      </c>
    </row>
    <row r="1156" spans="1:33" x14ac:dyDescent="0.25">
      <c r="A1156" s="46" t="str">
        <f>IF(ISBLANK(inbound_data[[#This Row],[Receiving Report ref.'#]]),"",IF(inbound_data[[#This Row],[Ending Quantity]]=0,"ZERO","INV"))</f>
        <v/>
      </c>
      <c r="B1156" s="165" t="str">
        <f t="shared" si="124"/>
        <v/>
      </c>
      <c r="C1156" s="165" t="str">
        <f>IF(ISBLANK(D1156),"",inbound_data[[#This Row],[Pallet_Series]]&amp;inbound_data[[#This Row],[No.]])</f>
        <v/>
      </c>
      <c r="D1156" s="54"/>
      <c r="E1156" s="55"/>
      <c r="F1156" s="56"/>
      <c r="G1156" s="57"/>
      <c r="H1156" s="53"/>
      <c r="I1156" s="53"/>
      <c r="J1156" s="55"/>
      <c r="K1156" s="58"/>
      <c r="L1156" s="59"/>
      <c r="M1156" s="55"/>
      <c r="N1156" s="60"/>
      <c r="O1156" s="60"/>
      <c r="P1156" s="165" t="str">
        <f t="shared" ca="1" si="125"/>
        <v/>
      </c>
      <c r="Q1156" s="165" t="str">
        <f t="shared" ca="1" si="126"/>
        <v/>
      </c>
      <c r="R1156" s="79"/>
      <c r="S1156" s="80"/>
      <c r="T1156" s="61">
        <f t="shared" si="127"/>
        <v>0</v>
      </c>
      <c r="U1156" s="61">
        <f t="shared" si="128"/>
        <v>0</v>
      </c>
      <c r="V1156" s="61">
        <f t="shared" si="129"/>
        <v>0</v>
      </c>
      <c r="W1156" s="58"/>
      <c r="X1156" s="58"/>
      <c r="Y1156" s="53"/>
      <c r="Z1156" s="57"/>
      <c r="AA1156" s="62"/>
      <c r="AB1156" s="62"/>
      <c r="AC1156" s="62"/>
      <c r="AD1156" s="62"/>
      <c r="AE1156" s="62"/>
      <c r="AF1156" s="63"/>
      <c r="AG1156" s="64" t="str">
        <f t="shared" si="130"/>
        <v/>
      </c>
    </row>
    <row r="1157" spans="1:33" x14ac:dyDescent="0.25">
      <c r="A1157" s="46" t="str">
        <f>IF(ISBLANK(inbound_data[[#This Row],[Receiving Report ref.'#]]),"",IF(inbound_data[[#This Row],[Ending Quantity]]=0,"ZERO","INV"))</f>
        <v/>
      </c>
      <c r="B1157" s="165" t="str">
        <f t="shared" si="124"/>
        <v/>
      </c>
      <c r="C1157" s="165" t="str">
        <f>IF(ISBLANK(D1157),"",inbound_data[[#This Row],[Pallet_Series]]&amp;inbound_data[[#This Row],[No.]])</f>
        <v/>
      </c>
      <c r="D1157" s="54"/>
      <c r="E1157" s="55"/>
      <c r="F1157" s="56"/>
      <c r="G1157" s="57"/>
      <c r="H1157" s="53"/>
      <c r="I1157" s="53"/>
      <c r="J1157" s="55"/>
      <c r="K1157" s="58"/>
      <c r="L1157" s="59"/>
      <c r="M1157" s="55"/>
      <c r="N1157" s="60"/>
      <c r="O1157" s="60"/>
      <c r="P1157" s="165" t="str">
        <f t="shared" ca="1" si="125"/>
        <v/>
      </c>
      <c r="Q1157" s="165" t="str">
        <f t="shared" ca="1" si="126"/>
        <v/>
      </c>
      <c r="R1157" s="79"/>
      <c r="S1157" s="80"/>
      <c r="T1157" s="61">
        <f t="shared" si="127"/>
        <v>0</v>
      </c>
      <c r="U1157" s="61">
        <f t="shared" si="128"/>
        <v>0</v>
      </c>
      <c r="V1157" s="61">
        <f t="shared" si="129"/>
        <v>0</v>
      </c>
      <c r="W1157" s="58"/>
      <c r="X1157" s="58"/>
      <c r="Y1157" s="53"/>
      <c r="Z1157" s="57"/>
      <c r="AA1157" s="62"/>
      <c r="AB1157" s="62"/>
      <c r="AC1157" s="62"/>
      <c r="AD1157" s="62"/>
      <c r="AE1157" s="62"/>
      <c r="AF1157" s="63"/>
      <c r="AG1157" s="64" t="str">
        <f t="shared" si="130"/>
        <v/>
      </c>
    </row>
    <row r="1158" spans="1:33" x14ac:dyDescent="0.25">
      <c r="A1158" s="46" t="str">
        <f>IF(ISBLANK(inbound_data[[#This Row],[Receiving Report ref.'#]]),"",IF(inbound_data[[#This Row],[Ending Quantity]]=0,"ZERO","INV"))</f>
        <v/>
      </c>
      <c r="B1158" s="165" t="str">
        <f t="shared" si="124"/>
        <v/>
      </c>
      <c r="C1158" s="165" t="str">
        <f>IF(ISBLANK(D1158),"",inbound_data[[#This Row],[Pallet_Series]]&amp;inbound_data[[#This Row],[No.]])</f>
        <v/>
      </c>
      <c r="D1158" s="54"/>
      <c r="E1158" s="55"/>
      <c r="F1158" s="56"/>
      <c r="G1158" s="57"/>
      <c r="H1158" s="53"/>
      <c r="I1158" s="53"/>
      <c r="J1158" s="55"/>
      <c r="K1158" s="58"/>
      <c r="L1158" s="59"/>
      <c r="M1158" s="55"/>
      <c r="N1158" s="60"/>
      <c r="O1158" s="60"/>
      <c r="P1158" s="165" t="str">
        <f t="shared" ca="1" si="125"/>
        <v/>
      </c>
      <c r="Q1158" s="165" t="str">
        <f t="shared" ca="1" si="126"/>
        <v/>
      </c>
      <c r="R1158" s="79"/>
      <c r="S1158" s="80"/>
      <c r="T1158" s="61">
        <f t="shared" si="127"/>
        <v>0</v>
      </c>
      <c r="U1158" s="61">
        <f t="shared" si="128"/>
        <v>0</v>
      </c>
      <c r="V1158" s="61">
        <f t="shared" si="129"/>
        <v>0</v>
      </c>
      <c r="W1158" s="58"/>
      <c r="X1158" s="58"/>
      <c r="Y1158" s="53"/>
      <c r="Z1158" s="57"/>
      <c r="AA1158" s="62"/>
      <c r="AB1158" s="62"/>
      <c r="AC1158" s="62"/>
      <c r="AD1158" s="62"/>
      <c r="AE1158" s="62"/>
      <c r="AF1158" s="63"/>
      <c r="AG1158" s="64" t="str">
        <f t="shared" si="130"/>
        <v/>
      </c>
    </row>
    <row r="1159" spans="1:33" x14ac:dyDescent="0.25">
      <c r="A1159" s="46" t="str">
        <f>IF(ISBLANK(inbound_data[[#This Row],[Receiving Report ref.'#]]),"",IF(inbound_data[[#This Row],[Ending Quantity]]=0,"ZERO","INV"))</f>
        <v/>
      </c>
      <c r="B1159" s="165" t="str">
        <f t="shared" si="124"/>
        <v/>
      </c>
      <c r="C1159" s="165" t="str">
        <f>IF(ISBLANK(D1159),"",inbound_data[[#This Row],[Pallet_Series]]&amp;inbound_data[[#This Row],[No.]])</f>
        <v/>
      </c>
      <c r="D1159" s="54"/>
      <c r="E1159" s="55"/>
      <c r="F1159" s="56"/>
      <c r="G1159" s="57"/>
      <c r="H1159" s="53"/>
      <c r="I1159" s="53"/>
      <c r="J1159" s="55"/>
      <c r="K1159" s="58"/>
      <c r="L1159" s="59"/>
      <c r="M1159" s="55"/>
      <c r="N1159" s="60"/>
      <c r="O1159" s="60"/>
      <c r="P1159" s="165" t="str">
        <f t="shared" ca="1" si="125"/>
        <v/>
      </c>
      <c r="Q1159" s="165" t="str">
        <f t="shared" ca="1" si="126"/>
        <v/>
      </c>
      <c r="R1159" s="79"/>
      <c r="S1159" s="80"/>
      <c r="T1159" s="61">
        <f t="shared" si="127"/>
        <v>0</v>
      </c>
      <c r="U1159" s="61">
        <f t="shared" si="128"/>
        <v>0</v>
      </c>
      <c r="V1159" s="61">
        <f t="shared" si="129"/>
        <v>0</v>
      </c>
      <c r="W1159" s="58"/>
      <c r="X1159" s="58"/>
      <c r="Y1159" s="53"/>
      <c r="Z1159" s="57"/>
      <c r="AA1159" s="62"/>
      <c r="AB1159" s="62"/>
      <c r="AC1159" s="62"/>
      <c r="AD1159" s="62"/>
      <c r="AE1159" s="62"/>
      <c r="AF1159" s="63"/>
      <c r="AG1159" s="64" t="str">
        <f t="shared" si="130"/>
        <v/>
      </c>
    </row>
    <row r="1160" spans="1:33" x14ac:dyDescent="0.25">
      <c r="A1160" s="46" t="str">
        <f>IF(ISBLANK(inbound_data[[#This Row],[Receiving Report ref.'#]]),"",IF(inbound_data[[#This Row],[Ending Quantity]]=0,"ZERO","INV"))</f>
        <v/>
      </c>
      <c r="B1160" s="165" t="str">
        <f t="shared" si="124"/>
        <v/>
      </c>
      <c r="C1160" s="165" t="str">
        <f>IF(ISBLANK(D1160),"",inbound_data[[#This Row],[Pallet_Series]]&amp;inbound_data[[#This Row],[No.]])</f>
        <v/>
      </c>
      <c r="D1160" s="54"/>
      <c r="E1160" s="55"/>
      <c r="F1160" s="56"/>
      <c r="G1160" s="57"/>
      <c r="H1160" s="53"/>
      <c r="I1160" s="53"/>
      <c r="J1160" s="55"/>
      <c r="K1160" s="58"/>
      <c r="L1160" s="59"/>
      <c r="M1160" s="55"/>
      <c r="N1160" s="60"/>
      <c r="O1160" s="60"/>
      <c r="P1160" s="165" t="str">
        <f t="shared" ca="1" si="125"/>
        <v/>
      </c>
      <c r="Q1160" s="165" t="str">
        <f t="shared" ca="1" si="126"/>
        <v/>
      </c>
      <c r="R1160" s="79"/>
      <c r="S1160" s="80"/>
      <c r="T1160" s="61">
        <f t="shared" si="127"/>
        <v>0</v>
      </c>
      <c r="U1160" s="61">
        <f t="shared" si="128"/>
        <v>0</v>
      </c>
      <c r="V1160" s="61">
        <f t="shared" si="129"/>
        <v>0</v>
      </c>
      <c r="W1160" s="58"/>
      <c r="X1160" s="58"/>
      <c r="Y1160" s="53"/>
      <c r="Z1160" s="57"/>
      <c r="AA1160" s="62"/>
      <c r="AB1160" s="62"/>
      <c r="AC1160" s="62"/>
      <c r="AD1160" s="62"/>
      <c r="AE1160" s="62"/>
      <c r="AF1160" s="63"/>
      <c r="AG1160" s="64" t="str">
        <f t="shared" si="130"/>
        <v/>
      </c>
    </row>
    <row r="1161" spans="1:33" x14ac:dyDescent="0.25">
      <c r="A1161" s="46" t="str">
        <f>IF(ISBLANK(inbound_data[[#This Row],[Receiving Report ref.'#]]),"",IF(inbound_data[[#This Row],[Ending Quantity]]=0,"ZERO","INV"))</f>
        <v/>
      </c>
      <c r="B1161" s="165" t="str">
        <f t="shared" ref="B1161:B1224" si="131">IF(ISBLANK(D1161),"",TEXT(ROW(),"00000"))</f>
        <v/>
      </c>
      <c r="C1161" s="165" t="str">
        <f>IF(ISBLANK(D1161),"",inbound_data[[#This Row],[Pallet_Series]]&amp;inbound_data[[#This Row],[No.]])</f>
        <v/>
      </c>
      <c r="D1161" s="54"/>
      <c r="E1161" s="55"/>
      <c r="F1161" s="56"/>
      <c r="G1161" s="57"/>
      <c r="H1161" s="53"/>
      <c r="I1161" s="53"/>
      <c r="J1161" s="55"/>
      <c r="K1161" s="58"/>
      <c r="L1161" s="59"/>
      <c r="M1161" s="55"/>
      <c r="N1161" s="60"/>
      <c r="O1161" s="60"/>
      <c r="P1161" s="165" t="str">
        <f t="shared" ref="P1161:P1224" ca="1" si="132">IF(A1161="ZERO","",IF(O1161="","",O1161-TODAY()))</f>
        <v/>
      </c>
      <c r="Q1161" s="165" t="str">
        <f t="shared" ref="Q1161:Q1224" ca="1" si="133">IF(A1161="ZERO","",IF(P1161&lt;0,"ALREADY EXPIRED",IF(P1161&lt;60,"NEARLY EXPIRED","")))</f>
        <v/>
      </c>
      <c r="R1161" s="79"/>
      <c r="S1161" s="80"/>
      <c r="T1161" s="61">
        <f t="shared" ref="T1161:T1224" si="134">IF(ISBLANK(R1161),0,R1161-SUMIF(STOCK_CODE_OUT,$C1161,QTY_OUT))</f>
        <v>0</v>
      </c>
      <c r="U1161" s="61">
        <f t="shared" ref="U1161:U1224" si="135">IF(ISBLANK(S1161),0,S1161-SUMIF(STOCK_CODE_OUT,$C1161,KILOS_OUT))</f>
        <v>0</v>
      </c>
      <c r="V1161" s="61">
        <f t="shared" ref="V1161:V1224" si="136">IF(ISBLANK(K1161),0,K1161-SUMIF(STOCK_CODE_OUT,$C1161,PALLET_OUT))</f>
        <v>0</v>
      </c>
      <c r="W1161" s="58"/>
      <c r="X1161" s="58"/>
      <c r="Y1161" s="53"/>
      <c r="Z1161" s="57"/>
      <c r="AA1161" s="62"/>
      <c r="AB1161" s="62"/>
      <c r="AC1161" s="62"/>
      <c r="AD1161" s="62"/>
      <c r="AE1161" s="62"/>
      <c r="AF1161" s="63"/>
      <c r="AG1161" s="64" t="str">
        <f t="shared" ref="AG1161:AG1224" si="137">IF(T1161&gt;0,CONCATENATE(AA1161,AB1161,TEXT(AC1161,"R00"),TEXT(AD1161,"L0."),TEXT(AE1161,"0")),"")</f>
        <v/>
      </c>
    </row>
    <row r="1162" spans="1:33" x14ac:dyDescent="0.25">
      <c r="A1162" s="46" t="str">
        <f>IF(ISBLANK(inbound_data[[#This Row],[Receiving Report ref.'#]]),"",IF(inbound_data[[#This Row],[Ending Quantity]]=0,"ZERO","INV"))</f>
        <v/>
      </c>
      <c r="B1162" s="165" t="str">
        <f t="shared" si="131"/>
        <v/>
      </c>
      <c r="C1162" s="165" t="str">
        <f>IF(ISBLANK(D1162),"",inbound_data[[#This Row],[Pallet_Series]]&amp;inbound_data[[#This Row],[No.]])</f>
        <v/>
      </c>
      <c r="D1162" s="54"/>
      <c r="E1162" s="55"/>
      <c r="F1162" s="56"/>
      <c r="G1162" s="57"/>
      <c r="H1162" s="53"/>
      <c r="I1162" s="53"/>
      <c r="J1162" s="55"/>
      <c r="K1162" s="58"/>
      <c r="L1162" s="59"/>
      <c r="M1162" s="55"/>
      <c r="N1162" s="60"/>
      <c r="O1162" s="60"/>
      <c r="P1162" s="165" t="str">
        <f t="shared" ca="1" si="132"/>
        <v/>
      </c>
      <c r="Q1162" s="165" t="str">
        <f t="shared" ca="1" si="133"/>
        <v/>
      </c>
      <c r="R1162" s="79"/>
      <c r="S1162" s="80"/>
      <c r="T1162" s="61">
        <f t="shared" si="134"/>
        <v>0</v>
      </c>
      <c r="U1162" s="61">
        <f t="shared" si="135"/>
        <v>0</v>
      </c>
      <c r="V1162" s="61">
        <f t="shared" si="136"/>
        <v>0</v>
      </c>
      <c r="W1162" s="58"/>
      <c r="X1162" s="58"/>
      <c r="Y1162" s="53"/>
      <c r="Z1162" s="57"/>
      <c r="AA1162" s="62"/>
      <c r="AB1162" s="62"/>
      <c r="AC1162" s="62"/>
      <c r="AD1162" s="62"/>
      <c r="AE1162" s="62"/>
      <c r="AF1162" s="63"/>
      <c r="AG1162" s="64" t="str">
        <f t="shared" si="137"/>
        <v/>
      </c>
    </row>
    <row r="1163" spans="1:33" x14ac:dyDescent="0.25">
      <c r="A1163" s="46" t="str">
        <f>IF(ISBLANK(inbound_data[[#This Row],[Receiving Report ref.'#]]),"",IF(inbound_data[[#This Row],[Ending Quantity]]=0,"ZERO","INV"))</f>
        <v/>
      </c>
      <c r="B1163" s="165" t="str">
        <f t="shared" si="131"/>
        <v/>
      </c>
      <c r="C1163" s="165" t="str">
        <f>IF(ISBLANK(D1163),"",inbound_data[[#This Row],[Pallet_Series]]&amp;inbound_data[[#This Row],[No.]])</f>
        <v/>
      </c>
      <c r="D1163" s="54"/>
      <c r="E1163" s="55"/>
      <c r="F1163" s="56"/>
      <c r="G1163" s="57"/>
      <c r="H1163" s="53"/>
      <c r="I1163" s="53"/>
      <c r="J1163" s="55"/>
      <c r="K1163" s="58"/>
      <c r="L1163" s="59"/>
      <c r="M1163" s="55"/>
      <c r="N1163" s="60"/>
      <c r="O1163" s="60"/>
      <c r="P1163" s="165" t="str">
        <f t="shared" ca="1" si="132"/>
        <v/>
      </c>
      <c r="Q1163" s="165" t="str">
        <f t="shared" ca="1" si="133"/>
        <v/>
      </c>
      <c r="R1163" s="79"/>
      <c r="S1163" s="80"/>
      <c r="T1163" s="61">
        <f t="shared" si="134"/>
        <v>0</v>
      </c>
      <c r="U1163" s="61">
        <f t="shared" si="135"/>
        <v>0</v>
      </c>
      <c r="V1163" s="61">
        <f t="shared" si="136"/>
        <v>0</v>
      </c>
      <c r="W1163" s="58"/>
      <c r="X1163" s="58"/>
      <c r="Y1163" s="53"/>
      <c r="Z1163" s="57"/>
      <c r="AA1163" s="62"/>
      <c r="AB1163" s="62"/>
      <c r="AC1163" s="62"/>
      <c r="AD1163" s="62"/>
      <c r="AE1163" s="62"/>
      <c r="AF1163" s="63"/>
      <c r="AG1163" s="64" t="str">
        <f t="shared" si="137"/>
        <v/>
      </c>
    </row>
    <row r="1164" spans="1:33" x14ac:dyDescent="0.25">
      <c r="A1164" s="46" t="str">
        <f>IF(ISBLANK(inbound_data[[#This Row],[Receiving Report ref.'#]]),"",IF(inbound_data[[#This Row],[Ending Quantity]]=0,"ZERO","INV"))</f>
        <v/>
      </c>
      <c r="B1164" s="165" t="str">
        <f t="shared" si="131"/>
        <v/>
      </c>
      <c r="C1164" s="165" t="str">
        <f>IF(ISBLANK(D1164),"",inbound_data[[#This Row],[Pallet_Series]]&amp;inbound_data[[#This Row],[No.]])</f>
        <v/>
      </c>
      <c r="D1164" s="54"/>
      <c r="E1164" s="55"/>
      <c r="F1164" s="56"/>
      <c r="G1164" s="57"/>
      <c r="H1164" s="53"/>
      <c r="I1164" s="53"/>
      <c r="J1164" s="55"/>
      <c r="K1164" s="58"/>
      <c r="L1164" s="59"/>
      <c r="M1164" s="55"/>
      <c r="N1164" s="60"/>
      <c r="O1164" s="60"/>
      <c r="P1164" s="165" t="str">
        <f t="shared" ca="1" si="132"/>
        <v/>
      </c>
      <c r="Q1164" s="165" t="str">
        <f t="shared" ca="1" si="133"/>
        <v/>
      </c>
      <c r="R1164" s="79"/>
      <c r="S1164" s="80"/>
      <c r="T1164" s="61">
        <f t="shared" si="134"/>
        <v>0</v>
      </c>
      <c r="U1164" s="61">
        <f t="shared" si="135"/>
        <v>0</v>
      </c>
      <c r="V1164" s="61">
        <f t="shared" si="136"/>
        <v>0</v>
      </c>
      <c r="W1164" s="58"/>
      <c r="X1164" s="58"/>
      <c r="Y1164" s="53"/>
      <c r="Z1164" s="57"/>
      <c r="AA1164" s="62"/>
      <c r="AB1164" s="62"/>
      <c r="AC1164" s="62"/>
      <c r="AD1164" s="62"/>
      <c r="AE1164" s="62"/>
      <c r="AF1164" s="63"/>
      <c r="AG1164" s="64" t="str">
        <f t="shared" si="137"/>
        <v/>
      </c>
    </row>
    <row r="1165" spans="1:33" x14ac:dyDescent="0.25">
      <c r="A1165" s="46" t="str">
        <f>IF(ISBLANK(inbound_data[[#This Row],[Receiving Report ref.'#]]),"",IF(inbound_data[[#This Row],[Ending Quantity]]=0,"ZERO","INV"))</f>
        <v/>
      </c>
      <c r="B1165" s="165" t="str">
        <f t="shared" si="131"/>
        <v/>
      </c>
      <c r="C1165" s="165" t="str">
        <f>IF(ISBLANK(D1165),"",inbound_data[[#This Row],[Pallet_Series]]&amp;inbound_data[[#This Row],[No.]])</f>
        <v/>
      </c>
      <c r="D1165" s="54"/>
      <c r="E1165" s="55"/>
      <c r="F1165" s="56"/>
      <c r="G1165" s="57"/>
      <c r="H1165" s="53"/>
      <c r="I1165" s="53"/>
      <c r="J1165" s="55"/>
      <c r="K1165" s="58"/>
      <c r="L1165" s="59"/>
      <c r="M1165" s="55"/>
      <c r="N1165" s="60"/>
      <c r="O1165" s="60"/>
      <c r="P1165" s="165" t="str">
        <f t="shared" ca="1" si="132"/>
        <v/>
      </c>
      <c r="Q1165" s="165" t="str">
        <f t="shared" ca="1" si="133"/>
        <v/>
      </c>
      <c r="R1165" s="79"/>
      <c r="S1165" s="80"/>
      <c r="T1165" s="61">
        <f t="shared" si="134"/>
        <v>0</v>
      </c>
      <c r="U1165" s="61">
        <f t="shared" si="135"/>
        <v>0</v>
      </c>
      <c r="V1165" s="61">
        <f t="shared" si="136"/>
        <v>0</v>
      </c>
      <c r="W1165" s="58"/>
      <c r="X1165" s="58"/>
      <c r="Y1165" s="53"/>
      <c r="Z1165" s="57"/>
      <c r="AA1165" s="62"/>
      <c r="AB1165" s="62"/>
      <c r="AC1165" s="62"/>
      <c r="AD1165" s="62"/>
      <c r="AE1165" s="62"/>
      <c r="AF1165" s="63"/>
      <c r="AG1165" s="64" t="str">
        <f t="shared" si="137"/>
        <v/>
      </c>
    </row>
    <row r="1166" spans="1:33" x14ac:dyDescent="0.25">
      <c r="A1166" s="46" t="str">
        <f>IF(ISBLANK(inbound_data[[#This Row],[Receiving Report ref.'#]]),"",IF(inbound_data[[#This Row],[Ending Quantity]]=0,"ZERO","INV"))</f>
        <v/>
      </c>
      <c r="B1166" s="165" t="str">
        <f t="shared" si="131"/>
        <v/>
      </c>
      <c r="C1166" s="165" t="str">
        <f>IF(ISBLANK(D1166),"",inbound_data[[#This Row],[Pallet_Series]]&amp;inbound_data[[#This Row],[No.]])</f>
        <v/>
      </c>
      <c r="D1166" s="54"/>
      <c r="E1166" s="55"/>
      <c r="F1166" s="56"/>
      <c r="G1166" s="57"/>
      <c r="H1166" s="53"/>
      <c r="I1166" s="53"/>
      <c r="J1166" s="55"/>
      <c r="K1166" s="58"/>
      <c r="L1166" s="59"/>
      <c r="M1166" s="55"/>
      <c r="N1166" s="60"/>
      <c r="O1166" s="60"/>
      <c r="P1166" s="165" t="str">
        <f t="shared" ca="1" si="132"/>
        <v/>
      </c>
      <c r="Q1166" s="165" t="str">
        <f t="shared" ca="1" si="133"/>
        <v/>
      </c>
      <c r="R1166" s="79"/>
      <c r="S1166" s="80"/>
      <c r="T1166" s="61">
        <f t="shared" si="134"/>
        <v>0</v>
      </c>
      <c r="U1166" s="61">
        <f t="shared" si="135"/>
        <v>0</v>
      </c>
      <c r="V1166" s="61">
        <f t="shared" si="136"/>
        <v>0</v>
      </c>
      <c r="W1166" s="58"/>
      <c r="X1166" s="58"/>
      <c r="Y1166" s="53"/>
      <c r="Z1166" s="57"/>
      <c r="AA1166" s="62"/>
      <c r="AB1166" s="62"/>
      <c r="AC1166" s="62"/>
      <c r="AD1166" s="62"/>
      <c r="AE1166" s="62"/>
      <c r="AF1166" s="63"/>
      <c r="AG1166" s="64" t="str">
        <f t="shared" si="137"/>
        <v/>
      </c>
    </row>
    <row r="1167" spans="1:33" x14ac:dyDescent="0.25">
      <c r="A1167" s="46" t="str">
        <f>IF(ISBLANK(inbound_data[[#This Row],[Receiving Report ref.'#]]),"",IF(inbound_data[[#This Row],[Ending Quantity]]=0,"ZERO","INV"))</f>
        <v/>
      </c>
      <c r="B1167" s="165" t="str">
        <f t="shared" si="131"/>
        <v/>
      </c>
      <c r="C1167" s="165" t="str">
        <f>IF(ISBLANK(D1167),"",inbound_data[[#This Row],[Pallet_Series]]&amp;inbound_data[[#This Row],[No.]])</f>
        <v/>
      </c>
      <c r="D1167" s="54"/>
      <c r="E1167" s="55"/>
      <c r="F1167" s="56"/>
      <c r="G1167" s="57"/>
      <c r="H1167" s="53"/>
      <c r="I1167" s="53"/>
      <c r="J1167" s="55"/>
      <c r="K1167" s="58"/>
      <c r="L1167" s="59"/>
      <c r="M1167" s="55"/>
      <c r="N1167" s="60"/>
      <c r="O1167" s="60"/>
      <c r="P1167" s="165" t="str">
        <f t="shared" ca="1" si="132"/>
        <v/>
      </c>
      <c r="Q1167" s="165" t="str">
        <f t="shared" ca="1" si="133"/>
        <v/>
      </c>
      <c r="R1167" s="79"/>
      <c r="S1167" s="80"/>
      <c r="T1167" s="61">
        <f t="shared" si="134"/>
        <v>0</v>
      </c>
      <c r="U1167" s="61">
        <f t="shared" si="135"/>
        <v>0</v>
      </c>
      <c r="V1167" s="61">
        <f t="shared" si="136"/>
        <v>0</v>
      </c>
      <c r="W1167" s="58"/>
      <c r="X1167" s="58"/>
      <c r="Y1167" s="53"/>
      <c r="Z1167" s="57"/>
      <c r="AA1167" s="62"/>
      <c r="AB1167" s="62"/>
      <c r="AC1167" s="62"/>
      <c r="AD1167" s="62"/>
      <c r="AE1167" s="62"/>
      <c r="AF1167" s="63"/>
      <c r="AG1167" s="64" t="str">
        <f t="shared" si="137"/>
        <v/>
      </c>
    </row>
    <row r="1168" spans="1:33" x14ac:dyDescent="0.25">
      <c r="A1168" s="46" t="str">
        <f>IF(ISBLANK(inbound_data[[#This Row],[Receiving Report ref.'#]]),"",IF(inbound_data[[#This Row],[Ending Quantity]]=0,"ZERO","INV"))</f>
        <v/>
      </c>
      <c r="B1168" s="165" t="str">
        <f t="shared" si="131"/>
        <v/>
      </c>
      <c r="C1168" s="165" t="str">
        <f>IF(ISBLANK(D1168),"",inbound_data[[#This Row],[Pallet_Series]]&amp;inbound_data[[#This Row],[No.]])</f>
        <v/>
      </c>
      <c r="D1168" s="54"/>
      <c r="E1168" s="55"/>
      <c r="F1168" s="56"/>
      <c r="G1168" s="57"/>
      <c r="H1168" s="53"/>
      <c r="I1168" s="53"/>
      <c r="J1168" s="55"/>
      <c r="K1168" s="58"/>
      <c r="L1168" s="59"/>
      <c r="M1168" s="55"/>
      <c r="N1168" s="60"/>
      <c r="O1168" s="60"/>
      <c r="P1168" s="165" t="str">
        <f t="shared" ca="1" si="132"/>
        <v/>
      </c>
      <c r="Q1168" s="165" t="str">
        <f t="shared" ca="1" si="133"/>
        <v/>
      </c>
      <c r="R1168" s="79"/>
      <c r="S1168" s="80"/>
      <c r="T1168" s="61">
        <f t="shared" si="134"/>
        <v>0</v>
      </c>
      <c r="U1168" s="61">
        <f t="shared" si="135"/>
        <v>0</v>
      </c>
      <c r="V1168" s="61">
        <f t="shared" si="136"/>
        <v>0</v>
      </c>
      <c r="W1168" s="58"/>
      <c r="X1168" s="58"/>
      <c r="Y1168" s="53"/>
      <c r="Z1168" s="57"/>
      <c r="AA1168" s="62"/>
      <c r="AB1168" s="62"/>
      <c r="AC1168" s="62"/>
      <c r="AD1168" s="62"/>
      <c r="AE1168" s="62"/>
      <c r="AF1168" s="63"/>
      <c r="AG1168" s="64" t="str">
        <f t="shared" si="137"/>
        <v/>
      </c>
    </row>
    <row r="1169" spans="1:33" x14ac:dyDescent="0.25">
      <c r="A1169" s="46" t="str">
        <f>IF(ISBLANK(inbound_data[[#This Row],[Receiving Report ref.'#]]),"",IF(inbound_data[[#This Row],[Ending Quantity]]=0,"ZERO","INV"))</f>
        <v/>
      </c>
      <c r="B1169" s="165" t="str">
        <f t="shared" si="131"/>
        <v/>
      </c>
      <c r="C1169" s="165" t="str">
        <f>IF(ISBLANK(D1169),"",inbound_data[[#This Row],[Pallet_Series]]&amp;inbound_data[[#This Row],[No.]])</f>
        <v/>
      </c>
      <c r="D1169" s="54"/>
      <c r="E1169" s="55"/>
      <c r="F1169" s="56"/>
      <c r="G1169" s="57"/>
      <c r="H1169" s="53"/>
      <c r="I1169" s="53"/>
      <c r="J1169" s="55"/>
      <c r="K1169" s="58"/>
      <c r="L1169" s="59"/>
      <c r="M1169" s="55"/>
      <c r="N1169" s="60"/>
      <c r="O1169" s="60"/>
      <c r="P1169" s="165" t="str">
        <f t="shared" ca="1" si="132"/>
        <v/>
      </c>
      <c r="Q1169" s="165" t="str">
        <f t="shared" ca="1" si="133"/>
        <v/>
      </c>
      <c r="R1169" s="79"/>
      <c r="S1169" s="80"/>
      <c r="T1169" s="61">
        <f t="shared" si="134"/>
        <v>0</v>
      </c>
      <c r="U1169" s="61">
        <f t="shared" si="135"/>
        <v>0</v>
      </c>
      <c r="V1169" s="61">
        <f t="shared" si="136"/>
        <v>0</v>
      </c>
      <c r="W1169" s="58"/>
      <c r="X1169" s="58"/>
      <c r="Y1169" s="53"/>
      <c r="Z1169" s="57"/>
      <c r="AA1169" s="62"/>
      <c r="AB1169" s="62"/>
      <c r="AC1169" s="62"/>
      <c r="AD1169" s="62"/>
      <c r="AE1169" s="62"/>
      <c r="AF1169" s="63"/>
      <c r="AG1169" s="64" t="str">
        <f t="shared" si="137"/>
        <v/>
      </c>
    </row>
    <row r="1170" spans="1:33" x14ac:dyDescent="0.25">
      <c r="A1170" s="46" t="str">
        <f>IF(ISBLANK(inbound_data[[#This Row],[Receiving Report ref.'#]]),"",IF(inbound_data[[#This Row],[Ending Quantity]]=0,"ZERO","INV"))</f>
        <v/>
      </c>
      <c r="B1170" s="165" t="str">
        <f t="shared" si="131"/>
        <v/>
      </c>
      <c r="C1170" s="165" t="str">
        <f>IF(ISBLANK(D1170),"",inbound_data[[#This Row],[Pallet_Series]]&amp;inbound_data[[#This Row],[No.]])</f>
        <v/>
      </c>
      <c r="D1170" s="54"/>
      <c r="E1170" s="65"/>
      <c r="F1170" s="56"/>
      <c r="G1170" s="57"/>
      <c r="H1170" s="53"/>
      <c r="I1170" s="53"/>
      <c r="J1170" s="55"/>
      <c r="K1170" s="58"/>
      <c r="L1170" s="59"/>
      <c r="M1170" s="55"/>
      <c r="N1170" s="60"/>
      <c r="O1170" s="60"/>
      <c r="P1170" s="165" t="str">
        <f t="shared" ca="1" si="132"/>
        <v/>
      </c>
      <c r="Q1170" s="165" t="str">
        <f t="shared" ca="1" si="133"/>
        <v/>
      </c>
      <c r="R1170" s="79"/>
      <c r="S1170" s="80"/>
      <c r="T1170" s="61">
        <f t="shared" si="134"/>
        <v>0</v>
      </c>
      <c r="U1170" s="61">
        <f t="shared" si="135"/>
        <v>0</v>
      </c>
      <c r="V1170" s="61">
        <f t="shared" si="136"/>
        <v>0</v>
      </c>
      <c r="W1170" s="58"/>
      <c r="X1170" s="58"/>
      <c r="Y1170" s="53"/>
      <c r="Z1170" s="57"/>
      <c r="AA1170" s="66"/>
      <c r="AB1170" s="66"/>
      <c r="AC1170" s="66"/>
      <c r="AD1170" s="66"/>
      <c r="AE1170" s="66"/>
      <c r="AF1170" s="63"/>
      <c r="AG1170" s="64" t="str">
        <f t="shared" si="137"/>
        <v/>
      </c>
    </row>
    <row r="1171" spans="1:33" x14ac:dyDescent="0.25">
      <c r="A1171" s="46" t="str">
        <f>IF(ISBLANK(inbound_data[[#This Row],[Receiving Report ref.'#]]),"",IF(inbound_data[[#This Row],[Ending Quantity]]=0,"ZERO","INV"))</f>
        <v/>
      </c>
      <c r="B1171" s="165" t="str">
        <f t="shared" si="131"/>
        <v/>
      </c>
      <c r="C1171" s="165" t="str">
        <f>IF(ISBLANK(D1171),"",inbound_data[[#This Row],[Pallet_Series]]&amp;inbound_data[[#This Row],[No.]])</f>
        <v/>
      </c>
      <c r="D1171" s="54"/>
      <c r="E1171" s="65"/>
      <c r="F1171" s="56"/>
      <c r="G1171" s="57"/>
      <c r="H1171" s="53"/>
      <c r="I1171" s="53"/>
      <c r="J1171" s="55"/>
      <c r="K1171" s="58"/>
      <c r="L1171" s="59"/>
      <c r="M1171" s="55"/>
      <c r="N1171" s="60"/>
      <c r="O1171" s="60"/>
      <c r="P1171" s="165" t="str">
        <f t="shared" ca="1" si="132"/>
        <v/>
      </c>
      <c r="Q1171" s="165" t="str">
        <f t="shared" ca="1" si="133"/>
        <v/>
      </c>
      <c r="R1171" s="79"/>
      <c r="S1171" s="80"/>
      <c r="T1171" s="61">
        <f t="shared" si="134"/>
        <v>0</v>
      </c>
      <c r="U1171" s="61">
        <f t="shared" si="135"/>
        <v>0</v>
      </c>
      <c r="V1171" s="61">
        <f t="shared" si="136"/>
        <v>0</v>
      </c>
      <c r="W1171" s="58"/>
      <c r="X1171" s="58"/>
      <c r="Y1171" s="53"/>
      <c r="Z1171" s="57"/>
      <c r="AA1171" s="164"/>
      <c r="AB1171" s="164"/>
      <c r="AC1171" s="164"/>
      <c r="AD1171" s="164"/>
      <c r="AE1171" s="164"/>
      <c r="AF1171" s="63"/>
      <c r="AG1171" s="64" t="str">
        <f t="shared" si="137"/>
        <v/>
      </c>
    </row>
    <row r="1172" spans="1:33" x14ac:dyDescent="0.25">
      <c r="A1172" s="46" t="str">
        <f>IF(ISBLANK(inbound_data[[#This Row],[Receiving Report ref.'#]]),"",IF(inbound_data[[#This Row],[Ending Quantity]]=0,"ZERO","INV"))</f>
        <v/>
      </c>
      <c r="B1172" s="165" t="str">
        <f t="shared" si="131"/>
        <v/>
      </c>
      <c r="C1172" s="165" t="str">
        <f>IF(ISBLANK(D1172),"",inbound_data[[#This Row],[Pallet_Series]]&amp;inbound_data[[#This Row],[No.]])</f>
        <v/>
      </c>
      <c r="D1172" s="54"/>
      <c r="E1172" s="55"/>
      <c r="F1172" s="56"/>
      <c r="G1172" s="57"/>
      <c r="H1172" s="53"/>
      <c r="I1172" s="53"/>
      <c r="J1172" s="55"/>
      <c r="K1172" s="58"/>
      <c r="L1172" s="59"/>
      <c r="M1172" s="55"/>
      <c r="N1172" s="60"/>
      <c r="O1172" s="60"/>
      <c r="P1172" s="165" t="str">
        <f t="shared" ca="1" si="132"/>
        <v/>
      </c>
      <c r="Q1172" s="165" t="str">
        <f t="shared" ca="1" si="133"/>
        <v/>
      </c>
      <c r="R1172" s="79"/>
      <c r="S1172" s="80"/>
      <c r="T1172" s="61">
        <f t="shared" si="134"/>
        <v>0</v>
      </c>
      <c r="U1172" s="61">
        <f t="shared" si="135"/>
        <v>0</v>
      </c>
      <c r="V1172" s="61">
        <f t="shared" si="136"/>
        <v>0</v>
      </c>
      <c r="W1172" s="58"/>
      <c r="X1172" s="58"/>
      <c r="Y1172" s="53"/>
      <c r="Z1172" s="57"/>
      <c r="AA1172" s="164"/>
      <c r="AB1172" s="164"/>
      <c r="AC1172" s="164"/>
      <c r="AD1172" s="164"/>
      <c r="AE1172" s="164"/>
      <c r="AF1172" s="63"/>
      <c r="AG1172" s="64" t="str">
        <f t="shared" si="137"/>
        <v/>
      </c>
    </row>
    <row r="1173" spans="1:33" x14ac:dyDescent="0.25">
      <c r="A1173" s="46" t="str">
        <f>IF(ISBLANK(inbound_data[[#This Row],[Receiving Report ref.'#]]),"",IF(inbound_data[[#This Row],[Ending Quantity]]=0,"ZERO","INV"))</f>
        <v/>
      </c>
      <c r="B1173" s="165" t="str">
        <f t="shared" si="131"/>
        <v/>
      </c>
      <c r="C1173" s="165" t="str">
        <f>IF(ISBLANK(D1173),"",inbound_data[[#This Row],[Pallet_Series]]&amp;inbound_data[[#This Row],[No.]])</f>
        <v/>
      </c>
      <c r="D1173" s="54"/>
      <c r="E1173" s="55"/>
      <c r="F1173" s="56"/>
      <c r="G1173" s="57"/>
      <c r="H1173" s="53"/>
      <c r="I1173" s="53"/>
      <c r="J1173" s="55"/>
      <c r="K1173" s="58"/>
      <c r="L1173" s="59"/>
      <c r="M1173" s="55"/>
      <c r="N1173" s="60"/>
      <c r="O1173" s="60"/>
      <c r="P1173" s="165" t="str">
        <f t="shared" ca="1" si="132"/>
        <v/>
      </c>
      <c r="Q1173" s="165" t="str">
        <f t="shared" ca="1" si="133"/>
        <v/>
      </c>
      <c r="R1173" s="79"/>
      <c r="S1173" s="80"/>
      <c r="T1173" s="61">
        <f t="shared" si="134"/>
        <v>0</v>
      </c>
      <c r="U1173" s="61">
        <f t="shared" si="135"/>
        <v>0</v>
      </c>
      <c r="V1173" s="61">
        <f t="shared" si="136"/>
        <v>0</v>
      </c>
      <c r="W1173" s="58"/>
      <c r="X1173" s="58"/>
      <c r="Y1173" s="53"/>
      <c r="Z1173" s="57"/>
      <c r="AA1173" s="164"/>
      <c r="AB1173" s="164"/>
      <c r="AC1173" s="164"/>
      <c r="AD1173" s="164"/>
      <c r="AE1173" s="164"/>
      <c r="AF1173" s="63"/>
      <c r="AG1173" s="64" t="str">
        <f t="shared" si="137"/>
        <v/>
      </c>
    </row>
    <row r="1174" spans="1:33" x14ac:dyDescent="0.25">
      <c r="A1174" s="46" t="str">
        <f>IF(ISBLANK(inbound_data[[#This Row],[Receiving Report ref.'#]]),"",IF(inbound_data[[#This Row],[Ending Quantity]]=0,"ZERO","INV"))</f>
        <v/>
      </c>
      <c r="B1174" s="165" t="str">
        <f t="shared" si="131"/>
        <v/>
      </c>
      <c r="C1174" s="165" t="str">
        <f>IF(ISBLANK(D1174),"",inbound_data[[#This Row],[Pallet_Series]]&amp;inbound_data[[#This Row],[No.]])</f>
        <v/>
      </c>
      <c r="D1174" s="54"/>
      <c r="E1174" s="55"/>
      <c r="F1174" s="56"/>
      <c r="G1174" s="57"/>
      <c r="H1174" s="53"/>
      <c r="I1174" s="53"/>
      <c r="J1174" s="55"/>
      <c r="K1174" s="58"/>
      <c r="L1174" s="59"/>
      <c r="M1174" s="55"/>
      <c r="N1174" s="60"/>
      <c r="O1174" s="60"/>
      <c r="P1174" s="165" t="str">
        <f t="shared" ca="1" si="132"/>
        <v/>
      </c>
      <c r="Q1174" s="165" t="str">
        <f t="shared" ca="1" si="133"/>
        <v/>
      </c>
      <c r="R1174" s="79"/>
      <c r="S1174" s="80"/>
      <c r="T1174" s="61">
        <f t="shared" si="134"/>
        <v>0</v>
      </c>
      <c r="U1174" s="61">
        <f t="shared" si="135"/>
        <v>0</v>
      </c>
      <c r="V1174" s="61">
        <f t="shared" si="136"/>
        <v>0</v>
      </c>
      <c r="W1174" s="58"/>
      <c r="X1174" s="58"/>
      <c r="Y1174" s="53"/>
      <c r="Z1174" s="57"/>
      <c r="AA1174" s="164"/>
      <c r="AB1174" s="164"/>
      <c r="AC1174" s="164"/>
      <c r="AD1174" s="164"/>
      <c r="AE1174" s="164"/>
      <c r="AF1174" s="63"/>
      <c r="AG1174" s="64" t="str">
        <f t="shared" si="137"/>
        <v/>
      </c>
    </row>
    <row r="1175" spans="1:33" x14ac:dyDescent="0.25">
      <c r="A1175" s="46" t="str">
        <f>IF(ISBLANK(inbound_data[[#This Row],[Receiving Report ref.'#]]),"",IF(inbound_data[[#This Row],[Ending Quantity]]=0,"ZERO","INV"))</f>
        <v/>
      </c>
      <c r="B1175" s="165" t="str">
        <f t="shared" si="131"/>
        <v/>
      </c>
      <c r="C1175" s="165" t="str">
        <f>IF(ISBLANK(D1175),"",inbound_data[[#This Row],[Pallet_Series]]&amp;inbound_data[[#This Row],[No.]])</f>
        <v/>
      </c>
      <c r="D1175" s="54"/>
      <c r="E1175" s="55"/>
      <c r="F1175" s="56"/>
      <c r="G1175" s="57"/>
      <c r="H1175" s="53"/>
      <c r="I1175" s="53"/>
      <c r="J1175" s="55"/>
      <c r="K1175" s="58"/>
      <c r="L1175" s="59"/>
      <c r="M1175" s="55"/>
      <c r="N1175" s="60"/>
      <c r="O1175" s="60"/>
      <c r="P1175" s="165" t="str">
        <f t="shared" ca="1" si="132"/>
        <v/>
      </c>
      <c r="Q1175" s="165" t="str">
        <f t="shared" ca="1" si="133"/>
        <v/>
      </c>
      <c r="R1175" s="79"/>
      <c r="S1175" s="80"/>
      <c r="T1175" s="61">
        <f t="shared" si="134"/>
        <v>0</v>
      </c>
      <c r="U1175" s="61">
        <f t="shared" si="135"/>
        <v>0</v>
      </c>
      <c r="V1175" s="61">
        <f t="shared" si="136"/>
        <v>0</v>
      </c>
      <c r="W1175" s="58"/>
      <c r="X1175" s="58"/>
      <c r="Y1175" s="53"/>
      <c r="Z1175" s="57"/>
      <c r="AA1175" s="164"/>
      <c r="AB1175" s="164"/>
      <c r="AC1175" s="164"/>
      <c r="AD1175" s="164"/>
      <c r="AE1175" s="164"/>
      <c r="AF1175" s="63"/>
      <c r="AG1175" s="64" t="str">
        <f t="shared" si="137"/>
        <v/>
      </c>
    </row>
    <row r="1176" spans="1:33" x14ac:dyDescent="0.25">
      <c r="A1176" s="46" t="str">
        <f>IF(ISBLANK(inbound_data[[#This Row],[Receiving Report ref.'#]]),"",IF(inbound_data[[#This Row],[Ending Quantity]]=0,"ZERO","INV"))</f>
        <v/>
      </c>
      <c r="B1176" s="165" t="str">
        <f t="shared" si="131"/>
        <v/>
      </c>
      <c r="C1176" s="165" t="str">
        <f>IF(ISBLANK(D1176),"",inbound_data[[#This Row],[Pallet_Series]]&amp;inbound_data[[#This Row],[No.]])</f>
        <v/>
      </c>
      <c r="D1176" s="54"/>
      <c r="E1176" s="55"/>
      <c r="F1176" s="56"/>
      <c r="G1176" s="57"/>
      <c r="H1176" s="53"/>
      <c r="I1176" s="53"/>
      <c r="J1176" s="55"/>
      <c r="K1176" s="58"/>
      <c r="L1176" s="59"/>
      <c r="M1176" s="55"/>
      <c r="N1176" s="60"/>
      <c r="O1176" s="60"/>
      <c r="P1176" s="165" t="str">
        <f t="shared" ca="1" si="132"/>
        <v/>
      </c>
      <c r="Q1176" s="165" t="str">
        <f t="shared" ca="1" si="133"/>
        <v/>
      </c>
      <c r="R1176" s="79"/>
      <c r="S1176" s="80"/>
      <c r="T1176" s="61">
        <f t="shared" si="134"/>
        <v>0</v>
      </c>
      <c r="U1176" s="61">
        <f t="shared" si="135"/>
        <v>0</v>
      </c>
      <c r="V1176" s="61">
        <f t="shared" si="136"/>
        <v>0</v>
      </c>
      <c r="W1176" s="58"/>
      <c r="X1176" s="58"/>
      <c r="Y1176" s="53"/>
      <c r="Z1176" s="57"/>
      <c r="AA1176" s="164"/>
      <c r="AB1176" s="164"/>
      <c r="AC1176" s="164"/>
      <c r="AD1176" s="164"/>
      <c r="AE1176" s="164"/>
      <c r="AF1176" s="63"/>
      <c r="AG1176" s="64" t="str">
        <f t="shared" si="137"/>
        <v/>
      </c>
    </row>
    <row r="1177" spans="1:33" x14ac:dyDescent="0.25">
      <c r="A1177" s="46" t="str">
        <f>IF(ISBLANK(inbound_data[[#This Row],[Receiving Report ref.'#]]),"",IF(inbound_data[[#This Row],[Ending Quantity]]=0,"ZERO","INV"))</f>
        <v/>
      </c>
      <c r="B1177" s="165" t="str">
        <f t="shared" si="131"/>
        <v/>
      </c>
      <c r="C1177" s="165" t="str">
        <f>IF(ISBLANK(D1177),"",inbound_data[[#This Row],[Pallet_Series]]&amp;inbound_data[[#This Row],[No.]])</f>
        <v/>
      </c>
      <c r="D1177" s="54"/>
      <c r="E1177" s="55"/>
      <c r="F1177" s="56"/>
      <c r="G1177" s="57"/>
      <c r="H1177" s="53"/>
      <c r="I1177" s="53"/>
      <c r="J1177" s="55"/>
      <c r="K1177" s="58"/>
      <c r="L1177" s="59"/>
      <c r="M1177" s="55"/>
      <c r="N1177" s="60"/>
      <c r="O1177" s="60"/>
      <c r="P1177" s="165" t="str">
        <f t="shared" ca="1" si="132"/>
        <v/>
      </c>
      <c r="Q1177" s="165" t="str">
        <f t="shared" ca="1" si="133"/>
        <v/>
      </c>
      <c r="R1177" s="79"/>
      <c r="S1177" s="80"/>
      <c r="T1177" s="61">
        <f t="shared" si="134"/>
        <v>0</v>
      </c>
      <c r="U1177" s="61">
        <f t="shared" si="135"/>
        <v>0</v>
      </c>
      <c r="V1177" s="61">
        <f t="shared" si="136"/>
        <v>0</v>
      </c>
      <c r="W1177" s="58"/>
      <c r="X1177" s="58"/>
      <c r="Y1177" s="53"/>
      <c r="Z1177" s="57"/>
      <c r="AA1177" s="164"/>
      <c r="AB1177" s="164"/>
      <c r="AC1177" s="164"/>
      <c r="AD1177" s="164"/>
      <c r="AE1177" s="164"/>
      <c r="AF1177" s="63"/>
      <c r="AG1177" s="64" t="str">
        <f t="shared" si="137"/>
        <v/>
      </c>
    </row>
    <row r="1178" spans="1:33" x14ac:dyDescent="0.25">
      <c r="A1178" s="46" t="str">
        <f>IF(ISBLANK(inbound_data[[#This Row],[Receiving Report ref.'#]]),"",IF(inbound_data[[#This Row],[Ending Quantity]]=0,"ZERO","INV"))</f>
        <v/>
      </c>
      <c r="B1178" s="165" t="str">
        <f t="shared" si="131"/>
        <v/>
      </c>
      <c r="C1178" s="165" t="str">
        <f>IF(ISBLANK(D1178),"",inbound_data[[#This Row],[Pallet_Series]]&amp;inbound_data[[#This Row],[No.]])</f>
        <v/>
      </c>
      <c r="D1178" s="54"/>
      <c r="E1178" s="55"/>
      <c r="F1178" s="56"/>
      <c r="G1178" s="57"/>
      <c r="H1178" s="53"/>
      <c r="I1178" s="53"/>
      <c r="J1178" s="55"/>
      <c r="K1178" s="58"/>
      <c r="L1178" s="59"/>
      <c r="M1178" s="55"/>
      <c r="N1178" s="60"/>
      <c r="O1178" s="60"/>
      <c r="P1178" s="165" t="str">
        <f t="shared" ca="1" si="132"/>
        <v/>
      </c>
      <c r="Q1178" s="165" t="str">
        <f t="shared" ca="1" si="133"/>
        <v/>
      </c>
      <c r="R1178" s="79"/>
      <c r="S1178" s="80"/>
      <c r="T1178" s="61">
        <f t="shared" si="134"/>
        <v>0</v>
      </c>
      <c r="U1178" s="61">
        <f t="shared" si="135"/>
        <v>0</v>
      </c>
      <c r="V1178" s="61">
        <f t="shared" si="136"/>
        <v>0</v>
      </c>
      <c r="W1178" s="58"/>
      <c r="X1178" s="58"/>
      <c r="Y1178" s="53"/>
      <c r="Z1178" s="57"/>
      <c r="AA1178" s="164"/>
      <c r="AB1178" s="164"/>
      <c r="AC1178" s="164"/>
      <c r="AD1178" s="164"/>
      <c r="AE1178" s="164"/>
      <c r="AF1178" s="63"/>
      <c r="AG1178" s="64" t="str">
        <f t="shared" si="137"/>
        <v/>
      </c>
    </row>
    <row r="1179" spans="1:33" x14ac:dyDescent="0.25">
      <c r="A1179" s="46" t="str">
        <f>IF(ISBLANK(inbound_data[[#This Row],[Receiving Report ref.'#]]),"",IF(inbound_data[[#This Row],[Ending Quantity]]=0,"ZERO","INV"))</f>
        <v/>
      </c>
      <c r="B1179" s="165" t="str">
        <f t="shared" si="131"/>
        <v/>
      </c>
      <c r="C1179" s="165" t="str">
        <f>IF(ISBLANK(D1179),"",inbound_data[[#This Row],[Pallet_Series]]&amp;inbound_data[[#This Row],[No.]])</f>
        <v/>
      </c>
      <c r="D1179" s="54"/>
      <c r="E1179" s="55"/>
      <c r="F1179" s="56"/>
      <c r="G1179" s="57"/>
      <c r="H1179" s="53"/>
      <c r="I1179" s="53"/>
      <c r="J1179" s="55"/>
      <c r="K1179" s="58"/>
      <c r="L1179" s="59"/>
      <c r="M1179" s="55"/>
      <c r="N1179" s="60"/>
      <c r="O1179" s="60"/>
      <c r="P1179" s="165" t="str">
        <f t="shared" ca="1" si="132"/>
        <v/>
      </c>
      <c r="Q1179" s="165" t="str">
        <f t="shared" ca="1" si="133"/>
        <v/>
      </c>
      <c r="R1179" s="79"/>
      <c r="S1179" s="80"/>
      <c r="T1179" s="61">
        <f t="shared" si="134"/>
        <v>0</v>
      </c>
      <c r="U1179" s="61">
        <f t="shared" si="135"/>
        <v>0</v>
      </c>
      <c r="V1179" s="61">
        <f t="shared" si="136"/>
        <v>0</v>
      </c>
      <c r="W1179" s="58"/>
      <c r="X1179" s="58"/>
      <c r="Y1179" s="53"/>
      <c r="Z1179" s="57"/>
      <c r="AA1179" s="164"/>
      <c r="AB1179" s="164"/>
      <c r="AC1179" s="164"/>
      <c r="AD1179" s="164"/>
      <c r="AE1179" s="164"/>
      <c r="AF1179" s="63"/>
      <c r="AG1179" s="64" t="str">
        <f t="shared" si="137"/>
        <v/>
      </c>
    </row>
    <row r="1180" spans="1:33" x14ac:dyDescent="0.25">
      <c r="A1180" s="46" t="str">
        <f>IF(ISBLANK(inbound_data[[#This Row],[Receiving Report ref.'#]]),"",IF(inbound_data[[#This Row],[Ending Quantity]]=0,"ZERO","INV"))</f>
        <v/>
      </c>
      <c r="B1180" s="165" t="str">
        <f t="shared" si="131"/>
        <v/>
      </c>
      <c r="C1180" s="165" t="str">
        <f>IF(ISBLANK(D1180),"",inbound_data[[#This Row],[Pallet_Series]]&amp;inbound_data[[#This Row],[No.]])</f>
        <v/>
      </c>
      <c r="D1180" s="54"/>
      <c r="E1180" s="55"/>
      <c r="F1180" s="56"/>
      <c r="G1180" s="57"/>
      <c r="H1180" s="53"/>
      <c r="I1180" s="53"/>
      <c r="J1180" s="55"/>
      <c r="K1180" s="58"/>
      <c r="L1180" s="59"/>
      <c r="M1180" s="55"/>
      <c r="N1180" s="60"/>
      <c r="O1180" s="60"/>
      <c r="P1180" s="165" t="str">
        <f t="shared" ca="1" si="132"/>
        <v/>
      </c>
      <c r="Q1180" s="165" t="str">
        <f t="shared" ca="1" si="133"/>
        <v/>
      </c>
      <c r="R1180" s="79"/>
      <c r="S1180" s="80"/>
      <c r="T1180" s="61">
        <f t="shared" si="134"/>
        <v>0</v>
      </c>
      <c r="U1180" s="61">
        <f t="shared" si="135"/>
        <v>0</v>
      </c>
      <c r="V1180" s="61">
        <f t="shared" si="136"/>
        <v>0</v>
      </c>
      <c r="W1180" s="58"/>
      <c r="X1180" s="58"/>
      <c r="Y1180" s="53"/>
      <c r="Z1180" s="57"/>
      <c r="AA1180" s="164"/>
      <c r="AB1180" s="164"/>
      <c r="AC1180" s="164"/>
      <c r="AD1180" s="164"/>
      <c r="AE1180" s="164"/>
      <c r="AF1180" s="63"/>
      <c r="AG1180" s="64" t="str">
        <f t="shared" si="137"/>
        <v/>
      </c>
    </row>
    <row r="1181" spans="1:33" x14ac:dyDescent="0.25">
      <c r="A1181" s="46" t="str">
        <f>IF(ISBLANK(inbound_data[[#This Row],[Receiving Report ref.'#]]),"",IF(inbound_data[[#This Row],[Ending Quantity]]=0,"ZERO","INV"))</f>
        <v/>
      </c>
      <c r="B1181" s="165" t="str">
        <f t="shared" si="131"/>
        <v/>
      </c>
      <c r="C1181" s="165" t="str">
        <f>IF(ISBLANK(D1181),"",inbound_data[[#This Row],[Pallet_Series]]&amp;inbound_data[[#This Row],[No.]])</f>
        <v/>
      </c>
      <c r="D1181" s="54"/>
      <c r="E1181" s="55"/>
      <c r="F1181" s="56"/>
      <c r="G1181" s="57"/>
      <c r="H1181" s="53"/>
      <c r="I1181" s="53"/>
      <c r="J1181" s="55"/>
      <c r="K1181" s="58"/>
      <c r="L1181" s="59"/>
      <c r="M1181" s="55"/>
      <c r="N1181" s="60"/>
      <c r="O1181" s="60"/>
      <c r="P1181" s="165" t="str">
        <f t="shared" ca="1" si="132"/>
        <v/>
      </c>
      <c r="Q1181" s="165" t="str">
        <f t="shared" ca="1" si="133"/>
        <v/>
      </c>
      <c r="R1181" s="79"/>
      <c r="S1181" s="80"/>
      <c r="T1181" s="61">
        <f t="shared" si="134"/>
        <v>0</v>
      </c>
      <c r="U1181" s="61">
        <f t="shared" si="135"/>
        <v>0</v>
      </c>
      <c r="V1181" s="61">
        <f t="shared" si="136"/>
        <v>0</v>
      </c>
      <c r="W1181" s="58"/>
      <c r="X1181" s="58"/>
      <c r="Y1181" s="53"/>
      <c r="Z1181" s="57"/>
      <c r="AA1181" s="164"/>
      <c r="AB1181" s="164"/>
      <c r="AC1181" s="164"/>
      <c r="AD1181" s="164"/>
      <c r="AE1181" s="164"/>
      <c r="AF1181" s="63"/>
      <c r="AG1181" s="64" t="str">
        <f t="shared" si="137"/>
        <v/>
      </c>
    </row>
    <row r="1182" spans="1:33" x14ac:dyDescent="0.25">
      <c r="A1182" s="46" t="str">
        <f>IF(ISBLANK(inbound_data[[#This Row],[Receiving Report ref.'#]]),"",IF(inbound_data[[#This Row],[Ending Quantity]]=0,"ZERO","INV"))</f>
        <v/>
      </c>
      <c r="B1182" s="165" t="str">
        <f t="shared" si="131"/>
        <v/>
      </c>
      <c r="C1182" s="165" t="str">
        <f>IF(ISBLANK(D1182),"",inbound_data[[#This Row],[Pallet_Series]]&amp;inbound_data[[#This Row],[No.]])</f>
        <v/>
      </c>
      <c r="D1182" s="54"/>
      <c r="E1182" s="55"/>
      <c r="F1182" s="56"/>
      <c r="G1182" s="57"/>
      <c r="H1182" s="53"/>
      <c r="I1182" s="53"/>
      <c r="J1182" s="55"/>
      <c r="K1182" s="58"/>
      <c r="L1182" s="59"/>
      <c r="M1182" s="55"/>
      <c r="N1182" s="60"/>
      <c r="O1182" s="60"/>
      <c r="P1182" s="165" t="str">
        <f t="shared" ca="1" si="132"/>
        <v/>
      </c>
      <c r="Q1182" s="165" t="str">
        <f t="shared" ca="1" si="133"/>
        <v/>
      </c>
      <c r="R1182" s="79"/>
      <c r="S1182" s="80"/>
      <c r="T1182" s="61">
        <f t="shared" si="134"/>
        <v>0</v>
      </c>
      <c r="U1182" s="61">
        <f t="shared" si="135"/>
        <v>0</v>
      </c>
      <c r="V1182" s="61">
        <f t="shared" si="136"/>
        <v>0</v>
      </c>
      <c r="W1182" s="58"/>
      <c r="X1182" s="58"/>
      <c r="Y1182" s="53"/>
      <c r="Z1182" s="57"/>
      <c r="AA1182" s="164"/>
      <c r="AB1182" s="164"/>
      <c r="AC1182" s="164"/>
      <c r="AD1182" s="164"/>
      <c r="AE1182" s="164"/>
      <c r="AF1182" s="63"/>
      <c r="AG1182" s="64" t="str">
        <f t="shared" si="137"/>
        <v/>
      </c>
    </row>
    <row r="1183" spans="1:33" x14ac:dyDescent="0.25">
      <c r="A1183" s="46" t="str">
        <f>IF(ISBLANK(inbound_data[[#This Row],[Receiving Report ref.'#]]),"",IF(inbound_data[[#This Row],[Ending Quantity]]=0,"ZERO","INV"))</f>
        <v/>
      </c>
      <c r="B1183" s="165" t="str">
        <f t="shared" si="131"/>
        <v/>
      </c>
      <c r="C1183" s="165" t="str">
        <f>IF(ISBLANK(D1183),"",inbound_data[[#This Row],[Pallet_Series]]&amp;inbound_data[[#This Row],[No.]])</f>
        <v/>
      </c>
      <c r="D1183" s="54"/>
      <c r="E1183" s="55"/>
      <c r="F1183" s="56"/>
      <c r="G1183" s="57"/>
      <c r="H1183" s="53"/>
      <c r="I1183" s="53"/>
      <c r="J1183" s="55"/>
      <c r="K1183" s="58"/>
      <c r="L1183" s="59"/>
      <c r="M1183" s="55"/>
      <c r="N1183" s="60"/>
      <c r="O1183" s="60"/>
      <c r="P1183" s="165" t="str">
        <f t="shared" ca="1" si="132"/>
        <v/>
      </c>
      <c r="Q1183" s="165" t="str">
        <f t="shared" ca="1" si="133"/>
        <v/>
      </c>
      <c r="R1183" s="79"/>
      <c r="S1183" s="80"/>
      <c r="T1183" s="61">
        <f t="shared" si="134"/>
        <v>0</v>
      </c>
      <c r="U1183" s="61">
        <f t="shared" si="135"/>
        <v>0</v>
      </c>
      <c r="V1183" s="61">
        <f t="shared" si="136"/>
        <v>0</v>
      </c>
      <c r="W1183" s="58"/>
      <c r="X1183" s="58"/>
      <c r="Y1183" s="53"/>
      <c r="Z1183" s="57"/>
      <c r="AA1183" s="164"/>
      <c r="AB1183" s="164"/>
      <c r="AC1183" s="164"/>
      <c r="AD1183" s="164"/>
      <c r="AE1183" s="164"/>
      <c r="AF1183" s="63"/>
      <c r="AG1183" s="64" t="str">
        <f t="shared" si="137"/>
        <v/>
      </c>
    </row>
    <row r="1184" spans="1:33" x14ac:dyDescent="0.25">
      <c r="A1184" s="46" t="str">
        <f>IF(ISBLANK(inbound_data[[#This Row],[Receiving Report ref.'#]]),"",IF(inbound_data[[#This Row],[Ending Quantity]]=0,"ZERO","INV"))</f>
        <v/>
      </c>
      <c r="B1184" s="165" t="str">
        <f t="shared" si="131"/>
        <v/>
      </c>
      <c r="C1184" s="165" t="str">
        <f>IF(ISBLANK(D1184),"",inbound_data[[#This Row],[Pallet_Series]]&amp;inbound_data[[#This Row],[No.]])</f>
        <v/>
      </c>
      <c r="D1184" s="54"/>
      <c r="E1184" s="55"/>
      <c r="F1184" s="56"/>
      <c r="G1184" s="57"/>
      <c r="H1184" s="53"/>
      <c r="I1184" s="53"/>
      <c r="J1184" s="55"/>
      <c r="K1184" s="58"/>
      <c r="L1184" s="59"/>
      <c r="M1184" s="55"/>
      <c r="N1184" s="60"/>
      <c r="O1184" s="60"/>
      <c r="P1184" s="165" t="str">
        <f t="shared" ca="1" si="132"/>
        <v/>
      </c>
      <c r="Q1184" s="165" t="str">
        <f t="shared" ca="1" si="133"/>
        <v/>
      </c>
      <c r="R1184" s="79"/>
      <c r="S1184" s="80"/>
      <c r="T1184" s="61">
        <f t="shared" si="134"/>
        <v>0</v>
      </c>
      <c r="U1184" s="61">
        <f t="shared" si="135"/>
        <v>0</v>
      </c>
      <c r="V1184" s="61">
        <f t="shared" si="136"/>
        <v>0</v>
      </c>
      <c r="W1184" s="58"/>
      <c r="X1184" s="58"/>
      <c r="Y1184" s="53"/>
      <c r="Z1184" s="57"/>
      <c r="AA1184" s="164"/>
      <c r="AB1184" s="164"/>
      <c r="AC1184" s="164"/>
      <c r="AD1184" s="164"/>
      <c r="AE1184" s="164"/>
      <c r="AF1184" s="63"/>
      <c r="AG1184" s="64" t="str">
        <f t="shared" si="137"/>
        <v/>
      </c>
    </row>
    <row r="1185" spans="1:33" x14ac:dyDescent="0.25">
      <c r="A1185" s="46" t="str">
        <f>IF(ISBLANK(inbound_data[[#This Row],[Receiving Report ref.'#]]),"",IF(inbound_data[[#This Row],[Ending Quantity]]=0,"ZERO","INV"))</f>
        <v/>
      </c>
      <c r="B1185" s="165" t="str">
        <f t="shared" si="131"/>
        <v/>
      </c>
      <c r="C1185" s="165" t="str">
        <f>IF(ISBLANK(D1185),"",inbound_data[[#This Row],[Pallet_Series]]&amp;inbound_data[[#This Row],[No.]])</f>
        <v/>
      </c>
      <c r="D1185" s="54"/>
      <c r="E1185" s="55"/>
      <c r="F1185" s="56"/>
      <c r="G1185" s="57"/>
      <c r="H1185" s="53"/>
      <c r="I1185" s="53"/>
      <c r="J1185" s="55"/>
      <c r="K1185" s="58"/>
      <c r="L1185" s="59"/>
      <c r="M1185" s="55"/>
      <c r="N1185" s="60"/>
      <c r="O1185" s="60"/>
      <c r="P1185" s="165" t="str">
        <f t="shared" ca="1" si="132"/>
        <v/>
      </c>
      <c r="Q1185" s="165" t="str">
        <f t="shared" ca="1" si="133"/>
        <v/>
      </c>
      <c r="R1185" s="79"/>
      <c r="S1185" s="80"/>
      <c r="T1185" s="61">
        <f t="shared" si="134"/>
        <v>0</v>
      </c>
      <c r="U1185" s="61">
        <f t="shared" si="135"/>
        <v>0</v>
      </c>
      <c r="V1185" s="61">
        <f t="shared" si="136"/>
        <v>0</v>
      </c>
      <c r="W1185" s="58"/>
      <c r="X1185" s="58"/>
      <c r="Y1185" s="53"/>
      <c r="Z1185" s="57"/>
      <c r="AA1185" s="164"/>
      <c r="AB1185" s="164"/>
      <c r="AC1185" s="164"/>
      <c r="AD1185" s="164"/>
      <c r="AE1185" s="164"/>
      <c r="AF1185" s="63"/>
      <c r="AG1185" s="64" t="str">
        <f t="shared" si="137"/>
        <v/>
      </c>
    </row>
    <row r="1186" spans="1:33" x14ac:dyDescent="0.25">
      <c r="A1186" s="46" t="str">
        <f>IF(ISBLANK(inbound_data[[#This Row],[Receiving Report ref.'#]]),"",IF(inbound_data[[#This Row],[Ending Quantity]]=0,"ZERO","INV"))</f>
        <v/>
      </c>
      <c r="B1186" s="165" t="str">
        <f t="shared" si="131"/>
        <v/>
      </c>
      <c r="C1186" s="165" t="str">
        <f>IF(ISBLANK(D1186),"",inbound_data[[#This Row],[Pallet_Series]]&amp;inbound_data[[#This Row],[No.]])</f>
        <v/>
      </c>
      <c r="D1186" s="54"/>
      <c r="E1186" s="55"/>
      <c r="F1186" s="56"/>
      <c r="G1186" s="57"/>
      <c r="H1186" s="53"/>
      <c r="I1186" s="53"/>
      <c r="J1186" s="55"/>
      <c r="K1186" s="58"/>
      <c r="L1186" s="59"/>
      <c r="M1186" s="55"/>
      <c r="N1186" s="60"/>
      <c r="O1186" s="60"/>
      <c r="P1186" s="165" t="str">
        <f t="shared" ca="1" si="132"/>
        <v/>
      </c>
      <c r="Q1186" s="165" t="str">
        <f t="shared" ca="1" si="133"/>
        <v/>
      </c>
      <c r="R1186" s="79"/>
      <c r="S1186" s="80"/>
      <c r="T1186" s="61">
        <f t="shared" si="134"/>
        <v>0</v>
      </c>
      <c r="U1186" s="61">
        <f t="shared" si="135"/>
        <v>0</v>
      </c>
      <c r="V1186" s="61">
        <f t="shared" si="136"/>
        <v>0</v>
      </c>
      <c r="W1186" s="58"/>
      <c r="X1186" s="58"/>
      <c r="Y1186" s="53"/>
      <c r="Z1186" s="57"/>
      <c r="AA1186" s="164"/>
      <c r="AB1186" s="164"/>
      <c r="AC1186" s="164"/>
      <c r="AD1186" s="164"/>
      <c r="AE1186" s="164"/>
      <c r="AF1186" s="63"/>
      <c r="AG1186" s="64" t="str">
        <f t="shared" si="137"/>
        <v/>
      </c>
    </row>
    <row r="1187" spans="1:33" x14ac:dyDescent="0.25">
      <c r="A1187" s="46" t="str">
        <f>IF(ISBLANK(inbound_data[[#This Row],[Receiving Report ref.'#]]),"",IF(inbound_data[[#This Row],[Ending Quantity]]=0,"ZERO","INV"))</f>
        <v/>
      </c>
      <c r="B1187" s="165" t="str">
        <f t="shared" si="131"/>
        <v/>
      </c>
      <c r="C1187" s="165" t="str">
        <f>IF(ISBLANK(D1187),"",inbound_data[[#This Row],[Pallet_Series]]&amp;inbound_data[[#This Row],[No.]])</f>
        <v/>
      </c>
      <c r="D1187" s="54"/>
      <c r="E1187" s="55"/>
      <c r="F1187" s="56"/>
      <c r="G1187" s="57"/>
      <c r="H1187" s="53"/>
      <c r="I1187" s="53"/>
      <c r="J1187" s="55"/>
      <c r="K1187" s="58"/>
      <c r="L1187" s="59"/>
      <c r="M1187" s="55"/>
      <c r="N1187" s="60"/>
      <c r="O1187" s="60"/>
      <c r="P1187" s="165" t="str">
        <f t="shared" ca="1" si="132"/>
        <v/>
      </c>
      <c r="Q1187" s="165" t="str">
        <f t="shared" ca="1" si="133"/>
        <v/>
      </c>
      <c r="R1187" s="79"/>
      <c r="S1187" s="80"/>
      <c r="T1187" s="61">
        <f t="shared" si="134"/>
        <v>0</v>
      </c>
      <c r="U1187" s="61">
        <f t="shared" si="135"/>
        <v>0</v>
      </c>
      <c r="V1187" s="61">
        <f t="shared" si="136"/>
        <v>0</v>
      </c>
      <c r="W1187" s="58"/>
      <c r="X1187" s="58"/>
      <c r="Y1187" s="53"/>
      <c r="Z1187" s="57"/>
      <c r="AA1187" s="164"/>
      <c r="AB1187" s="164"/>
      <c r="AC1187" s="164"/>
      <c r="AD1187" s="164"/>
      <c r="AE1187" s="164"/>
      <c r="AF1187" s="63"/>
      <c r="AG1187" s="64" t="str">
        <f t="shared" si="137"/>
        <v/>
      </c>
    </row>
    <row r="1188" spans="1:33" x14ac:dyDescent="0.25">
      <c r="A1188" s="46" t="str">
        <f>IF(ISBLANK(inbound_data[[#This Row],[Receiving Report ref.'#]]),"",IF(inbound_data[[#This Row],[Ending Quantity]]=0,"ZERO","INV"))</f>
        <v/>
      </c>
      <c r="B1188" s="165" t="str">
        <f t="shared" si="131"/>
        <v/>
      </c>
      <c r="C1188" s="165" t="str">
        <f>IF(ISBLANK(D1188),"",inbound_data[[#This Row],[Pallet_Series]]&amp;inbound_data[[#This Row],[No.]])</f>
        <v/>
      </c>
      <c r="D1188" s="54"/>
      <c r="E1188" s="55"/>
      <c r="F1188" s="56"/>
      <c r="G1188" s="57"/>
      <c r="H1188" s="53"/>
      <c r="I1188" s="53"/>
      <c r="J1188" s="55"/>
      <c r="K1188" s="58"/>
      <c r="L1188" s="59"/>
      <c r="M1188" s="55"/>
      <c r="N1188" s="60"/>
      <c r="O1188" s="60"/>
      <c r="P1188" s="165" t="str">
        <f t="shared" ca="1" si="132"/>
        <v/>
      </c>
      <c r="Q1188" s="165" t="str">
        <f t="shared" ca="1" si="133"/>
        <v/>
      </c>
      <c r="R1188" s="79"/>
      <c r="S1188" s="80"/>
      <c r="T1188" s="61">
        <f t="shared" si="134"/>
        <v>0</v>
      </c>
      <c r="U1188" s="61">
        <f t="shared" si="135"/>
        <v>0</v>
      </c>
      <c r="V1188" s="61">
        <f t="shared" si="136"/>
        <v>0</v>
      </c>
      <c r="W1188" s="58"/>
      <c r="X1188" s="58"/>
      <c r="Y1188" s="53"/>
      <c r="Z1188" s="57"/>
      <c r="AA1188" s="164"/>
      <c r="AB1188" s="164"/>
      <c r="AC1188" s="164"/>
      <c r="AD1188" s="164"/>
      <c r="AE1188" s="164"/>
      <c r="AF1188" s="63"/>
      <c r="AG1188" s="64" t="str">
        <f t="shared" si="137"/>
        <v/>
      </c>
    </row>
    <row r="1189" spans="1:33" x14ac:dyDescent="0.25">
      <c r="A1189" s="46" t="str">
        <f>IF(ISBLANK(inbound_data[[#This Row],[Receiving Report ref.'#]]),"",IF(inbound_data[[#This Row],[Ending Quantity]]=0,"ZERO","INV"))</f>
        <v/>
      </c>
      <c r="B1189" s="165" t="str">
        <f t="shared" si="131"/>
        <v/>
      </c>
      <c r="C1189" s="165" t="str">
        <f>IF(ISBLANK(D1189),"",inbound_data[[#This Row],[Pallet_Series]]&amp;inbound_data[[#This Row],[No.]])</f>
        <v/>
      </c>
      <c r="D1189" s="54"/>
      <c r="E1189" s="55"/>
      <c r="F1189" s="56"/>
      <c r="G1189" s="57"/>
      <c r="H1189" s="53"/>
      <c r="I1189" s="53"/>
      <c r="J1189" s="55"/>
      <c r="K1189" s="58"/>
      <c r="L1189" s="59"/>
      <c r="M1189" s="55"/>
      <c r="N1189" s="60"/>
      <c r="O1189" s="60"/>
      <c r="P1189" s="165" t="str">
        <f t="shared" ca="1" si="132"/>
        <v/>
      </c>
      <c r="Q1189" s="165" t="str">
        <f t="shared" ca="1" si="133"/>
        <v/>
      </c>
      <c r="R1189" s="79"/>
      <c r="S1189" s="80"/>
      <c r="T1189" s="61">
        <f t="shared" si="134"/>
        <v>0</v>
      </c>
      <c r="U1189" s="61">
        <f t="shared" si="135"/>
        <v>0</v>
      </c>
      <c r="V1189" s="61">
        <f t="shared" si="136"/>
        <v>0</v>
      </c>
      <c r="W1189" s="58"/>
      <c r="X1189" s="58"/>
      <c r="Y1189" s="53"/>
      <c r="Z1189" s="57"/>
      <c r="AA1189" s="164"/>
      <c r="AB1189" s="164"/>
      <c r="AC1189" s="164"/>
      <c r="AD1189" s="164"/>
      <c r="AE1189" s="164"/>
      <c r="AF1189" s="63"/>
      <c r="AG1189" s="64" t="str">
        <f t="shared" si="137"/>
        <v/>
      </c>
    </row>
    <row r="1190" spans="1:33" x14ac:dyDescent="0.25">
      <c r="A1190" s="46" t="str">
        <f>IF(ISBLANK(inbound_data[[#This Row],[Receiving Report ref.'#]]),"",IF(inbound_data[[#This Row],[Ending Quantity]]=0,"ZERO","INV"))</f>
        <v/>
      </c>
      <c r="B1190" s="165" t="str">
        <f t="shared" si="131"/>
        <v/>
      </c>
      <c r="C1190" s="165" t="str">
        <f>IF(ISBLANK(D1190),"",inbound_data[[#This Row],[Pallet_Series]]&amp;inbound_data[[#This Row],[No.]])</f>
        <v/>
      </c>
      <c r="D1190" s="54"/>
      <c r="E1190" s="55"/>
      <c r="F1190" s="56"/>
      <c r="G1190" s="57"/>
      <c r="H1190" s="53"/>
      <c r="I1190" s="53"/>
      <c r="J1190" s="55"/>
      <c r="K1190" s="58"/>
      <c r="L1190" s="59"/>
      <c r="M1190" s="55"/>
      <c r="N1190" s="60"/>
      <c r="O1190" s="60"/>
      <c r="P1190" s="165" t="str">
        <f t="shared" ca="1" si="132"/>
        <v/>
      </c>
      <c r="Q1190" s="165" t="str">
        <f t="shared" ca="1" si="133"/>
        <v/>
      </c>
      <c r="R1190" s="79"/>
      <c r="S1190" s="80"/>
      <c r="T1190" s="61">
        <f t="shared" si="134"/>
        <v>0</v>
      </c>
      <c r="U1190" s="61">
        <f t="shared" si="135"/>
        <v>0</v>
      </c>
      <c r="V1190" s="61">
        <f t="shared" si="136"/>
        <v>0</v>
      </c>
      <c r="W1190" s="58"/>
      <c r="X1190" s="58"/>
      <c r="Y1190" s="53"/>
      <c r="Z1190" s="57"/>
      <c r="AA1190" s="164"/>
      <c r="AB1190" s="164"/>
      <c r="AC1190" s="164"/>
      <c r="AD1190" s="164"/>
      <c r="AE1190" s="164"/>
      <c r="AF1190" s="63"/>
      <c r="AG1190" s="64" t="str">
        <f t="shared" si="137"/>
        <v/>
      </c>
    </row>
    <row r="1191" spans="1:33" x14ac:dyDescent="0.25">
      <c r="A1191" s="46" t="str">
        <f>IF(ISBLANK(inbound_data[[#This Row],[Receiving Report ref.'#]]),"",IF(inbound_data[[#This Row],[Ending Quantity]]=0,"ZERO","INV"))</f>
        <v/>
      </c>
      <c r="B1191" s="165" t="str">
        <f t="shared" si="131"/>
        <v/>
      </c>
      <c r="C1191" s="165" t="str">
        <f>IF(ISBLANK(D1191),"",inbound_data[[#This Row],[Pallet_Series]]&amp;inbound_data[[#This Row],[No.]])</f>
        <v/>
      </c>
      <c r="D1191" s="54"/>
      <c r="E1191" s="55"/>
      <c r="F1191" s="56"/>
      <c r="G1191" s="57"/>
      <c r="H1191" s="53"/>
      <c r="I1191" s="53"/>
      <c r="J1191" s="55"/>
      <c r="K1191" s="58"/>
      <c r="L1191" s="59"/>
      <c r="M1191" s="55"/>
      <c r="N1191" s="60"/>
      <c r="O1191" s="60"/>
      <c r="P1191" s="165" t="str">
        <f t="shared" ca="1" si="132"/>
        <v/>
      </c>
      <c r="Q1191" s="165" t="str">
        <f t="shared" ca="1" si="133"/>
        <v/>
      </c>
      <c r="R1191" s="79"/>
      <c r="S1191" s="80"/>
      <c r="T1191" s="61">
        <f t="shared" si="134"/>
        <v>0</v>
      </c>
      <c r="U1191" s="61">
        <f t="shared" si="135"/>
        <v>0</v>
      </c>
      <c r="V1191" s="61">
        <f t="shared" si="136"/>
        <v>0</v>
      </c>
      <c r="W1191" s="58"/>
      <c r="X1191" s="58"/>
      <c r="Y1191" s="53"/>
      <c r="Z1191" s="57"/>
      <c r="AA1191" s="164"/>
      <c r="AB1191" s="164"/>
      <c r="AC1191" s="164"/>
      <c r="AD1191" s="164"/>
      <c r="AE1191" s="164"/>
      <c r="AF1191" s="63"/>
      <c r="AG1191" s="64" t="str">
        <f t="shared" si="137"/>
        <v/>
      </c>
    </row>
    <row r="1192" spans="1:33" x14ac:dyDescent="0.25">
      <c r="A1192" s="46" t="str">
        <f>IF(ISBLANK(inbound_data[[#This Row],[Receiving Report ref.'#]]),"",IF(inbound_data[[#This Row],[Ending Quantity]]=0,"ZERO","INV"))</f>
        <v/>
      </c>
      <c r="B1192" s="165" t="str">
        <f t="shared" si="131"/>
        <v/>
      </c>
      <c r="C1192" s="165" t="str">
        <f>IF(ISBLANK(D1192),"",inbound_data[[#This Row],[Pallet_Series]]&amp;inbound_data[[#This Row],[No.]])</f>
        <v/>
      </c>
      <c r="D1192" s="54"/>
      <c r="E1192" s="55"/>
      <c r="F1192" s="56"/>
      <c r="G1192" s="57"/>
      <c r="H1192" s="53"/>
      <c r="I1192" s="53"/>
      <c r="J1192" s="55"/>
      <c r="K1192" s="58"/>
      <c r="L1192" s="59"/>
      <c r="M1192" s="55"/>
      <c r="N1192" s="60"/>
      <c r="O1192" s="60"/>
      <c r="P1192" s="165" t="str">
        <f t="shared" ca="1" si="132"/>
        <v/>
      </c>
      <c r="Q1192" s="165" t="str">
        <f t="shared" ca="1" si="133"/>
        <v/>
      </c>
      <c r="R1192" s="79"/>
      <c r="S1192" s="80"/>
      <c r="T1192" s="61">
        <f t="shared" si="134"/>
        <v>0</v>
      </c>
      <c r="U1192" s="61">
        <f t="shared" si="135"/>
        <v>0</v>
      </c>
      <c r="V1192" s="61">
        <f t="shared" si="136"/>
        <v>0</v>
      </c>
      <c r="W1192" s="58"/>
      <c r="X1192" s="58"/>
      <c r="Y1192" s="53"/>
      <c r="Z1192" s="57"/>
      <c r="AA1192" s="164"/>
      <c r="AB1192" s="164"/>
      <c r="AC1192" s="164"/>
      <c r="AD1192" s="164"/>
      <c r="AE1192" s="164"/>
      <c r="AF1192" s="63"/>
      <c r="AG1192" s="64" t="str">
        <f t="shared" si="137"/>
        <v/>
      </c>
    </row>
    <row r="1193" spans="1:33" x14ac:dyDescent="0.25">
      <c r="A1193" s="46" t="str">
        <f>IF(ISBLANK(inbound_data[[#This Row],[Receiving Report ref.'#]]),"",IF(inbound_data[[#This Row],[Ending Quantity]]=0,"ZERO","INV"))</f>
        <v/>
      </c>
      <c r="B1193" s="165" t="str">
        <f t="shared" si="131"/>
        <v/>
      </c>
      <c r="C1193" s="165" t="str">
        <f>IF(ISBLANK(D1193),"",inbound_data[[#This Row],[Pallet_Series]]&amp;inbound_data[[#This Row],[No.]])</f>
        <v/>
      </c>
      <c r="D1193" s="54"/>
      <c r="E1193" s="55"/>
      <c r="F1193" s="56"/>
      <c r="G1193" s="57"/>
      <c r="H1193" s="53"/>
      <c r="I1193" s="53"/>
      <c r="J1193" s="55"/>
      <c r="K1193" s="58"/>
      <c r="L1193" s="59"/>
      <c r="M1193" s="55"/>
      <c r="N1193" s="60"/>
      <c r="O1193" s="60"/>
      <c r="P1193" s="165" t="str">
        <f t="shared" ca="1" si="132"/>
        <v/>
      </c>
      <c r="Q1193" s="165" t="str">
        <f t="shared" ca="1" si="133"/>
        <v/>
      </c>
      <c r="R1193" s="79"/>
      <c r="S1193" s="80"/>
      <c r="T1193" s="61">
        <f t="shared" si="134"/>
        <v>0</v>
      </c>
      <c r="U1193" s="61">
        <f t="shared" si="135"/>
        <v>0</v>
      </c>
      <c r="V1193" s="61">
        <f t="shared" si="136"/>
        <v>0</v>
      </c>
      <c r="W1193" s="58"/>
      <c r="X1193" s="58"/>
      <c r="Y1193" s="53"/>
      <c r="Z1193" s="57"/>
      <c r="AA1193" s="164"/>
      <c r="AB1193" s="164"/>
      <c r="AC1193" s="164"/>
      <c r="AD1193" s="164"/>
      <c r="AE1193" s="164"/>
      <c r="AF1193" s="63"/>
      <c r="AG1193" s="64" t="str">
        <f t="shared" si="137"/>
        <v/>
      </c>
    </row>
    <row r="1194" spans="1:33" x14ac:dyDescent="0.25">
      <c r="A1194" s="46" t="str">
        <f>IF(ISBLANK(inbound_data[[#This Row],[Receiving Report ref.'#]]),"",IF(inbound_data[[#This Row],[Ending Quantity]]=0,"ZERO","INV"))</f>
        <v/>
      </c>
      <c r="B1194" s="165" t="str">
        <f t="shared" si="131"/>
        <v/>
      </c>
      <c r="C1194" s="165" t="str">
        <f>IF(ISBLANK(D1194),"",inbound_data[[#This Row],[Pallet_Series]]&amp;inbound_data[[#This Row],[No.]])</f>
        <v/>
      </c>
      <c r="D1194" s="54"/>
      <c r="E1194" s="55"/>
      <c r="F1194" s="56"/>
      <c r="G1194" s="57"/>
      <c r="H1194" s="53"/>
      <c r="I1194" s="53"/>
      <c r="J1194" s="55"/>
      <c r="K1194" s="58"/>
      <c r="L1194" s="59"/>
      <c r="M1194" s="55"/>
      <c r="N1194" s="60"/>
      <c r="O1194" s="60"/>
      <c r="P1194" s="165" t="str">
        <f t="shared" ca="1" si="132"/>
        <v/>
      </c>
      <c r="Q1194" s="165" t="str">
        <f t="shared" ca="1" si="133"/>
        <v/>
      </c>
      <c r="R1194" s="79"/>
      <c r="S1194" s="80"/>
      <c r="T1194" s="61">
        <f t="shared" si="134"/>
        <v>0</v>
      </c>
      <c r="U1194" s="61">
        <f t="shared" si="135"/>
        <v>0</v>
      </c>
      <c r="V1194" s="61">
        <f t="shared" si="136"/>
        <v>0</v>
      </c>
      <c r="W1194" s="58"/>
      <c r="X1194" s="58"/>
      <c r="Y1194" s="53"/>
      <c r="Z1194" s="57"/>
      <c r="AA1194" s="164"/>
      <c r="AB1194" s="164"/>
      <c r="AC1194" s="164"/>
      <c r="AD1194" s="164"/>
      <c r="AE1194" s="164"/>
      <c r="AF1194" s="63"/>
      <c r="AG1194" s="64" t="str">
        <f t="shared" si="137"/>
        <v/>
      </c>
    </row>
    <row r="1195" spans="1:33" x14ac:dyDescent="0.25">
      <c r="A1195" s="46" t="str">
        <f>IF(ISBLANK(inbound_data[[#This Row],[Receiving Report ref.'#]]),"",IF(inbound_data[[#This Row],[Ending Quantity]]=0,"ZERO","INV"))</f>
        <v/>
      </c>
      <c r="B1195" s="165" t="str">
        <f t="shared" si="131"/>
        <v/>
      </c>
      <c r="C1195" s="165" t="str">
        <f>IF(ISBLANK(D1195),"",inbound_data[[#This Row],[Pallet_Series]]&amp;inbound_data[[#This Row],[No.]])</f>
        <v/>
      </c>
      <c r="D1195" s="54"/>
      <c r="E1195" s="55"/>
      <c r="F1195" s="56"/>
      <c r="G1195" s="57"/>
      <c r="H1195" s="53"/>
      <c r="I1195" s="53"/>
      <c r="J1195" s="55"/>
      <c r="K1195" s="58"/>
      <c r="L1195" s="59"/>
      <c r="M1195" s="55"/>
      <c r="N1195" s="60"/>
      <c r="O1195" s="60"/>
      <c r="P1195" s="165" t="str">
        <f t="shared" ca="1" si="132"/>
        <v/>
      </c>
      <c r="Q1195" s="165" t="str">
        <f t="shared" ca="1" si="133"/>
        <v/>
      </c>
      <c r="R1195" s="79"/>
      <c r="S1195" s="80"/>
      <c r="T1195" s="61">
        <f t="shared" si="134"/>
        <v>0</v>
      </c>
      <c r="U1195" s="61">
        <f t="shared" si="135"/>
        <v>0</v>
      </c>
      <c r="V1195" s="61">
        <f t="shared" si="136"/>
        <v>0</v>
      </c>
      <c r="W1195" s="58"/>
      <c r="X1195" s="58"/>
      <c r="Y1195" s="53"/>
      <c r="Z1195" s="57"/>
      <c r="AA1195" s="164"/>
      <c r="AB1195" s="164"/>
      <c r="AC1195" s="164"/>
      <c r="AD1195" s="164"/>
      <c r="AE1195" s="164"/>
      <c r="AF1195" s="63"/>
      <c r="AG1195" s="64" t="str">
        <f t="shared" si="137"/>
        <v/>
      </c>
    </row>
    <row r="1196" spans="1:33" x14ac:dyDescent="0.25">
      <c r="A1196" s="46" t="str">
        <f>IF(ISBLANK(inbound_data[[#This Row],[Receiving Report ref.'#]]),"",IF(inbound_data[[#This Row],[Ending Quantity]]=0,"ZERO","INV"))</f>
        <v/>
      </c>
      <c r="B1196" s="165" t="str">
        <f t="shared" si="131"/>
        <v/>
      </c>
      <c r="C1196" s="165" t="str">
        <f>IF(ISBLANK(D1196),"",inbound_data[[#This Row],[Pallet_Series]]&amp;inbound_data[[#This Row],[No.]])</f>
        <v/>
      </c>
      <c r="D1196" s="54"/>
      <c r="E1196" s="55"/>
      <c r="F1196" s="56"/>
      <c r="G1196" s="57"/>
      <c r="H1196" s="53"/>
      <c r="I1196" s="53"/>
      <c r="J1196" s="55"/>
      <c r="K1196" s="58"/>
      <c r="L1196" s="59"/>
      <c r="M1196" s="55"/>
      <c r="N1196" s="60"/>
      <c r="O1196" s="60"/>
      <c r="P1196" s="165" t="str">
        <f t="shared" ca="1" si="132"/>
        <v/>
      </c>
      <c r="Q1196" s="165" t="str">
        <f t="shared" ca="1" si="133"/>
        <v/>
      </c>
      <c r="R1196" s="79"/>
      <c r="S1196" s="80"/>
      <c r="T1196" s="61">
        <f t="shared" si="134"/>
        <v>0</v>
      </c>
      <c r="U1196" s="61">
        <f t="shared" si="135"/>
        <v>0</v>
      </c>
      <c r="V1196" s="61">
        <f t="shared" si="136"/>
        <v>0</v>
      </c>
      <c r="W1196" s="58"/>
      <c r="X1196" s="58"/>
      <c r="Y1196" s="53"/>
      <c r="Z1196" s="57"/>
      <c r="AA1196" s="164"/>
      <c r="AB1196" s="164"/>
      <c r="AC1196" s="164"/>
      <c r="AD1196" s="164"/>
      <c r="AE1196" s="164"/>
      <c r="AF1196" s="63"/>
      <c r="AG1196" s="64" t="str">
        <f t="shared" si="137"/>
        <v/>
      </c>
    </row>
    <row r="1197" spans="1:33" x14ac:dyDescent="0.25">
      <c r="A1197" s="46" t="str">
        <f>IF(ISBLANK(inbound_data[[#This Row],[Receiving Report ref.'#]]),"",IF(inbound_data[[#This Row],[Ending Quantity]]=0,"ZERO","INV"))</f>
        <v/>
      </c>
      <c r="B1197" s="165" t="str">
        <f t="shared" si="131"/>
        <v/>
      </c>
      <c r="C1197" s="165" t="str">
        <f>IF(ISBLANK(D1197),"",inbound_data[[#This Row],[Pallet_Series]]&amp;inbound_data[[#This Row],[No.]])</f>
        <v/>
      </c>
      <c r="D1197" s="54"/>
      <c r="E1197" s="55"/>
      <c r="F1197" s="56"/>
      <c r="G1197" s="57"/>
      <c r="H1197" s="53"/>
      <c r="I1197" s="53"/>
      <c r="J1197" s="55"/>
      <c r="K1197" s="58"/>
      <c r="L1197" s="59"/>
      <c r="M1197" s="55"/>
      <c r="N1197" s="60"/>
      <c r="O1197" s="60"/>
      <c r="P1197" s="165" t="str">
        <f t="shared" ca="1" si="132"/>
        <v/>
      </c>
      <c r="Q1197" s="165" t="str">
        <f t="shared" ca="1" si="133"/>
        <v/>
      </c>
      <c r="R1197" s="79"/>
      <c r="S1197" s="80"/>
      <c r="T1197" s="61">
        <f t="shared" si="134"/>
        <v>0</v>
      </c>
      <c r="U1197" s="61">
        <f t="shared" si="135"/>
        <v>0</v>
      </c>
      <c r="V1197" s="61">
        <f t="shared" si="136"/>
        <v>0</v>
      </c>
      <c r="W1197" s="58"/>
      <c r="X1197" s="58"/>
      <c r="Y1197" s="53"/>
      <c r="Z1197" s="57"/>
      <c r="AA1197" s="164"/>
      <c r="AB1197" s="164"/>
      <c r="AC1197" s="164"/>
      <c r="AD1197" s="164"/>
      <c r="AE1197" s="164"/>
      <c r="AF1197" s="63"/>
      <c r="AG1197" s="64" t="str">
        <f t="shared" si="137"/>
        <v/>
      </c>
    </row>
    <row r="1198" spans="1:33" x14ac:dyDescent="0.25">
      <c r="A1198" s="46" t="str">
        <f>IF(ISBLANK(inbound_data[[#This Row],[Receiving Report ref.'#]]),"",IF(inbound_data[[#This Row],[Ending Quantity]]=0,"ZERO","INV"))</f>
        <v/>
      </c>
      <c r="B1198" s="165" t="str">
        <f t="shared" si="131"/>
        <v/>
      </c>
      <c r="C1198" s="165" t="str">
        <f>IF(ISBLANK(D1198),"",inbound_data[[#This Row],[Pallet_Series]]&amp;inbound_data[[#This Row],[No.]])</f>
        <v/>
      </c>
      <c r="D1198" s="54"/>
      <c r="E1198" s="55"/>
      <c r="F1198" s="56"/>
      <c r="G1198" s="57"/>
      <c r="H1198" s="53"/>
      <c r="I1198" s="53"/>
      <c r="J1198" s="55"/>
      <c r="K1198" s="58"/>
      <c r="L1198" s="59"/>
      <c r="M1198" s="55"/>
      <c r="N1198" s="60"/>
      <c r="O1198" s="60"/>
      <c r="P1198" s="165" t="str">
        <f t="shared" ca="1" si="132"/>
        <v/>
      </c>
      <c r="Q1198" s="165" t="str">
        <f t="shared" ca="1" si="133"/>
        <v/>
      </c>
      <c r="R1198" s="79"/>
      <c r="S1198" s="80"/>
      <c r="T1198" s="61">
        <f t="shared" si="134"/>
        <v>0</v>
      </c>
      <c r="U1198" s="61">
        <f t="shared" si="135"/>
        <v>0</v>
      </c>
      <c r="V1198" s="61">
        <f t="shared" si="136"/>
        <v>0</v>
      </c>
      <c r="W1198" s="58"/>
      <c r="X1198" s="58"/>
      <c r="Y1198" s="53"/>
      <c r="Z1198" s="57"/>
      <c r="AA1198" s="164"/>
      <c r="AB1198" s="164"/>
      <c r="AC1198" s="164"/>
      <c r="AD1198" s="164"/>
      <c r="AE1198" s="164"/>
      <c r="AF1198" s="63"/>
      <c r="AG1198" s="64" t="str">
        <f t="shared" si="137"/>
        <v/>
      </c>
    </row>
    <row r="1199" spans="1:33" x14ac:dyDescent="0.25">
      <c r="A1199" s="46" t="str">
        <f>IF(ISBLANK(inbound_data[[#This Row],[Receiving Report ref.'#]]),"",IF(inbound_data[[#This Row],[Ending Quantity]]=0,"ZERO","INV"))</f>
        <v/>
      </c>
      <c r="B1199" s="165" t="str">
        <f t="shared" si="131"/>
        <v/>
      </c>
      <c r="C1199" s="165" t="str">
        <f>IF(ISBLANK(D1199),"",inbound_data[[#This Row],[Pallet_Series]]&amp;inbound_data[[#This Row],[No.]])</f>
        <v/>
      </c>
      <c r="D1199" s="54"/>
      <c r="E1199" s="55"/>
      <c r="F1199" s="56"/>
      <c r="G1199" s="57"/>
      <c r="H1199" s="53"/>
      <c r="I1199" s="53"/>
      <c r="J1199" s="55"/>
      <c r="K1199" s="58"/>
      <c r="L1199" s="59"/>
      <c r="M1199" s="55"/>
      <c r="N1199" s="60"/>
      <c r="O1199" s="60"/>
      <c r="P1199" s="165" t="str">
        <f t="shared" ca="1" si="132"/>
        <v/>
      </c>
      <c r="Q1199" s="165" t="str">
        <f t="shared" ca="1" si="133"/>
        <v/>
      </c>
      <c r="R1199" s="79"/>
      <c r="S1199" s="80"/>
      <c r="T1199" s="61">
        <f t="shared" si="134"/>
        <v>0</v>
      </c>
      <c r="U1199" s="61">
        <f t="shared" si="135"/>
        <v>0</v>
      </c>
      <c r="V1199" s="61">
        <f t="shared" si="136"/>
        <v>0</v>
      </c>
      <c r="W1199" s="58"/>
      <c r="X1199" s="58"/>
      <c r="Y1199" s="53"/>
      <c r="Z1199" s="57"/>
      <c r="AA1199" s="164"/>
      <c r="AB1199" s="164"/>
      <c r="AC1199" s="164"/>
      <c r="AD1199" s="164"/>
      <c r="AE1199" s="164"/>
      <c r="AF1199" s="63"/>
      <c r="AG1199" s="64" t="str">
        <f t="shared" si="137"/>
        <v/>
      </c>
    </row>
    <row r="1200" spans="1:33" x14ac:dyDescent="0.25">
      <c r="A1200" s="46" t="str">
        <f>IF(ISBLANK(inbound_data[[#This Row],[Receiving Report ref.'#]]),"",IF(inbound_data[[#This Row],[Ending Quantity]]=0,"ZERO","INV"))</f>
        <v/>
      </c>
      <c r="B1200" s="165" t="str">
        <f t="shared" si="131"/>
        <v/>
      </c>
      <c r="C1200" s="165" t="str">
        <f>IF(ISBLANK(D1200),"",inbound_data[[#This Row],[Pallet_Series]]&amp;inbound_data[[#This Row],[No.]])</f>
        <v/>
      </c>
      <c r="D1200" s="54"/>
      <c r="E1200" s="55"/>
      <c r="F1200" s="56"/>
      <c r="G1200" s="57"/>
      <c r="H1200" s="53"/>
      <c r="I1200" s="53"/>
      <c r="J1200" s="55"/>
      <c r="K1200" s="58"/>
      <c r="L1200" s="59"/>
      <c r="M1200" s="55"/>
      <c r="N1200" s="60"/>
      <c r="O1200" s="60"/>
      <c r="P1200" s="165" t="str">
        <f t="shared" ca="1" si="132"/>
        <v/>
      </c>
      <c r="Q1200" s="165" t="str">
        <f t="shared" ca="1" si="133"/>
        <v/>
      </c>
      <c r="R1200" s="79"/>
      <c r="S1200" s="80"/>
      <c r="T1200" s="61">
        <f t="shared" si="134"/>
        <v>0</v>
      </c>
      <c r="U1200" s="61">
        <f t="shared" si="135"/>
        <v>0</v>
      </c>
      <c r="V1200" s="61">
        <f t="shared" si="136"/>
        <v>0</v>
      </c>
      <c r="W1200" s="58"/>
      <c r="X1200" s="58"/>
      <c r="Y1200" s="53"/>
      <c r="Z1200" s="57"/>
      <c r="AA1200" s="164"/>
      <c r="AB1200" s="164"/>
      <c r="AC1200" s="164"/>
      <c r="AD1200" s="164"/>
      <c r="AE1200" s="164"/>
      <c r="AF1200" s="63"/>
      <c r="AG1200" s="64" t="str">
        <f t="shared" si="137"/>
        <v/>
      </c>
    </row>
    <row r="1201" spans="1:33" x14ac:dyDescent="0.25">
      <c r="A1201" s="46" t="str">
        <f>IF(ISBLANK(inbound_data[[#This Row],[Receiving Report ref.'#]]),"",IF(inbound_data[[#This Row],[Ending Quantity]]=0,"ZERO","INV"))</f>
        <v/>
      </c>
      <c r="B1201" s="165" t="str">
        <f t="shared" si="131"/>
        <v/>
      </c>
      <c r="C1201" s="165" t="str">
        <f>IF(ISBLANK(D1201),"",inbound_data[[#This Row],[Pallet_Series]]&amp;inbound_data[[#This Row],[No.]])</f>
        <v/>
      </c>
      <c r="D1201" s="54"/>
      <c r="E1201" s="55"/>
      <c r="F1201" s="56"/>
      <c r="G1201" s="57"/>
      <c r="H1201" s="53"/>
      <c r="I1201" s="53"/>
      <c r="J1201" s="55"/>
      <c r="K1201" s="58"/>
      <c r="L1201" s="59"/>
      <c r="M1201" s="55"/>
      <c r="N1201" s="60"/>
      <c r="O1201" s="60"/>
      <c r="P1201" s="165" t="str">
        <f t="shared" ca="1" si="132"/>
        <v/>
      </c>
      <c r="Q1201" s="165" t="str">
        <f t="shared" ca="1" si="133"/>
        <v/>
      </c>
      <c r="R1201" s="79"/>
      <c r="S1201" s="80"/>
      <c r="T1201" s="61">
        <f t="shared" si="134"/>
        <v>0</v>
      </c>
      <c r="U1201" s="61">
        <f t="shared" si="135"/>
        <v>0</v>
      </c>
      <c r="V1201" s="61">
        <f t="shared" si="136"/>
        <v>0</v>
      </c>
      <c r="W1201" s="58"/>
      <c r="X1201" s="58"/>
      <c r="Y1201" s="53"/>
      <c r="Z1201" s="57"/>
      <c r="AA1201" s="164"/>
      <c r="AB1201" s="164"/>
      <c r="AC1201" s="164"/>
      <c r="AD1201" s="164"/>
      <c r="AE1201" s="164"/>
      <c r="AF1201" s="63"/>
      <c r="AG1201" s="64" t="str">
        <f t="shared" si="137"/>
        <v/>
      </c>
    </row>
    <row r="1202" spans="1:33" x14ac:dyDescent="0.25">
      <c r="A1202" s="46" t="str">
        <f>IF(ISBLANK(inbound_data[[#This Row],[Receiving Report ref.'#]]),"",IF(inbound_data[[#This Row],[Ending Quantity]]=0,"ZERO","INV"))</f>
        <v/>
      </c>
      <c r="B1202" s="165" t="str">
        <f t="shared" si="131"/>
        <v/>
      </c>
      <c r="C1202" s="165" t="str">
        <f>IF(ISBLANK(D1202),"",inbound_data[[#This Row],[Pallet_Series]]&amp;inbound_data[[#This Row],[No.]])</f>
        <v/>
      </c>
      <c r="D1202" s="54"/>
      <c r="E1202" s="55"/>
      <c r="F1202" s="56"/>
      <c r="G1202" s="57"/>
      <c r="H1202" s="53"/>
      <c r="I1202" s="53"/>
      <c r="J1202" s="55"/>
      <c r="K1202" s="58"/>
      <c r="L1202" s="59"/>
      <c r="M1202" s="55"/>
      <c r="N1202" s="60"/>
      <c r="O1202" s="60"/>
      <c r="P1202" s="165" t="str">
        <f t="shared" ca="1" si="132"/>
        <v/>
      </c>
      <c r="Q1202" s="165" t="str">
        <f t="shared" ca="1" si="133"/>
        <v/>
      </c>
      <c r="R1202" s="79"/>
      <c r="S1202" s="80"/>
      <c r="T1202" s="61">
        <f t="shared" si="134"/>
        <v>0</v>
      </c>
      <c r="U1202" s="61">
        <f t="shared" si="135"/>
        <v>0</v>
      </c>
      <c r="V1202" s="61">
        <f t="shared" si="136"/>
        <v>0</v>
      </c>
      <c r="W1202" s="58"/>
      <c r="X1202" s="58"/>
      <c r="Y1202" s="53"/>
      <c r="Z1202" s="57"/>
      <c r="AA1202" s="164"/>
      <c r="AB1202" s="164"/>
      <c r="AC1202" s="164"/>
      <c r="AD1202" s="164"/>
      <c r="AE1202" s="164"/>
      <c r="AF1202" s="63"/>
      <c r="AG1202" s="64" t="str">
        <f t="shared" si="137"/>
        <v/>
      </c>
    </row>
    <row r="1203" spans="1:33" x14ac:dyDescent="0.25">
      <c r="A1203" s="46" t="str">
        <f>IF(ISBLANK(inbound_data[[#This Row],[Receiving Report ref.'#]]),"",IF(inbound_data[[#This Row],[Ending Quantity]]=0,"ZERO","INV"))</f>
        <v/>
      </c>
      <c r="B1203" s="165" t="str">
        <f t="shared" si="131"/>
        <v/>
      </c>
      <c r="C1203" s="165" t="str">
        <f>IF(ISBLANK(D1203),"",inbound_data[[#This Row],[Pallet_Series]]&amp;inbound_data[[#This Row],[No.]])</f>
        <v/>
      </c>
      <c r="D1203" s="54"/>
      <c r="E1203" s="55"/>
      <c r="F1203" s="56"/>
      <c r="G1203" s="57"/>
      <c r="H1203" s="53"/>
      <c r="I1203" s="53"/>
      <c r="J1203" s="55"/>
      <c r="K1203" s="58"/>
      <c r="L1203" s="59"/>
      <c r="M1203" s="55"/>
      <c r="N1203" s="60"/>
      <c r="O1203" s="60"/>
      <c r="P1203" s="165" t="str">
        <f t="shared" ca="1" si="132"/>
        <v/>
      </c>
      <c r="Q1203" s="165" t="str">
        <f t="shared" ca="1" si="133"/>
        <v/>
      </c>
      <c r="R1203" s="79"/>
      <c r="S1203" s="80"/>
      <c r="T1203" s="61">
        <f t="shared" si="134"/>
        <v>0</v>
      </c>
      <c r="U1203" s="61">
        <f t="shared" si="135"/>
        <v>0</v>
      </c>
      <c r="V1203" s="61">
        <f t="shared" si="136"/>
        <v>0</v>
      </c>
      <c r="W1203" s="58"/>
      <c r="X1203" s="58"/>
      <c r="Y1203" s="53"/>
      <c r="Z1203" s="57"/>
      <c r="AA1203" s="164"/>
      <c r="AB1203" s="164"/>
      <c r="AC1203" s="164"/>
      <c r="AD1203" s="164"/>
      <c r="AE1203" s="164"/>
      <c r="AF1203" s="63"/>
      <c r="AG1203" s="64" t="str">
        <f t="shared" si="137"/>
        <v/>
      </c>
    </row>
    <row r="1204" spans="1:33" x14ac:dyDescent="0.25">
      <c r="A1204" s="46" t="str">
        <f>IF(ISBLANK(inbound_data[[#This Row],[Receiving Report ref.'#]]),"",IF(inbound_data[[#This Row],[Ending Quantity]]=0,"ZERO","INV"))</f>
        <v/>
      </c>
      <c r="B1204" s="165" t="str">
        <f t="shared" si="131"/>
        <v/>
      </c>
      <c r="C1204" s="165" t="str">
        <f>IF(ISBLANK(D1204),"",inbound_data[[#This Row],[Pallet_Series]]&amp;inbound_data[[#This Row],[No.]])</f>
        <v/>
      </c>
      <c r="D1204" s="54"/>
      <c r="E1204" s="55"/>
      <c r="F1204" s="56"/>
      <c r="G1204" s="57"/>
      <c r="H1204" s="53"/>
      <c r="I1204" s="53"/>
      <c r="J1204" s="55"/>
      <c r="K1204" s="58"/>
      <c r="L1204" s="59"/>
      <c r="M1204" s="55"/>
      <c r="N1204" s="60"/>
      <c r="O1204" s="60"/>
      <c r="P1204" s="165" t="str">
        <f t="shared" ca="1" si="132"/>
        <v/>
      </c>
      <c r="Q1204" s="165" t="str">
        <f t="shared" ca="1" si="133"/>
        <v/>
      </c>
      <c r="R1204" s="79"/>
      <c r="S1204" s="80"/>
      <c r="T1204" s="61">
        <f t="shared" si="134"/>
        <v>0</v>
      </c>
      <c r="U1204" s="61">
        <f t="shared" si="135"/>
        <v>0</v>
      </c>
      <c r="V1204" s="61">
        <f t="shared" si="136"/>
        <v>0</v>
      </c>
      <c r="W1204" s="58"/>
      <c r="X1204" s="58"/>
      <c r="Y1204" s="53"/>
      <c r="Z1204" s="57"/>
      <c r="AA1204" s="164"/>
      <c r="AB1204" s="164"/>
      <c r="AC1204" s="164"/>
      <c r="AD1204" s="164"/>
      <c r="AE1204" s="164"/>
      <c r="AF1204" s="63"/>
      <c r="AG1204" s="64" t="str">
        <f t="shared" si="137"/>
        <v/>
      </c>
    </row>
    <row r="1205" spans="1:33" x14ac:dyDescent="0.25">
      <c r="A1205" s="46" t="str">
        <f>IF(ISBLANK(inbound_data[[#This Row],[Receiving Report ref.'#]]),"",IF(inbound_data[[#This Row],[Ending Quantity]]=0,"ZERO","INV"))</f>
        <v/>
      </c>
      <c r="B1205" s="165" t="str">
        <f t="shared" si="131"/>
        <v/>
      </c>
      <c r="C1205" s="165" t="str">
        <f>IF(ISBLANK(D1205),"",inbound_data[[#This Row],[Pallet_Series]]&amp;inbound_data[[#This Row],[No.]])</f>
        <v/>
      </c>
      <c r="D1205" s="54"/>
      <c r="E1205" s="55"/>
      <c r="F1205" s="56"/>
      <c r="G1205" s="57"/>
      <c r="H1205" s="53"/>
      <c r="I1205" s="53"/>
      <c r="J1205" s="55"/>
      <c r="K1205" s="58"/>
      <c r="L1205" s="59"/>
      <c r="M1205" s="55"/>
      <c r="N1205" s="60"/>
      <c r="O1205" s="60"/>
      <c r="P1205" s="165" t="str">
        <f t="shared" ca="1" si="132"/>
        <v/>
      </c>
      <c r="Q1205" s="165" t="str">
        <f t="shared" ca="1" si="133"/>
        <v/>
      </c>
      <c r="R1205" s="79"/>
      <c r="S1205" s="80"/>
      <c r="T1205" s="61">
        <f t="shared" si="134"/>
        <v>0</v>
      </c>
      <c r="U1205" s="61">
        <f t="shared" si="135"/>
        <v>0</v>
      </c>
      <c r="V1205" s="61">
        <f t="shared" si="136"/>
        <v>0</v>
      </c>
      <c r="W1205" s="58"/>
      <c r="X1205" s="58"/>
      <c r="Y1205" s="53"/>
      <c r="Z1205" s="57"/>
      <c r="AA1205" s="164"/>
      <c r="AB1205" s="164"/>
      <c r="AC1205" s="164"/>
      <c r="AD1205" s="164"/>
      <c r="AE1205" s="164"/>
      <c r="AF1205" s="63"/>
      <c r="AG1205" s="64" t="str">
        <f t="shared" si="137"/>
        <v/>
      </c>
    </row>
    <row r="1206" spans="1:33" x14ac:dyDescent="0.25">
      <c r="A1206" s="46" t="str">
        <f>IF(ISBLANK(inbound_data[[#This Row],[Receiving Report ref.'#]]),"",IF(inbound_data[[#This Row],[Ending Quantity]]=0,"ZERO","INV"))</f>
        <v/>
      </c>
      <c r="B1206" s="165" t="str">
        <f t="shared" si="131"/>
        <v/>
      </c>
      <c r="C1206" s="165" t="str">
        <f>IF(ISBLANK(D1206),"",inbound_data[[#This Row],[Pallet_Series]]&amp;inbound_data[[#This Row],[No.]])</f>
        <v/>
      </c>
      <c r="D1206" s="54"/>
      <c r="E1206" s="55"/>
      <c r="F1206" s="56"/>
      <c r="G1206" s="57"/>
      <c r="H1206" s="53"/>
      <c r="I1206" s="53"/>
      <c r="J1206" s="55"/>
      <c r="K1206" s="58"/>
      <c r="L1206" s="59"/>
      <c r="M1206" s="55"/>
      <c r="N1206" s="60"/>
      <c r="O1206" s="60"/>
      <c r="P1206" s="165" t="str">
        <f t="shared" ca="1" si="132"/>
        <v/>
      </c>
      <c r="Q1206" s="165" t="str">
        <f t="shared" ca="1" si="133"/>
        <v/>
      </c>
      <c r="R1206" s="79"/>
      <c r="S1206" s="80"/>
      <c r="T1206" s="61">
        <f t="shared" si="134"/>
        <v>0</v>
      </c>
      <c r="U1206" s="61">
        <f t="shared" si="135"/>
        <v>0</v>
      </c>
      <c r="V1206" s="61">
        <f t="shared" si="136"/>
        <v>0</v>
      </c>
      <c r="W1206" s="58"/>
      <c r="X1206" s="58"/>
      <c r="Y1206" s="53"/>
      <c r="Z1206" s="57"/>
      <c r="AA1206" s="164"/>
      <c r="AB1206" s="164"/>
      <c r="AC1206" s="164"/>
      <c r="AD1206" s="164"/>
      <c r="AE1206" s="164"/>
      <c r="AF1206" s="63"/>
      <c r="AG1206" s="64" t="str">
        <f t="shared" si="137"/>
        <v/>
      </c>
    </row>
    <row r="1207" spans="1:33" x14ac:dyDescent="0.25">
      <c r="A1207" s="46" t="str">
        <f>IF(ISBLANK(inbound_data[[#This Row],[Receiving Report ref.'#]]),"",IF(inbound_data[[#This Row],[Ending Quantity]]=0,"ZERO","INV"))</f>
        <v/>
      </c>
      <c r="B1207" s="165" t="str">
        <f t="shared" si="131"/>
        <v/>
      </c>
      <c r="C1207" s="165" t="str">
        <f>IF(ISBLANK(D1207),"",inbound_data[[#This Row],[Pallet_Series]]&amp;inbound_data[[#This Row],[No.]])</f>
        <v/>
      </c>
      <c r="D1207" s="54"/>
      <c r="E1207" s="55"/>
      <c r="F1207" s="56"/>
      <c r="G1207" s="57"/>
      <c r="H1207" s="53"/>
      <c r="I1207" s="53"/>
      <c r="J1207" s="55"/>
      <c r="K1207" s="58"/>
      <c r="L1207" s="59"/>
      <c r="M1207" s="55"/>
      <c r="N1207" s="60"/>
      <c r="O1207" s="60"/>
      <c r="P1207" s="165" t="str">
        <f t="shared" ca="1" si="132"/>
        <v/>
      </c>
      <c r="Q1207" s="165" t="str">
        <f t="shared" ca="1" si="133"/>
        <v/>
      </c>
      <c r="R1207" s="79"/>
      <c r="S1207" s="80"/>
      <c r="T1207" s="61">
        <f t="shared" si="134"/>
        <v>0</v>
      </c>
      <c r="U1207" s="61">
        <f t="shared" si="135"/>
        <v>0</v>
      </c>
      <c r="V1207" s="61">
        <f t="shared" si="136"/>
        <v>0</v>
      </c>
      <c r="W1207" s="58"/>
      <c r="X1207" s="58"/>
      <c r="Y1207" s="53"/>
      <c r="Z1207" s="57"/>
      <c r="AA1207" s="164"/>
      <c r="AB1207" s="164"/>
      <c r="AC1207" s="164"/>
      <c r="AD1207" s="164"/>
      <c r="AE1207" s="164"/>
      <c r="AF1207" s="63"/>
      <c r="AG1207" s="64" t="str">
        <f t="shared" si="137"/>
        <v/>
      </c>
    </row>
    <row r="1208" spans="1:33" x14ac:dyDescent="0.25">
      <c r="A1208" s="46" t="str">
        <f>IF(ISBLANK(inbound_data[[#This Row],[Receiving Report ref.'#]]),"",IF(inbound_data[[#This Row],[Ending Quantity]]=0,"ZERO","INV"))</f>
        <v/>
      </c>
      <c r="B1208" s="165" t="str">
        <f t="shared" si="131"/>
        <v/>
      </c>
      <c r="C1208" s="165" t="str">
        <f>IF(ISBLANK(D1208),"",inbound_data[[#This Row],[Pallet_Series]]&amp;inbound_data[[#This Row],[No.]])</f>
        <v/>
      </c>
      <c r="D1208" s="54"/>
      <c r="E1208" s="55"/>
      <c r="F1208" s="56"/>
      <c r="G1208" s="57"/>
      <c r="H1208" s="53"/>
      <c r="I1208" s="53"/>
      <c r="J1208" s="55"/>
      <c r="K1208" s="58"/>
      <c r="L1208" s="59"/>
      <c r="M1208" s="55"/>
      <c r="N1208" s="60"/>
      <c r="O1208" s="60"/>
      <c r="P1208" s="165" t="str">
        <f t="shared" ca="1" si="132"/>
        <v/>
      </c>
      <c r="Q1208" s="165" t="str">
        <f t="shared" ca="1" si="133"/>
        <v/>
      </c>
      <c r="R1208" s="79"/>
      <c r="S1208" s="80"/>
      <c r="T1208" s="61">
        <f t="shared" si="134"/>
        <v>0</v>
      </c>
      <c r="U1208" s="61">
        <f t="shared" si="135"/>
        <v>0</v>
      </c>
      <c r="V1208" s="61">
        <f t="shared" si="136"/>
        <v>0</v>
      </c>
      <c r="W1208" s="58"/>
      <c r="X1208" s="58"/>
      <c r="Y1208" s="53"/>
      <c r="Z1208" s="57"/>
      <c r="AA1208" s="164"/>
      <c r="AB1208" s="164"/>
      <c r="AC1208" s="164"/>
      <c r="AD1208" s="164"/>
      <c r="AE1208" s="164"/>
      <c r="AF1208" s="63"/>
      <c r="AG1208" s="64" t="str">
        <f t="shared" si="137"/>
        <v/>
      </c>
    </row>
    <row r="1209" spans="1:33" x14ac:dyDescent="0.25">
      <c r="A1209" s="46" t="str">
        <f>IF(ISBLANK(inbound_data[[#This Row],[Receiving Report ref.'#]]),"",IF(inbound_data[[#This Row],[Ending Quantity]]=0,"ZERO","INV"))</f>
        <v/>
      </c>
      <c r="B1209" s="165" t="str">
        <f t="shared" si="131"/>
        <v/>
      </c>
      <c r="C1209" s="165" t="str">
        <f>IF(ISBLANK(D1209),"",inbound_data[[#This Row],[Pallet_Series]]&amp;inbound_data[[#This Row],[No.]])</f>
        <v/>
      </c>
      <c r="D1209" s="54"/>
      <c r="E1209" s="55"/>
      <c r="F1209" s="56"/>
      <c r="G1209" s="57"/>
      <c r="H1209" s="53"/>
      <c r="I1209" s="53"/>
      <c r="J1209" s="55"/>
      <c r="K1209" s="58"/>
      <c r="L1209" s="59"/>
      <c r="M1209" s="55"/>
      <c r="N1209" s="60"/>
      <c r="O1209" s="60"/>
      <c r="P1209" s="165" t="str">
        <f t="shared" ca="1" si="132"/>
        <v/>
      </c>
      <c r="Q1209" s="165" t="str">
        <f t="shared" ca="1" si="133"/>
        <v/>
      </c>
      <c r="R1209" s="79"/>
      <c r="S1209" s="80"/>
      <c r="T1209" s="61">
        <f t="shared" si="134"/>
        <v>0</v>
      </c>
      <c r="U1209" s="61">
        <f t="shared" si="135"/>
        <v>0</v>
      </c>
      <c r="V1209" s="61">
        <f t="shared" si="136"/>
        <v>0</v>
      </c>
      <c r="W1209" s="58"/>
      <c r="X1209" s="58"/>
      <c r="Y1209" s="53"/>
      <c r="Z1209" s="57"/>
      <c r="AA1209" s="164"/>
      <c r="AB1209" s="164"/>
      <c r="AC1209" s="164"/>
      <c r="AD1209" s="164"/>
      <c r="AE1209" s="164"/>
      <c r="AF1209" s="63"/>
      <c r="AG1209" s="64" t="str">
        <f t="shared" si="137"/>
        <v/>
      </c>
    </row>
    <row r="1210" spans="1:33" x14ac:dyDescent="0.25">
      <c r="A1210" s="46" t="str">
        <f>IF(ISBLANK(inbound_data[[#This Row],[Receiving Report ref.'#]]),"",IF(inbound_data[[#This Row],[Ending Quantity]]=0,"ZERO","INV"))</f>
        <v/>
      </c>
      <c r="B1210" s="165" t="str">
        <f t="shared" si="131"/>
        <v/>
      </c>
      <c r="C1210" s="165" t="str">
        <f>IF(ISBLANK(D1210),"",inbound_data[[#This Row],[Pallet_Series]]&amp;inbound_data[[#This Row],[No.]])</f>
        <v/>
      </c>
      <c r="D1210" s="54"/>
      <c r="E1210" s="55"/>
      <c r="F1210" s="56"/>
      <c r="G1210" s="57"/>
      <c r="H1210" s="53"/>
      <c r="I1210" s="53"/>
      <c r="J1210" s="55"/>
      <c r="K1210" s="58"/>
      <c r="L1210" s="59"/>
      <c r="M1210" s="55"/>
      <c r="N1210" s="60"/>
      <c r="O1210" s="60"/>
      <c r="P1210" s="165" t="str">
        <f t="shared" ca="1" si="132"/>
        <v/>
      </c>
      <c r="Q1210" s="165" t="str">
        <f t="shared" ca="1" si="133"/>
        <v/>
      </c>
      <c r="R1210" s="79"/>
      <c r="S1210" s="80"/>
      <c r="T1210" s="61">
        <f t="shared" si="134"/>
        <v>0</v>
      </c>
      <c r="U1210" s="61">
        <f t="shared" si="135"/>
        <v>0</v>
      </c>
      <c r="V1210" s="61">
        <f t="shared" si="136"/>
        <v>0</v>
      </c>
      <c r="W1210" s="58"/>
      <c r="X1210" s="58"/>
      <c r="Y1210" s="53"/>
      <c r="Z1210" s="57"/>
      <c r="AA1210" s="164"/>
      <c r="AB1210" s="164"/>
      <c r="AC1210" s="164"/>
      <c r="AD1210" s="164"/>
      <c r="AE1210" s="164"/>
      <c r="AF1210" s="63"/>
      <c r="AG1210" s="64" t="str">
        <f t="shared" si="137"/>
        <v/>
      </c>
    </row>
    <row r="1211" spans="1:33" x14ac:dyDescent="0.25">
      <c r="A1211" s="46" t="str">
        <f>IF(ISBLANK(inbound_data[[#This Row],[Receiving Report ref.'#]]),"",IF(inbound_data[[#This Row],[Ending Quantity]]=0,"ZERO","INV"))</f>
        <v/>
      </c>
      <c r="B1211" s="165" t="str">
        <f t="shared" si="131"/>
        <v/>
      </c>
      <c r="C1211" s="165" t="str">
        <f>IF(ISBLANK(D1211),"",inbound_data[[#This Row],[Pallet_Series]]&amp;inbound_data[[#This Row],[No.]])</f>
        <v/>
      </c>
      <c r="D1211" s="54"/>
      <c r="E1211" s="55"/>
      <c r="F1211" s="56"/>
      <c r="G1211" s="57"/>
      <c r="H1211" s="53"/>
      <c r="I1211" s="53"/>
      <c r="J1211" s="55"/>
      <c r="K1211" s="58"/>
      <c r="L1211" s="59"/>
      <c r="M1211" s="55"/>
      <c r="N1211" s="60"/>
      <c r="O1211" s="60"/>
      <c r="P1211" s="165" t="str">
        <f t="shared" ca="1" si="132"/>
        <v/>
      </c>
      <c r="Q1211" s="165" t="str">
        <f t="shared" ca="1" si="133"/>
        <v/>
      </c>
      <c r="R1211" s="79"/>
      <c r="S1211" s="80"/>
      <c r="T1211" s="61">
        <f t="shared" si="134"/>
        <v>0</v>
      </c>
      <c r="U1211" s="61">
        <f t="shared" si="135"/>
        <v>0</v>
      </c>
      <c r="V1211" s="61">
        <f t="shared" si="136"/>
        <v>0</v>
      </c>
      <c r="W1211" s="58"/>
      <c r="X1211" s="58"/>
      <c r="Y1211" s="53"/>
      <c r="Z1211" s="57"/>
      <c r="AA1211" s="164"/>
      <c r="AB1211" s="164"/>
      <c r="AC1211" s="164"/>
      <c r="AD1211" s="164"/>
      <c r="AE1211" s="164"/>
      <c r="AF1211" s="63"/>
      <c r="AG1211" s="64" t="str">
        <f t="shared" si="137"/>
        <v/>
      </c>
    </row>
    <row r="1212" spans="1:33" x14ac:dyDescent="0.25">
      <c r="A1212" s="46" t="str">
        <f>IF(ISBLANK(inbound_data[[#This Row],[Receiving Report ref.'#]]),"",IF(inbound_data[[#This Row],[Ending Quantity]]=0,"ZERO","INV"))</f>
        <v/>
      </c>
      <c r="B1212" s="165" t="str">
        <f t="shared" si="131"/>
        <v/>
      </c>
      <c r="C1212" s="165" t="str">
        <f>IF(ISBLANK(D1212),"",inbound_data[[#This Row],[Pallet_Series]]&amp;inbound_data[[#This Row],[No.]])</f>
        <v/>
      </c>
      <c r="D1212" s="54"/>
      <c r="E1212" s="55"/>
      <c r="F1212" s="56"/>
      <c r="G1212" s="57"/>
      <c r="H1212" s="53"/>
      <c r="I1212" s="53"/>
      <c r="J1212" s="55"/>
      <c r="K1212" s="58"/>
      <c r="L1212" s="59"/>
      <c r="M1212" s="55"/>
      <c r="N1212" s="60"/>
      <c r="O1212" s="60"/>
      <c r="P1212" s="165" t="str">
        <f t="shared" ca="1" si="132"/>
        <v/>
      </c>
      <c r="Q1212" s="165" t="str">
        <f t="shared" ca="1" si="133"/>
        <v/>
      </c>
      <c r="R1212" s="79"/>
      <c r="S1212" s="80"/>
      <c r="T1212" s="61">
        <f t="shared" si="134"/>
        <v>0</v>
      </c>
      <c r="U1212" s="61">
        <f t="shared" si="135"/>
        <v>0</v>
      </c>
      <c r="V1212" s="61">
        <f t="shared" si="136"/>
        <v>0</v>
      </c>
      <c r="W1212" s="58"/>
      <c r="X1212" s="58"/>
      <c r="Y1212" s="53"/>
      <c r="Z1212" s="57"/>
      <c r="AA1212" s="164"/>
      <c r="AB1212" s="164"/>
      <c r="AC1212" s="164"/>
      <c r="AD1212" s="164"/>
      <c r="AE1212" s="164"/>
      <c r="AF1212" s="63"/>
      <c r="AG1212" s="64" t="str">
        <f t="shared" si="137"/>
        <v/>
      </c>
    </row>
    <row r="1213" spans="1:33" x14ac:dyDescent="0.25">
      <c r="A1213" s="46" t="str">
        <f>IF(ISBLANK(inbound_data[[#This Row],[Receiving Report ref.'#]]),"",IF(inbound_data[[#This Row],[Ending Quantity]]=0,"ZERO","INV"))</f>
        <v/>
      </c>
      <c r="B1213" s="165" t="str">
        <f t="shared" si="131"/>
        <v/>
      </c>
      <c r="C1213" s="165" t="str">
        <f>IF(ISBLANK(D1213),"",inbound_data[[#This Row],[Pallet_Series]]&amp;inbound_data[[#This Row],[No.]])</f>
        <v/>
      </c>
      <c r="D1213" s="54"/>
      <c r="E1213" s="55"/>
      <c r="F1213" s="56"/>
      <c r="G1213" s="57"/>
      <c r="H1213" s="53"/>
      <c r="I1213" s="53"/>
      <c r="J1213" s="55"/>
      <c r="K1213" s="58"/>
      <c r="L1213" s="59"/>
      <c r="M1213" s="55"/>
      <c r="N1213" s="60"/>
      <c r="O1213" s="60"/>
      <c r="P1213" s="165" t="str">
        <f t="shared" ca="1" si="132"/>
        <v/>
      </c>
      <c r="Q1213" s="165" t="str">
        <f t="shared" ca="1" si="133"/>
        <v/>
      </c>
      <c r="R1213" s="79"/>
      <c r="S1213" s="80"/>
      <c r="T1213" s="61">
        <f t="shared" si="134"/>
        <v>0</v>
      </c>
      <c r="U1213" s="61">
        <f t="shared" si="135"/>
        <v>0</v>
      </c>
      <c r="V1213" s="61">
        <f t="shared" si="136"/>
        <v>0</v>
      </c>
      <c r="W1213" s="58"/>
      <c r="X1213" s="58"/>
      <c r="Y1213" s="53"/>
      <c r="Z1213" s="57"/>
      <c r="AA1213" s="164"/>
      <c r="AB1213" s="164"/>
      <c r="AC1213" s="164"/>
      <c r="AD1213" s="164"/>
      <c r="AE1213" s="164"/>
      <c r="AF1213" s="63"/>
      <c r="AG1213" s="64" t="str">
        <f t="shared" si="137"/>
        <v/>
      </c>
    </row>
    <row r="1214" spans="1:33" x14ac:dyDescent="0.25">
      <c r="A1214" s="46" t="str">
        <f>IF(ISBLANK(inbound_data[[#This Row],[Receiving Report ref.'#]]),"",IF(inbound_data[[#This Row],[Ending Quantity]]=0,"ZERO","INV"))</f>
        <v/>
      </c>
      <c r="B1214" s="165" t="str">
        <f t="shared" si="131"/>
        <v/>
      </c>
      <c r="C1214" s="165" t="str">
        <f>IF(ISBLANK(D1214),"",inbound_data[[#This Row],[Pallet_Series]]&amp;inbound_data[[#This Row],[No.]])</f>
        <v/>
      </c>
      <c r="D1214" s="54"/>
      <c r="E1214" s="55"/>
      <c r="F1214" s="56"/>
      <c r="G1214" s="57"/>
      <c r="H1214" s="53"/>
      <c r="I1214" s="53"/>
      <c r="J1214" s="55"/>
      <c r="K1214" s="58"/>
      <c r="L1214" s="59"/>
      <c r="M1214" s="55"/>
      <c r="N1214" s="60"/>
      <c r="O1214" s="60"/>
      <c r="P1214" s="165" t="str">
        <f t="shared" ca="1" si="132"/>
        <v/>
      </c>
      <c r="Q1214" s="165" t="str">
        <f t="shared" ca="1" si="133"/>
        <v/>
      </c>
      <c r="R1214" s="79"/>
      <c r="S1214" s="80"/>
      <c r="T1214" s="61">
        <f t="shared" si="134"/>
        <v>0</v>
      </c>
      <c r="U1214" s="61">
        <f t="shared" si="135"/>
        <v>0</v>
      </c>
      <c r="V1214" s="61">
        <f t="shared" si="136"/>
        <v>0</v>
      </c>
      <c r="W1214" s="58"/>
      <c r="X1214" s="58"/>
      <c r="Y1214" s="53"/>
      <c r="Z1214" s="57"/>
      <c r="AA1214" s="164"/>
      <c r="AB1214" s="164"/>
      <c r="AC1214" s="164"/>
      <c r="AD1214" s="164"/>
      <c r="AE1214" s="164"/>
      <c r="AF1214" s="63"/>
      <c r="AG1214" s="64" t="str">
        <f t="shared" si="137"/>
        <v/>
      </c>
    </row>
    <row r="1215" spans="1:33" x14ac:dyDescent="0.25">
      <c r="A1215" s="46" t="str">
        <f>IF(ISBLANK(inbound_data[[#This Row],[Receiving Report ref.'#]]),"",IF(inbound_data[[#This Row],[Ending Quantity]]=0,"ZERO","INV"))</f>
        <v/>
      </c>
      <c r="B1215" s="165" t="str">
        <f t="shared" si="131"/>
        <v/>
      </c>
      <c r="C1215" s="165" t="str">
        <f>IF(ISBLANK(D1215),"",inbound_data[[#This Row],[Pallet_Series]]&amp;inbound_data[[#This Row],[No.]])</f>
        <v/>
      </c>
      <c r="D1215" s="54"/>
      <c r="E1215" s="55"/>
      <c r="F1215" s="56"/>
      <c r="G1215" s="57"/>
      <c r="H1215" s="53"/>
      <c r="I1215" s="53"/>
      <c r="J1215" s="55"/>
      <c r="K1215" s="58"/>
      <c r="L1215" s="59"/>
      <c r="M1215" s="55"/>
      <c r="N1215" s="60"/>
      <c r="O1215" s="60"/>
      <c r="P1215" s="165" t="str">
        <f t="shared" ca="1" si="132"/>
        <v/>
      </c>
      <c r="Q1215" s="165" t="str">
        <f t="shared" ca="1" si="133"/>
        <v/>
      </c>
      <c r="R1215" s="79"/>
      <c r="S1215" s="80"/>
      <c r="T1215" s="61">
        <f t="shared" si="134"/>
        <v>0</v>
      </c>
      <c r="U1215" s="61">
        <f t="shared" si="135"/>
        <v>0</v>
      </c>
      <c r="V1215" s="61">
        <f t="shared" si="136"/>
        <v>0</v>
      </c>
      <c r="W1215" s="58"/>
      <c r="X1215" s="58"/>
      <c r="Y1215" s="53"/>
      <c r="Z1215" s="57"/>
      <c r="AA1215" s="164"/>
      <c r="AB1215" s="164"/>
      <c r="AC1215" s="164"/>
      <c r="AD1215" s="164"/>
      <c r="AE1215" s="164"/>
      <c r="AF1215" s="63"/>
      <c r="AG1215" s="64" t="str">
        <f t="shared" si="137"/>
        <v/>
      </c>
    </row>
    <row r="1216" spans="1:33" x14ac:dyDescent="0.25">
      <c r="A1216" s="46" t="str">
        <f>IF(ISBLANK(inbound_data[[#This Row],[Receiving Report ref.'#]]),"",IF(inbound_data[[#This Row],[Ending Quantity]]=0,"ZERO","INV"))</f>
        <v/>
      </c>
      <c r="B1216" s="165" t="str">
        <f t="shared" si="131"/>
        <v/>
      </c>
      <c r="C1216" s="165" t="str">
        <f>IF(ISBLANK(D1216),"",inbound_data[[#This Row],[Pallet_Series]]&amp;inbound_data[[#This Row],[No.]])</f>
        <v/>
      </c>
      <c r="D1216" s="54"/>
      <c r="E1216" s="55"/>
      <c r="F1216" s="56"/>
      <c r="G1216" s="57"/>
      <c r="H1216" s="53"/>
      <c r="I1216" s="53"/>
      <c r="J1216" s="55"/>
      <c r="K1216" s="58"/>
      <c r="L1216" s="59"/>
      <c r="M1216" s="55"/>
      <c r="N1216" s="60"/>
      <c r="O1216" s="60"/>
      <c r="P1216" s="165" t="str">
        <f t="shared" ca="1" si="132"/>
        <v/>
      </c>
      <c r="Q1216" s="165" t="str">
        <f t="shared" ca="1" si="133"/>
        <v/>
      </c>
      <c r="R1216" s="79"/>
      <c r="S1216" s="80"/>
      <c r="T1216" s="61">
        <f t="shared" si="134"/>
        <v>0</v>
      </c>
      <c r="U1216" s="61">
        <f t="shared" si="135"/>
        <v>0</v>
      </c>
      <c r="V1216" s="61">
        <f t="shared" si="136"/>
        <v>0</v>
      </c>
      <c r="W1216" s="58"/>
      <c r="X1216" s="58"/>
      <c r="Y1216" s="53"/>
      <c r="Z1216" s="57"/>
      <c r="AA1216" s="164"/>
      <c r="AB1216" s="164"/>
      <c r="AC1216" s="164"/>
      <c r="AD1216" s="164"/>
      <c r="AE1216" s="164"/>
      <c r="AF1216" s="63"/>
      <c r="AG1216" s="64" t="str">
        <f t="shared" si="137"/>
        <v/>
      </c>
    </row>
    <row r="1217" spans="1:33" x14ac:dyDescent="0.25">
      <c r="A1217" s="46" t="str">
        <f>IF(ISBLANK(inbound_data[[#This Row],[Receiving Report ref.'#]]),"",IF(inbound_data[[#This Row],[Ending Quantity]]=0,"ZERO","INV"))</f>
        <v/>
      </c>
      <c r="B1217" s="165" t="str">
        <f t="shared" si="131"/>
        <v/>
      </c>
      <c r="C1217" s="165" t="str">
        <f>IF(ISBLANK(D1217),"",inbound_data[[#This Row],[Pallet_Series]]&amp;inbound_data[[#This Row],[No.]])</f>
        <v/>
      </c>
      <c r="D1217" s="54"/>
      <c r="E1217" s="55"/>
      <c r="F1217" s="56"/>
      <c r="G1217" s="57"/>
      <c r="H1217" s="53"/>
      <c r="I1217" s="53"/>
      <c r="J1217" s="55"/>
      <c r="K1217" s="58"/>
      <c r="L1217" s="59"/>
      <c r="M1217" s="55"/>
      <c r="N1217" s="60"/>
      <c r="O1217" s="60"/>
      <c r="P1217" s="165" t="str">
        <f t="shared" ca="1" si="132"/>
        <v/>
      </c>
      <c r="Q1217" s="165" t="str">
        <f t="shared" ca="1" si="133"/>
        <v/>
      </c>
      <c r="R1217" s="79"/>
      <c r="S1217" s="80"/>
      <c r="T1217" s="61">
        <f t="shared" si="134"/>
        <v>0</v>
      </c>
      <c r="U1217" s="61">
        <f t="shared" si="135"/>
        <v>0</v>
      </c>
      <c r="V1217" s="61">
        <f t="shared" si="136"/>
        <v>0</v>
      </c>
      <c r="W1217" s="58"/>
      <c r="X1217" s="58"/>
      <c r="Y1217" s="53"/>
      <c r="Z1217" s="57"/>
      <c r="AA1217" s="164"/>
      <c r="AB1217" s="164"/>
      <c r="AC1217" s="164"/>
      <c r="AD1217" s="164"/>
      <c r="AE1217" s="164"/>
      <c r="AF1217" s="63"/>
      <c r="AG1217" s="64" t="str">
        <f t="shared" si="137"/>
        <v/>
      </c>
    </row>
    <row r="1218" spans="1:33" x14ac:dyDescent="0.25">
      <c r="A1218" s="46" t="str">
        <f>IF(ISBLANK(inbound_data[[#This Row],[Receiving Report ref.'#]]),"",IF(inbound_data[[#This Row],[Ending Quantity]]=0,"ZERO","INV"))</f>
        <v/>
      </c>
      <c r="B1218" s="165" t="str">
        <f t="shared" si="131"/>
        <v/>
      </c>
      <c r="C1218" s="165" t="str">
        <f>IF(ISBLANK(D1218),"",inbound_data[[#This Row],[Pallet_Series]]&amp;inbound_data[[#This Row],[No.]])</f>
        <v/>
      </c>
      <c r="D1218" s="54"/>
      <c r="E1218" s="55"/>
      <c r="F1218" s="56"/>
      <c r="G1218" s="57"/>
      <c r="H1218" s="53"/>
      <c r="I1218" s="53"/>
      <c r="J1218" s="55"/>
      <c r="K1218" s="58"/>
      <c r="L1218" s="59"/>
      <c r="M1218" s="55"/>
      <c r="N1218" s="60"/>
      <c r="O1218" s="60"/>
      <c r="P1218" s="165" t="str">
        <f t="shared" ca="1" si="132"/>
        <v/>
      </c>
      <c r="Q1218" s="165" t="str">
        <f t="shared" ca="1" si="133"/>
        <v/>
      </c>
      <c r="R1218" s="79"/>
      <c r="S1218" s="80"/>
      <c r="T1218" s="61">
        <f t="shared" si="134"/>
        <v>0</v>
      </c>
      <c r="U1218" s="61">
        <f t="shared" si="135"/>
        <v>0</v>
      </c>
      <c r="V1218" s="61">
        <f t="shared" si="136"/>
        <v>0</v>
      </c>
      <c r="W1218" s="58"/>
      <c r="X1218" s="58"/>
      <c r="Y1218" s="53"/>
      <c r="Z1218" s="57"/>
      <c r="AA1218" s="164"/>
      <c r="AB1218" s="164"/>
      <c r="AC1218" s="164"/>
      <c r="AD1218" s="164"/>
      <c r="AE1218" s="164"/>
      <c r="AF1218" s="63"/>
      <c r="AG1218" s="64" t="str">
        <f t="shared" si="137"/>
        <v/>
      </c>
    </row>
    <row r="1219" spans="1:33" x14ac:dyDescent="0.25">
      <c r="A1219" s="46" t="str">
        <f>IF(ISBLANK(inbound_data[[#This Row],[Receiving Report ref.'#]]),"",IF(inbound_data[[#This Row],[Ending Quantity]]=0,"ZERO","INV"))</f>
        <v/>
      </c>
      <c r="B1219" s="165" t="str">
        <f t="shared" si="131"/>
        <v/>
      </c>
      <c r="C1219" s="165" t="str">
        <f>IF(ISBLANK(D1219),"",inbound_data[[#This Row],[Pallet_Series]]&amp;inbound_data[[#This Row],[No.]])</f>
        <v/>
      </c>
      <c r="D1219" s="54"/>
      <c r="E1219" s="55"/>
      <c r="F1219" s="56"/>
      <c r="G1219" s="57"/>
      <c r="H1219" s="53"/>
      <c r="I1219" s="53"/>
      <c r="J1219" s="55"/>
      <c r="K1219" s="58"/>
      <c r="L1219" s="59"/>
      <c r="M1219" s="55"/>
      <c r="N1219" s="60"/>
      <c r="O1219" s="60"/>
      <c r="P1219" s="165" t="str">
        <f t="shared" ca="1" si="132"/>
        <v/>
      </c>
      <c r="Q1219" s="165" t="str">
        <f t="shared" ca="1" si="133"/>
        <v/>
      </c>
      <c r="R1219" s="79"/>
      <c r="S1219" s="80"/>
      <c r="T1219" s="61">
        <f t="shared" si="134"/>
        <v>0</v>
      </c>
      <c r="U1219" s="61">
        <f t="shared" si="135"/>
        <v>0</v>
      </c>
      <c r="V1219" s="61">
        <f t="shared" si="136"/>
        <v>0</v>
      </c>
      <c r="W1219" s="58"/>
      <c r="X1219" s="58"/>
      <c r="Y1219" s="53"/>
      <c r="Z1219" s="57"/>
      <c r="AA1219" s="164"/>
      <c r="AB1219" s="164"/>
      <c r="AC1219" s="164"/>
      <c r="AD1219" s="164"/>
      <c r="AE1219" s="164"/>
      <c r="AF1219" s="63"/>
      <c r="AG1219" s="64" t="str">
        <f t="shared" si="137"/>
        <v/>
      </c>
    </row>
    <row r="1220" spans="1:33" x14ac:dyDescent="0.25">
      <c r="A1220" s="46" t="str">
        <f>IF(ISBLANK(inbound_data[[#This Row],[Receiving Report ref.'#]]),"",IF(inbound_data[[#This Row],[Ending Quantity]]=0,"ZERO","INV"))</f>
        <v/>
      </c>
      <c r="B1220" s="165" t="str">
        <f t="shared" si="131"/>
        <v/>
      </c>
      <c r="C1220" s="165" t="str">
        <f>IF(ISBLANK(D1220),"",inbound_data[[#This Row],[Pallet_Series]]&amp;inbound_data[[#This Row],[No.]])</f>
        <v/>
      </c>
      <c r="D1220" s="54"/>
      <c r="E1220" s="55"/>
      <c r="F1220" s="56"/>
      <c r="G1220" s="57"/>
      <c r="H1220" s="53"/>
      <c r="I1220" s="53"/>
      <c r="J1220" s="55"/>
      <c r="K1220" s="58"/>
      <c r="L1220" s="59"/>
      <c r="M1220" s="55"/>
      <c r="N1220" s="60"/>
      <c r="O1220" s="60"/>
      <c r="P1220" s="165" t="str">
        <f t="shared" ca="1" si="132"/>
        <v/>
      </c>
      <c r="Q1220" s="165" t="str">
        <f t="shared" ca="1" si="133"/>
        <v/>
      </c>
      <c r="R1220" s="79"/>
      <c r="S1220" s="80"/>
      <c r="T1220" s="61">
        <f t="shared" si="134"/>
        <v>0</v>
      </c>
      <c r="U1220" s="61">
        <f t="shared" si="135"/>
        <v>0</v>
      </c>
      <c r="V1220" s="61">
        <f t="shared" si="136"/>
        <v>0</v>
      </c>
      <c r="W1220" s="58"/>
      <c r="X1220" s="58"/>
      <c r="Y1220" s="53"/>
      <c r="Z1220" s="57"/>
      <c r="AA1220" s="164"/>
      <c r="AB1220" s="164"/>
      <c r="AC1220" s="164"/>
      <c r="AD1220" s="164"/>
      <c r="AE1220" s="164"/>
      <c r="AF1220" s="63"/>
      <c r="AG1220" s="64" t="str">
        <f t="shared" si="137"/>
        <v/>
      </c>
    </row>
    <row r="1221" spans="1:33" x14ac:dyDescent="0.25">
      <c r="A1221" s="46" t="str">
        <f>IF(ISBLANK(inbound_data[[#This Row],[Receiving Report ref.'#]]),"",IF(inbound_data[[#This Row],[Ending Quantity]]=0,"ZERO","INV"))</f>
        <v/>
      </c>
      <c r="B1221" s="165" t="str">
        <f t="shared" si="131"/>
        <v/>
      </c>
      <c r="C1221" s="165" t="str">
        <f>IF(ISBLANK(D1221),"",inbound_data[[#This Row],[Pallet_Series]]&amp;inbound_data[[#This Row],[No.]])</f>
        <v/>
      </c>
      <c r="D1221" s="54"/>
      <c r="E1221" s="55"/>
      <c r="F1221" s="56"/>
      <c r="G1221" s="57"/>
      <c r="H1221" s="53"/>
      <c r="I1221" s="53"/>
      <c r="J1221" s="55"/>
      <c r="K1221" s="58"/>
      <c r="L1221" s="59"/>
      <c r="M1221" s="55"/>
      <c r="N1221" s="60"/>
      <c r="O1221" s="60"/>
      <c r="P1221" s="165" t="str">
        <f t="shared" ca="1" si="132"/>
        <v/>
      </c>
      <c r="Q1221" s="165" t="str">
        <f t="shared" ca="1" si="133"/>
        <v/>
      </c>
      <c r="R1221" s="79"/>
      <c r="S1221" s="80"/>
      <c r="T1221" s="61">
        <f t="shared" si="134"/>
        <v>0</v>
      </c>
      <c r="U1221" s="61">
        <f t="shared" si="135"/>
        <v>0</v>
      </c>
      <c r="V1221" s="61">
        <f t="shared" si="136"/>
        <v>0</v>
      </c>
      <c r="W1221" s="58"/>
      <c r="X1221" s="58"/>
      <c r="Y1221" s="53"/>
      <c r="Z1221" s="57"/>
      <c r="AA1221" s="164"/>
      <c r="AB1221" s="164"/>
      <c r="AC1221" s="164"/>
      <c r="AD1221" s="164"/>
      <c r="AE1221" s="164"/>
      <c r="AF1221" s="63"/>
      <c r="AG1221" s="64" t="str">
        <f t="shared" si="137"/>
        <v/>
      </c>
    </row>
    <row r="1222" spans="1:33" x14ac:dyDescent="0.25">
      <c r="A1222" s="46" t="str">
        <f>IF(ISBLANK(inbound_data[[#This Row],[Receiving Report ref.'#]]),"",IF(inbound_data[[#This Row],[Ending Quantity]]=0,"ZERO","INV"))</f>
        <v/>
      </c>
      <c r="B1222" s="165" t="str">
        <f t="shared" si="131"/>
        <v/>
      </c>
      <c r="C1222" s="165" t="str">
        <f>IF(ISBLANK(D1222),"",inbound_data[[#This Row],[Pallet_Series]]&amp;inbound_data[[#This Row],[No.]])</f>
        <v/>
      </c>
      <c r="D1222" s="54"/>
      <c r="E1222" s="55"/>
      <c r="F1222" s="56"/>
      <c r="G1222" s="57"/>
      <c r="H1222" s="53"/>
      <c r="I1222" s="53"/>
      <c r="J1222" s="55"/>
      <c r="K1222" s="58"/>
      <c r="L1222" s="59"/>
      <c r="M1222" s="55"/>
      <c r="N1222" s="60"/>
      <c r="O1222" s="60"/>
      <c r="P1222" s="165" t="str">
        <f t="shared" ca="1" si="132"/>
        <v/>
      </c>
      <c r="Q1222" s="165" t="str">
        <f t="shared" ca="1" si="133"/>
        <v/>
      </c>
      <c r="R1222" s="79"/>
      <c r="S1222" s="80"/>
      <c r="T1222" s="61">
        <f t="shared" si="134"/>
        <v>0</v>
      </c>
      <c r="U1222" s="61">
        <f t="shared" si="135"/>
        <v>0</v>
      </c>
      <c r="V1222" s="61">
        <f t="shared" si="136"/>
        <v>0</v>
      </c>
      <c r="W1222" s="58"/>
      <c r="X1222" s="58"/>
      <c r="Y1222" s="53"/>
      <c r="Z1222" s="57"/>
      <c r="AA1222" s="164"/>
      <c r="AB1222" s="164"/>
      <c r="AC1222" s="164"/>
      <c r="AD1222" s="164"/>
      <c r="AE1222" s="164"/>
      <c r="AF1222" s="63"/>
      <c r="AG1222" s="64" t="str">
        <f t="shared" si="137"/>
        <v/>
      </c>
    </row>
    <row r="1223" spans="1:33" x14ac:dyDescent="0.25">
      <c r="A1223" s="46" t="str">
        <f>IF(ISBLANK(inbound_data[[#This Row],[Receiving Report ref.'#]]),"",IF(inbound_data[[#This Row],[Ending Quantity]]=0,"ZERO","INV"))</f>
        <v/>
      </c>
      <c r="B1223" s="165" t="str">
        <f t="shared" si="131"/>
        <v/>
      </c>
      <c r="C1223" s="165" t="str">
        <f>IF(ISBLANK(D1223),"",inbound_data[[#This Row],[Pallet_Series]]&amp;inbound_data[[#This Row],[No.]])</f>
        <v/>
      </c>
      <c r="D1223" s="54"/>
      <c r="E1223" s="55"/>
      <c r="F1223" s="56"/>
      <c r="G1223" s="57"/>
      <c r="H1223" s="53"/>
      <c r="I1223" s="53"/>
      <c r="J1223" s="55"/>
      <c r="K1223" s="58"/>
      <c r="L1223" s="59"/>
      <c r="M1223" s="55"/>
      <c r="N1223" s="60"/>
      <c r="O1223" s="60"/>
      <c r="P1223" s="165" t="str">
        <f t="shared" ca="1" si="132"/>
        <v/>
      </c>
      <c r="Q1223" s="165" t="str">
        <f t="shared" ca="1" si="133"/>
        <v/>
      </c>
      <c r="R1223" s="79"/>
      <c r="S1223" s="80"/>
      <c r="T1223" s="61">
        <f t="shared" si="134"/>
        <v>0</v>
      </c>
      <c r="U1223" s="61">
        <f t="shared" si="135"/>
        <v>0</v>
      </c>
      <c r="V1223" s="61">
        <f t="shared" si="136"/>
        <v>0</v>
      </c>
      <c r="W1223" s="58"/>
      <c r="X1223" s="58"/>
      <c r="Y1223" s="53"/>
      <c r="Z1223" s="57"/>
      <c r="AA1223" s="164"/>
      <c r="AB1223" s="164"/>
      <c r="AC1223" s="164"/>
      <c r="AD1223" s="164"/>
      <c r="AE1223" s="164"/>
      <c r="AF1223" s="63"/>
      <c r="AG1223" s="64" t="str">
        <f t="shared" si="137"/>
        <v/>
      </c>
    </row>
    <row r="1224" spans="1:33" x14ac:dyDescent="0.25">
      <c r="A1224" s="46" t="str">
        <f>IF(ISBLANK(inbound_data[[#This Row],[Receiving Report ref.'#]]),"",IF(inbound_data[[#This Row],[Ending Quantity]]=0,"ZERO","INV"))</f>
        <v/>
      </c>
      <c r="B1224" s="165" t="str">
        <f t="shared" si="131"/>
        <v/>
      </c>
      <c r="C1224" s="165" t="str">
        <f>IF(ISBLANK(D1224),"",inbound_data[[#This Row],[Pallet_Series]]&amp;inbound_data[[#This Row],[No.]])</f>
        <v/>
      </c>
      <c r="D1224" s="54"/>
      <c r="E1224" s="55"/>
      <c r="F1224" s="56"/>
      <c r="G1224" s="57"/>
      <c r="H1224" s="53"/>
      <c r="I1224" s="53"/>
      <c r="J1224" s="55"/>
      <c r="K1224" s="58"/>
      <c r="L1224" s="59"/>
      <c r="M1224" s="55"/>
      <c r="N1224" s="60"/>
      <c r="O1224" s="60"/>
      <c r="P1224" s="165" t="str">
        <f t="shared" ca="1" si="132"/>
        <v/>
      </c>
      <c r="Q1224" s="165" t="str">
        <f t="shared" ca="1" si="133"/>
        <v/>
      </c>
      <c r="R1224" s="79"/>
      <c r="S1224" s="80"/>
      <c r="T1224" s="61">
        <f t="shared" si="134"/>
        <v>0</v>
      </c>
      <c r="U1224" s="61">
        <f t="shared" si="135"/>
        <v>0</v>
      </c>
      <c r="V1224" s="61">
        <f t="shared" si="136"/>
        <v>0</v>
      </c>
      <c r="W1224" s="58"/>
      <c r="X1224" s="58"/>
      <c r="Y1224" s="53"/>
      <c r="Z1224" s="57"/>
      <c r="AA1224" s="164"/>
      <c r="AB1224" s="164"/>
      <c r="AC1224" s="164"/>
      <c r="AD1224" s="164"/>
      <c r="AE1224" s="164"/>
      <c r="AF1224" s="63"/>
      <c r="AG1224" s="64" t="str">
        <f t="shared" si="137"/>
        <v/>
      </c>
    </row>
    <row r="1225" spans="1:33" x14ac:dyDescent="0.25">
      <c r="A1225" s="46" t="str">
        <f>IF(ISBLANK(inbound_data[[#This Row],[Receiving Report ref.'#]]),"",IF(inbound_data[[#This Row],[Ending Quantity]]=0,"ZERO","INV"))</f>
        <v/>
      </c>
      <c r="B1225" s="165" t="str">
        <f t="shared" ref="B1225:B1288" si="138">IF(ISBLANK(D1225),"",TEXT(ROW(),"00000"))</f>
        <v/>
      </c>
      <c r="C1225" s="165" t="str">
        <f>IF(ISBLANK(D1225),"",inbound_data[[#This Row],[Pallet_Series]]&amp;inbound_data[[#This Row],[No.]])</f>
        <v/>
      </c>
      <c r="D1225" s="54"/>
      <c r="E1225" s="55"/>
      <c r="F1225" s="56"/>
      <c r="G1225" s="57"/>
      <c r="H1225" s="53"/>
      <c r="I1225" s="53"/>
      <c r="J1225" s="55"/>
      <c r="K1225" s="58"/>
      <c r="L1225" s="59"/>
      <c r="M1225" s="55"/>
      <c r="N1225" s="60"/>
      <c r="O1225" s="60"/>
      <c r="P1225" s="165" t="str">
        <f t="shared" ref="P1225:P1288" ca="1" si="139">IF(A1225="ZERO","",IF(O1225="","",O1225-TODAY()))</f>
        <v/>
      </c>
      <c r="Q1225" s="165" t="str">
        <f t="shared" ref="Q1225:Q1288" ca="1" si="140">IF(A1225="ZERO","",IF(P1225&lt;0,"ALREADY EXPIRED",IF(P1225&lt;60,"NEARLY EXPIRED","")))</f>
        <v/>
      </c>
      <c r="R1225" s="79"/>
      <c r="S1225" s="80"/>
      <c r="T1225" s="61">
        <f t="shared" ref="T1225:T1288" si="141">IF(ISBLANK(R1225),0,R1225-SUMIF(STOCK_CODE_OUT,$C1225,QTY_OUT))</f>
        <v>0</v>
      </c>
      <c r="U1225" s="61">
        <f t="shared" ref="U1225:U1288" si="142">IF(ISBLANK(S1225),0,S1225-SUMIF(STOCK_CODE_OUT,$C1225,KILOS_OUT))</f>
        <v>0</v>
      </c>
      <c r="V1225" s="61">
        <f t="shared" ref="V1225:V1288" si="143">IF(ISBLANK(K1225),0,K1225-SUMIF(STOCK_CODE_OUT,$C1225,PALLET_OUT))</f>
        <v>0</v>
      </c>
      <c r="W1225" s="58"/>
      <c r="X1225" s="58"/>
      <c r="Y1225" s="53"/>
      <c r="Z1225" s="57"/>
      <c r="AA1225" s="164"/>
      <c r="AB1225" s="164"/>
      <c r="AC1225" s="164"/>
      <c r="AD1225" s="164"/>
      <c r="AE1225" s="164"/>
      <c r="AF1225" s="63"/>
      <c r="AG1225" s="64" t="str">
        <f t="shared" ref="AG1225:AG1288" si="144">IF(T1225&gt;0,CONCATENATE(AA1225,AB1225,TEXT(AC1225,"R00"),TEXT(AD1225,"L0."),TEXT(AE1225,"0")),"")</f>
        <v/>
      </c>
    </row>
    <row r="1226" spans="1:33" x14ac:dyDescent="0.25">
      <c r="A1226" s="46" t="str">
        <f>IF(ISBLANK(inbound_data[[#This Row],[Receiving Report ref.'#]]),"",IF(inbound_data[[#This Row],[Ending Quantity]]=0,"ZERO","INV"))</f>
        <v/>
      </c>
      <c r="B1226" s="165" t="str">
        <f t="shared" si="138"/>
        <v/>
      </c>
      <c r="C1226" s="165" t="str">
        <f>IF(ISBLANK(D1226),"",inbound_data[[#This Row],[Pallet_Series]]&amp;inbound_data[[#This Row],[No.]])</f>
        <v/>
      </c>
      <c r="D1226" s="54"/>
      <c r="E1226" s="55"/>
      <c r="F1226" s="56"/>
      <c r="G1226" s="57"/>
      <c r="H1226" s="53"/>
      <c r="I1226" s="53"/>
      <c r="J1226" s="55"/>
      <c r="K1226" s="58"/>
      <c r="L1226" s="59"/>
      <c r="M1226" s="55"/>
      <c r="N1226" s="60"/>
      <c r="O1226" s="60"/>
      <c r="P1226" s="165" t="str">
        <f t="shared" ca="1" si="139"/>
        <v/>
      </c>
      <c r="Q1226" s="165" t="str">
        <f t="shared" ca="1" si="140"/>
        <v/>
      </c>
      <c r="R1226" s="79"/>
      <c r="S1226" s="80"/>
      <c r="T1226" s="61">
        <f t="shared" si="141"/>
        <v>0</v>
      </c>
      <c r="U1226" s="61">
        <f t="shared" si="142"/>
        <v>0</v>
      </c>
      <c r="V1226" s="61">
        <f t="shared" si="143"/>
        <v>0</v>
      </c>
      <c r="W1226" s="58"/>
      <c r="X1226" s="58"/>
      <c r="Y1226" s="53"/>
      <c r="Z1226" s="57"/>
      <c r="AA1226" s="164"/>
      <c r="AB1226" s="164"/>
      <c r="AC1226" s="164"/>
      <c r="AD1226" s="164"/>
      <c r="AE1226" s="164"/>
      <c r="AF1226" s="63"/>
      <c r="AG1226" s="64" t="str">
        <f t="shared" si="144"/>
        <v/>
      </c>
    </row>
    <row r="1227" spans="1:33" x14ac:dyDescent="0.25">
      <c r="A1227" s="46" t="str">
        <f>IF(ISBLANK(inbound_data[[#This Row],[Receiving Report ref.'#]]),"",IF(inbound_data[[#This Row],[Ending Quantity]]=0,"ZERO","INV"))</f>
        <v/>
      </c>
      <c r="B1227" s="165" t="str">
        <f t="shared" si="138"/>
        <v/>
      </c>
      <c r="C1227" s="165" t="str">
        <f>IF(ISBLANK(D1227),"",inbound_data[[#This Row],[Pallet_Series]]&amp;inbound_data[[#This Row],[No.]])</f>
        <v/>
      </c>
      <c r="D1227" s="54"/>
      <c r="E1227" s="55"/>
      <c r="F1227" s="56"/>
      <c r="G1227" s="57"/>
      <c r="H1227" s="53"/>
      <c r="I1227" s="53"/>
      <c r="J1227" s="55"/>
      <c r="K1227" s="58"/>
      <c r="L1227" s="59"/>
      <c r="M1227" s="55"/>
      <c r="N1227" s="60"/>
      <c r="O1227" s="60"/>
      <c r="P1227" s="165" t="str">
        <f t="shared" ca="1" si="139"/>
        <v/>
      </c>
      <c r="Q1227" s="165" t="str">
        <f t="shared" ca="1" si="140"/>
        <v/>
      </c>
      <c r="R1227" s="79"/>
      <c r="S1227" s="80"/>
      <c r="T1227" s="61">
        <f t="shared" si="141"/>
        <v>0</v>
      </c>
      <c r="U1227" s="61">
        <f t="shared" si="142"/>
        <v>0</v>
      </c>
      <c r="V1227" s="61">
        <f t="shared" si="143"/>
        <v>0</v>
      </c>
      <c r="W1227" s="58"/>
      <c r="X1227" s="58"/>
      <c r="Y1227" s="53"/>
      <c r="Z1227" s="57"/>
      <c r="AA1227" s="164"/>
      <c r="AB1227" s="164"/>
      <c r="AC1227" s="164"/>
      <c r="AD1227" s="164"/>
      <c r="AE1227" s="164"/>
      <c r="AF1227" s="63"/>
      <c r="AG1227" s="64" t="str">
        <f t="shared" si="144"/>
        <v/>
      </c>
    </row>
    <row r="1228" spans="1:33" x14ac:dyDescent="0.25">
      <c r="A1228" s="46" t="str">
        <f>IF(ISBLANK(inbound_data[[#This Row],[Receiving Report ref.'#]]),"",IF(inbound_data[[#This Row],[Ending Quantity]]=0,"ZERO","INV"))</f>
        <v/>
      </c>
      <c r="B1228" s="165" t="str">
        <f t="shared" si="138"/>
        <v/>
      </c>
      <c r="C1228" s="165" t="str">
        <f>IF(ISBLANK(D1228),"",inbound_data[[#This Row],[Pallet_Series]]&amp;inbound_data[[#This Row],[No.]])</f>
        <v/>
      </c>
      <c r="D1228" s="54"/>
      <c r="E1228" s="55"/>
      <c r="F1228" s="56"/>
      <c r="G1228" s="57"/>
      <c r="H1228" s="53"/>
      <c r="I1228" s="53"/>
      <c r="J1228" s="55"/>
      <c r="K1228" s="58"/>
      <c r="L1228" s="59"/>
      <c r="M1228" s="55"/>
      <c r="N1228" s="60"/>
      <c r="O1228" s="60"/>
      <c r="P1228" s="165" t="str">
        <f t="shared" ca="1" si="139"/>
        <v/>
      </c>
      <c r="Q1228" s="165" t="str">
        <f t="shared" ca="1" si="140"/>
        <v/>
      </c>
      <c r="R1228" s="79"/>
      <c r="S1228" s="80"/>
      <c r="T1228" s="61">
        <f t="shared" si="141"/>
        <v>0</v>
      </c>
      <c r="U1228" s="61">
        <f t="shared" si="142"/>
        <v>0</v>
      </c>
      <c r="V1228" s="61">
        <f t="shared" si="143"/>
        <v>0</v>
      </c>
      <c r="W1228" s="58"/>
      <c r="X1228" s="58"/>
      <c r="Y1228" s="53"/>
      <c r="Z1228" s="57"/>
      <c r="AA1228" s="164"/>
      <c r="AB1228" s="164"/>
      <c r="AC1228" s="164"/>
      <c r="AD1228" s="164"/>
      <c r="AE1228" s="164"/>
      <c r="AF1228" s="63"/>
      <c r="AG1228" s="64" t="str">
        <f t="shared" si="144"/>
        <v/>
      </c>
    </row>
    <row r="1229" spans="1:33" x14ac:dyDescent="0.25">
      <c r="A1229" s="46" t="str">
        <f>IF(ISBLANK(inbound_data[[#This Row],[Receiving Report ref.'#]]),"",IF(inbound_data[[#This Row],[Ending Quantity]]=0,"ZERO","INV"))</f>
        <v/>
      </c>
      <c r="B1229" s="165" t="str">
        <f t="shared" si="138"/>
        <v/>
      </c>
      <c r="C1229" s="165" t="str">
        <f>IF(ISBLANK(D1229),"",inbound_data[[#This Row],[Pallet_Series]]&amp;inbound_data[[#This Row],[No.]])</f>
        <v/>
      </c>
      <c r="D1229" s="54"/>
      <c r="E1229" s="55"/>
      <c r="F1229" s="56"/>
      <c r="G1229" s="57"/>
      <c r="H1229" s="53"/>
      <c r="I1229" s="53"/>
      <c r="J1229" s="55"/>
      <c r="K1229" s="58"/>
      <c r="L1229" s="59"/>
      <c r="M1229" s="55"/>
      <c r="N1229" s="60"/>
      <c r="O1229" s="60"/>
      <c r="P1229" s="165" t="str">
        <f t="shared" ca="1" si="139"/>
        <v/>
      </c>
      <c r="Q1229" s="165" t="str">
        <f t="shared" ca="1" si="140"/>
        <v/>
      </c>
      <c r="R1229" s="79"/>
      <c r="S1229" s="80"/>
      <c r="T1229" s="61">
        <f t="shared" si="141"/>
        <v>0</v>
      </c>
      <c r="U1229" s="61">
        <f t="shared" si="142"/>
        <v>0</v>
      </c>
      <c r="V1229" s="61">
        <f t="shared" si="143"/>
        <v>0</v>
      </c>
      <c r="W1229" s="58"/>
      <c r="X1229" s="58"/>
      <c r="Y1229" s="53"/>
      <c r="Z1229" s="57"/>
      <c r="AA1229" s="164"/>
      <c r="AB1229" s="164"/>
      <c r="AC1229" s="164"/>
      <c r="AD1229" s="164"/>
      <c r="AE1229" s="164"/>
      <c r="AF1229" s="63"/>
      <c r="AG1229" s="64" t="str">
        <f t="shared" si="144"/>
        <v/>
      </c>
    </row>
    <row r="1230" spans="1:33" x14ac:dyDescent="0.25">
      <c r="A1230" s="46" t="str">
        <f>IF(ISBLANK(inbound_data[[#This Row],[Receiving Report ref.'#]]),"",IF(inbound_data[[#This Row],[Ending Quantity]]=0,"ZERO","INV"))</f>
        <v/>
      </c>
      <c r="B1230" s="165" t="str">
        <f t="shared" si="138"/>
        <v/>
      </c>
      <c r="C1230" s="165" t="str">
        <f>IF(ISBLANK(D1230),"",inbound_data[[#This Row],[Pallet_Series]]&amp;inbound_data[[#This Row],[No.]])</f>
        <v/>
      </c>
      <c r="D1230" s="54"/>
      <c r="E1230" s="55"/>
      <c r="F1230" s="56"/>
      <c r="G1230" s="57"/>
      <c r="H1230" s="53"/>
      <c r="I1230" s="53"/>
      <c r="J1230" s="55"/>
      <c r="K1230" s="58"/>
      <c r="L1230" s="59"/>
      <c r="M1230" s="55"/>
      <c r="N1230" s="60"/>
      <c r="O1230" s="60"/>
      <c r="P1230" s="165" t="str">
        <f t="shared" ca="1" si="139"/>
        <v/>
      </c>
      <c r="Q1230" s="165" t="str">
        <f t="shared" ca="1" si="140"/>
        <v/>
      </c>
      <c r="R1230" s="79"/>
      <c r="S1230" s="80"/>
      <c r="T1230" s="61">
        <f t="shared" si="141"/>
        <v>0</v>
      </c>
      <c r="U1230" s="61">
        <f t="shared" si="142"/>
        <v>0</v>
      </c>
      <c r="V1230" s="61">
        <f t="shared" si="143"/>
        <v>0</v>
      </c>
      <c r="W1230" s="58"/>
      <c r="X1230" s="58"/>
      <c r="Y1230" s="53"/>
      <c r="Z1230" s="57"/>
      <c r="AA1230" s="164"/>
      <c r="AB1230" s="164"/>
      <c r="AC1230" s="164"/>
      <c r="AD1230" s="164"/>
      <c r="AE1230" s="164"/>
      <c r="AF1230" s="63"/>
      <c r="AG1230" s="64" t="str">
        <f t="shared" si="144"/>
        <v/>
      </c>
    </row>
    <row r="1231" spans="1:33" x14ac:dyDescent="0.25">
      <c r="A1231" s="46" t="str">
        <f>IF(ISBLANK(inbound_data[[#This Row],[Receiving Report ref.'#]]),"",IF(inbound_data[[#This Row],[Ending Quantity]]=0,"ZERO","INV"))</f>
        <v/>
      </c>
      <c r="B1231" s="165" t="str">
        <f t="shared" si="138"/>
        <v/>
      </c>
      <c r="C1231" s="165" t="str">
        <f>IF(ISBLANK(D1231),"",inbound_data[[#This Row],[Pallet_Series]]&amp;inbound_data[[#This Row],[No.]])</f>
        <v/>
      </c>
      <c r="D1231" s="54"/>
      <c r="E1231" s="55"/>
      <c r="F1231" s="56"/>
      <c r="G1231" s="57"/>
      <c r="H1231" s="53"/>
      <c r="I1231" s="53"/>
      <c r="J1231" s="55"/>
      <c r="K1231" s="58"/>
      <c r="L1231" s="59"/>
      <c r="M1231" s="55"/>
      <c r="N1231" s="60"/>
      <c r="O1231" s="60"/>
      <c r="P1231" s="165" t="str">
        <f t="shared" ca="1" si="139"/>
        <v/>
      </c>
      <c r="Q1231" s="165" t="str">
        <f t="shared" ca="1" si="140"/>
        <v/>
      </c>
      <c r="R1231" s="79"/>
      <c r="S1231" s="80"/>
      <c r="T1231" s="61">
        <f t="shared" si="141"/>
        <v>0</v>
      </c>
      <c r="U1231" s="61">
        <f t="shared" si="142"/>
        <v>0</v>
      </c>
      <c r="V1231" s="61">
        <f t="shared" si="143"/>
        <v>0</v>
      </c>
      <c r="W1231" s="58"/>
      <c r="X1231" s="58"/>
      <c r="Y1231" s="53"/>
      <c r="Z1231" s="57"/>
      <c r="AA1231" s="164"/>
      <c r="AB1231" s="164"/>
      <c r="AC1231" s="164"/>
      <c r="AD1231" s="164"/>
      <c r="AE1231" s="164"/>
      <c r="AF1231" s="63"/>
      <c r="AG1231" s="64" t="str">
        <f t="shared" si="144"/>
        <v/>
      </c>
    </row>
    <row r="1232" spans="1:33" x14ac:dyDescent="0.25">
      <c r="A1232" s="46" t="str">
        <f>IF(ISBLANK(inbound_data[[#This Row],[Receiving Report ref.'#]]),"",IF(inbound_data[[#This Row],[Ending Quantity]]=0,"ZERO","INV"))</f>
        <v/>
      </c>
      <c r="B1232" s="165" t="str">
        <f t="shared" si="138"/>
        <v/>
      </c>
      <c r="C1232" s="165" t="str">
        <f>IF(ISBLANK(D1232),"",inbound_data[[#This Row],[Pallet_Series]]&amp;inbound_data[[#This Row],[No.]])</f>
        <v/>
      </c>
      <c r="D1232" s="54"/>
      <c r="E1232" s="55"/>
      <c r="F1232" s="56"/>
      <c r="G1232" s="57"/>
      <c r="H1232" s="53"/>
      <c r="I1232" s="53"/>
      <c r="J1232" s="55"/>
      <c r="K1232" s="58"/>
      <c r="L1232" s="59"/>
      <c r="M1232" s="55"/>
      <c r="N1232" s="60"/>
      <c r="O1232" s="60"/>
      <c r="P1232" s="165" t="str">
        <f t="shared" ca="1" si="139"/>
        <v/>
      </c>
      <c r="Q1232" s="165" t="str">
        <f t="shared" ca="1" si="140"/>
        <v/>
      </c>
      <c r="R1232" s="79"/>
      <c r="S1232" s="80"/>
      <c r="T1232" s="61">
        <f t="shared" si="141"/>
        <v>0</v>
      </c>
      <c r="U1232" s="61">
        <f t="shared" si="142"/>
        <v>0</v>
      </c>
      <c r="V1232" s="61">
        <f t="shared" si="143"/>
        <v>0</v>
      </c>
      <c r="W1232" s="58"/>
      <c r="X1232" s="58"/>
      <c r="Y1232" s="53"/>
      <c r="Z1232" s="57"/>
      <c r="AA1232" s="164"/>
      <c r="AB1232" s="164"/>
      <c r="AC1232" s="164"/>
      <c r="AD1232" s="164"/>
      <c r="AE1232" s="164"/>
      <c r="AF1232" s="63"/>
      <c r="AG1232" s="64" t="str">
        <f t="shared" si="144"/>
        <v/>
      </c>
    </row>
    <row r="1233" spans="1:33" x14ac:dyDescent="0.25">
      <c r="A1233" s="46" t="str">
        <f>IF(ISBLANK(inbound_data[[#This Row],[Receiving Report ref.'#]]),"",IF(inbound_data[[#This Row],[Ending Quantity]]=0,"ZERO","INV"))</f>
        <v/>
      </c>
      <c r="B1233" s="165" t="str">
        <f t="shared" si="138"/>
        <v/>
      </c>
      <c r="C1233" s="165" t="str">
        <f>IF(ISBLANK(D1233),"",inbound_data[[#This Row],[Pallet_Series]]&amp;inbound_data[[#This Row],[No.]])</f>
        <v/>
      </c>
      <c r="D1233" s="54"/>
      <c r="E1233" s="55"/>
      <c r="F1233" s="56"/>
      <c r="G1233" s="57"/>
      <c r="H1233" s="53"/>
      <c r="I1233" s="53"/>
      <c r="J1233" s="55"/>
      <c r="K1233" s="58"/>
      <c r="L1233" s="59"/>
      <c r="M1233" s="55"/>
      <c r="N1233" s="60"/>
      <c r="O1233" s="60"/>
      <c r="P1233" s="165" t="str">
        <f t="shared" ca="1" si="139"/>
        <v/>
      </c>
      <c r="Q1233" s="165" t="str">
        <f t="shared" ca="1" si="140"/>
        <v/>
      </c>
      <c r="R1233" s="79"/>
      <c r="S1233" s="80"/>
      <c r="T1233" s="61">
        <f t="shared" si="141"/>
        <v>0</v>
      </c>
      <c r="U1233" s="61">
        <f t="shared" si="142"/>
        <v>0</v>
      </c>
      <c r="V1233" s="61">
        <f t="shared" si="143"/>
        <v>0</v>
      </c>
      <c r="W1233" s="58"/>
      <c r="X1233" s="58"/>
      <c r="Y1233" s="53"/>
      <c r="Z1233" s="57"/>
      <c r="AA1233" s="164"/>
      <c r="AB1233" s="164"/>
      <c r="AC1233" s="164"/>
      <c r="AD1233" s="164"/>
      <c r="AE1233" s="164"/>
      <c r="AF1233" s="63"/>
      <c r="AG1233" s="64" t="str">
        <f t="shared" si="144"/>
        <v/>
      </c>
    </row>
    <row r="1234" spans="1:33" x14ac:dyDescent="0.25">
      <c r="A1234" s="46" t="str">
        <f>IF(ISBLANK(inbound_data[[#This Row],[Receiving Report ref.'#]]),"",IF(inbound_data[[#This Row],[Ending Quantity]]=0,"ZERO","INV"))</f>
        <v/>
      </c>
      <c r="B1234" s="165" t="str">
        <f t="shared" si="138"/>
        <v/>
      </c>
      <c r="C1234" s="165" t="str">
        <f>IF(ISBLANK(D1234),"",inbound_data[[#This Row],[Pallet_Series]]&amp;inbound_data[[#This Row],[No.]])</f>
        <v/>
      </c>
      <c r="D1234" s="54"/>
      <c r="E1234" s="55"/>
      <c r="F1234" s="56"/>
      <c r="G1234" s="57"/>
      <c r="H1234" s="53"/>
      <c r="I1234" s="53"/>
      <c r="J1234" s="55"/>
      <c r="K1234" s="58"/>
      <c r="L1234" s="59"/>
      <c r="M1234" s="55"/>
      <c r="N1234" s="60"/>
      <c r="O1234" s="60"/>
      <c r="P1234" s="165" t="str">
        <f t="shared" ca="1" si="139"/>
        <v/>
      </c>
      <c r="Q1234" s="165" t="str">
        <f t="shared" ca="1" si="140"/>
        <v/>
      </c>
      <c r="R1234" s="79"/>
      <c r="S1234" s="80"/>
      <c r="T1234" s="61">
        <f t="shared" si="141"/>
        <v>0</v>
      </c>
      <c r="U1234" s="61">
        <f t="shared" si="142"/>
        <v>0</v>
      </c>
      <c r="V1234" s="61">
        <f t="shared" si="143"/>
        <v>0</v>
      </c>
      <c r="W1234" s="58"/>
      <c r="X1234" s="58"/>
      <c r="Y1234" s="53"/>
      <c r="Z1234" s="57"/>
      <c r="AA1234" s="164"/>
      <c r="AB1234" s="164"/>
      <c r="AC1234" s="164"/>
      <c r="AD1234" s="164"/>
      <c r="AE1234" s="164"/>
      <c r="AF1234" s="63"/>
      <c r="AG1234" s="64" t="str">
        <f t="shared" si="144"/>
        <v/>
      </c>
    </row>
    <row r="1235" spans="1:33" x14ac:dyDescent="0.25">
      <c r="A1235" s="46" t="str">
        <f>IF(ISBLANK(inbound_data[[#This Row],[Receiving Report ref.'#]]),"",IF(inbound_data[[#This Row],[Ending Quantity]]=0,"ZERO","INV"))</f>
        <v/>
      </c>
      <c r="B1235" s="165" t="str">
        <f t="shared" si="138"/>
        <v/>
      </c>
      <c r="C1235" s="165" t="str">
        <f>IF(ISBLANK(D1235),"",inbound_data[[#This Row],[Pallet_Series]]&amp;inbound_data[[#This Row],[No.]])</f>
        <v/>
      </c>
      <c r="D1235" s="54"/>
      <c r="E1235" s="55"/>
      <c r="F1235" s="56"/>
      <c r="G1235" s="57"/>
      <c r="H1235" s="53"/>
      <c r="I1235" s="53"/>
      <c r="J1235" s="55"/>
      <c r="K1235" s="58"/>
      <c r="L1235" s="59"/>
      <c r="M1235" s="55"/>
      <c r="N1235" s="60"/>
      <c r="O1235" s="60"/>
      <c r="P1235" s="165" t="str">
        <f t="shared" ca="1" si="139"/>
        <v/>
      </c>
      <c r="Q1235" s="165" t="str">
        <f t="shared" ca="1" si="140"/>
        <v/>
      </c>
      <c r="R1235" s="79"/>
      <c r="S1235" s="80"/>
      <c r="T1235" s="61">
        <f t="shared" si="141"/>
        <v>0</v>
      </c>
      <c r="U1235" s="61">
        <f t="shared" si="142"/>
        <v>0</v>
      </c>
      <c r="V1235" s="61">
        <f t="shared" si="143"/>
        <v>0</v>
      </c>
      <c r="W1235" s="58"/>
      <c r="X1235" s="58"/>
      <c r="Y1235" s="53"/>
      <c r="Z1235" s="57"/>
      <c r="AA1235" s="164"/>
      <c r="AB1235" s="164"/>
      <c r="AC1235" s="164"/>
      <c r="AD1235" s="164"/>
      <c r="AE1235" s="164"/>
      <c r="AF1235" s="63"/>
      <c r="AG1235" s="64" t="str">
        <f t="shared" si="144"/>
        <v/>
      </c>
    </row>
    <row r="1236" spans="1:33" x14ac:dyDescent="0.25">
      <c r="A1236" s="46" t="str">
        <f>IF(ISBLANK(inbound_data[[#This Row],[Receiving Report ref.'#]]),"",IF(inbound_data[[#This Row],[Ending Quantity]]=0,"ZERO","INV"))</f>
        <v/>
      </c>
      <c r="B1236" s="165" t="str">
        <f t="shared" si="138"/>
        <v/>
      </c>
      <c r="C1236" s="165" t="str">
        <f>IF(ISBLANK(D1236),"",inbound_data[[#This Row],[Pallet_Series]]&amp;inbound_data[[#This Row],[No.]])</f>
        <v/>
      </c>
      <c r="D1236" s="54"/>
      <c r="E1236" s="55"/>
      <c r="F1236" s="56"/>
      <c r="G1236" s="57"/>
      <c r="H1236" s="53"/>
      <c r="I1236" s="53"/>
      <c r="J1236" s="55"/>
      <c r="K1236" s="58"/>
      <c r="L1236" s="59"/>
      <c r="M1236" s="55"/>
      <c r="N1236" s="60"/>
      <c r="O1236" s="60"/>
      <c r="P1236" s="165" t="str">
        <f t="shared" ca="1" si="139"/>
        <v/>
      </c>
      <c r="Q1236" s="165" t="str">
        <f t="shared" ca="1" si="140"/>
        <v/>
      </c>
      <c r="R1236" s="79"/>
      <c r="S1236" s="80"/>
      <c r="T1236" s="61">
        <f t="shared" si="141"/>
        <v>0</v>
      </c>
      <c r="U1236" s="61">
        <f t="shared" si="142"/>
        <v>0</v>
      </c>
      <c r="V1236" s="61">
        <f t="shared" si="143"/>
        <v>0</v>
      </c>
      <c r="W1236" s="58"/>
      <c r="X1236" s="58"/>
      <c r="Y1236" s="53"/>
      <c r="Z1236" s="57"/>
      <c r="AA1236" s="164"/>
      <c r="AB1236" s="164"/>
      <c r="AC1236" s="164"/>
      <c r="AD1236" s="164"/>
      <c r="AE1236" s="164"/>
      <c r="AF1236" s="63"/>
      <c r="AG1236" s="64" t="str">
        <f t="shared" si="144"/>
        <v/>
      </c>
    </row>
    <row r="1237" spans="1:33" x14ac:dyDescent="0.25">
      <c r="A1237" s="46" t="str">
        <f>IF(ISBLANK(inbound_data[[#This Row],[Receiving Report ref.'#]]),"",IF(inbound_data[[#This Row],[Ending Quantity]]=0,"ZERO","INV"))</f>
        <v/>
      </c>
      <c r="B1237" s="165" t="str">
        <f t="shared" si="138"/>
        <v/>
      </c>
      <c r="C1237" s="165" t="str">
        <f>IF(ISBLANK(D1237),"",inbound_data[[#This Row],[Pallet_Series]]&amp;inbound_data[[#This Row],[No.]])</f>
        <v/>
      </c>
      <c r="D1237" s="54"/>
      <c r="E1237" s="55"/>
      <c r="F1237" s="56"/>
      <c r="G1237" s="57"/>
      <c r="H1237" s="53"/>
      <c r="I1237" s="53"/>
      <c r="J1237" s="55"/>
      <c r="K1237" s="58"/>
      <c r="L1237" s="59"/>
      <c r="M1237" s="55"/>
      <c r="N1237" s="60"/>
      <c r="O1237" s="60"/>
      <c r="P1237" s="165" t="str">
        <f t="shared" ca="1" si="139"/>
        <v/>
      </c>
      <c r="Q1237" s="165" t="str">
        <f t="shared" ca="1" si="140"/>
        <v/>
      </c>
      <c r="R1237" s="79"/>
      <c r="S1237" s="80"/>
      <c r="T1237" s="61">
        <f t="shared" si="141"/>
        <v>0</v>
      </c>
      <c r="U1237" s="61">
        <f t="shared" si="142"/>
        <v>0</v>
      </c>
      <c r="V1237" s="61">
        <f t="shared" si="143"/>
        <v>0</v>
      </c>
      <c r="W1237" s="58"/>
      <c r="X1237" s="58"/>
      <c r="Y1237" s="53"/>
      <c r="Z1237" s="57"/>
      <c r="AA1237" s="164"/>
      <c r="AB1237" s="164"/>
      <c r="AC1237" s="164"/>
      <c r="AD1237" s="164"/>
      <c r="AE1237" s="164"/>
      <c r="AF1237" s="63"/>
      <c r="AG1237" s="64" t="str">
        <f t="shared" si="144"/>
        <v/>
      </c>
    </row>
    <row r="1238" spans="1:33" x14ac:dyDescent="0.25">
      <c r="A1238" s="46" t="str">
        <f>IF(ISBLANK(inbound_data[[#This Row],[Receiving Report ref.'#]]),"",IF(inbound_data[[#This Row],[Ending Quantity]]=0,"ZERO","INV"))</f>
        <v/>
      </c>
      <c r="B1238" s="165" t="str">
        <f t="shared" si="138"/>
        <v/>
      </c>
      <c r="C1238" s="165" t="str">
        <f>IF(ISBLANK(D1238),"",inbound_data[[#This Row],[Pallet_Series]]&amp;inbound_data[[#This Row],[No.]])</f>
        <v/>
      </c>
      <c r="D1238" s="54"/>
      <c r="E1238" s="55"/>
      <c r="F1238" s="56"/>
      <c r="G1238" s="57"/>
      <c r="H1238" s="53"/>
      <c r="I1238" s="53"/>
      <c r="J1238" s="55"/>
      <c r="K1238" s="58"/>
      <c r="L1238" s="59"/>
      <c r="M1238" s="55"/>
      <c r="N1238" s="60"/>
      <c r="O1238" s="60"/>
      <c r="P1238" s="165" t="str">
        <f t="shared" ca="1" si="139"/>
        <v/>
      </c>
      <c r="Q1238" s="165" t="str">
        <f t="shared" ca="1" si="140"/>
        <v/>
      </c>
      <c r="R1238" s="79"/>
      <c r="S1238" s="80"/>
      <c r="T1238" s="61">
        <f t="shared" si="141"/>
        <v>0</v>
      </c>
      <c r="U1238" s="61">
        <f t="shared" si="142"/>
        <v>0</v>
      </c>
      <c r="V1238" s="61">
        <f t="shared" si="143"/>
        <v>0</v>
      </c>
      <c r="W1238" s="58"/>
      <c r="X1238" s="58"/>
      <c r="Y1238" s="53"/>
      <c r="Z1238" s="57"/>
      <c r="AA1238" s="164"/>
      <c r="AB1238" s="164"/>
      <c r="AC1238" s="164"/>
      <c r="AD1238" s="164"/>
      <c r="AE1238" s="164"/>
      <c r="AF1238" s="63"/>
      <c r="AG1238" s="64" t="str">
        <f t="shared" si="144"/>
        <v/>
      </c>
    </row>
    <row r="1239" spans="1:33" x14ac:dyDescent="0.25">
      <c r="A1239" s="46" t="str">
        <f>IF(ISBLANK(inbound_data[[#This Row],[Receiving Report ref.'#]]),"",IF(inbound_data[[#This Row],[Ending Quantity]]=0,"ZERO","INV"))</f>
        <v/>
      </c>
      <c r="B1239" s="165" t="str">
        <f t="shared" si="138"/>
        <v/>
      </c>
      <c r="C1239" s="165" t="str">
        <f>IF(ISBLANK(D1239),"",inbound_data[[#This Row],[Pallet_Series]]&amp;inbound_data[[#This Row],[No.]])</f>
        <v/>
      </c>
      <c r="D1239" s="54"/>
      <c r="E1239" s="55"/>
      <c r="F1239" s="56"/>
      <c r="G1239" s="57"/>
      <c r="H1239" s="53"/>
      <c r="I1239" s="53"/>
      <c r="J1239" s="55"/>
      <c r="K1239" s="58"/>
      <c r="L1239" s="59"/>
      <c r="M1239" s="55"/>
      <c r="N1239" s="60"/>
      <c r="O1239" s="60"/>
      <c r="P1239" s="165" t="str">
        <f t="shared" ca="1" si="139"/>
        <v/>
      </c>
      <c r="Q1239" s="165" t="str">
        <f t="shared" ca="1" si="140"/>
        <v/>
      </c>
      <c r="R1239" s="79"/>
      <c r="S1239" s="80"/>
      <c r="T1239" s="61">
        <f t="shared" si="141"/>
        <v>0</v>
      </c>
      <c r="U1239" s="61">
        <f t="shared" si="142"/>
        <v>0</v>
      </c>
      <c r="V1239" s="61">
        <f t="shared" si="143"/>
        <v>0</v>
      </c>
      <c r="W1239" s="58"/>
      <c r="X1239" s="58"/>
      <c r="Y1239" s="53"/>
      <c r="Z1239" s="57"/>
      <c r="AA1239" s="164"/>
      <c r="AB1239" s="164"/>
      <c r="AC1239" s="164"/>
      <c r="AD1239" s="164"/>
      <c r="AE1239" s="164"/>
      <c r="AF1239" s="63"/>
      <c r="AG1239" s="64" t="str">
        <f t="shared" si="144"/>
        <v/>
      </c>
    </row>
    <row r="1240" spans="1:33" x14ac:dyDescent="0.25">
      <c r="A1240" s="46" t="str">
        <f>IF(ISBLANK(inbound_data[[#This Row],[Receiving Report ref.'#]]),"",IF(inbound_data[[#This Row],[Ending Quantity]]=0,"ZERO","INV"))</f>
        <v/>
      </c>
      <c r="B1240" s="165" t="str">
        <f t="shared" si="138"/>
        <v/>
      </c>
      <c r="C1240" s="165" t="str">
        <f>IF(ISBLANK(D1240),"",inbound_data[[#This Row],[Pallet_Series]]&amp;inbound_data[[#This Row],[No.]])</f>
        <v/>
      </c>
      <c r="D1240" s="54"/>
      <c r="E1240" s="55"/>
      <c r="F1240" s="56"/>
      <c r="G1240" s="57"/>
      <c r="H1240" s="53"/>
      <c r="I1240" s="53"/>
      <c r="J1240" s="55"/>
      <c r="K1240" s="58"/>
      <c r="L1240" s="59"/>
      <c r="M1240" s="55"/>
      <c r="N1240" s="60"/>
      <c r="O1240" s="60"/>
      <c r="P1240" s="165" t="str">
        <f t="shared" ca="1" si="139"/>
        <v/>
      </c>
      <c r="Q1240" s="165" t="str">
        <f t="shared" ca="1" si="140"/>
        <v/>
      </c>
      <c r="R1240" s="79"/>
      <c r="S1240" s="80"/>
      <c r="T1240" s="61">
        <f t="shared" si="141"/>
        <v>0</v>
      </c>
      <c r="U1240" s="61">
        <f t="shared" si="142"/>
        <v>0</v>
      </c>
      <c r="V1240" s="61">
        <f t="shared" si="143"/>
        <v>0</v>
      </c>
      <c r="W1240" s="58"/>
      <c r="X1240" s="58"/>
      <c r="Y1240" s="53"/>
      <c r="Z1240" s="57"/>
      <c r="AA1240" s="164"/>
      <c r="AB1240" s="164"/>
      <c r="AC1240" s="164"/>
      <c r="AD1240" s="164"/>
      <c r="AE1240" s="164"/>
      <c r="AF1240" s="63"/>
      <c r="AG1240" s="64" t="str">
        <f t="shared" si="144"/>
        <v/>
      </c>
    </row>
    <row r="1241" spans="1:33" x14ac:dyDescent="0.25">
      <c r="A1241" s="46" t="str">
        <f>IF(ISBLANK(inbound_data[[#This Row],[Receiving Report ref.'#]]),"",IF(inbound_data[[#This Row],[Ending Quantity]]=0,"ZERO","INV"))</f>
        <v/>
      </c>
      <c r="B1241" s="165" t="str">
        <f t="shared" si="138"/>
        <v/>
      </c>
      <c r="C1241" s="165" t="str">
        <f>IF(ISBLANK(D1241),"",inbound_data[[#This Row],[Pallet_Series]]&amp;inbound_data[[#This Row],[No.]])</f>
        <v/>
      </c>
      <c r="D1241" s="54"/>
      <c r="E1241" s="55"/>
      <c r="F1241" s="56"/>
      <c r="G1241" s="57"/>
      <c r="H1241" s="53"/>
      <c r="I1241" s="53"/>
      <c r="J1241" s="55"/>
      <c r="K1241" s="58"/>
      <c r="L1241" s="59"/>
      <c r="M1241" s="55"/>
      <c r="N1241" s="60"/>
      <c r="O1241" s="60"/>
      <c r="P1241" s="165" t="str">
        <f t="shared" ca="1" si="139"/>
        <v/>
      </c>
      <c r="Q1241" s="165" t="str">
        <f t="shared" ca="1" si="140"/>
        <v/>
      </c>
      <c r="R1241" s="79"/>
      <c r="S1241" s="80"/>
      <c r="T1241" s="61">
        <f t="shared" si="141"/>
        <v>0</v>
      </c>
      <c r="U1241" s="61">
        <f t="shared" si="142"/>
        <v>0</v>
      </c>
      <c r="V1241" s="61">
        <f t="shared" si="143"/>
        <v>0</v>
      </c>
      <c r="W1241" s="58"/>
      <c r="X1241" s="58"/>
      <c r="Y1241" s="53"/>
      <c r="Z1241" s="57"/>
      <c r="AA1241" s="164"/>
      <c r="AB1241" s="164"/>
      <c r="AC1241" s="164"/>
      <c r="AD1241" s="164"/>
      <c r="AE1241" s="164"/>
      <c r="AF1241" s="63"/>
      <c r="AG1241" s="64" t="str">
        <f t="shared" si="144"/>
        <v/>
      </c>
    </row>
    <row r="1242" spans="1:33" x14ac:dyDescent="0.25">
      <c r="A1242" s="46" t="str">
        <f>IF(ISBLANK(inbound_data[[#This Row],[Receiving Report ref.'#]]),"",IF(inbound_data[[#This Row],[Ending Quantity]]=0,"ZERO","INV"))</f>
        <v/>
      </c>
      <c r="B1242" s="165" t="str">
        <f t="shared" si="138"/>
        <v/>
      </c>
      <c r="C1242" s="165" t="str">
        <f>IF(ISBLANK(D1242),"",inbound_data[[#This Row],[Pallet_Series]]&amp;inbound_data[[#This Row],[No.]])</f>
        <v/>
      </c>
      <c r="D1242" s="54"/>
      <c r="E1242" s="55"/>
      <c r="F1242" s="56"/>
      <c r="G1242" s="57"/>
      <c r="H1242" s="53"/>
      <c r="I1242" s="53"/>
      <c r="J1242" s="55"/>
      <c r="K1242" s="58"/>
      <c r="L1242" s="59"/>
      <c r="M1242" s="55"/>
      <c r="N1242" s="60"/>
      <c r="O1242" s="60"/>
      <c r="P1242" s="165" t="str">
        <f t="shared" ca="1" si="139"/>
        <v/>
      </c>
      <c r="Q1242" s="165" t="str">
        <f t="shared" ca="1" si="140"/>
        <v/>
      </c>
      <c r="R1242" s="79"/>
      <c r="S1242" s="80"/>
      <c r="T1242" s="61">
        <f t="shared" si="141"/>
        <v>0</v>
      </c>
      <c r="U1242" s="61">
        <f t="shared" si="142"/>
        <v>0</v>
      </c>
      <c r="V1242" s="61">
        <f t="shared" si="143"/>
        <v>0</v>
      </c>
      <c r="W1242" s="58"/>
      <c r="X1242" s="58"/>
      <c r="Y1242" s="53"/>
      <c r="Z1242" s="57"/>
      <c r="AA1242" s="164"/>
      <c r="AB1242" s="164"/>
      <c r="AC1242" s="164"/>
      <c r="AD1242" s="164"/>
      <c r="AE1242" s="164"/>
      <c r="AF1242" s="63"/>
      <c r="AG1242" s="64" t="str">
        <f t="shared" si="144"/>
        <v/>
      </c>
    </row>
    <row r="1243" spans="1:33" x14ac:dyDescent="0.25">
      <c r="A1243" s="46" t="str">
        <f>IF(ISBLANK(inbound_data[[#This Row],[Receiving Report ref.'#]]),"",IF(inbound_data[[#This Row],[Ending Quantity]]=0,"ZERO","INV"))</f>
        <v/>
      </c>
      <c r="B1243" s="165" t="str">
        <f t="shared" si="138"/>
        <v/>
      </c>
      <c r="C1243" s="165" t="str">
        <f>IF(ISBLANK(D1243),"",inbound_data[[#This Row],[Pallet_Series]]&amp;inbound_data[[#This Row],[No.]])</f>
        <v/>
      </c>
      <c r="D1243" s="54"/>
      <c r="E1243" s="55"/>
      <c r="F1243" s="56"/>
      <c r="G1243" s="57"/>
      <c r="H1243" s="53"/>
      <c r="I1243" s="53"/>
      <c r="J1243" s="55"/>
      <c r="K1243" s="58"/>
      <c r="L1243" s="59"/>
      <c r="M1243" s="55"/>
      <c r="N1243" s="60"/>
      <c r="O1243" s="60"/>
      <c r="P1243" s="165" t="str">
        <f t="shared" ca="1" si="139"/>
        <v/>
      </c>
      <c r="Q1243" s="165" t="str">
        <f t="shared" ca="1" si="140"/>
        <v/>
      </c>
      <c r="R1243" s="79"/>
      <c r="S1243" s="80"/>
      <c r="T1243" s="61">
        <f t="shared" si="141"/>
        <v>0</v>
      </c>
      <c r="U1243" s="61">
        <f t="shared" si="142"/>
        <v>0</v>
      </c>
      <c r="V1243" s="61">
        <f t="shared" si="143"/>
        <v>0</v>
      </c>
      <c r="W1243" s="58"/>
      <c r="X1243" s="58"/>
      <c r="Y1243" s="53"/>
      <c r="Z1243" s="57"/>
      <c r="AA1243" s="164"/>
      <c r="AB1243" s="164"/>
      <c r="AC1243" s="164"/>
      <c r="AD1243" s="164"/>
      <c r="AE1243" s="164"/>
      <c r="AF1243" s="63"/>
      <c r="AG1243" s="64" t="str">
        <f t="shared" si="144"/>
        <v/>
      </c>
    </row>
    <row r="1244" spans="1:33" x14ac:dyDescent="0.25">
      <c r="A1244" s="46" t="str">
        <f>IF(ISBLANK(inbound_data[[#This Row],[Receiving Report ref.'#]]),"",IF(inbound_data[[#This Row],[Ending Quantity]]=0,"ZERO","INV"))</f>
        <v/>
      </c>
      <c r="B1244" s="165" t="str">
        <f t="shared" si="138"/>
        <v/>
      </c>
      <c r="C1244" s="165" t="str">
        <f>IF(ISBLANK(D1244),"",inbound_data[[#This Row],[Pallet_Series]]&amp;inbound_data[[#This Row],[No.]])</f>
        <v/>
      </c>
      <c r="D1244" s="54"/>
      <c r="E1244" s="55"/>
      <c r="F1244" s="56"/>
      <c r="G1244" s="57"/>
      <c r="H1244" s="53"/>
      <c r="I1244" s="53"/>
      <c r="J1244" s="55"/>
      <c r="K1244" s="58"/>
      <c r="L1244" s="59"/>
      <c r="M1244" s="55"/>
      <c r="N1244" s="60"/>
      <c r="O1244" s="60"/>
      <c r="P1244" s="165" t="str">
        <f t="shared" ca="1" si="139"/>
        <v/>
      </c>
      <c r="Q1244" s="165" t="str">
        <f t="shared" ca="1" si="140"/>
        <v/>
      </c>
      <c r="R1244" s="79"/>
      <c r="S1244" s="80"/>
      <c r="T1244" s="61">
        <f t="shared" si="141"/>
        <v>0</v>
      </c>
      <c r="U1244" s="61">
        <f t="shared" si="142"/>
        <v>0</v>
      </c>
      <c r="V1244" s="61">
        <f t="shared" si="143"/>
        <v>0</v>
      </c>
      <c r="W1244" s="58"/>
      <c r="X1244" s="58"/>
      <c r="Y1244" s="53"/>
      <c r="Z1244" s="57"/>
      <c r="AA1244" s="164"/>
      <c r="AB1244" s="164"/>
      <c r="AC1244" s="164"/>
      <c r="AD1244" s="164"/>
      <c r="AE1244" s="164"/>
      <c r="AF1244" s="63"/>
      <c r="AG1244" s="64" t="str">
        <f t="shared" si="144"/>
        <v/>
      </c>
    </row>
    <row r="1245" spans="1:33" x14ac:dyDescent="0.25">
      <c r="A1245" s="46" t="str">
        <f>IF(ISBLANK(inbound_data[[#This Row],[Receiving Report ref.'#]]),"",IF(inbound_data[[#This Row],[Ending Quantity]]=0,"ZERO","INV"))</f>
        <v/>
      </c>
      <c r="B1245" s="165" t="str">
        <f t="shared" si="138"/>
        <v/>
      </c>
      <c r="C1245" s="165" t="str">
        <f>IF(ISBLANK(D1245),"",inbound_data[[#This Row],[Pallet_Series]]&amp;inbound_data[[#This Row],[No.]])</f>
        <v/>
      </c>
      <c r="D1245" s="54"/>
      <c r="E1245" s="55"/>
      <c r="F1245" s="56"/>
      <c r="G1245" s="57"/>
      <c r="H1245" s="53"/>
      <c r="I1245" s="53"/>
      <c r="J1245" s="55"/>
      <c r="K1245" s="58"/>
      <c r="L1245" s="59"/>
      <c r="M1245" s="55"/>
      <c r="N1245" s="60"/>
      <c r="O1245" s="60"/>
      <c r="P1245" s="165" t="str">
        <f t="shared" ca="1" si="139"/>
        <v/>
      </c>
      <c r="Q1245" s="165" t="str">
        <f t="shared" ca="1" si="140"/>
        <v/>
      </c>
      <c r="R1245" s="79"/>
      <c r="S1245" s="80"/>
      <c r="T1245" s="61">
        <f t="shared" si="141"/>
        <v>0</v>
      </c>
      <c r="U1245" s="61">
        <f t="shared" si="142"/>
        <v>0</v>
      </c>
      <c r="V1245" s="61">
        <f t="shared" si="143"/>
        <v>0</v>
      </c>
      <c r="W1245" s="58"/>
      <c r="X1245" s="58"/>
      <c r="Y1245" s="53"/>
      <c r="Z1245" s="57"/>
      <c r="AA1245" s="164"/>
      <c r="AB1245" s="164"/>
      <c r="AC1245" s="164"/>
      <c r="AD1245" s="164"/>
      <c r="AE1245" s="164"/>
      <c r="AF1245" s="63"/>
      <c r="AG1245" s="64" t="str">
        <f t="shared" si="144"/>
        <v/>
      </c>
    </row>
    <row r="1246" spans="1:33" x14ac:dyDescent="0.25">
      <c r="A1246" s="46" t="str">
        <f>IF(ISBLANK(inbound_data[[#This Row],[Receiving Report ref.'#]]),"",IF(inbound_data[[#This Row],[Ending Quantity]]=0,"ZERO","INV"))</f>
        <v/>
      </c>
      <c r="B1246" s="165" t="str">
        <f t="shared" si="138"/>
        <v/>
      </c>
      <c r="C1246" s="165" t="str">
        <f>IF(ISBLANK(D1246),"",inbound_data[[#This Row],[Pallet_Series]]&amp;inbound_data[[#This Row],[No.]])</f>
        <v/>
      </c>
      <c r="D1246" s="54"/>
      <c r="E1246" s="55"/>
      <c r="F1246" s="56"/>
      <c r="G1246" s="57"/>
      <c r="H1246" s="53"/>
      <c r="I1246" s="53"/>
      <c r="J1246" s="55"/>
      <c r="K1246" s="58"/>
      <c r="L1246" s="59"/>
      <c r="M1246" s="55"/>
      <c r="N1246" s="60"/>
      <c r="O1246" s="60"/>
      <c r="P1246" s="165" t="str">
        <f t="shared" ca="1" si="139"/>
        <v/>
      </c>
      <c r="Q1246" s="165" t="str">
        <f t="shared" ca="1" si="140"/>
        <v/>
      </c>
      <c r="R1246" s="79"/>
      <c r="S1246" s="80"/>
      <c r="T1246" s="61">
        <f t="shared" si="141"/>
        <v>0</v>
      </c>
      <c r="U1246" s="61">
        <f t="shared" si="142"/>
        <v>0</v>
      </c>
      <c r="V1246" s="61">
        <f t="shared" si="143"/>
        <v>0</v>
      </c>
      <c r="W1246" s="58"/>
      <c r="X1246" s="58"/>
      <c r="Y1246" s="53"/>
      <c r="Z1246" s="57"/>
      <c r="AA1246" s="164"/>
      <c r="AB1246" s="164"/>
      <c r="AC1246" s="164"/>
      <c r="AD1246" s="164"/>
      <c r="AE1246" s="164"/>
      <c r="AF1246" s="63"/>
      <c r="AG1246" s="64" t="str">
        <f t="shared" si="144"/>
        <v/>
      </c>
    </row>
    <row r="1247" spans="1:33" x14ac:dyDescent="0.25">
      <c r="A1247" s="46" t="str">
        <f>IF(ISBLANK(inbound_data[[#This Row],[Receiving Report ref.'#]]),"",IF(inbound_data[[#This Row],[Ending Quantity]]=0,"ZERO","INV"))</f>
        <v/>
      </c>
      <c r="B1247" s="165" t="str">
        <f t="shared" si="138"/>
        <v/>
      </c>
      <c r="C1247" s="165" t="str">
        <f>IF(ISBLANK(D1247),"",inbound_data[[#This Row],[Pallet_Series]]&amp;inbound_data[[#This Row],[No.]])</f>
        <v/>
      </c>
      <c r="D1247" s="54"/>
      <c r="E1247" s="55"/>
      <c r="F1247" s="56"/>
      <c r="G1247" s="57"/>
      <c r="H1247" s="53"/>
      <c r="I1247" s="53"/>
      <c r="J1247" s="55"/>
      <c r="K1247" s="58"/>
      <c r="L1247" s="59"/>
      <c r="M1247" s="55"/>
      <c r="N1247" s="60"/>
      <c r="O1247" s="60"/>
      <c r="P1247" s="165" t="str">
        <f t="shared" ca="1" si="139"/>
        <v/>
      </c>
      <c r="Q1247" s="165" t="str">
        <f t="shared" ca="1" si="140"/>
        <v/>
      </c>
      <c r="R1247" s="79"/>
      <c r="S1247" s="80"/>
      <c r="T1247" s="61">
        <f t="shared" si="141"/>
        <v>0</v>
      </c>
      <c r="U1247" s="61">
        <f t="shared" si="142"/>
        <v>0</v>
      </c>
      <c r="V1247" s="61">
        <f t="shared" si="143"/>
        <v>0</v>
      </c>
      <c r="W1247" s="58"/>
      <c r="X1247" s="58"/>
      <c r="Y1247" s="53"/>
      <c r="Z1247" s="57"/>
      <c r="AA1247" s="164"/>
      <c r="AB1247" s="164"/>
      <c r="AC1247" s="164"/>
      <c r="AD1247" s="164"/>
      <c r="AE1247" s="164"/>
      <c r="AF1247" s="63"/>
      <c r="AG1247" s="64" t="str">
        <f t="shared" si="144"/>
        <v/>
      </c>
    </row>
    <row r="1248" spans="1:33" x14ac:dyDescent="0.25">
      <c r="A1248" s="46" t="str">
        <f>IF(ISBLANK(inbound_data[[#This Row],[Receiving Report ref.'#]]),"",IF(inbound_data[[#This Row],[Ending Quantity]]=0,"ZERO","INV"))</f>
        <v/>
      </c>
      <c r="B1248" s="165" t="str">
        <f t="shared" si="138"/>
        <v/>
      </c>
      <c r="C1248" s="165" t="str">
        <f>IF(ISBLANK(D1248),"",inbound_data[[#This Row],[Pallet_Series]]&amp;inbound_data[[#This Row],[No.]])</f>
        <v/>
      </c>
      <c r="D1248" s="54"/>
      <c r="E1248" s="55"/>
      <c r="F1248" s="56"/>
      <c r="G1248" s="57"/>
      <c r="H1248" s="53"/>
      <c r="I1248" s="53"/>
      <c r="J1248" s="55"/>
      <c r="K1248" s="58"/>
      <c r="L1248" s="59"/>
      <c r="M1248" s="55"/>
      <c r="N1248" s="60"/>
      <c r="O1248" s="60"/>
      <c r="P1248" s="165" t="str">
        <f t="shared" ca="1" si="139"/>
        <v/>
      </c>
      <c r="Q1248" s="165" t="str">
        <f t="shared" ca="1" si="140"/>
        <v/>
      </c>
      <c r="R1248" s="79"/>
      <c r="S1248" s="80"/>
      <c r="T1248" s="61">
        <f t="shared" si="141"/>
        <v>0</v>
      </c>
      <c r="U1248" s="61">
        <f t="shared" si="142"/>
        <v>0</v>
      </c>
      <c r="V1248" s="61">
        <f t="shared" si="143"/>
        <v>0</v>
      </c>
      <c r="W1248" s="58"/>
      <c r="X1248" s="58"/>
      <c r="Y1248" s="53"/>
      <c r="Z1248" s="57"/>
      <c r="AA1248" s="164"/>
      <c r="AB1248" s="164"/>
      <c r="AC1248" s="164"/>
      <c r="AD1248" s="164"/>
      <c r="AE1248" s="164"/>
      <c r="AF1248" s="63"/>
      <c r="AG1248" s="64" t="str">
        <f t="shared" si="144"/>
        <v/>
      </c>
    </row>
    <row r="1249" spans="1:33" x14ac:dyDescent="0.25">
      <c r="A1249" s="46" t="str">
        <f>IF(ISBLANK(inbound_data[[#This Row],[Receiving Report ref.'#]]),"",IF(inbound_data[[#This Row],[Ending Quantity]]=0,"ZERO","INV"))</f>
        <v/>
      </c>
      <c r="B1249" s="165" t="str">
        <f t="shared" si="138"/>
        <v/>
      </c>
      <c r="C1249" s="165" t="str">
        <f>IF(ISBLANK(D1249),"",inbound_data[[#This Row],[Pallet_Series]]&amp;inbound_data[[#This Row],[No.]])</f>
        <v/>
      </c>
      <c r="D1249" s="54"/>
      <c r="E1249" s="55"/>
      <c r="F1249" s="56"/>
      <c r="G1249" s="57"/>
      <c r="H1249" s="53"/>
      <c r="I1249" s="53"/>
      <c r="J1249" s="55"/>
      <c r="K1249" s="58"/>
      <c r="L1249" s="59"/>
      <c r="M1249" s="55"/>
      <c r="N1249" s="60"/>
      <c r="O1249" s="60"/>
      <c r="P1249" s="165" t="str">
        <f t="shared" ca="1" si="139"/>
        <v/>
      </c>
      <c r="Q1249" s="165" t="str">
        <f t="shared" ca="1" si="140"/>
        <v/>
      </c>
      <c r="R1249" s="79"/>
      <c r="S1249" s="80"/>
      <c r="T1249" s="61">
        <f t="shared" si="141"/>
        <v>0</v>
      </c>
      <c r="U1249" s="61">
        <f t="shared" si="142"/>
        <v>0</v>
      </c>
      <c r="V1249" s="61">
        <f t="shared" si="143"/>
        <v>0</v>
      </c>
      <c r="W1249" s="58"/>
      <c r="X1249" s="58"/>
      <c r="Y1249" s="53"/>
      <c r="Z1249" s="57"/>
      <c r="AA1249" s="164"/>
      <c r="AB1249" s="164"/>
      <c r="AC1249" s="164"/>
      <c r="AD1249" s="164"/>
      <c r="AE1249" s="164"/>
      <c r="AF1249" s="63"/>
      <c r="AG1249" s="64" t="str">
        <f t="shared" si="144"/>
        <v/>
      </c>
    </row>
    <row r="1250" spans="1:33" x14ac:dyDescent="0.25">
      <c r="A1250" s="46" t="str">
        <f>IF(ISBLANK(inbound_data[[#This Row],[Receiving Report ref.'#]]),"",IF(inbound_data[[#This Row],[Ending Quantity]]=0,"ZERO","INV"))</f>
        <v/>
      </c>
      <c r="B1250" s="165" t="str">
        <f t="shared" si="138"/>
        <v/>
      </c>
      <c r="C1250" s="165" t="str">
        <f>IF(ISBLANK(D1250),"",inbound_data[[#This Row],[Pallet_Series]]&amp;inbound_data[[#This Row],[No.]])</f>
        <v/>
      </c>
      <c r="D1250" s="54"/>
      <c r="E1250" s="55"/>
      <c r="F1250" s="56"/>
      <c r="G1250" s="57"/>
      <c r="H1250" s="53"/>
      <c r="I1250" s="53"/>
      <c r="J1250" s="55"/>
      <c r="K1250" s="58"/>
      <c r="L1250" s="59"/>
      <c r="M1250" s="55"/>
      <c r="N1250" s="60"/>
      <c r="O1250" s="60"/>
      <c r="P1250" s="165" t="str">
        <f t="shared" ca="1" si="139"/>
        <v/>
      </c>
      <c r="Q1250" s="165" t="str">
        <f t="shared" ca="1" si="140"/>
        <v/>
      </c>
      <c r="R1250" s="79"/>
      <c r="S1250" s="80"/>
      <c r="T1250" s="61">
        <f t="shared" si="141"/>
        <v>0</v>
      </c>
      <c r="U1250" s="61">
        <f t="shared" si="142"/>
        <v>0</v>
      </c>
      <c r="V1250" s="61">
        <f t="shared" si="143"/>
        <v>0</v>
      </c>
      <c r="W1250" s="58"/>
      <c r="X1250" s="58"/>
      <c r="Y1250" s="53"/>
      <c r="Z1250" s="57"/>
      <c r="AA1250" s="164"/>
      <c r="AB1250" s="164"/>
      <c r="AC1250" s="164"/>
      <c r="AD1250" s="164"/>
      <c r="AE1250" s="164"/>
      <c r="AF1250" s="63"/>
      <c r="AG1250" s="64" t="str">
        <f t="shared" si="144"/>
        <v/>
      </c>
    </row>
    <row r="1251" spans="1:33" x14ac:dyDescent="0.25">
      <c r="A1251" s="46" t="str">
        <f>IF(ISBLANK(inbound_data[[#This Row],[Receiving Report ref.'#]]),"",IF(inbound_data[[#This Row],[Ending Quantity]]=0,"ZERO","INV"))</f>
        <v/>
      </c>
      <c r="B1251" s="165" t="str">
        <f t="shared" si="138"/>
        <v/>
      </c>
      <c r="C1251" s="165" t="str">
        <f>IF(ISBLANK(D1251),"",inbound_data[[#This Row],[Pallet_Series]]&amp;inbound_data[[#This Row],[No.]])</f>
        <v/>
      </c>
      <c r="D1251" s="54"/>
      <c r="E1251" s="55"/>
      <c r="F1251" s="56"/>
      <c r="G1251" s="57"/>
      <c r="H1251" s="53"/>
      <c r="I1251" s="53"/>
      <c r="J1251" s="55"/>
      <c r="K1251" s="58"/>
      <c r="L1251" s="59"/>
      <c r="M1251" s="55"/>
      <c r="N1251" s="60"/>
      <c r="O1251" s="60"/>
      <c r="P1251" s="165" t="str">
        <f t="shared" ca="1" si="139"/>
        <v/>
      </c>
      <c r="Q1251" s="165" t="str">
        <f t="shared" ca="1" si="140"/>
        <v/>
      </c>
      <c r="R1251" s="79"/>
      <c r="S1251" s="80"/>
      <c r="T1251" s="61">
        <f t="shared" si="141"/>
        <v>0</v>
      </c>
      <c r="U1251" s="61">
        <f t="shared" si="142"/>
        <v>0</v>
      </c>
      <c r="V1251" s="61">
        <f t="shared" si="143"/>
        <v>0</v>
      </c>
      <c r="W1251" s="58"/>
      <c r="X1251" s="58"/>
      <c r="Y1251" s="53"/>
      <c r="Z1251" s="57"/>
      <c r="AA1251" s="164"/>
      <c r="AB1251" s="164"/>
      <c r="AC1251" s="164"/>
      <c r="AD1251" s="164"/>
      <c r="AE1251" s="164"/>
      <c r="AF1251" s="63"/>
      <c r="AG1251" s="64" t="str">
        <f t="shared" si="144"/>
        <v/>
      </c>
    </row>
    <row r="1252" spans="1:33" x14ac:dyDescent="0.25">
      <c r="A1252" s="46" t="str">
        <f>IF(ISBLANK(inbound_data[[#This Row],[Receiving Report ref.'#]]),"",IF(inbound_data[[#This Row],[Ending Quantity]]=0,"ZERO","INV"))</f>
        <v/>
      </c>
      <c r="B1252" s="165" t="str">
        <f t="shared" si="138"/>
        <v/>
      </c>
      <c r="C1252" s="165" t="str">
        <f>IF(ISBLANK(D1252),"",inbound_data[[#This Row],[Pallet_Series]]&amp;inbound_data[[#This Row],[No.]])</f>
        <v/>
      </c>
      <c r="D1252" s="54"/>
      <c r="E1252" s="55"/>
      <c r="F1252" s="56"/>
      <c r="G1252" s="57"/>
      <c r="H1252" s="53"/>
      <c r="I1252" s="53"/>
      <c r="J1252" s="55"/>
      <c r="K1252" s="58"/>
      <c r="L1252" s="59"/>
      <c r="M1252" s="55"/>
      <c r="N1252" s="60"/>
      <c r="O1252" s="60"/>
      <c r="P1252" s="165" t="str">
        <f t="shared" ca="1" si="139"/>
        <v/>
      </c>
      <c r="Q1252" s="165" t="str">
        <f t="shared" ca="1" si="140"/>
        <v/>
      </c>
      <c r="R1252" s="79"/>
      <c r="S1252" s="80"/>
      <c r="T1252" s="61">
        <f t="shared" si="141"/>
        <v>0</v>
      </c>
      <c r="U1252" s="61">
        <f t="shared" si="142"/>
        <v>0</v>
      </c>
      <c r="V1252" s="61">
        <f t="shared" si="143"/>
        <v>0</v>
      </c>
      <c r="W1252" s="58"/>
      <c r="X1252" s="58"/>
      <c r="Y1252" s="53"/>
      <c r="Z1252" s="57"/>
      <c r="AA1252" s="164"/>
      <c r="AB1252" s="164"/>
      <c r="AC1252" s="164"/>
      <c r="AD1252" s="164"/>
      <c r="AE1252" s="164"/>
      <c r="AF1252" s="63"/>
      <c r="AG1252" s="64" t="str">
        <f t="shared" si="144"/>
        <v/>
      </c>
    </row>
    <row r="1253" spans="1:33" x14ac:dyDescent="0.25">
      <c r="A1253" s="46" t="str">
        <f>IF(ISBLANK(inbound_data[[#This Row],[Receiving Report ref.'#]]),"",IF(inbound_data[[#This Row],[Ending Quantity]]=0,"ZERO","INV"))</f>
        <v/>
      </c>
      <c r="B1253" s="165" t="str">
        <f t="shared" si="138"/>
        <v/>
      </c>
      <c r="C1253" s="165" t="str">
        <f>IF(ISBLANK(D1253),"",inbound_data[[#This Row],[Pallet_Series]]&amp;inbound_data[[#This Row],[No.]])</f>
        <v/>
      </c>
      <c r="D1253" s="54"/>
      <c r="E1253" s="55"/>
      <c r="F1253" s="56"/>
      <c r="G1253" s="57"/>
      <c r="H1253" s="53"/>
      <c r="I1253" s="53"/>
      <c r="J1253" s="55"/>
      <c r="K1253" s="58"/>
      <c r="L1253" s="59"/>
      <c r="M1253" s="55"/>
      <c r="N1253" s="60"/>
      <c r="O1253" s="60"/>
      <c r="P1253" s="165" t="str">
        <f t="shared" ca="1" si="139"/>
        <v/>
      </c>
      <c r="Q1253" s="165" t="str">
        <f t="shared" ca="1" si="140"/>
        <v/>
      </c>
      <c r="R1253" s="79"/>
      <c r="S1253" s="80"/>
      <c r="T1253" s="61">
        <f t="shared" si="141"/>
        <v>0</v>
      </c>
      <c r="U1253" s="61">
        <f t="shared" si="142"/>
        <v>0</v>
      </c>
      <c r="V1253" s="61">
        <f t="shared" si="143"/>
        <v>0</v>
      </c>
      <c r="W1253" s="58"/>
      <c r="X1253" s="58"/>
      <c r="Y1253" s="53"/>
      <c r="Z1253" s="57"/>
      <c r="AA1253" s="164"/>
      <c r="AB1253" s="164"/>
      <c r="AC1253" s="164"/>
      <c r="AD1253" s="164"/>
      <c r="AE1253" s="164"/>
      <c r="AF1253" s="63"/>
      <c r="AG1253" s="64" t="str">
        <f t="shared" si="144"/>
        <v/>
      </c>
    </row>
    <row r="1254" spans="1:33" x14ac:dyDescent="0.25">
      <c r="A1254" s="46" t="str">
        <f>IF(ISBLANK(inbound_data[[#This Row],[Receiving Report ref.'#]]),"",IF(inbound_data[[#This Row],[Ending Quantity]]=0,"ZERO","INV"))</f>
        <v/>
      </c>
      <c r="B1254" s="165" t="str">
        <f t="shared" si="138"/>
        <v/>
      </c>
      <c r="C1254" s="165" t="str">
        <f>IF(ISBLANK(D1254),"",inbound_data[[#This Row],[Pallet_Series]]&amp;inbound_data[[#This Row],[No.]])</f>
        <v/>
      </c>
      <c r="D1254" s="54"/>
      <c r="E1254" s="55"/>
      <c r="F1254" s="56"/>
      <c r="G1254" s="57"/>
      <c r="H1254" s="53"/>
      <c r="I1254" s="53"/>
      <c r="J1254" s="55"/>
      <c r="K1254" s="58"/>
      <c r="L1254" s="59"/>
      <c r="M1254" s="55"/>
      <c r="N1254" s="60"/>
      <c r="O1254" s="60"/>
      <c r="P1254" s="165" t="str">
        <f t="shared" ca="1" si="139"/>
        <v/>
      </c>
      <c r="Q1254" s="165" t="str">
        <f t="shared" ca="1" si="140"/>
        <v/>
      </c>
      <c r="R1254" s="79"/>
      <c r="S1254" s="80"/>
      <c r="T1254" s="61">
        <f t="shared" si="141"/>
        <v>0</v>
      </c>
      <c r="U1254" s="61">
        <f t="shared" si="142"/>
        <v>0</v>
      </c>
      <c r="V1254" s="61">
        <f t="shared" si="143"/>
        <v>0</v>
      </c>
      <c r="W1254" s="58"/>
      <c r="X1254" s="58"/>
      <c r="Y1254" s="53"/>
      <c r="Z1254" s="57"/>
      <c r="AA1254" s="164"/>
      <c r="AB1254" s="164"/>
      <c r="AC1254" s="164"/>
      <c r="AD1254" s="164"/>
      <c r="AE1254" s="164"/>
      <c r="AF1254" s="63"/>
      <c r="AG1254" s="64" t="str">
        <f t="shared" si="144"/>
        <v/>
      </c>
    </row>
    <row r="1255" spans="1:33" x14ac:dyDescent="0.25">
      <c r="A1255" s="46" t="str">
        <f>IF(ISBLANK(inbound_data[[#This Row],[Receiving Report ref.'#]]),"",IF(inbound_data[[#This Row],[Ending Quantity]]=0,"ZERO","INV"))</f>
        <v/>
      </c>
      <c r="B1255" s="165" t="str">
        <f t="shared" si="138"/>
        <v/>
      </c>
      <c r="C1255" s="165" t="str">
        <f>IF(ISBLANK(D1255),"",inbound_data[[#This Row],[Pallet_Series]]&amp;inbound_data[[#This Row],[No.]])</f>
        <v/>
      </c>
      <c r="D1255" s="54"/>
      <c r="E1255" s="55"/>
      <c r="F1255" s="56"/>
      <c r="G1255" s="57"/>
      <c r="H1255" s="53"/>
      <c r="I1255" s="53"/>
      <c r="J1255" s="55"/>
      <c r="K1255" s="58"/>
      <c r="L1255" s="59"/>
      <c r="M1255" s="55"/>
      <c r="N1255" s="60"/>
      <c r="O1255" s="60"/>
      <c r="P1255" s="165" t="str">
        <f t="shared" ca="1" si="139"/>
        <v/>
      </c>
      <c r="Q1255" s="165" t="str">
        <f t="shared" ca="1" si="140"/>
        <v/>
      </c>
      <c r="R1255" s="79"/>
      <c r="S1255" s="80"/>
      <c r="T1255" s="61">
        <f t="shared" si="141"/>
        <v>0</v>
      </c>
      <c r="U1255" s="61">
        <f t="shared" si="142"/>
        <v>0</v>
      </c>
      <c r="V1255" s="61">
        <f t="shared" si="143"/>
        <v>0</v>
      </c>
      <c r="W1255" s="58"/>
      <c r="X1255" s="58"/>
      <c r="Y1255" s="53"/>
      <c r="Z1255" s="57"/>
      <c r="AA1255" s="164"/>
      <c r="AB1255" s="164"/>
      <c r="AC1255" s="164"/>
      <c r="AD1255" s="164"/>
      <c r="AE1255" s="164"/>
      <c r="AF1255" s="63"/>
      <c r="AG1255" s="64" t="str">
        <f t="shared" si="144"/>
        <v/>
      </c>
    </row>
    <row r="1256" spans="1:33" x14ac:dyDescent="0.25">
      <c r="A1256" s="46" t="str">
        <f>IF(ISBLANK(inbound_data[[#This Row],[Receiving Report ref.'#]]),"",IF(inbound_data[[#This Row],[Ending Quantity]]=0,"ZERO","INV"))</f>
        <v/>
      </c>
      <c r="B1256" s="165" t="str">
        <f t="shared" si="138"/>
        <v/>
      </c>
      <c r="C1256" s="165" t="str">
        <f>IF(ISBLANK(D1256),"",inbound_data[[#This Row],[Pallet_Series]]&amp;inbound_data[[#This Row],[No.]])</f>
        <v/>
      </c>
      <c r="D1256" s="54"/>
      <c r="E1256" s="55"/>
      <c r="F1256" s="56"/>
      <c r="G1256" s="57"/>
      <c r="H1256" s="53"/>
      <c r="I1256" s="53"/>
      <c r="J1256" s="55"/>
      <c r="K1256" s="58"/>
      <c r="L1256" s="59"/>
      <c r="M1256" s="55"/>
      <c r="N1256" s="60"/>
      <c r="O1256" s="60"/>
      <c r="P1256" s="165" t="str">
        <f t="shared" ca="1" si="139"/>
        <v/>
      </c>
      <c r="Q1256" s="165" t="str">
        <f t="shared" ca="1" si="140"/>
        <v/>
      </c>
      <c r="R1256" s="79"/>
      <c r="S1256" s="80"/>
      <c r="T1256" s="61">
        <f t="shared" si="141"/>
        <v>0</v>
      </c>
      <c r="U1256" s="61">
        <f t="shared" si="142"/>
        <v>0</v>
      </c>
      <c r="V1256" s="61">
        <f t="shared" si="143"/>
        <v>0</v>
      </c>
      <c r="W1256" s="58"/>
      <c r="X1256" s="58"/>
      <c r="Y1256" s="53"/>
      <c r="Z1256" s="57"/>
      <c r="AA1256" s="164"/>
      <c r="AB1256" s="164"/>
      <c r="AC1256" s="164"/>
      <c r="AD1256" s="164"/>
      <c r="AE1256" s="164"/>
      <c r="AF1256" s="63"/>
      <c r="AG1256" s="64" t="str">
        <f t="shared" si="144"/>
        <v/>
      </c>
    </row>
    <row r="1257" spans="1:33" x14ac:dyDescent="0.25">
      <c r="A1257" s="46" t="str">
        <f>IF(ISBLANK(inbound_data[[#This Row],[Receiving Report ref.'#]]),"",IF(inbound_data[[#This Row],[Ending Quantity]]=0,"ZERO","INV"))</f>
        <v/>
      </c>
      <c r="B1257" s="165" t="str">
        <f t="shared" si="138"/>
        <v/>
      </c>
      <c r="C1257" s="165" t="str">
        <f>IF(ISBLANK(D1257),"",inbound_data[[#This Row],[Pallet_Series]]&amp;inbound_data[[#This Row],[No.]])</f>
        <v/>
      </c>
      <c r="D1257" s="54"/>
      <c r="E1257" s="55"/>
      <c r="F1257" s="56"/>
      <c r="G1257" s="57"/>
      <c r="H1257" s="53"/>
      <c r="I1257" s="53"/>
      <c r="J1257" s="55"/>
      <c r="K1257" s="58"/>
      <c r="L1257" s="59"/>
      <c r="M1257" s="55"/>
      <c r="N1257" s="60"/>
      <c r="O1257" s="60"/>
      <c r="P1257" s="165" t="str">
        <f t="shared" ca="1" si="139"/>
        <v/>
      </c>
      <c r="Q1257" s="165" t="str">
        <f t="shared" ca="1" si="140"/>
        <v/>
      </c>
      <c r="R1257" s="79"/>
      <c r="S1257" s="80"/>
      <c r="T1257" s="61">
        <f t="shared" si="141"/>
        <v>0</v>
      </c>
      <c r="U1257" s="61">
        <f t="shared" si="142"/>
        <v>0</v>
      </c>
      <c r="V1257" s="61">
        <f t="shared" si="143"/>
        <v>0</v>
      </c>
      <c r="W1257" s="58"/>
      <c r="X1257" s="58"/>
      <c r="Y1257" s="53"/>
      <c r="Z1257" s="57"/>
      <c r="AA1257" s="164"/>
      <c r="AB1257" s="164"/>
      <c r="AC1257" s="164"/>
      <c r="AD1257" s="164"/>
      <c r="AE1257" s="164"/>
      <c r="AF1257" s="63"/>
      <c r="AG1257" s="64" t="str">
        <f t="shared" si="144"/>
        <v/>
      </c>
    </row>
    <row r="1258" spans="1:33" x14ac:dyDescent="0.25">
      <c r="A1258" s="46" t="str">
        <f>IF(ISBLANK(inbound_data[[#This Row],[Receiving Report ref.'#]]),"",IF(inbound_data[[#This Row],[Ending Quantity]]=0,"ZERO","INV"))</f>
        <v/>
      </c>
      <c r="B1258" s="165" t="str">
        <f t="shared" si="138"/>
        <v/>
      </c>
      <c r="C1258" s="165" t="str">
        <f>IF(ISBLANK(D1258),"",inbound_data[[#This Row],[Pallet_Series]]&amp;inbound_data[[#This Row],[No.]])</f>
        <v/>
      </c>
      <c r="D1258" s="54"/>
      <c r="E1258" s="55"/>
      <c r="F1258" s="56"/>
      <c r="G1258" s="57"/>
      <c r="H1258" s="53"/>
      <c r="I1258" s="53"/>
      <c r="J1258" s="55"/>
      <c r="K1258" s="58"/>
      <c r="L1258" s="59"/>
      <c r="M1258" s="55"/>
      <c r="N1258" s="60"/>
      <c r="O1258" s="60"/>
      <c r="P1258" s="165" t="str">
        <f t="shared" ca="1" si="139"/>
        <v/>
      </c>
      <c r="Q1258" s="165" t="str">
        <f t="shared" ca="1" si="140"/>
        <v/>
      </c>
      <c r="R1258" s="79"/>
      <c r="S1258" s="80"/>
      <c r="T1258" s="61">
        <f t="shared" si="141"/>
        <v>0</v>
      </c>
      <c r="U1258" s="61">
        <f t="shared" si="142"/>
        <v>0</v>
      </c>
      <c r="V1258" s="61">
        <f t="shared" si="143"/>
        <v>0</v>
      </c>
      <c r="W1258" s="58"/>
      <c r="X1258" s="58"/>
      <c r="Y1258" s="53"/>
      <c r="Z1258" s="57"/>
      <c r="AA1258" s="164"/>
      <c r="AB1258" s="164"/>
      <c r="AC1258" s="164"/>
      <c r="AD1258" s="164"/>
      <c r="AE1258" s="164"/>
      <c r="AF1258" s="63"/>
      <c r="AG1258" s="64" t="str">
        <f t="shared" si="144"/>
        <v/>
      </c>
    </row>
    <row r="1259" spans="1:33" x14ac:dyDescent="0.25">
      <c r="A1259" s="46" t="str">
        <f>IF(ISBLANK(inbound_data[[#This Row],[Receiving Report ref.'#]]),"",IF(inbound_data[[#This Row],[Ending Quantity]]=0,"ZERO","INV"))</f>
        <v/>
      </c>
      <c r="B1259" s="165" t="str">
        <f t="shared" si="138"/>
        <v/>
      </c>
      <c r="C1259" s="165" t="str">
        <f>IF(ISBLANK(D1259),"",inbound_data[[#This Row],[Pallet_Series]]&amp;inbound_data[[#This Row],[No.]])</f>
        <v/>
      </c>
      <c r="D1259" s="54"/>
      <c r="E1259" s="55"/>
      <c r="F1259" s="56"/>
      <c r="G1259" s="57"/>
      <c r="H1259" s="53"/>
      <c r="I1259" s="53"/>
      <c r="J1259" s="55"/>
      <c r="K1259" s="58"/>
      <c r="L1259" s="59"/>
      <c r="M1259" s="55"/>
      <c r="N1259" s="60"/>
      <c r="O1259" s="60"/>
      <c r="P1259" s="165" t="str">
        <f t="shared" ca="1" si="139"/>
        <v/>
      </c>
      <c r="Q1259" s="165" t="str">
        <f t="shared" ca="1" si="140"/>
        <v/>
      </c>
      <c r="R1259" s="79"/>
      <c r="S1259" s="80"/>
      <c r="T1259" s="61">
        <f t="shared" si="141"/>
        <v>0</v>
      </c>
      <c r="U1259" s="61">
        <f t="shared" si="142"/>
        <v>0</v>
      </c>
      <c r="V1259" s="61">
        <f t="shared" si="143"/>
        <v>0</v>
      </c>
      <c r="W1259" s="58"/>
      <c r="X1259" s="58"/>
      <c r="Y1259" s="53"/>
      <c r="Z1259" s="57"/>
      <c r="AA1259" s="164"/>
      <c r="AB1259" s="164"/>
      <c r="AC1259" s="164"/>
      <c r="AD1259" s="164"/>
      <c r="AE1259" s="164"/>
      <c r="AF1259" s="63"/>
      <c r="AG1259" s="64" t="str">
        <f t="shared" si="144"/>
        <v/>
      </c>
    </row>
    <row r="1260" spans="1:33" x14ac:dyDescent="0.25">
      <c r="A1260" s="46" t="str">
        <f>IF(ISBLANK(inbound_data[[#This Row],[Receiving Report ref.'#]]),"",IF(inbound_data[[#This Row],[Ending Quantity]]=0,"ZERO","INV"))</f>
        <v/>
      </c>
      <c r="B1260" s="165" t="str">
        <f t="shared" si="138"/>
        <v/>
      </c>
      <c r="C1260" s="165" t="str">
        <f>IF(ISBLANK(D1260),"",inbound_data[[#This Row],[Pallet_Series]]&amp;inbound_data[[#This Row],[No.]])</f>
        <v/>
      </c>
      <c r="D1260" s="54"/>
      <c r="E1260" s="55"/>
      <c r="F1260" s="56"/>
      <c r="G1260" s="57"/>
      <c r="H1260" s="53"/>
      <c r="I1260" s="53"/>
      <c r="J1260" s="55"/>
      <c r="K1260" s="58"/>
      <c r="L1260" s="59"/>
      <c r="M1260" s="55"/>
      <c r="N1260" s="60"/>
      <c r="O1260" s="60"/>
      <c r="P1260" s="165" t="str">
        <f t="shared" ca="1" si="139"/>
        <v/>
      </c>
      <c r="Q1260" s="165" t="str">
        <f t="shared" ca="1" si="140"/>
        <v/>
      </c>
      <c r="R1260" s="79"/>
      <c r="S1260" s="80"/>
      <c r="T1260" s="61">
        <f t="shared" si="141"/>
        <v>0</v>
      </c>
      <c r="U1260" s="61">
        <f t="shared" si="142"/>
        <v>0</v>
      </c>
      <c r="V1260" s="61">
        <f t="shared" si="143"/>
        <v>0</v>
      </c>
      <c r="W1260" s="58"/>
      <c r="X1260" s="58"/>
      <c r="Y1260" s="53"/>
      <c r="Z1260" s="57"/>
      <c r="AA1260" s="164"/>
      <c r="AB1260" s="164"/>
      <c r="AC1260" s="164"/>
      <c r="AD1260" s="164"/>
      <c r="AE1260" s="164"/>
      <c r="AF1260" s="63"/>
      <c r="AG1260" s="64" t="str">
        <f t="shared" si="144"/>
        <v/>
      </c>
    </row>
    <row r="1261" spans="1:33" x14ac:dyDescent="0.25">
      <c r="A1261" s="46" t="str">
        <f>IF(ISBLANK(inbound_data[[#This Row],[Receiving Report ref.'#]]),"",IF(inbound_data[[#This Row],[Ending Quantity]]=0,"ZERO","INV"))</f>
        <v/>
      </c>
      <c r="B1261" s="165" t="str">
        <f t="shared" si="138"/>
        <v/>
      </c>
      <c r="C1261" s="165" t="str">
        <f>IF(ISBLANK(D1261),"",inbound_data[[#This Row],[Pallet_Series]]&amp;inbound_data[[#This Row],[No.]])</f>
        <v/>
      </c>
      <c r="D1261" s="54"/>
      <c r="E1261" s="55"/>
      <c r="F1261" s="56"/>
      <c r="G1261" s="57"/>
      <c r="H1261" s="53"/>
      <c r="I1261" s="53"/>
      <c r="J1261" s="55"/>
      <c r="K1261" s="58"/>
      <c r="L1261" s="59"/>
      <c r="M1261" s="55"/>
      <c r="N1261" s="60"/>
      <c r="O1261" s="60"/>
      <c r="P1261" s="165" t="str">
        <f t="shared" ca="1" si="139"/>
        <v/>
      </c>
      <c r="Q1261" s="165" t="str">
        <f t="shared" ca="1" si="140"/>
        <v/>
      </c>
      <c r="R1261" s="79"/>
      <c r="S1261" s="80"/>
      <c r="T1261" s="61">
        <f t="shared" si="141"/>
        <v>0</v>
      </c>
      <c r="U1261" s="61">
        <f t="shared" si="142"/>
        <v>0</v>
      </c>
      <c r="V1261" s="61">
        <f t="shared" si="143"/>
        <v>0</v>
      </c>
      <c r="W1261" s="58"/>
      <c r="X1261" s="58"/>
      <c r="Y1261" s="53"/>
      <c r="Z1261" s="57"/>
      <c r="AA1261" s="164"/>
      <c r="AB1261" s="164"/>
      <c r="AC1261" s="164"/>
      <c r="AD1261" s="164"/>
      <c r="AE1261" s="164"/>
      <c r="AF1261" s="63"/>
      <c r="AG1261" s="64" t="str">
        <f t="shared" si="144"/>
        <v/>
      </c>
    </row>
    <row r="1262" spans="1:33" x14ac:dyDescent="0.25">
      <c r="A1262" s="46" t="str">
        <f>IF(ISBLANK(inbound_data[[#This Row],[Receiving Report ref.'#]]),"",IF(inbound_data[[#This Row],[Ending Quantity]]=0,"ZERO","INV"))</f>
        <v/>
      </c>
      <c r="B1262" s="165" t="str">
        <f t="shared" si="138"/>
        <v/>
      </c>
      <c r="C1262" s="165" t="str">
        <f>IF(ISBLANK(D1262),"",inbound_data[[#This Row],[Pallet_Series]]&amp;inbound_data[[#This Row],[No.]])</f>
        <v/>
      </c>
      <c r="D1262" s="54"/>
      <c r="E1262" s="55"/>
      <c r="F1262" s="56"/>
      <c r="G1262" s="57"/>
      <c r="H1262" s="53"/>
      <c r="I1262" s="53"/>
      <c r="J1262" s="55"/>
      <c r="K1262" s="58"/>
      <c r="L1262" s="59"/>
      <c r="M1262" s="55"/>
      <c r="N1262" s="60"/>
      <c r="O1262" s="60"/>
      <c r="P1262" s="165" t="str">
        <f t="shared" ca="1" si="139"/>
        <v/>
      </c>
      <c r="Q1262" s="165" t="str">
        <f t="shared" ca="1" si="140"/>
        <v/>
      </c>
      <c r="R1262" s="79"/>
      <c r="S1262" s="80"/>
      <c r="T1262" s="61">
        <f t="shared" si="141"/>
        <v>0</v>
      </c>
      <c r="U1262" s="61">
        <f t="shared" si="142"/>
        <v>0</v>
      </c>
      <c r="V1262" s="61">
        <f t="shared" si="143"/>
        <v>0</v>
      </c>
      <c r="W1262" s="58"/>
      <c r="X1262" s="58"/>
      <c r="Y1262" s="53"/>
      <c r="Z1262" s="57"/>
      <c r="AA1262" s="164"/>
      <c r="AB1262" s="164"/>
      <c r="AC1262" s="164"/>
      <c r="AD1262" s="164"/>
      <c r="AE1262" s="164"/>
      <c r="AF1262" s="63"/>
      <c r="AG1262" s="64" t="str">
        <f t="shared" si="144"/>
        <v/>
      </c>
    </row>
    <row r="1263" spans="1:33" x14ac:dyDescent="0.25">
      <c r="A1263" s="46" t="str">
        <f>IF(ISBLANK(inbound_data[[#This Row],[Receiving Report ref.'#]]),"",IF(inbound_data[[#This Row],[Ending Quantity]]=0,"ZERO","INV"))</f>
        <v/>
      </c>
      <c r="B1263" s="165" t="str">
        <f t="shared" si="138"/>
        <v/>
      </c>
      <c r="C1263" s="165" t="str">
        <f>IF(ISBLANK(D1263),"",inbound_data[[#This Row],[Pallet_Series]]&amp;inbound_data[[#This Row],[No.]])</f>
        <v/>
      </c>
      <c r="D1263" s="54"/>
      <c r="E1263" s="55"/>
      <c r="F1263" s="56"/>
      <c r="G1263" s="57"/>
      <c r="H1263" s="53"/>
      <c r="I1263" s="53"/>
      <c r="J1263" s="55"/>
      <c r="K1263" s="58"/>
      <c r="L1263" s="59"/>
      <c r="M1263" s="55"/>
      <c r="N1263" s="60"/>
      <c r="O1263" s="60"/>
      <c r="P1263" s="165" t="str">
        <f t="shared" ca="1" si="139"/>
        <v/>
      </c>
      <c r="Q1263" s="165" t="str">
        <f t="shared" ca="1" si="140"/>
        <v/>
      </c>
      <c r="R1263" s="79"/>
      <c r="S1263" s="80"/>
      <c r="T1263" s="61">
        <f t="shared" si="141"/>
        <v>0</v>
      </c>
      <c r="U1263" s="61">
        <f t="shared" si="142"/>
        <v>0</v>
      </c>
      <c r="V1263" s="61">
        <f t="shared" si="143"/>
        <v>0</v>
      </c>
      <c r="W1263" s="58"/>
      <c r="X1263" s="58"/>
      <c r="Y1263" s="53"/>
      <c r="Z1263" s="57"/>
      <c r="AA1263" s="164"/>
      <c r="AB1263" s="164"/>
      <c r="AC1263" s="164"/>
      <c r="AD1263" s="164"/>
      <c r="AE1263" s="164"/>
      <c r="AF1263" s="63"/>
      <c r="AG1263" s="64" t="str">
        <f t="shared" si="144"/>
        <v/>
      </c>
    </row>
    <row r="1264" spans="1:33" x14ac:dyDescent="0.25">
      <c r="A1264" s="46" t="str">
        <f>IF(ISBLANK(inbound_data[[#This Row],[Receiving Report ref.'#]]),"",IF(inbound_data[[#This Row],[Ending Quantity]]=0,"ZERO","INV"))</f>
        <v/>
      </c>
      <c r="B1264" s="165" t="str">
        <f t="shared" si="138"/>
        <v/>
      </c>
      <c r="C1264" s="165" t="str">
        <f>IF(ISBLANK(D1264),"",inbound_data[[#This Row],[Pallet_Series]]&amp;inbound_data[[#This Row],[No.]])</f>
        <v/>
      </c>
      <c r="D1264" s="54"/>
      <c r="E1264" s="55"/>
      <c r="F1264" s="56"/>
      <c r="G1264" s="57"/>
      <c r="H1264" s="53"/>
      <c r="I1264" s="53"/>
      <c r="J1264" s="55"/>
      <c r="K1264" s="58"/>
      <c r="L1264" s="59"/>
      <c r="M1264" s="55"/>
      <c r="N1264" s="60"/>
      <c r="O1264" s="60"/>
      <c r="P1264" s="165" t="str">
        <f t="shared" ca="1" si="139"/>
        <v/>
      </c>
      <c r="Q1264" s="165" t="str">
        <f t="shared" ca="1" si="140"/>
        <v/>
      </c>
      <c r="R1264" s="79"/>
      <c r="S1264" s="80"/>
      <c r="T1264" s="61">
        <f t="shared" si="141"/>
        <v>0</v>
      </c>
      <c r="U1264" s="61">
        <f t="shared" si="142"/>
        <v>0</v>
      </c>
      <c r="V1264" s="61">
        <f t="shared" si="143"/>
        <v>0</v>
      </c>
      <c r="W1264" s="58"/>
      <c r="X1264" s="58"/>
      <c r="Y1264" s="53"/>
      <c r="Z1264" s="57"/>
      <c r="AA1264" s="164"/>
      <c r="AB1264" s="164"/>
      <c r="AC1264" s="164"/>
      <c r="AD1264" s="164"/>
      <c r="AE1264" s="164"/>
      <c r="AF1264" s="63"/>
      <c r="AG1264" s="64" t="str">
        <f t="shared" si="144"/>
        <v/>
      </c>
    </row>
    <row r="1265" spans="1:33" x14ac:dyDescent="0.25">
      <c r="A1265" s="46" t="str">
        <f>IF(ISBLANK(inbound_data[[#This Row],[Receiving Report ref.'#]]),"",IF(inbound_data[[#This Row],[Ending Quantity]]=0,"ZERO","INV"))</f>
        <v/>
      </c>
      <c r="B1265" s="165" t="str">
        <f t="shared" si="138"/>
        <v/>
      </c>
      <c r="C1265" s="165" t="str">
        <f>IF(ISBLANK(D1265),"",inbound_data[[#This Row],[Pallet_Series]]&amp;inbound_data[[#This Row],[No.]])</f>
        <v/>
      </c>
      <c r="D1265" s="54"/>
      <c r="E1265" s="55"/>
      <c r="F1265" s="56"/>
      <c r="G1265" s="57"/>
      <c r="H1265" s="53"/>
      <c r="I1265" s="53"/>
      <c r="J1265" s="55"/>
      <c r="K1265" s="58"/>
      <c r="L1265" s="59"/>
      <c r="M1265" s="55"/>
      <c r="N1265" s="60"/>
      <c r="O1265" s="60"/>
      <c r="P1265" s="165" t="str">
        <f t="shared" ca="1" si="139"/>
        <v/>
      </c>
      <c r="Q1265" s="165" t="str">
        <f t="shared" ca="1" si="140"/>
        <v/>
      </c>
      <c r="R1265" s="79"/>
      <c r="S1265" s="80"/>
      <c r="T1265" s="61">
        <f t="shared" si="141"/>
        <v>0</v>
      </c>
      <c r="U1265" s="61">
        <f t="shared" si="142"/>
        <v>0</v>
      </c>
      <c r="V1265" s="61">
        <f t="shared" si="143"/>
        <v>0</v>
      </c>
      <c r="W1265" s="58"/>
      <c r="X1265" s="58"/>
      <c r="Y1265" s="53"/>
      <c r="Z1265" s="57"/>
      <c r="AA1265" s="164"/>
      <c r="AB1265" s="164"/>
      <c r="AC1265" s="164"/>
      <c r="AD1265" s="164"/>
      <c r="AE1265" s="164"/>
      <c r="AF1265" s="63"/>
      <c r="AG1265" s="64" t="str">
        <f t="shared" si="144"/>
        <v/>
      </c>
    </row>
    <row r="1266" spans="1:33" x14ac:dyDescent="0.25">
      <c r="A1266" s="46" t="str">
        <f>IF(ISBLANK(inbound_data[[#This Row],[Receiving Report ref.'#]]),"",IF(inbound_data[[#This Row],[Ending Quantity]]=0,"ZERO","INV"))</f>
        <v/>
      </c>
      <c r="B1266" s="165" t="str">
        <f t="shared" si="138"/>
        <v/>
      </c>
      <c r="C1266" s="165" t="str">
        <f>IF(ISBLANK(D1266),"",inbound_data[[#This Row],[Pallet_Series]]&amp;inbound_data[[#This Row],[No.]])</f>
        <v/>
      </c>
      <c r="D1266" s="54"/>
      <c r="E1266" s="55"/>
      <c r="F1266" s="56"/>
      <c r="G1266" s="57"/>
      <c r="H1266" s="53"/>
      <c r="I1266" s="53"/>
      <c r="J1266" s="55"/>
      <c r="K1266" s="58"/>
      <c r="L1266" s="59"/>
      <c r="M1266" s="55"/>
      <c r="N1266" s="60"/>
      <c r="O1266" s="60"/>
      <c r="P1266" s="165" t="str">
        <f t="shared" ca="1" si="139"/>
        <v/>
      </c>
      <c r="Q1266" s="165" t="str">
        <f t="shared" ca="1" si="140"/>
        <v/>
      </c>
      <c r="R1266" s="79"/>
      <c r="S1266" s="80"/>
      <c r="T1266" s="61">
        <f t="shared" si="141"/>
        <v>0</v>
      </c>
      <c r="U1266" s="61">
        <f t="shared" si="142"/>
        <v>0</v>
      </c>
      <c r="V1266" s="61">
        <f t="shared" si="143"/>
        <v>0</v>
      </c>
      <c r="W1266" s="58"/>
      <c r="X1266" s="58"/>
      <c r="Y1266" s="53"/>
      <c r="Z1266" s="57"/>
      <c r="AA1266" s="164"/>
      <c r="AB1266" s="164"/>
      <c r="AC1266" s="164"/>
      <c r="AD1266" s="164"/>
      <c r="AE1266" s="164"/>
      <c r="AF1266" s="63"/>
      <c r="AG1266" s="64" t="str">
        <f t="shared" si="144"/>
        <v/>
      </c>
    </row>
    <row r="1267" spans="1:33" x14ac:dyDescent="0.25">
      <c r="A1267" s="46" t="str">
        <f>IF(ISBLANK(inbound_data[[#This Row],[Receiving Report ref.'#]]),"",IF(inbound_data[[#This Row],[Ending Quantity]]=0,"ZERO","INV"))</f>
        <v/>
      </c>
      <c r="B1267" s="165" t="str">
        <f t="shared" si="138"/>
        <v/>
      </c>
      <c r="C1267" s="165" t="str">
        <f>IF(ISBLANK(D1267),"",inbound_data[[#This Row],[Pallet_Series]]&amp;inbound_data[[#This Row],[No.]])</f>
        <v/>
      </c>
      <c r="D1267" s="54"/>
      <c r="E1267" s="55"/>
      <c r="F1267" s="56"/>
      <c r="G1267" s="57"/>
      <c r="H1267" s="53"/>
      <c r="I1267" s="53"/>
      <c r="J1267" s="55"/>
      <c r="K1267" s="58"/>
      <c r="L1267" s="59"/>
      <c r="M1267" s="55"/>
      <c r="N1267" s="60"/>
      <c r="O1267" s="60"/>
      <c r="P1267" s="165" t="str">
        <f t="shared" ca="1" si="139"/>
        <v/>
      </c>
      <c r="Q1267" s="165" t="str">
        <f t="shared" ca="1" si="140"/>
        <v/>
      </c>
      <c r="R1267" s="79"/>
      <c r="S1267" s="80"/>
      <c r="T1267" s="61">
        <f t="shared" si="141"/>
        <v>0</v>
      </c>
      <c r="U1267" s="61">
        <f t="shared" si="142"/>
        <v>0</v>
      </c>
      <c r="V1267" s="61">
        <f t="shared" si="143"/>
        <v>0</v>
      </c>
      <c r="W1267" s="58"/>
      <c r="X1267" s="58"/>
      <c r="Y1267" s="53"/>
      <c r="Z1267" s="57"/>
      <c r="AA1267" s="164"/>
      <c r="AB1267" s="164"/>
      <c r="AC1267" s="164"/>
      <c r="AD1267" s="164"/>
      <c r="AE1267" s="164"/>
      <c r="AF1267" s="63"/>
      <c r="AG1267" s="64" t="str">
        <f t="shared" si="144"/>
        <v/>
      </c>
    </row>
    <row r="1268" spans="1:33" x14ac:dyDescent="0.25">
      <c r="A1268" s="46" t="str">
        <f>IF(ISBLANK(inbound_data[[#This Row],[Receiving Report ref.'#]]),"",IF(inbound_data[[#This Row],[Ending Quantity]]=0,"ZERO","INV"))</f>
        <v/>
      </c>
      <c r="B1268" s="165" t="str">
        <f t="shared" si="138"/>
        <v/>
      </c>
      <c r="C1268" s="165" t="str">
        <f>IF(ISBLANK(D1268),"",inbound_data[[#This Row],[Pallet_Series]]&amp;inbound_data[[#This Row],[No.]])</f>
        <v/>
      </c>
      <c r="D1268" s="54"/>
      <c r="E1268" s="55"/>
      <c r="F1268" s="56"/>
      <c r="G1268" s="57"/>
      <c r="H1268" s="53"/>
      <c r="I1268" s="53"/>
      <c r="J1268" s="55"/>
      <c r="K1268" s="58"/>
      <c r="L1268" s="59"/>
      <c r="M1268" s="55"/>
      <c r="N1268" s="60"/>
      <c r="O1268" s="60"/>
      <c r="P1268" s="165" t="str">
        <f t="shared" ca="1" si="139"/>
        <v/>
      </c>
      <c r="Q1268" s="165" t="str">
        <f t="shared" ca="1" si="140"/>
        <v/>
      </c>
      <c r="R1268" s="79"/>
      <c r="S1268" s="80"/>
      <c r="T1268" s="61">
        <f t="shared" si="141"/>
        <v>0</v>
      </c>
      <c r="U1268" s="61">
        <f t="shared" si="142"/>
        <v>0</v>
      </c>
      <c r="V1268" s="61">
        <f t="shared" si="143"/>
        <v>0</v>
      </c>
      <c r="W1268" s="58"/>
      <c r="X1268" s="58"/>
      <c r="Y1268" s="53"/>
      <c r="Z1268" s="57"/>
      <c r="AA1268" s="164"/>
      <c r="AB1268" s="164"/>
      <c r="AC1268" s="164"/>
      <c r="AD1268" s="164"/>
      <c r="AE1268" s="164"/>
      <c r="AF1268" s="63"/>
      <c r="AG1268" s="64" t="str">
        <f t="shared" si="144"/>
        <v/>
      </c>
    </row>
    <row r="1269" spans="1:33" x14ac:dyDescent="0.25">
      <c r="A1269" s="46" t="str">
        <f>IF(ISBLANK(inbound_data[[#This Row],[Receiving Report ref.'#]]),"",IF(inbound_data[[#This Row],[Ending Quantity]]=0,"ZERO","INV"))</f>
        <v/>
      </c>
      <c r="B1269" s="165" t="str">
        <f t="shared" si="138"/>
        <v/>
      </c>
      <c r="C1269" s="165" t="str">
        <f>IF(ISBLANK(D1269),"",inbound_data[[#This Row],[Pallet_Series]]&amp;inbound_data[[#This Row],[No.]])</f>
        <v/>
      </c>
      <c r="D1269" s="54"/>
      <c r="E1269" s="55"/>
      <c r="F1269" s="56"/>
      <c r="G1269" s="57"/>
      <c r="H1269" s="53"/>
      <c r="I1269" s="53"/>
      <c r="J1269" s="55"/>
      <c r="K1269" s="58"/>
      <c r="L1269" s="59"/>
      <c r="M1269" s="55"/>
      <c r="N1269" s="60"/>
      <c r="O1269" s="60"/>
      <c r="P1269" s="165" t="str">
        <f t="shared" ca="1" si="139"/>
        <v/>
      </c>
      <c r="Q1269" s="165" t="str">
        <f t="shared" ca="1" si="140"/>
        <v/>
      </c>
      <c r="R1269" s="79"/>
      <c r="S1269" s="80"/>
      <c r="T1269" s="61">
        <f t="shared" si="141"/>
        <v>0</v>
      </c>
      <c r="U1269" s="61">
        <f t="shared" si="142"/>
        <v>0</v>
      </c>
      <c r="V1269" s="61">
        <f t="shared" si="143"/>
        <v>0</v>
      </c>
      <c r="W1269" s="58"/>
      <c r="X1269" s="58"/>
      <c r="Y1269" s="53"/>
      <c r="Z1269" s="57"/>
      <c r="AA1269" s="164"/>
      <c r="AB1269" s="164"/>
      <c r="AC1269" s="164"/>
      <c r="AD1269" s="164"/>
      <c r="AE1269" s="164"/>
      <c r="AF1269" s="63"/>
      <c r="AG1269" s="64" t="str">
        <f t="shared" si="144"/>
        <v/>
      </c>
    </row>
    <row r="1270" spans="1:33" x14ac:dyDescent="0.25">
      <c r="A1270" s="46" t="str">
        <f>IF(ISBLANK(inbound_data[[#This Row],[Receiving Report ref.'#]]),"",IF(inbound_data[[#This Row],[Ending Quantity]]=0,"ZERO","INV"))</f>
        <v/>
      </c>
      <c r="B1270" s="165" t="str">
        <f t="shared" si="138"/>
        <v/>
      </c>
      <c r="C1270" s="165" t="str">
        <f>IF(ISBLANK(D1270),"",inbound_data[[#This Row],[Pallet_Series]]&amp;inbound_data[[#This Row],[No.]])</f>
        <v/>
      </c>
      <c r="D1270" s="54"/>
      <c r="E1270" s="55"/>
      <c r="F1270" s="56"/>
      <c r="G1270" s="57"/>
      <c r="H1270" s="53"/>
      <c r="I1270" s="53"/>
      <c r="J1270" s="55"/>
      <c r="K1270" s="58"/>
      <c r="L1270" s="59"/>
      <c r="M1270" s="55"/>
      <c r="N1270" s="60"/>
      <c r="O1270" s="60"/>
      <c r="P1270" s="165" t="str">
        <f t="shared" ca="1" si="139"/>
        <v/>
      </c>
      <c r="Q1270" s="165" t="str">
        <f t="shared" ca="1" si="140"/>
        <v/>
      </c>
      <c r="R1270" s="79"/>
      <c r="S1270" s="80"/>
      <c r="T1270" s="61">
        <f t="shared" si="141"/>
        <v>0</v>
      </c>
      <c r="U1270" s="61">
        <f t="shared" si="142"/>
        <v>0</v>
      </c>
      <c r="V1270" s="61">
        <f t="shared" si="143"/>
        <v>0</v>
      </c>
      <c r="W1270" s="58"/>
      <c r="X1270" s="58"/>
      <c r="Y1270" s="53"/>
      <c r="Z1270" s="57"/>
      <c r="AA1270" s="164"/>
      <c r="AB1270" s="164"/>
      <c r="AC1270" s="164"/>
      <c r="AD1270" s="164"/>
      <c r="AE1270" s="164"/>
      <c r="AF1270" s="63"/>
      <c r="AG1270" s="64" t="str">
        <f t="shared" si="144"/>
        <v/>
      </c>
    </row>
    <row r="1271" spans="1:33" x14ac:dyDescent="0.25">
      <c r="A1271" s="46" t="str">
        <f>IF(ISBLANK(inbound_data[[#This Row],[Receiving Report ref.'#]]),"",IF(inbound_data[[#This Row],[Ending Quantity]]=0,"ZERO","INV"))</f>
        <v/>
      </c>
      <c r="B1271" s="165" t="str">
        <f t="shared" si="138"/>
        <v/>
      </c>
      <c r="C1271" s="165" t="str">
        <f>IF(ISBLANK(D1271),"",inbound_data[[#This Row],[Pallet_Series]]&amp;inbound_data[[#This Row],[No.]])</f>
        <v/>
      </c>
      <c r="D1271" s="54"/>
      <c r="E1271" s="55"/>
      <c r="F1271" s="56"/>
      <c r="G1271" s="57"/>
      <c r="H1271" s="53"/>
      <c r="I1271" s="53"/>
      <c r="J1271" s="55"/>
      <c r="K1271" s="58"/>
      <c r="L1271" s="59"/>
      <c r="M1271" s="55"/>
      <c r="N1271" s="60"/>
      <c r="O1271" s="60"/>
      <c r="P1271" s="165" t="str">
        <f t="shared" ca="1" si="139"/>
        <v/>
      </c>
      <c r="Q1271" s="165" t="str">
        <f t="shared" ca="1" si="140"/>
        <v/>
      </c>
      <c r="R1271" s="79"/>
      <c r="S1271" s="80"/>
      <c r="T1271" s="61">
        <f t="shared" si="141"/>
        <v>0</v>
      </c>
      <c r="U1271" s="61">
        <f t="shared" si="142"/>
        <v>0</v>
      </c>
      <c r="V1271" s="61">
        <f t="shared" si="143"/>
        <v>0</v>
      </c>
      <c r="W1271" s="58"/>
      <c r="X1271" s="58"/>
      <c r="Y1271" s="53"/>
      <c r="Z1271" s="57"/>
      <c r="AA1271" s="164"/>
      <c r="AB1271" s="164"/>
      <c r="AC1271" s="164"/>
      <c r="AD1271" s="164"/>
      <c r="AE1271" s="164"/>
      <c r="AF1271" s="63"/>
      <c r="AG1271" s="64" t="str">
        <f t="shared" si="144"/>
        <v/>
      </c>
    </row>
    <row r="1272" spans="1:33" x14ac:dyDescent="0.25">
      <c r="A1272" s="46" t="str">
        <f>IF(ISBLANK(inbound_data[[#This Row],[Receiving Report ref.'#]]),"",IF(inbound_data[[#This Row],[Ending Quantity]]=0,"ZERO","INV"))</f>
        <v/>
      </c>
      <c r="B1272" s="165" t="str">
        <f t="shared" si="138"/>
        <v/>
      </c>
      <c r="C1272" s="165" t="str">
        <f>IF(ISBLANK(D1272),"",inbound_data[[#This Row],[Pallet_Series]]&amp;inbound_data[[#This Row],[No.]])</f>
        <v/>
      </c>
      <c r="D1272" s="54"/>
      <c r="E1272" s="55"/>
      <c r="F1272" s="56"/>
      <c r="G1272" s="57"/>
      <c r="H1272" s="53"/>
      <c r="I1272" s="53"/>
      <c r="J1272" s="55"/>
      <c r="K1272" s="58"/>
      <c r="L1272" s="59"/>
      <c r="M1272" s="55"/>
      <c r="N1272" s="60"/>
      <c r="O1272" s="60"/>
      <c r="P1272" s="165" t="str">
        <f t="shared" ca="1" si="139"/>
        <v/>
      </c>
      <c r="Q1272" s="165" t="str">
        <f t="shared" ca="1" si="140"/>
        <v/>
      </c>
      <c r="R1272" s="79"/>
      <c r="S1272" s="80"/>
      <c r="T1272" s="61">
        <f t="shared" si="141"/>
        <v>0</v>
      </c>
      <c r="U1272" s="61">
        <f t="shared" si="142"/>
        <v>0</v>
      </c>
      <c r="V1272" s="61">
        <f t="shared" si="143"/>
        <v>0</v>
      </c>
      <c r="W1272" s="58"/>
      <c r="X1272" s="58"/>
      <c r="Y1272" s="53"/>
      <c r="Z1272" s="57"/>
      <c r="AA1272" s="164"/>
      <c r="AB1272" s="164"/>
      <c r="AC1272" s="164"/>
      <c r="AD1272" s="164"/>
      <c r="AE1272" s="164"/>
      <c r="AF1272" s="63"/>
      <c r="AG1272" s="64" t="str">
        <f t="shared" si="144"/>
        <v/>
      </c>
    </row>
    <row r="1273" spans="1:33" x14ac:dyDescent="0.25">
      <c r="A1273" s="46" t="str">
        <f>IF(ISBLANK(inbound_data[[#This Row],[Receiving Report ref.'#]]),"",IF(inbound_data[[#This Row],[Ending Quantity]]=0,"ZERO","INV"))</f>
        <v/>
      </c>
      <c r="B1273" s="165" t="str">
        <f t="shared" si="138"/>
        <v/>
      </c>
      <c r="C1273" s="165" t="str">
        <f>IF(ISBLANK(D1273),"",inbound_data[[#This Row],[Pallet_Series]]&amp;inbound_data[[#This Row],[No.]])</f>
        <v/>
      </c>
      <c r="D1273" s="54"/>
      <c r="E1273" s="55"/>
      <c r="F1273" s="56"/>
      <c r="G1273" s="57"/>
      <c r="H1273" s="53"/>
      <c r="I1273" s="53"/>
      <c r="J1273" s="55"/>
      <c r="K1273" s="58"/>
      <c r="L1273" s="59"/>
      <c r="M1273" s="55"/>
      <c r="N1273" s="60"/>
      <c r="O1273" s="60"/>
      <c r="P1273" s="165" t="str">
        <f t="shared" ca="1" si="139"/>
        <v/>
      </c>
      <c r="Q1273" s="165" t="str">
        <f t="shared" ca="1" si="140"/>
        <v/>
      </c>
      <c r="R1273" s="79"/>
      <c r="S1273" s="80"/>
      <c r="T1273" s="61">
        <f t="shared" si="141"/>
        <v>0</v>
      </c>
      <c r="U1273" s="61">
        <f t="shared" si="142"/>
        <v>0</v>
      </c>
      <c r="V1273" s="61">
        <f t="shared" si="143"/>
        <v>0</v>
      </c>
      <c r="W1273" s="58"/>
      <c r="X1273" s="58"/>
      <c r="Y1273" s="53"/>
      <c r="Z1273" s="57"/>
      <c r="AA1273" s="164"/>
      <c r="AB1273" s="164"/>
      <c r="AC1273" s="164"/>
      <c r="AD1273" s="164"/>
      <c r="AE1273" s="164"/>
      <c r="AF1273" s="63"/>
      <c r="AG1273" s="64" t="str">
        <f t="shared" si="144"/>
        <v/>
      </c>
    </row>
    <row r="1274" spans="1:33" x14ac:dyDescent="0.25">
      <c r="A1274" s="46" t="str">
        <f>IF(ISBLANK(inbound_data[[#This Row],[Receiving Report ref.'#]]),"",IF(inbound_data[[#This Row],[Ending Quantity]]=0,"ZERO","INV"))</f>
        <v/>
      </c>
      <c r="B1274" s="165" t="str">
        <f t="shared" si="138"/>
        <v/>
      </c>
      <c r="C1274" s="165" t="str">
        <f>IF(ISBLANK(D1274),"",inbound_data[[#This Row],[Pallet_Series]]&amp;inbound_data[[#This Row],[No.]])</f>
        <v/>
      </c>
      <c r="D1274" s="54"/>
      <c r="E1274" s="55"/>
      <c r="F1274" s="56"/>
      <c r="G1274" s="57"/>
      <c r="H1274" s="53"/>
      <c r="I1274" s="53"/>
      <c r="J1274" s="55"/>
      <c r="K1274" s="58"/>
      <c r="L1274" s="59"/>
      <c r="M1274" s="55"/>
      <c r="N1274" s="60"/>
      <c r="O1274" s="60"/>
      <c r="P1274" s="165" t="str">
        <f t="shared" ca="1" si="139"/>
        <v/>
      </c>
      <c r="Q1274" s="165" t="str">
        <f t="shared" ca="1" si="140"/>
        <v/>
      </c>
      <c r="R1274" s="79"/>
      <c r="S1274" s="80"/>
      <c r="T1274" s="61">
        <f t="shared" si="141"/>
        <v>0</v>
      </c>
      <c r="U1274" s="61">
        <f t="shared" si="142"/>
        <v>0</v>
      </c>
      <c r="V1274" s="61">
        <f t="shared" si="143"/>
        <v>0</v>
      </c>
      <c r="W1274" s="58"/>
      <c r="X1274" s="58"/>
      <c r="Y1274" s="53"/>
      <c r="Z1274" s="57"/>
      <c r="AA1274" s="164"/>
      <c r="AB1274" s="164"/>
      <c r="AC1274" s="164"/>
      <c r="AD1274" s="164"/>
      <c r="AE1274" s="164"/>
      <c r="AF1274" s="63"/>
      <c r="AG1274" s="64" t="str">
        <f t="shared" si="144"/>
        <v/>
      </c>
    </row>
    <row r="1275" spans="1:33" x14ac:dyDescent="0.25">
      <c r="A1275" s="46" t="str">
        <f>IF(ISBLANK(inbound_data[[#This Row],[Receiving Report ref.'#]]),"",IF(inbound_data[[#This Row],[Ending Quantity]]=0,"ZERO","INV"))</f>
        <v/>
      </c>
      <c r="B1275" s="165" t="str">
        <f t="shared" si="138"/>
        <v/>
      </c>
      <c r="C1275" s="165" t="str">
        <f>IF(ISBLANK(D1275),"",inbound_data[[#This Row],[Pallet_Series]]&amp;inbound_data[[#This Row],[No.]])</f>
        <v/>
      </c>
      <c r="D1275" s="54"/>
      <c r="E1275" s="55"/>
      <c r="F1275" s="56"/>
      <c r="G1275" s="57"/>
      <c r="H1275" s="53"/>
      <c r="I1275" s="53"/>
      <c r="J1275" s="55"/>
      <c r="K1275" s="58"/>
      <c r="L1275" s="59"/>
      <c r="M1275" s="55"/>
      <c r="N1275" s="60"/>
      <c r="O1275" s="60"/>
      <c r="P1275" s="165" t="str">
        <f t="shared" ca="1" si="139"/>
        <v/>
      </c>
      <c r="Q1275" s="165" t="str">
        <f t="shared" ca="1" si="140"/>
        <v/>
      </c>
      <c r="R1275" s="79"/>
      <c r="S1275" s="80"/>
      <c r="T1275" s="61">
        <f t="shared" si="141"/>
        <v>0</v>
      </c>
      <c r="U1275" s="61">
        <f t="shared" si="142"/>
        <v>0</v>
      </c>
      <c r="V1275" s="61">
        <f t="shared" si="143"/>
        <v>0</v>
      </c>
      <c r="W1275" s="58"/>
      <c r="X1275" s="58"/>
      <c r="Y1275" s="53"/>
      <c r="Z1275" s="57"/>
      <c r="AA1275" s="164"/>
      <c r="AB1275" s="164"/>
      <c r="AC1275" s="164"/>
      <c r="AD1275" s="164"/>
      <c r="AE1275" s="164"/>
      <c r="AF1275" s="63"/>
      <c r="AG1275" s="64" t="str">
        <f t="shared" si="144"/>
        <v/>
      </c>
    </row>
    <row r="1276" spans="1:33" x14ac:dyDescent="0.25">
      <c r="A1276" s="46" t="str">
        <f>IF(ISBLANK(inbound_data[[#This Row],[Receiving Report ref.'#]]),"",IF(inbound_data[[#This Row],[Ending Quantity]]=0,"ZERO","INV"))</f>
        <v/>
      </c>
      <c r="B1276" s="165" t="str">
        <f t="shared" si="138"/>
        <v/>
      </c>
      <c r="C1276" s="165" t="str">
        <f>IF(ISBLANK(D1276),"",inbound_data[[#This Row],[Pallet_Series]]&amp;inbound_data[[#This Row],[No.]])</f>
        <v/>
      </c>
      <c r="D1276" s="54"/>
      <c r="E1276" s="55"/>
      <c r="F1276" s="56"/>
      <c r="G1276" s="57"/>
      <c r="H1276" s="53"/>
      <c r="I1276" s="53"/>
      <c r="J1276" s="55"/>
      <c r="K1276" s="58"/>
      <c r="L1276" s="59"/>
      <c r="M1276" s="55"/>
      <c r="N1276" s="60"/>
      <c r="O1276" s="60"/>
      <c r="P1276" s="165" t="str">
        <f t="shared" ca="1" si="139"/>
        <v/>
      </c>
      <c r="Q1276" s="165" t="str">
        <f t="shared" ca="1" si="140"/>
        <v/>
      </c>
      <c r="R1276" s="79"/>
      <c r="S1276" s="80"/>
      <c r="T1276" s="61">
        <f t="shared" si="141"/>
        <v>0</v>
      </c>
      <c r="U1276" s="61">
        <f t="shared" si="142"/>
        <v>0</v>
      </c>
      <c r="V1276" s="61">
        <f t="shared" si="143"/>
        <v>0</v>
      </c>
      <c r="W1276" s="58"/>
      <c r="X1276" s="58"/>
      <c r="Y1276" s="53"/>
      <c r="Z1276" s="57"/>
      <c r="AA1276" s="164"/>
      <c r="AB1276" s="164"/>
      <c r="AC1276" s="164"/>
      <c r="AD1276" s="164"/>
      <c r="AE1276" s="164"/>
      <c r="AF1276" s="63"/>
      <c r="AG1276" s="64" t="str">
        <f t="shared" si="144"/>
        <v/>
      </c>
    </row>
    <row r="1277" spans="1:33" x14ac:dyDescent="0.25">
      <c r="A1277" s="46" t="str">
        <f>IF(ISBLANK(inbound_data[[#This Row],[Receiving Report ref.'#]]),"",IF(inbound_data[[#This Row],[Ending Quantity]]=0,"ZERO","INV"))</f>
        <v/>
      </c>
      <c r="B1277" s="165" t="str">
        <f t="shared" si="138"/>
        <v/>
      </c>
      <c r="C1277" s="165" t="str">
        <f>IF(ISBLANK(D1277),"",inbound_data[[#This Row],[Pallet_Series]]&amp;inbound_data[[#This Row],[No.]])</f>
        <v/>
      </c>
      <c r="D1277" s="54"/>
      <c r="E1277" s="55"/>
      <c r="F1277" s="56"/>
      <c r="G1277" s="57"/>
      <c r="H1277" s="53"/>
      <c r="I1277" s="53"/>
      <c r="J1277" s="55"/>
      <c r="K1277" s="58"/>
      <c r="L1277" s="59"/>
      <c r="M1277" s="55"/>
      <c r="N1277" s="60"/>
      <c r="O1277" s="60"/>
      <c r="P1277" s="165" t="str">
        <f t="shared" ca="1" si="139"/>
        <v/>
      </c>
      <c r="Q1277" s="165" t="str">
        <f t="shared" ca="1" si="140"/>
        <v/>
      </c>
      <c r="R1277" s="79"/>
      <c r="S1277" s="80"/>
      <c r="T1277" s="61">
        <f t="shared" si="141"/>
        <v>0</v>
      </c>
      <c r="U1277" s="61">
        <f t="shared" si="142"/>
        <v>0</v>
      </c>
      <c r="V1277" s="61">
        <f t="shared" si="143"/>
        <v>0</v>
      </c>
      <c r="W1277" s="58"/>
      <c r="X1277" s="58"/>
      <c r="Y1277" s="53"/>
      <c r="Z1277" s="57"/>
      <c r="AA1277" s="164"/>
      <c r="AB1277" s="164"/>
      <c r="AC1277" s="164"/>
      <c r="AD1277" s="164"/>
      <c r="AE1277" s="164"/>
      <c r="AF1277" s="63"/>
      <c r="AG1277" s="64" t="str">
        <f t="shared" si="144"/>
        <v/>
      </c>
    </row>
    <row r="1278" spans="1:33" x14ac:dyDescent="0.25">
      <c r="A1278" s="46" t="str">
        <f>IF(ISBLANK(inbound_data[[#This Row],[Receiving Report ref.'#]]),"",IF(inbound_data[[#This Row],[Ending Quantity]]=0,"ZERO","INV"))</f>
        <v/>
      </c>
      <c r="B1278" s="165" t="str">
        <f t="shared" si="138"/>
        <v/>
      </c>
      <c r="C1278" s="165" t="str">
        <f>IF(ISBLANK(D1278),"",inbound_data[[#This Row],[Pallet_Series]]&amp;inbound_data[[#This Row],[No.]])</f>
        <v/>
      </c>
      <c r="D1278" s="54"/>
      <c r="E1278" s="55"/>
      <c r="F1278" s="56"/>
      <c r="G1278" s="57"/>
      <c r="H1278" s="53"/>
      <c r="I1278" s="53"/>
      <c r="J1278" s="55"/>
      <c r="K1278" s="58"/>
      <c r="L1278" s="59"/>
      <c r="M1278" s="55"/>
      <c r="N1278" s="60"/>
      <c r="O1278" s="60"/>
      <c r="P1278" s="165" t="str">
        <f t="shared" ca="1" si="139"/>
        <v/>
      </c>
      <c r="Q1278" s="165" t="str">
        <f t="shared" ca="1" si="140"/>
        <v/>
      </c>
      <c r="R1278" s="79"/>
      <c r="S1278" s="80"/>
      <c r="T1278" s="61">
        <f t="shared" si="141"/>
        <v>0</v>
      </c>
      <c r="U1278" s="61">
        <f t="shared" si="142"/>
        <v>0</v>
      </c>
      <c r="V1278" s="61">
        <f t="shared" si="143"/>
        <v>0</v>
      </c>
      <c r="W1278" s="58"/>
      <c r="X1278" s="58"/>
      <c r="Y1278" s="53"/>
      <c r="Z1278" s="57"/>
      <c r="AA1278" s="164"/>
      <c r="AB1278" s="164"/>
      <c r="AC1278" s="164"/>
      <c r="AD1278" s="164"/>
      <c r="AE1278" s="164"/>
      <c r="AF1278" s="63"/>
      <c r="AG1278" s="64" t="str">
        <f t="shared" si="144"/>
        <v/>
      </c>
    </row>
    <row r="1279" spans="1:33" x14ac:dyDescent="0.25">
      <c r="A1279" s="46" t="str">
        <f>IF(ISBLANK(inbound_data[[#This Row],[Receiving Report ref.'#]]),"",IF(inbound_data[[#This Row],[Ending Quantity]]=0,"ZERO","INV"))</f>
        <v/>
      </c>
      <c r="B1279" s="165" t="str">
        <f t="shared" si="138"/>
        <v/>
      </c>
      <c r="C1279" s="165" t="str">
        <f>IF(ISBLANK(D1279),"",inbound_data[[#This Row],[Pallet_Series]]&amp;inbound_data[[#This Row],[No.]])</f>
        <v/>
      </c>
      <c r="D1279" s="54"/>
      <c r="E1279" s="55"/>
      <c r="F1279" s="56"/>
      <c r="G1279" s="57"/>
      <c r="H1279" s="53"/>
      <c r="I1279" s="53"/>
      <c r="J1279" s="55"/>
      <c r="K1279" s="58"/>
      <c r="L1279" s="59"/>
      <c r="M1279" s="55"/>
      <c r="N1279" s="60"/>
      <c r="O1279" s="60"/>
      <c r="P1279" s="165" t="str">
        <f t="shared" ca="1" si="139"/>
        <v/>
      </c>
      <c r="Q1279" s="165" t="str">
        <f t="shared" ca="1" si="140"/>
        <v/>
      </c>
      <c r="R1279" s="79"/>
      <c r="S1279" s="80"/>
      <c r="T1279" s="61">
        <f t="shared" si="141"/>
        <v>0</v>
      </c>
      <c r="U1279" s="61">
        <f t="shared" si="142"/>
        <v>0</v>
      </c>
      <c r="V1279" s="61">
        <f t="shared" si="143"/>
        <v>0</v>
      </c>
      <c r="W1279" s="58"/>
      <c r="X1279" s="58"/>
      <c r="Y1279" s="53"/>
      <c r="Z1279" s="57"/>
      <c r="AA1279" s="164"/>
      <c r="AB1279" s="164"/>
      <c r="AC1279" s="164"/>
      <c r="AD1279" s="164"/>
      <c r="AE1279" s="164"/>
      <c r="AF1279" s="63"/>
      <c r="AG1279" s="64" t="str">
        <f t="shared" si="144"/>
        <v/>
      </c>
    </row>
    <row r="1280" spans="1:33" x14ac:dyDescent="0.25">
      <c r="A1280" s="46" t="str">
        <f>IF(ISBLANK(inbound_data[[#This Row],[Receiving Report ref.'#]]),"",IF(inbound_data[[#This Row],[Ending Quantity]]=0,"ZERO","INV"))</f>
        <v/>
      </c>
      <c r="B1280" s="165" t="str">
        <f t="shared" si="138"/>
        <v/>
      </c>
      <c r="C1280" s="165" t="str">
        <f>IF(ISBLANK(D1280),"",inbound_data[[#This Row],[Pallet_Series]]&amp;inbound_data[[#This Row],[No.]])</f>
        <v/>
      </c>
      <c r="D1280" s="54"/>
      <c r="E1280" s="55"/>
      <c r="F1280" s="56"/>
      <c r="G1280" s="57"/>
      <c r="H1280" s="53"/>
      <c r="I1280" s="53"/>
      <c r="J1280" s="55"/>
      <c r="K1280" s="58"/>
      <c r="L1280" s="59"/>
      <c r="M1280" s="55"/>
      <c r="N1280" s="60"/>
      <c r="O1280" s="60"/>
      <c r="P1280" s="165" t="str">
        <f t="shared" ca="1" si="139"/>
        <v/>
      </c>
      <c r="Q1280" s="165" t="str">
        <f t="shared" ca="1" si="140"/>
        <v/>
      </c>
      <c r="R1280" s="79"/>
      <c r="S1280" s="80"/>
      <c r="T1280" s="61">
        <f t="shared" si="141"/>
        <v>0</v>
      </c>
      <c r="U1280" s="61">
        <f t="shared" si="142"/>
        <v>0</v>
      </c>
      <c r="V1280" s="61">
        <f t="shared" si="143"/>
        <v>0</v>
      </c>
      <c r="W1280" s="58"/>
      <c r="X1280" s="58"/>
      <c r="Y1280" s="53"/>
      <c r="Z1280" s="57"/>
      <c r="AA1280" s="164"/>
      <c r="AB1280" s="164"/>
      <c r="AC1280" s="164"/>
      <c r="AD1280" s="164"/>
      <c r="AE1280" s="164"/>
      <c r="AF1280" s="63"/>
      <c r="AG1280" s="64" t="str">
        <f t="shared" si="144"/>
        <v/>
      </c>
    </row>
    <row r="1281" spans="1:33" x14ac:dyDescent="0.25">
      <c r="A1281" s="46" t="str">
        <f>IF(ISBLANK(inbound_data[[#This Row],[Receiving Report ref.'#]]),"",IF(inbound_data[[#This Row],[Ending Quantity]]=0,"ZERO","INV"))</f>
        <v/>
      </c>
      <c r="B1281" s="165" t="str">
        <f t="shared" si="138"/>
        <v/>
      </c>
      <c r="C1281" s="165" t="str">
        <f>IF(ISBLANK(D1281),"",inbound_data[[#This Row],[Pallet_Series]]&amp;inbound_data[[#This Row],[No.]])</f>
        <v/>
      </c>
      <c r="D1281" s="54"/>
      <c r="E1281" s="55"/>
      <c r="F1281" s="56"/>
      <c r="G1281" s="57"/>
      <c r="H1281" s="53"/>
      <c r="I1281" s="53"/>
      <c r="J1281" s="55"/>
      <c r="K1281" s="58"/>
      <c r="L1281" s="59"/>
      <c r="M1281" s="55"/>
      <c r="N1281" s="60"/>
      <c r="O1281" s="60"/>
      <c r="P1281" s="165" t="str">
        <f t="shared" ca="1" si="139"/>
        <v/>
      </c>
      <c r="Q1281" s="165" t="str">
        <f t="shared" ca="1" si="140"/>
        <v/>
      </c>
      <c r="R1281" s="79"/>
      <c r="S1281" s="80"/>
      <c r="T1281" s="61">
        <f t="shared" si="141"/>
        <v>0</v>
      </c>
      <c r="U1281" s="61">
        <f t="shared" si="142"/>
        <v>0</v>
      </c>
      <c r="V1281" s="61">
        <f t="shared" si="143"/>
        <v>0</v>
      </c>
      <c r="W1281" s="58"/>
      <c r="X1281" s="58"/>
      <c r="Y1281" s="53"/>
      <c r="Z1281" s="57"/>
      <c r="AA1281" s="164"/>
      <c r="AB1281" s="164"/>
      <c r="AC1281" s="164"/>
      <c r="AD1281" s="164"/>
      <c r="AE1281" s="164"/>
      <c r="AF1281" s="63"/>
      <c r="AG1281" s="64" t="str">
        <f t="shared" si="144"/>
        <v/>
      </c>
    </row>
    <row r="1282" spans="1:33" x14ac:dyDescent="0.25">
      <c r="A1282" s="46" t="str">
        <f>IF(ISBLANK(inbound_data[[#This Row],[Receiving Report ref.'#]]),"",IF(inbound_data[[#This Row],[Ending Quantity]]=0,"ZERO","INV"))</f>
        <v/>
      </c>
      <c r="B1282" s="165" t="str">
        <f t="shared" si="138"/>
        <v/>
      </c>
      <c r="C1282" s="165" t="str">
        <f>IF(ISBLANK(D1282),"",inbound_data[[#This Row],[Pallet_Series]]&amp;inbound_data[[#This Row],[No.]])</f>
        <v/>
      </c>
      <c r="D1282" s="54"/>
      <c r="E1282" s="55"/>
      <c r="F1282" s="56"/>
      <c r="G1282" s="57"/>
      <c r="H1282" s="53"/>
      <c r="I1282" s="53"/>
      <c r="J1282" s="55"/>
      <c r="K1282" s="58"/>
      <c r="L1282" s="59"/>
      <c r="M1282" s="55"/>
      <c r="N1282" s="60"/>
      <c r="O1282" s="60"/>
      <c r="P1282" s="165" t="str">
        <f t="shared" ca="1" si="139"/>
        <v/>
      </c>
      <c r="Q1282" s="165" t="str">
        <f t="shared" ca="1" si="140"/>
        <v/>
      </c>
      <c r="R1282" s="79"/>
      <c r="S1282" s="80"/>
      <c r="T1282" s="61">
        <f t="shared" si="141"/>
        <v>0</v>
      </c>
      <c r="U1282" s="61">
        <f t="shared" si="142"/>
        <v>0</v>
      </c>
      <c r="V1282" s="61">
        <f t="shared" si="143"/>
        <v>0</v>
      </c>
      <c r="W1282" s="58"/>
      <c r="X1282" s="58"/>
      <c r="Y1282" s="53"/>
      <c r="Z1282" s="57"/>
      <c r="AA1282" s="164"/>
      <c r="AB1282" s="164"/>
      <c r="AC1282" s="164"/>
      <c r="AD1282" s="164"/>
      <c r="AE1282" s="164"/>
      <c r="AF1282" s="63"/>
      <c r="AG1282" s="64" t="str">
        <f t="shared" si="144"/>
        <v/>
      </c>
    </row>
    <row r="1283" spans="1:33" x14ac:dyDescent="0.25">
      <c r="A1283" s="46" t="str">
        <f>IF(ISBLANK(inbound_data[[#This Row],[Receiving Report ref.'#]]),"",IF(inbound_data[[#This Row],[Ending Quantity]]=0,"ZERO","INV"))</f>
        <v/>
      </c>
      <c r="B1283" s="165" t="str">
        <f t="shared" si="138"/>
        <v/>
      </c>
      <c r="C1283" s="165" t="str">
        <f>IF(ISBLANK(D1283),"",inbound_data[[#This Row],[Pallet_Series]]&amp;inbound_data[[#This Row],[No.]])</f>
        <v/>
      </c>
      <c r="D1283" s="54"/>
      <c r="E1283" s="55"/>
      <c r="F1283" s="56"/>
      <c r="G1283" s="57"/>
      <c r="H1283" s="53"/>
      <c r="I1283" s="53"/>
      <c r="J1283" s="55"/>
      <c r="K1283" s="58"/>
      <c r="L1283" s="59"/>
      <c r="M1283" s="55"/>
      <c r="N1283" s="60"/>
      <c r="O1283" s="60"/>
      <c r="P1283" s="165" t="str">
        <f t="shared" ca="1" si="139"/>
        <v/>
      </c>
      <c r="Q1283" s="165" t="str">
        <f t="shared" ca="1" si="140"/>
        <v/>
      </c>
      <c r="R1283" s="79"/>
      <c r="S1283" s="80"/>
      <c r="T1283" s="61">
        <f t="shared" si="141"/>
        <v>0</v>
      </c>
      <c r="U1283" s="61">
        <f t="shared" si="142"/>
        <v>0</v>
      </c>
      <c r="V1283" s="61">
        <f t="shared" si="143"/>
        <v>0</v>
      </c>
      <c r="W1283" s="58"/>
      <c r="X1283" s="58"/>
      <c r="Y1283" s="53"/>
      <c r="Z1283" s="57"/>
      <c r="AA1283" s="164"/>
      <c r="AB1283" s="164"/>
      <c r="AC1283" s="164"/>
      <c r="AD1283" s="164"/>
      <c r="AE1283" s="164"/>
      <c r="AF1283" s="63"/>
      <c r="AG1283" s="64" t="str">
        <f t="shared" si="144"/>
        <v/>
      </c>
    </row>
    <row r="1284" spans="1:33" x14ac:dyDescent="0.25">
      <c r="A1284" s="46" t="str">
        <f>IF(ISBLANK(inbound_data[[#This Row],[Receiving Report ref.'#]]),"",IF(inbound_data[[#This Row],[Ending Quantity]]=0,"ZERO","INV"))</f>
        <v/>
      </c>
      <c r="B1284" s="165" t="str">
        <f t="shared" si="138"/>
        <v/>
      </c>
      <c r="C1284" s="165" t="str">
        <f>IF(ISBLANK(D1284),"",inbound_data[[#This Row],[Pallet_Series]]&amp;inbound_data[[#This Row],[No.]])</f>
        <v/>
      </c>
      <c r="D1284" s="54"/>
      <c r="E1284" s="55"/>
      <c r="F1284" s="56"/>
      <c r="G1284" s="57"/>
      <c r="H1284" s="53"/>
      <c r="I1284" s="53"/>
      <c r="J1284" s="55"/>
      <c r="K1284" s="58"/>
      <c r="L1284" s="59"/>
      <c r="M1284" s="55"/>
      <c r="N1284" s="60"/>
      <c r="O1284" s="60"/>
      <c r="P1284" s="165" t="str">
        <f t="shared" ca="1" si="139"/>
        <v/>
      </c>
      <c r="Q1284" s="165" t="str">
        <f t="shared" ca="1" si="140"/>
        <v/>
      </c>
      <c r="R1284" s="79"/>
      <c r="S1284" s="80"/>
      <c r="T1284" s="61">
        <f t="shared" si="141"/>
        <v>0</v>
      </c>
      <c r="U1284" s="61">
        <f t="shared" si="142"/>
        <v>0</v>
      </c>
      <c r="V1284" s="61">
        <f t="shared" si="143"/>
        <v>0</v>
      </c>
      <c r="W1284" s="58"/>
      <c r="X1284" s="58"/>
      <c r="Y1284" s="53"/>
      <c r="Z1284" s="57"/>
      <c r="AA1284" s="164"/>
      <c r="AB1284" s="164"/>
      <c r="AC1284" s="164"/>
      <c r="AD1284" s="164"/>
      <c r="AE1284" s="164"/>
      <c r="AF1284" s="63"/>
      <c r="AG1284" s="64" t="str">
        <f t="shared" si="144"/>
        <v/>
      </c>
    </row>
    <row r="1285" spans="1:33" x14ac:dyDescent="0.25">
      <c r="A1285" s="46" t="str">
        <f>IF(ISBLANK(inbound_data[[#This Row],[Receiving Report ref.'#]]),"",IF(inbound_data[[#This Row],[Ending Quantity]]=0,"ZERO","INV"))</f>
        <v/>
      </c>
      <c r="B1285" s="165" t="str">
        <f t="shared" si="138"/>
        <v/>
      </c>
      <c r="C1285" s="165" t="str">
        <f>IF(ISBLANK(D1285),"",inbound_data[[#This Row],[Pallet_Series]]&amp;inbound_data[[#This Row],[No.]])</f>
        <v/>
      </c>
      <c r="D1285" s="54"/>
      <c r="E1285" s="55"/>
      <c r="F1285" s="56"/>
      <c r="G1285" s="57"/>
      <c r="H1285" s="53"/>
      <c r="I1285" s="53"/>
      <c r="J1285" s="55"/>
      <c r="K1285" s="58"/>
      <c r="L1285" s="59"/>
      <c r="M1285" s="55"/>
      <c r="N1285" s="60"/>
      <c r="O1285" s="60"/>
      <c r="P1285" s="165" t="str">
        <f t="shared" ca="1" si="139"/>
        <v/>
      </c>
      <c r="Q1285" s="165" t="str">
        <f t="shared" ca="1" si="140"/>
        <v/>
      </c>
      <c r="R1285" s="79"/>
      <c r="S1285" s="80"/>
      <c r="T1285" s="61">
        <f t="shared" si="141"/>
        <v>0</v>
      </c>
      <c r="U1285" s="61">
        <f t="shared" si="142"/>
        <v>0</v>
      </c>
      <c r="V1285" s="61">
        <f t="shared" si="143"/>
        <v>0</v>
      </c>
      <c r="W1285" s="58"/>
      <c r="X1285" s="58"/>
      <c r="Y1285" s="53"/>
      <c r="Z1285" s="57"/>
      <c r="AA1285" s="164"/>
      <c r="AB1285" s="164"/>
      <c r="AC1285" s="164"/>
      <c r="AD1285" s="164"/>
      <c r="AE1285" s="164"/>
      <c r="AF1285" s="63"/>
      <c r="AG1285" s="64" t="str">
        <f t="shared" si="144"/>
        <v/>
      </c>
    </row>
    <row r="1286" spans="1:33" x14ac:dyDescent="0.25">
      <c r="A1286" s="46" t="str">
        <f>IF(ISBLANK(inbound_data[[#This Row],[Receiving Report ref.'#]]),"",IF(inbound_data[[#This Row],[Ending Quantity]]=0,"ZERO","INV"))</f>
        <v/>
      </c>
      <c r="B1286" s="165" t="str">
        <f t="shared" si="138"/>
        <v/>
      </c>
      <c r="C1286" s="165" t="str">
        <f>IF(ISBLANK(D1286),"",inbound_data[[#This Row],[Pallet_Series]]&amp;inbound_data[[#This Row],[No.]])</f>
        <v/>
      </c>
      <c r="D1286" s="54"/>
      <c r="E1286" s="55"/>
      <c r="F1286" s="56"/>
      <c r="G1286" s="57"/>
      <c r="H1286" s="53"/>
      <c r="I1286" s="53"/>
      <c r="J1286" s="55"/>
      <c r="K1286" s="58"/>
      <c r="L1286" s="59"/>
      <c r="M1286" s="55"/>
      <c r="N1286" s="60"/>
      <c r="O1286" s="60"/>
      <c r="P1286" s="165" t="str">
        <f t="shared" ca="1" si="139"/>
        <v/>
      </c>
      <c r="Q1286" s="165" t="str">
        <f t="shared" ca="1" si="140"/>
        <v/>
      </c>
      <c r="R1286" s="79"/>
      <c r="S1286" s="80"/>
      <c r="T1286" s="61">
        <f t="shared" si="141"/>
        <v>0</v>
      </c>
      <c r="U1286" s="61">
        <f t="shared" si="142"/>
        <v>0</v>
      </c>
      <c r="V1286" s="61">
        <f t="shared" si="143"/>
        <v>0</v>
      </c>
      <c r="W1286" s="58"/>
      <c r="X1286" s="58"/>
      <c r="Y1286" s="53"/>
      <c r="Z1286" s="57"/>
      <c r="AA1286" s="164"/>
      <c r="AB1286" s="164"/>
      <c r="AC1286" s="164"/>
      <c r="AD1286" s="164"/>
      <c r="AE1286" s="164"/>
      <c r="AF1286" s="63"/>
      <c r="AG1286" s="64" t="str">
        <f t="shared" si="144"/>
        <v/>
      </c>
    </row>
    <row r="1287" spans="1:33" x14ac:dyDescent="0.25">
      <c r="A1287" s="46" t="str">
        <f>IF(ISBLANK(inbound_data[[#This Row],[Receiving Report ref.'#]]),"",IF(inbound_data[[#This Row],[Ending Quantity]]=0,"ZERO","INV"))</f>
        <v/>
      </c>
      <c r="B1287" s="165" t="str">
        <f t="shared" si="138"/>
        <v/>
      </c>
      <c r="C1287" s="165" t="str">
        <f>IF(ISBLANK(D1287),"",inbound_data[[#This Row],[Pallet_Series]]&amp;inbound_data[[#This Row],[No.]])</f>
        <v/>
      </c>
      <c r="D1287" s="54"/>
      <c r="E1287" s="55"/>
      <c r="F1287" s="56"/>
      <c r="G1287" s="57"/>
      <c r="H1287" s="53"/>
      <c r="I1287" s="53"/>
      <c r="J1287" s="55"/>
      <c r="K1287" s="58"/>
      <c r="L1287" s="59"/>
      <c r="M1287" s="55"/>
      <c r="N1287" s="60"/>
      <c r="O1287" s="60"/>
      <c r="P1287" s="165" t="str">
        <f t="shared" ca="1" si="139"/>
        <v/>
      </c>
      <c r="Q1287" s="165" t="str">
        <f t="shared" ca="1" si="140"/>
        <v/>
      </c>
      <c r="R1287" s="79"/>
      <c r="S1287" s="80"/>
      <c r="T1287" s="61">
        <f t="shared" si="141"/>
        <v>0</v>
      </c>
      <c r="U1287" s="61">
        <f t="shared" si="142"/>
        <v>0</v>
      </c>
      <c r="V1287" s="61">
        <f t="shared" si="143"/>
        <v>0</v>
      </c>
      <c r="W1287" s="58"/>
      <c r="X1287" s="58"/>
      <c r="Y1287" s="53"/>
      <c r="Z1287" s="57"/>
      <c r="AA1287" s="164"/>
      <c r="AB1287" s="164"/>
      <c r="AC1287" s="164"/>
      <c r="AD1287" s="164"/>
      <c r="AE1287" s="164"/>
      <c r="AF1287" s="63"/>
      <c r="AG1287" s="64" t="str">
        <f t="shared" si="144"/>
        <v/>
      </c>
    </row>
    <row r="1288" spans="1:33" x14ac:dyDescent="0.25">
      <c r="A1288" s="46" t="str">
        <f>IF(ISBLANK(inbound_data[[#This Row],[Receiving Report ref.'#]]),"",IF(inbound_data[[#This Row],[Ending Quantity]]=0,"ZERO","INV"))</f>
        <v/>
      </c>
      <c r="B1288" s="165" t="str">
        <f t="shared" si="138"/>
        <v/>
      </c>
      <c r="C1288" s="165" t="str">
        <f>IF(ISBLANK(D1288),"",inbound_data[[#This Row],[Pallet_Series]]&amp;inbound_data[[#This Row],[No.]])</f>
        <v/>
      </c>
      <c r="D1288" s="54"/>
      <c r="E1288" s="55"/>
      <c r="F1288" s="56"/>
      <c r="G1288" s="57"/>
      <c r="H1288" s="53"/>
      <c r="I1288" s="53"/>
      <c r="J1288" s="55"/>
      <c r="K1288" s="58"/>
      <c r="L1288" s="59"/>
      <c r="M1288" s="55"/>
      <c r="N1288" s="60"/>
      <c r="O1288" s="60"/>
      <c r="P1288" s="165" t="str">
        <f t="shared" ca="1" si="139"/>
        <v/>
      </c>
      <c r="Q1288" s="165" t="str">
        <f t="shared" ca="1" si="140"/>
        <v/>
      </c>
      <c r="R1288" s="79"/>
      <c r="S1288" s="80"/>
      <c r="T1288" s="61">
        <f t="shared" si="141"/>
        <v>0</v>
      </c>
      <c r="U1288" s="61">
        <f t="shared" si="142"/>
        <v>0</v>
      </c>
      <c r="V1288" s="61">
        <f t="shared" si="143"/>
        <v>0</v>
      </c>
      <c r="W1288" s="58"/>
      <c r="X1288" s="58"/>
      <c r="Y1288" s="53"/>
      <c r="Z1288" s="57"/>
      <c r="AA1288" s="164"/>
      <c r="AB1288" s="164"/>
      <c r="AC1288" s="164"/>
      <c r="AD1288" s="164"/>
      <c r="AE1288" s="164"/>
      <c r="AF1288" s="63"/>
      <c r="AG1288" s="64" t="str">
        <f t="shared" si="144"/>
        <v/>
      </c>
    </row>
    <row r="1289" spans="1:33" x14ac:dyDescent="0.25">
      <c r="A1289" s="46" t="str">
        <f>IF(ISBLANK(inbound_data[[#This Row],[Receiving Report ref.'#]]),"",IF(inbound_data[[#This Row],[Ending Quantity]]=0,"ZERO","INV"))</f>
        <v/>
      </c>
      <c r="B1289" s="165" t="str">
        <f t="shared" ref="B1289:B1352" si="145">IF(ISBLANK(D1289),"",TEXT(ROW(),"00000"))</f>
        <v/>
      </c>
      <c r="C1289" s="165" t="str">
        <f>IF(ISBLANK(D1289),"",inbound_data[[#This Row],[Pallet_Series]]&amp;inbound_data[[#This Row],[No.]])</f>
        <v/>
      </c>
      <c r="D1289" s="54"/>
      <c r="E1289" s="55"/>
      <c r="F1289" s="56"/>
      <c r="G1289" s="57"/>
      <c r="H1289" s="53"/>
      <c r="I1289" s="53"/>
      <c r="J1289" s="55"/>
      <c r="K1289" s="58"/>
      <c r="L1289" s="59"/>
      <c r="M1289" s="55"/>
      <c r="N1289" s="60"/>
      <c r="O1289" s="60"/>
      <c r="P1289" s="165" t="str">
        <f t="shared" ref="P1289:P1352" ca="1" si="146">IF(A1289="ZERO","",IF(O1289="","",O1289-TODAY()))</f>
        <v/>
      </c>
      <c r="Q1289" s="165" t="str">
        <f t="shared" ref="Q1289:Q1352" ca="1" si="147">IF(A1289="ZERO","",IF(P1289&lt;0,"ALREADY EXPIRED",IF(P1289&lt;60,"NEARLY EXPIRED","")))</f>
        <v/>
      </c>
      <c r="R1289" s="79"/>
      <c r="S1289" s="80"/>
      <c r="T1289" s="61">
        <f t="shared" ref="T1289:T1352" si="148">IF(ISBLANK(R1289),0,R1289-SUMIF(STOCK_CODE_OUT,$C1289,QTY_OUT))</f>
        <v>0</v>
      </c>
      <c r="U1289" s="61">
        <f t="shared" ref="U1289:U1352" si="149">IF(ISBLANK(S1289),0,S1289-SUMIF(STOCK_CODE_OUT,$C1289,KILOS_OUT))</f>
        <v>0</v>
      </c>
      <c r="V1289" s="61">
        <f t="shared" ref="V1289:V1352" si="150">IF(ISBLANK(K1289),0,K1289-SUMIF(STOCK_CODE_OUT,$C1289,PALLET_OUT))</f>
        <v>0</v>
      </c>
      <c r="W1289" s="58"/>
      <c r="X1289" s="58"/>
      <c r="Y1289" s="53"/>
      <c r="Z1289" s="57"/>
      <c r="AA1289" s="164"/>
      <c r="AB1289" s="164"/>
      <c r="AC1289" s="164"/>
      <c r="AD1289" s="164"/>
      <c r="AE1289" s="164"/>
      <c r="AF1289" s="63"/>
      <c r="AG1289" s="64" t="str">
        <f t="shared" ref="AG1289:AG1296" si="151">IF(T1289&gt;0,CONCATENATE(AA1289,AB1289,TEXT(AC1289,"R00"),TEXT(AD1289,"L0."),TEXT(AE1289,"0")),"")</f>
        <v/>
      </c>
    </row>
    <row r="1290" spans="1:33" x14ac:dyDescent="0.25">
      <c r="A1290" s="46" t="str">
        <f>IF(ISBLANK(inbound_data[[#This Row],[Receiving Report ref.'#]]),"",IF(inbound_data[[#This Row],[Ending Quantity]]=0,"ZERO","INV"))</f>
        <v/>
      </c>
      <c r="B1290" s="165" t="str">
        <f t="shared" si="145"/>
        <v/>
      </c>
      <c r="C1290" s="165" t="str">
        <f>IF(ISBLANK(D1290),"",inbound_data[[#This Row],[Pallet_Series]]&amp;inbound_data[[#This Row],[No.]])</f>
        <v/>
      </c>
      <c r="D1290" s="54"/>
      <c r="E1290" s="55"/>
      <c r="F1290" s="56"/>
      <c r="G1290" s="57"/>
      <c r="H1290" s="53"/>
      <c r="I1290" s="53"/>
      <c r="J1290" s="55"/>
      <c r="K1290" s="58"/>
      <c r="L1290" s="59"/>
      <c r="M1290" s="55"/>
      <c r="N1290" s="60"/>
      <c r="O1290" s="60"/>
      <c r="P1290" s="165" t="str">
        <f t="shared" ca="1" si="146"/>
        <v/>
      </c>
      <c r="Q1290" s="165" t="str">
        <f t="shared" ca="1" si="147"/>
        <v/>
      </c>
      <c r="R1290" s="79"/>
      <c r="S1290" s="80"/>
      <c r="T1290" s="61">
        <f t="shared" si="148"/>
        <v>0</v>
      </c>
      <c r="U1290" s="61">
        <f t="shared" si="149"/>
        <v>0</v>
      </c>
      <c r="V1290" s="61">
        <f t="shared" si="150"/>
        <v>0</v>
      </c>
      <c r="W1290" s="58"/>
      <c r="X1290" s="58"/>
      <c r="Y1290" s="53"/>
      <c r="Z1290" s="57"/>
      <c r="AA1290" s="164"/>
      <c r="AB1290" s="164"/>
      <c r="AC1290" s="164"/>
      <c r="AD1290" s="164"/>
      <c r="AE1290" s="164"/>
      <c r="AF1290" s="63"/>
      <c r="AG1290" s="64" t="str">
        <f t="shared" si="151"/>
        <v/>
      </c>
    </row>
    <row r="1291" spans="1:33" x14ac:dyDescent="0.25">
      <c r="A1291" s="46" t="str">
        <f>IF(ISBLANK(inbound_data[[#This Row],[Receiving Report ref.'#]]),"",IF(inbound_data[[#This Row],[Ending Quantity]]=0,"ZERO","INV"))</f>
        <v/>
      </c>
      <c r="B1291" s="165" t="str">
        <f t="shared" si="145"/>
        <v/>
      </c>
      <c r="C1291" s="165" t="str">
        <f>IF(ISBLANK(D1291),"",inbound_data[[#This Row],[Pallet_Series]]&amp;inbound_data[[#This Row],[No.]])</f>
        <v/>
      </c>
      <c r="D1291" s="54"/>
      <c r="E1291" s="55"/>
      <c r="F1291" s="56"/>
      <c r="G1291" s="57"/>
      <c r="H1291" s="53"/>
      <c r="I1291" s="53"/>
      <c r="J1291" s="55"/>
      <c r="K1291" s="58"/>
      <c r="L1291" s="59"/>
      <c r="M1291" s="55"/>
      <c r="N1291" s="60"/>
      <c r="O1291" s="60"/>
      <c r="P1291" s="165" t="str">
        <f t="shared" ca="1" si="146"/>
        <v/>
      </c>
      <c r="Q1291" s="165" t="str">
        <f t="shared" ca="1" si="147"/>
        <v/>
      </c>
      <c r="R1291" s="79"/>
      <c r="S1291" s="80"/>
      <c r="T1291" s="61">
        <f t="shared" si="148"/>
        <v>0</v>
      </c>
      <c r="U1291" s="61">
        <f t="shared" si="149"/>
        <v>0</v>
      </c>
      <c r="V1291" s="61">
        <f t="shared" si="150"/>
        <v>0</v>
      </c>
      <c r="W1291" s="58"/>
      <c r="X1291" s="58"/>
      <c r="Y1291" s="53"/>
      <c r="Z1291" s="57"/>
      <c r="AA1291" s="164"/>
      <c r="AB1291" s="164"/>
      <c r="AC1291" s="164"/>
      <c r="AD1291" s="164"/>
      <c r="AE1291" s="164"/>
      <c r="AF1291" s="63"/>
      <c r="AG1291" s="64" t="str">
        <f t="shared" si="151"/>
        <v/>
      </c>
    </row>
    <row r="1292" spans="1:33" x14ac:dyDescent="0.25">
      <c r="A1292" s="46" t="str">
        <f>IF(ISBLANK(inbound_data[[#This Row],[Receiving Report ref.'#]]),"",IF(inbound_data[[#This Row],[Ending Quantity]]=0,"ZERO","INV"))</f>
        <v/>
      </c>
      <c r="B1292" s="165" t="str">
        <f t="shared" si="145"/>
        <v/>
      </c>
      <c r="C1292" s="165" t="str">
        <f>IF(ISBLANK(D1292),"",inbound_data[[#This Row],[Pallet_Series]]&amp;inbound_data[[#This Row],[No.]])</f>
        <v/>
      </c>
      <c r="D1292" s="54"/>
      <c r="E1292" s="55"/>
      <c r="F1292" s="56"/>
      <c r="G1292" s="57"/>
      <c r="H1292" s="53"/>
      <c r="I1292" s="53"/>
      <c r="J1292" s="55"/>
      <c r="K1292" s="58"/>
      <c r="L1292" s="59"/>
      <c r="M1292" s="55"/>
      <c r="N1292" s="60"/>
      <c r="O1292" s="60"/>
      <c r="P1292" s="165" t="str">
        <f t="shared" ca="1" si="146"/>
        <v/>
      </c>
      <c r="Q1292" s="165" t="str">
        <f t="shared" ca="1" si="147"/>
        <v/>
      </c>
      <c r="R1292" s="79"/>
      <c r="S1292" s="80"/>
      <c r="T1292" s="61">
        <f t="shared" si="148"/>
        <v>0</v>
      </c>
      <c r="U1292" s="61">
        <f t="shared" si="149"/>
        <v>0</v>
      </c>
      <c r="V1292" s="61">
        <f t="shared" si="150"/>
        <v>0</v>
      </c>
      <c r="W1292" s="58"/>
      <c r="X1292" s="58"/>
      <c r="Y1292" s="53"/>
      <c r="Z1292" s="57"/>
      <c r="AA1292" s="164"/>
      <c r="AB1292" s="164"/>
      <c r="AC1292" s="164"/>
      <c r="AD1292" s="164"/>
      <c r="AE1292" s="164"/>
      <c r="AF1292" s="63"/>
      <c r="AG1292" s="64" t="str">
        <f t="shared" si="151"/>
        <v/>
      </c>
    </row>
    <row r="1293" spans="1:33" x14ac:dyDescent="0.25">
      <c r="A1293" s="46" t="str">
        <f>IF(ISBLANK(inbound_data[[#This Row],[Receiving Report ref.'#]]),"",IF(inbound_data[[#This Row],[Ending Quantity]]=0,"ZERO","INV"))</f>
        <v/>
      </c>
      <c r="B1293" s="165" t="str">
        <f t="shared" si="145"/>
        <v/>
      </c>
      <c r="C1293" s="165" t="str">
        <f>IF(ISBLANK(D1293),"",inbound_data[[#This Row],[Pallet_Series]]&amp;inbound_data[[#This Row],[No.]])</f>
        <v/>
      </c>
      <c r="D1293" s="54"/>
      <c r="E1293" s="55"/>
      <c r="F1293" s="56"/>
      <c r="G1293" s="57"/>
      <c r="H1293" s="53"/>
      <c r="I1293" s="53"/>
      <c r="J1293" s="55"/>
      <c r="K1293" s="58"/>
      <c r="L1293" s="59"/>
      <c r="M1293" s="55"/>
      <c r="N1293" s="60"/>
      <c r="O1293" s="60"/>
      <c r="P1293" s="165" t="str">
        <f t="shared" ca="1" si="146"/>
        <v/>
      </c>
      <c r="Q1293" s="165" t="str">
        <f t="shared" ca="1" si="147"/>
        <v/>
      </c>
      <c r="R1293" s="79"/>
      <c r="S1293" s="80"/>
      <c r="T1293" s="61">
        <f t="shared" si="148"/>
        <v>0</v>
      </c>
      <c r="U1293" s="61">
        <f t="shared" si="149"/>
        <v>0</v>
      </c>
      <c r="V1293" s="61">
        <f t="shared" si="150"/>
        <v>0</v>
      </c>
      <c r="W1293" s="58"/>
      <c r="X1293" s="58"/>
      <c r="Y1293" s="53"/>
      <c r="Z1293" s="57"/>
      <c r="AA1293" s="164"/>
      <c r="AB1293" s="164"/>
      <c r="AC1293" s="164"/>
      <c r="AD1293" s="164"/>
      <c r="AE1293" s="164"/>
      <c r="AF1293" s="63"/>
      <c r="AG1293" s="64" t="str">
        <f t="shared" si="151"/>
        <v/>
      </c>
    </row>
    <row r="1294" spans="1:33" x14ac:dyDescent="0.25">
      <c r="A1294" s="46" t="str">
        <f>IF(ISBLANK(inbound_data[[#This Row],[Receiving Report ref.'#]]),"",IF(inbound_data[[#This Row],[Ending Quantity]]=0,"ZERO","INV"))</f>
        <v/>
      </c>
      <c r="B1294" s="165" t="str">
        <f t="shared" si="145"/>
        <v/>
      </c>
      <c r="C1294" s="165" t="str">
        <f>IF(ISBLANK(D1294),"",inbound_data[[#This Row],[Pallet_Series]]&amp;inbound_data[[#This Row],[No.]])</f>
        <v/>
      </c>
      <c r="D1294" s="54"/>
      <c r="E1294" s="55"/>
      <c r="F1294" s="56"/>
      <c r="G1294" s="57"/>
      <c r="H1294" s="53"/>
      <c r="I1294" s="53"/>
      <c r="J1294" s="55"/>
      <c r="K1294" s="58"/>
      <c r="L1294" s="59"/>
      <c r="M1294" s="55"/>
      <c r="N1294" s="60"/>
      <c r="O1294" s="60"/>
      <c r="P1294" s="165" t="str">
        <f t="shared" ca="1" si="146"/>
        <v/>
      </c>
      <c r="Q1294" s="165" t="str">
        <f t="shared" ca="1" si="147"/>
        <v/>
      </c>
      <c r="R1294" s="79"/>
      <c r="S1294" s="80"/>
      <c r="T1294" s="61">
        <f t="shared" si="148"/>
        <v>0</v>
      </c>
      <c r="U1294" s="61">
        <f t="shared" si="149"/>
        <v>0</v>
      </c>
      <c r="V1294" s="61">
        <f t="shared" si="150"/>
        <v>0</v>
      </c>
      <c r="W1294" s="58"/>
      <c r="X1294" s="58"/>
      <c r="Y1294" s="53"/>
      <c r="Z1294" s="57"/>
      <c r="AA1294" s="164"/>
      <c r="AB1294" s="164"/>
      <c r="AC1294" s="164"/>
      <c r="AD1294" s="164"/>
      <c r="AE1294" s="164"/>
      <c r="AF1294" s="63"/>
      <c r="AG1294" s="64" t="str">
        <f t="shared" si="151"/>
        <v/>
      </c>
    </row>
    <row r="1295" spans="1:33" x14ac:dyDescent="0.25">
      <c r="A1295" s="46" t="str">
        <f>IF(ISBLANK(inbound_data[[#This Row],[Receiving Report ref.'#]]),"",IF(inbound_data[[#This Row],[Ending Quantity]]=0,"ZERO","INV"))</f>
        <v/>
      </c>
      <c r="B1295" s="165" t="str">
        <f t="shared" si="145"/>
        <v/>
      </c>
      <c r="C1295" s="165" t="str">
        <f>IF(ISBLANK(D1295),"",inbound_data[[#This Row],[Pallet_Series]]&amp;inbound_data[[#This Row],[No.]])</f>
        <v/>
      </c>
      <c r="D1295" s="54"/>
      <c r="E1295" s="55"/>
      <c r="F1295" s="56"/>
      <c r="G1295" s="57"/>
      <c r="H1295" s="53"/>
      <c r="I1295" s="53"/>
      <c r="J1295" s="58"/>
      <c r="K1295" s="58"/>
      <c r="L1295" s="59"/>
      <c r="M1295" s="55"/>
      <c r="N1295" s="60"/>
      <c r="O1295" s="60"/>
      <c r="P1295" s="165" t="str">
        <f t="shared" ca="1" si="146"/>
        <v/>
      </c>
      <c r="Q1295" s="165" t="str">
        <f t="shared" ca="1" si="147"/>
        <v/>
      </c>
      <c r="R1295" s="79"/>
      <c r="S1295" s="80"/>
      <c r="T1295" s="61">
        <f t="shared" si="148"/>
        <v>0</v>
      </c>
      <c r="U1295" s="61">
        <f t="shared" si="149"/>
        <v>0</v>
      </c>
      <c r="V1295" s="61">
        <f t="shared" si="150"/>
        <v>0</v>
      </c>
      <c r="W1295" s="57"/>
      <c r="X1295" s="57"/>
      <c r="Y1295" s="57"/>
      <c r="Z1295" s="57"/>
      <c r="AA1295" s="164"/>
      <c r="AB1295" s="164"/>
      <c r="AC1295" s="164"/>
      <c r="AD1295" s="164"/>
      <c r="AE1295" s="164"/>
      <c r="AF1295" s="63"/>
      <c r="AG1295" s="64" t="str">
        <f t="shared" si="151"/>
        <v/>
      </c>
    </row>
    <row r="1296" spans="1:33" x14ac:dyDescent="0.25">
      <c r="A1296" s="46" t="str">
        <f>IF(ISBLANK(inbound_data[[#This Row],[Receiving Report ref.'#]]),"",IF(inbound_data[[#This Row],[Ending Quantity]]=0,"ZERO","INV"))</f>
        <v/>
      </c>
      <c r="B1296" s="165" t="str">
        <f t="shared" si="145"/>
        <v/>
      </c>
      <c r="C1296" s="165" t="str">
        <f>IF(ISBLANK(D1296),"",inbound_data[[#This Row],[Pallet_Series]]&amp;inbound_data[[#This Row],[No.]])</f>
        <v/>
      </c>
      <c r="D1296" s="54"/>
      <c r="E1296" s="53"/>
      <c r="F1296" s="56"/>
      <c r="G1296" s="57"/>
      <c r="H1296" s="53"/>
      <c r="I1296" s="53"/>
      <c r="J1296" s="53"/>
      <c r="K1296" s="53"/>
      <c r="L1296" s="67"/>
      <c r="M1296" s="53"/>
      <c r="N1296" s="68"/>
      <c r="O1296" s="68"/>
      <c r="P1296" s="165" t="str">
        <f t="shared" ca="1" si="146"/>
        <v/>
      </c>
      <c r="Q1296" s="165" t="str">
        <f t="shared" ca="1" si="147"/>
        <v/>
      </c>
      <c r="R1296" s="162"/>
      <c r="S1296" s="163"/>
      <c r="T1296" s="61">
        <f t="shared" si="148"/>
        <v>0</v>
      </c>
      <c r="U1296" s="61">
        <f t="shared" si="149"/>
        <v>0</v>
      </c>
      <c r="V1296" s="61">
        <f t="shared" si="150"/>
        <v>0</v>
      </c>
      <c r="W1296" s="53"/>
      <c r="X1296" s="53"/>
      <c r="Y1296" s="53"/>
      <c r="Z1296" s="57"/>
      <c r="AA1296" s="164"/>
      <c r="AB1296" s="164"/>
      <c r="AC1296" s="164"/>
      <c r="AD1296" s="164"/>
      <c r="AE1296" s="164"/>
      <c r="AF1296" s="63"/>
      <c r="AG1296" s="64" t="str">
        <f t="shared" si="151"/>
        <v/>
      </c>
    </row>
    <row r="1297" spans="1:33" x14ac:dyDescent="0.25">
      <c r="A1297" s="11" t="str">
        <f>IF(ISBLANK(inbound_data[[#This Row],[Receiving Report ref.'#]]),"",IF(inbound_data[[#This Row],[Ending Quantity]]=0,"ZERO","INV"))</f>
        <v/>
      </c>
      <c r="B1297" s="165" t="str">
        <f t="shared" si="145"/>
        <v/>
      </c>
      <c r="C1297" s="165" t="str">
        <f>IF(ISBLANK(D1297),"",inbound_data[[#This Row],[Pallet_Series]]&amp;inbound_data[[#This Row],[No.]])</f>
        <v/>
      </c>
      <c r="D1297" s="54"/>
      <c r="E1297" s="53"/>
      <c r="F1297" s="56"/>
      <c r="G1297" s="57"/>
      <c r="H1297" s="53"/>
      <c r="I1297" s="53"/>
      <c r="J1297" s="53"/>
      <c r="K1297" s="53"/>
      <c r="L1297" s="67"/>
      <c r="M1297" s="53"/>
      <c r="N1297" s="68"/>
      <c r="O1297" s="68"/>
      <c r="P1297" s="165" t="str">
        <f t="shared" ca="1" si="146"/>
        <v/>
      </c>
      <c r="Q1297" s="165" t="str">
        <f t="shared" ca="1" si="147"/>
        <v/>
      </c>
      <c r="R1297" s="162"/>
      <c r="S1297" s="163"/>
      <c r="T1297" s="61">
        <f t="shared" si="148"/>
        <v>0</v>
      </c>
      <c r="U1297" s="61">
        <f t="shared" si="149"/>
        <v>0</v>
      </c>
      <c r="V1297" s="61">
        <f t="shared" si="150"/>
        <v>0</v>
      </c>
      <c r="W1297" s="53"/>
      <c r="X1297" s="53"/>
      <c r="Y1297" s="53"/>
      <c r="Z1297" s="57"/>
      <c r="AA1297" s="164"/>
      <c r="AB1297" s="164"/>
      <c r="AC1297" s="164"/>
      <c r="AD1297" s="164"/>
      <c r="AE1297" s="164"/>
      <c r="AF1297" s="63"/>
      <c r="AG1297" s="64" t="str">
        <f>IF(T1297&gt;0,CONCATENATE(AA1297,AB1297,TEXT(AC1297,"R00"),TEXT(AD1297,"L0."),TEXT(AE1297,"0")),"")</f>
        <v/>
      </c>
    </row>
    <row r="1298" spans="1:33" x14ac:dyDescent="0.25">
      <c r="A1298" s="46" t="str">
        <f>IF(ISBLANK(inbound_data[[#This Row],[Receiving Report ref.'#]]),"",IF(inbound_data[[#This Row],[Ending Quantity]]=0,"ZERO","INV"))</f>
        <v/>
      </c>
      <c r="B1298" s="165" t="str">
        <f t="shared" si="145"/>
        <v/>
      </c>
      <c r="C1298" s="165" t="str">
        <f>IF(ISBLANK(D1298),"",inbound_data[[#This Row],[Pallet_Series]]&amp;inbound_data[[#This Row],[No.]])</f>
        <v/>
      </c>
      <c r="D1298" s="54"/>
      <c r="E1298" s="53"/>
      <c r="F1298" s="56"/>
      <c r="G1298" s="57"/>
      <c r="H1298" s="53"/>
      <c r="I1298" s="53"/>
      <c r="J1298" s="53"/>
      <c r="K1298" s="53"/>
      <c r="L1298" s="67"/>
      <c r="M1298" s="53"/>
      <c r="N1298" s="68"/>
      <c r="O1298" s="68"/>
      <c r="P1298" s="165" t="str">
        <f t="shared" ca="1" si="146"/>
        <v/>
      </c>
      <c r="Q1298" s="165" t="str">
        <f t="shared" ca="1" si="147"/>
        <v/>
      </c>
      <c r="R1298" s="162"/>
      <c r="S1298" s="163"/>
      <c r="T1298" s="61">
        <f t="shared" si="148"/>
        <v>0</v>
      </c>
      <c r="U1298" s="61">
        <f t="shared" si="149"/>
        <v>0</v>
      </c>
      <c r="V1298" s="61">
        <f t="shared" si="150"/>
        <v>0</v>
      </c>
      <c r="W1298" s="53"/>
      <c r="X1298" s="53"/>
      <c r="Y1298" s="53"/>
      <c r="Z1298" s="57"/>
      <c r="AA1298" s="66"/>
      <c r="AB1298" s="66"/>
      <c r="AC1298" s="66"/>
      <c r="AD1298" s="66"/>
      <c r="AE1298" s="66"/>
      <c r="AF1298" s="63"/>
      <c r="AG1298" s="64" t="str">
        <f t="shared" ref="AG1298:AG1361" si="152">IF(T1298&gt;0,CONCATENATE(AA1298,AB1298,TEXT(AC1298,"R00"),TEXT(AD1298,"L0."),TEXT(AE1298,"0")),"")</f>
        <v/>
      </c>
    </row>
    <row r="1299" spans="1:33" x14ac:dyDescent="0.25">
      <c r="A1299" s="46" t="str">
        <f>IF(ISBLANK(inbound_data[[#This Row],[Receiving Report ref.'#]]),"",IF(inbound_data[[#This Row],[Ending Quantity]]=0,"ZERO","INV"))</f>
        <v/>
      </c>
      <c r="B1299" s="165" t="str">
        <f t="shared" si="145"/>
        <v/>
      </c>
      <c r="C1299" s="165" t="str">
        <f>IF(ISBLANK(D1299),"",inbound_data[[#This Row],[Pallet_Series]]&amp;inbound_data[[#This Row],[No.]])</f>
        <v/>
      </c>
      <c r="D1299" s="54"/>
      <c r="E1299" s="53"/>
      <c r="F1299" s="56"/>
      <c r="G1299" s="57"/>
      <c r="H1299" s="53"/>
      <c r="I1299" s="53"/>
      <c r="J1299" s="53"/>
      <c r="K1299" s="53"/>
      <c r="L1299" s="67"/>
      <c r="M1299" s="53"/>
      <c r="N1299" s="68"/>
      <c r="O1299" s="68"/>
      <c r="P1299" s="165" t="str">
        <f t="shared" ca="1" si="146"/>
        <v/>
      </c>
      <c r="Q1299" s="165" t="str">
        <f t="shared" ca="1" si="147"/>
        <v/>
      </c>
      <c r="R1299" s="162"/>
      <c r="S1299" s="163"/>
      <c r="T1299" s="61">
        <f t="shared" si="148"/>
        <v>0</v>
      </c>
      <c r="U1299" s="61">
        <f t="shared" si="149"/>
        <v>0</v>
      </c>
      <c r="V1299" s="61">
        <f t="shared" si="150"/>
        <v>0</v>
      </c>
      <c r="W1299" s="53"/>
      <c r="X1299" s="53"/>
      <c r="Y1299" s="53"/>
      <c r="Z1299" s="57"/>
      <c r="AA1299" s="66"/>
      <c r="AB1299" s="66"/>
      <c r="AC1299" s="66"/>
      <c r="AD1299" s="66"/>
      <c r="AE1299" s="66"/>
      <c r="AF1299" s="63"/>
      <c r="AG1299" s="64" t="str">
        <f t="shared" si="152"/>
        <v/>
      </c>
    </row>
    <row r="1300" spans="1:33" x14ac:dyDescent="0.25">
      <c r="A1300" s="46" t="str">
        <f>IF(ISBLANK(inbound_data[[#This Row],[Receiving Report ref.'#]]),"",IF(inbound_data[[#This Row],[Ending Quantity]]=0,"ZERO","INV"))</f>
        <v/>
      </c>
      <c r="B1300" s="165" t="str">
        <f t="shared" si="145"/>
        <v/>
      </c>
      <c r="C1300" s="165" t="str">
        <f>IF(ISBLANK(D1300),"",inbound_data[[#This Row],[Pallet_Series]]&amp;inbound_data[[#This Row],[No.]])</f>
        <v/>
      </c>
      <c r="D1300" s="54"/>
      <c r="E1300" s="53"/>
      <c r="F1300" s="56"/>
      <c r="G1300" s="57"/>
      <c r="H1300" s="53"/>
      <c r="I1300" s="53"/>
      <c r="J1300" s="53"/>
      <c r="K1300" s="53"/>
      <c r="L1300" s="67"/>
      <c r="M1300" s="53"/>
      <c r="N1300" s="68"/>
      <c r="O1300" s="68"/>
      <c r="P1300" s="165" t="str">
        <f t="shared" ca="1" si="146"/>
        <v/>
      </c>
      <c r="Q1300" s="165" t="str">
        <f t="shared" ca="1" si="147"/>
        <v/>
      </c>
      <c r="R1300" s="162"/>
      <c r="S1300" s="163"/>
      <c r="T1300" s="61">
        <f t="shared" si="148"/>
        <v>0</v>
      </c>
      <c r="U1300" s="61">
        <f t="shared" si="149"/>
        <v>0</v>
      </c>
      <c r="V1300" s="61">
        <f t="shared" si="150"/>
        <v>0</v>
      </c>
      <c r="W1300" s="53"/>
      <c r="X1300" s="53"/>
      <c r="Y1300" s="53"/>
      <c r="Z1300" s="57"/>
      <c r="AA1300" s="66"/>
      <c r="AB1300" s="66"/>
      <c r="AC1300" s="66"/>
      <c r="AD1300" s="66"/>
      <c r="AE1300" s="66"/>
      <c r="AF1300" s="63"/>
      <c r="AG1300" s="64" t="str">
        <f t="shared" si="152"/>
        <v/>
      </c>
    </row>
    <row r="1301" spans="1:33" x14ac:dyDescent="0.25">
      <c r="A1301" s="46" t="str">
        <f>IF(ISBLANK(inbound_data[[#This Row],[Receiving Report ref.'#]]),"",IF(inbound_data[[#This Row],[Ending Quantity]]=0,"ZERO","INV"))</f>
        <v/>
      </c>
      <c r="B1301" s="165" t="str">
        <f t="shared" si="145"/>
        <v/>
      </c>
      <c r="C1301" s="165" t="str">
        <f>IF(ISBLANK(D1301),"",inbound_data[[#This Row],[Pallet_Series]]&amp;inbound_data[[#This Row],[No.]])</f>
        <v/>
      </c>
      <c r="D1301" s="54"/>
      <c r="E1301" s="53"/>
      <c r="F1301" s="56"/>
      <c r="G1301" s="57"/>
      <c r="H1301" s="53"/>
      <c r="I1301" s="53"/>
      <c r="J1301" s="53"/>
      <c r="K1301" s="53"/>
      <c r="L1301" s="67"/>
      <c r="M1301" s="53"/>
      <c r="N1301" s="68"/>
      <c r="O1301" s="68"/>
      <c r="P1301" s="165" t="str">
        <f t="shared" ca="1" si="146"/>
        <v/>
      </c>
      <c r="Q1301" s="165" t="str">
        <f t="shared" ca="1" si="147"/>
        <v/>
      </c>
      <c r="R1301" s="162"/>
      <c r="S1301" s="163"/>
      <c r="T1301" s="61">
        <f t="shared" si="148"/>
        <v>0</v>
      </c>
      <c r="U1301" s="61">
        <f t="shared" si="149"/>
        <v>0</v>
      </c>
      <c r="V1301" s="61">
        <f t="shared" si="150"/>
        <v>0</v>
      </c>
      <c r="W1301" s="53"/>
      <c r="X1301" s="53"/>
      <c r="Y1301" s="53"/>
      <c r="Z1301" s="57"/>
      <c r="AA1301" s="66"/>
      <c r="AB1301" s="66"/>
      <c r="AC1301" s="66"/>
      <c r="AD1301" s="66"/>
      <c r="AE1301" s="66"/>
      <c r="AF1301" s="63"/>
      <c r="AG1301" s="64" t="str">
        <f t="shared" si="152"/>
        <v/>
      </c>
    </row>
    <row r="1302" spans="1:33" x14ac:dyDescent="0.25">
      <c r="A1302" s="46" t="str">
        <f>IF(ISBLANK(inbound_data[[#This Row],[Receiving Report ref.'#]]),"",IF(inbound_data[[#This Row],[Ending Quantity]]=0,"ZERO","INV"))</f>
        <v/>
      </c>
      <c r="B1302" s="165" t="str">
        <f t="shared" si="145"/>
        <v/>
      </c>
      <c r="C1302" s="165" t="str">
        <f>IF(ISBLANK(D1302),"",inbound_data[[#This Row],[Pallet_Series]]&amp;inbound_data[[#This Row],[No.]])</f>
        <v/>
      </c>
      <c r="D1302" s="54"/>
      <c r="E1302" s="53"/>
      <c r="F1302" s="56"/>
      <c r="G1302" s="57"/>
      <c r="H1302" s="53"/>
      <c r="I1302" s="53"/>
      <c r="J1302" s="53"/>
      <c r="K1302" s="53"/>
      <c r="L1302" s="67"/>
      <c r="M1302" s="53"/>
      <c r="N1302" s="68"/>
      <c r="O1302" s="68"/>
      <c r="P1302" s="165" t="str">
        <f t="shared" ca="1" si="146"/>
        <v/>
      </c>
      <c r="Q1302" s="165" t="str">
        <f t="shared" ca="1" si="147"/>
        <v/>
      </c>
      <c r="R1302" s="162"/>
      <c r="S1302" s="163"/>
      <c r="T1302" s="61">
        <f t="shared" si="148"/>
        <v>0</v>
      </c>
      <c r="U1302" s="61">
        <f t="shared" si="149"/>
        <v>0</v>
      </c>
      <c r="V1302" s="61">
        <f t="shared" si="150"/>
        <v>0</v>
      </c>
      <c r="W1302" s="53"/>
      <c r="X1302" s="53"/>
      <c r="Y1302" s="53"/>
      <c r="Z1302" s="57"/>
      <c r="AA1302" s="66"/>
      <c r="AB1302" s="66"/>
      <c r="AC1302" s="66"/>
      <c r="AD1302" s="66"/>
      <c r="AE1302" s="66"/>
      <c r="AF1302" s="63"/>
      <c r="AG1302" s="64" t="str">
        <f t="shared" si="152"/>
        <v/>
      </c>
    </row>
    <row r="1303" spans="1:33" x14ac:dyDescent="0.25">
      <c r="A1303" s="46" t="str">
        <f>IF(ISBLANK(inbound_data[[#This Row],[Receiving Report ref.'#]]),"",IF(inbound_data[[#This Row],[Ending Quantity]]=0,"ZERO","INV"))</f>
        <v/>
      </c>
      <c r="B1303" s="165" t="str">
        <f t="shared" si="145"/>
        <v/>
      </c>
      <c r="C1303" s="165" t="str">
        <f>IF(ISBLANK(D1303),"",inbound_data[[#This Row],[Pallet_Series]]&amp;inbound_data[[#This Row],[No.]])</f>
        <v/>
      </c>
      <c r="D1303" s="54"/>
      <c r="E1303" s="53"/>
      <c r="F1303" s="56"/>
      <c r="G1303" s="57"/>
      <c r="H1303" s="53"/>
      <c r="I1303" s="53"/>
      <c r="J1303" s="53"/>
      <c r="K1303" s="53"/>
      <c r="L1303" s="67"/>
      <c r="M1303" s="53"/>
      <c r="N1303" s="68"/>
      <c r="O1303" s="68"/>
      <c r="P1303" s="165" t="str">
        <f t="shared" ca="1" si="146"/>
        <v/>
      </c>
      <c r="Q1303" s="165" t="str">
        <f t="shared" ca="1" si="147"/>
        <v/>
      </c>
      <c r="R1303" s="162"/>
      <c r="S1303" s="163"/>
      <c r="T1303" s="61">
        <f t="shared" si="148"/>
        <v>0</v>
      </c>
      <c r="U1303" s="61">
        <f t="shared" si="149"/>
        <v>0</v>
      </c>
      <c r="V1303" s="61">
        <f t="shared" si="150"/>
        <v>0</v>
      </c>
      <c r="W1303" s="53"/>
      <c r="X1303" s="53"/>
      <c r="Y1303" s="53"/>
      <c r="Z1303" s="57"/>
      <c r="AA1303" s="66"/>
      <c r="AB1303" s="66"/>
      <c r="AC1303" s="66"/>
      <c r="AD1303" s="66"/>
      <c r="AE1303" s="66"/>
      <c r="AF1303" s="63"/>
      <c r="AG1303" s="64" t="str">
        <f t="shared" si="152"/>
        <v/>
      </c>
    </row>
    <row r="1304" spans="1:33" x14ac:dyDescent="0.25">
      <c r="A1304" s="46" t="str">
        <f>IF(ISBLANK(inbound_data[[#This Row],[Receiving Report ref.'#]]),"",IF(inbound_data[[#This Row],[Ending Quantity]]=0,"ZERO","INV"))</f>
        <v/>
      </c>
      <c r="B1304" s="165" t="str">
        <f t="shared" si="145"/>
        <v/>
      </c>
      <c r="C1304" s="165" t="str">
        <f>IF(ISBLANK(D1304),"",inbound_data[[#This Row],[Pallet_Series]]&amp;inbound_data[[#This Row],[No.]])</f>
        <v/>
      </c>
      <c r="D1304" s="54"/>
      <c r="E1304" s="53"/>
      <c r="F1304" s="56"/>
      <c r="G1304" s="57"/>
      <c r="H1304" s="53"/>
      <c r="I1304" s="53"/>
      <c r="J1304" s="53"/>
      <c r="K1304" s="53"/>
      <c r="L1304" s="67"/>
      <c r="M1304" s="53"/>
      <c r="N1304" s="68"/>
      <c r="O1304" s="68"/>
      <c r="P1304" s="165" t="str">
        <f t="shared" ca="1" si="146"/>
        <v/>
      </c>
      <c r="Q1304" s="165" t="str">
        <f t="shared" ca="1" si="147"/>
        <v/>
      </c>
      <c r="R1304" s="162"/>
      <c r="S1304" s="163"/>
      <c r="T1304" s="61">
        <f t="shared" si="148"/>
        <v>0</v>
      </c>
      <c r="U1304" s="61">
        <f t="shared" si="149"/>
        <v>0</v>
      </c>
      <c r="V1304" s="61">
        <f t="shared" si="150"/>
        <v>0</v>
      </c>
      <c r="W1304" s="53"/>
      <c r="X1304" s="53"/>
      <c r="Y1304" s="53"/>
      <c r="Z1304" s="57"/>
      <c r="AA1304" s="66"/>
      <c r="AB1304" s="66"/>
      <c r="AC1304" s="66"/>
      <c r="AD1304" s="66"/>
      <c r="AE1304" s="66"/>
      <c r="AF1304" s="63"/>
      <c r="AG1304" s="64" t="str">
        <f t="shared" si="152"/>
        <v/>
      </c>
    </row>
    <row r="1305" spans="1:33" x14ac:dyDescent="0.25">
      <c r="A1305" s="46" t="str">
        <f>IF(ISBLANK(inbound_data[[#This Row],[Receiving Report ref.'#]]),"",IF(inbound_data[[#This Row],[Ending Quantity]]=0,"ZERO","INV"))</f>
        <v/>
      </c>
      <c r="B1305" s="165" t="str">
        <f t="shared" si="145"/>
        <v/>
      </c>
      <c r="C1305" s="165" t="str">
        <f>IF(ISBLANK(D1305),"",inbound_data[[#This Row],[Pallet_Series]]&amp;inbound_data[[#This Row],[No.]])</f>
        <v/>
      </c>
      <c r="D1305" s="54"/>
      <c r="E1305" s="53"/>
      <c r="F1305" s="56"/>
      <c r="G1305" s="57"/>
      <c r="H1305" s="53"/>
      <c r="I1305" s="53"/>
      <c r="J1305" s="53"/>
      <c r="K1305" s="53"/>
      <c r="L1305" s="67"/>
      <c r="M1305" s="53"/>
      <c r="N1305" s="68"/>
      <c r="O1305" s="68"/>
      <c r="P1305" s="165" t="str">
        <f t="shared" ca="1" si="146"/>
        <v/>
      </c>
      <c r="Q1305" s="165" t="str">
        <f t="shared" ca="1" si="147"/>
        <v/>
      </c>
      <c r="R1305" s="162"/>
      <c r="S1305" s="163"/>
      <c r="T1305" s="61">
        <f t="shared" si="148"/>
        <v>0</v>
      </c>
      <c r="U1305" s="61">
        <f t="shared" si="149"/>
        <v>0</v>
      </c>
      <c r="V1305" s="61">
        <f t="shared" si="150"/>
        <v>0</v>
      </c>
      <c r="W1305" s="53"/>
      <c r="X1305" s="53"/>
      <c r="Y1305" s="53"/>
      <c r="Z1305" s="57"/>
      <c r="AA1305" s="66"/>
      <c r="AB1305" s="66"/>
      <c r="AC1305" s="66"/>
      <c r="AD1305" s="66"/>
      <c r="AE1305" s="66"/>
      <c r="AF1305" s="63"/>
      <c r="AG1305" s="64" t="str">
        <f t="shared" si="152"/>
        <v/>
      </c>
    </row>
    <row r="1306" spans="1:33" x14ac:dyDescent="0.25">
      <c r="A1306" s="46" t="str">
        <f>IF(ISBLANK(inbound_data[[#This Row],[Receiving Report ref.'#]]),"",IF(inbound_data[[#This Row],[Ending Quantity]]=0,"ZERO","INV"))</f>
        <v/>
      </c>
      <c r="B1306" s="165" t="str">
        <f t="shared" si="145"/>
        <v/>
      </c>
      <c r="C1306" s="165" t="str">
        <f>IF(ISBLANK(D1306),"",inbound_data[[#This Row],[Pallet_Series]]&amp;inbound_data[[#This Row],[No.]])</f>
        <v/>
      </c>
      <c r="D1306" s="54"/>
      <c r="E1306" s="53"/>
      <c r="F1306" s="56"/>
      <c r="G1306" s="57"/>
      <c r="H1306" s="53"/>
      <c r="I1306" s="53"/>
      <c r="J1306" s="53"/>
      <c r="K1306" s="53"/>
      <c r="L1306" s="67"/>
      <c r="M1306" s="53"/>
      <c r="N1306" s="68"/>
      <c r="O1306" s="68"/>
      <c r="P1306" s="165" t="str">
        <f t="shared" ca="1" si="146"/>
        <v/>
      </c>
      <c r="Q1306" s="165" t="str">
        <f t="shared" ca="1" si="147"/>
        <v/>
      </c>
      <c r="R1306" s="162"/>
      <c r="S1306" s="163"/>
      <c r="T1306" s="61">
        <f t="shared" si="148"/>
        <v>0</v>
      </c>
      <c r="U1306" s="61">
        <f t="shared" si="149"/>
        <v>0</v>
      </c>
      <c r="V1306" s="61">
        <f t="shared" si="150"/>
        <v>0</v>
      </c>
      <c r="W1306" s="53"/>
      <c r="X1306" s="53"/>
      <c r="Y1306" s="53"/>
      <c r="Z1306" s="57"/>
      <c r="AA1306" s="66"/>
      <c r="AB1306" s="66"/>
      <c r="AC1306" s="66"/>
      <c r="AD1306" s="66"/>
      <c r="AE1306" s="66"/>
      <c r="AF1306" s="63"/>
      <c r="AG1306" s="64" t="str">
        <f t="shared" si="152"/>
        <v/>
      </c>
    </row>
    <row r="1307" spans="1:33" x14ac:dyDescent="0.25">
      <c r="A1307" s="46" t="str">
        <f>IF(ISBLANK(inbound_data[[#This Row],[Receiving Report ref.'#]]),"",IF(inbound_data[[#This Row],[Ending Quantity]]=0,"ZERO","INV"))</f>
        <v/>
      </c>
      <c r="B1307" s="165" t="str">
        <f t="shared" si="145"/>
        <v/>
      </c>
      <c r="C1307" s="165" t="str">
        <f>IF(ISBLANK(D1307),"",inbound_data[[#This Row],[Pallet_Series]]&amp;inbound_data[[#This Row],[No.]])</f>
        <v/>
      </c>
      <c r="D1307" s="54"/>
      <c r="E1307" s="53"/>
      <c r="F1307" s="56"/>
      <c r="G1307" s="57"/>
      <c r="H1307" s="53"/>
      <c r="I1307" s="53"/>
      <c r="J1307" s="53"/>
      <c r="K1307" s="53"/>
      <c r="L1307" s="67"/>
      <c r="M1307" s="53"/>
      <c r="N1307" s="68"/>
      <c r="O1307" s="68"/>
      <c r="P1307" s="165" t="str">
        <f t="shared" ca="1" si="146"/>
        <v/>
      </c>
      <c r="Q1307" s="165" t="str">
        <f t="shared" ca="1" si="147"/>
        <v/>
      </c>
      <c r="R1307" s="162"/>
      <c r="S1307" s="163"/>
      <c r="T1307" s="61">
        <f t="shared" si="148"/>
        <v>0</v>
      </c>
      <c r="U1307" s="61">
        <f t="shared" si="149"/>
        <v>0</v>
      </c>
      <c r="V1307" s="61">
        <f t="shared" si="150"/>
        <v>0</v>
      </c>
      <c r="W1307" s="53"/>
      <c r="X1307" s="53"/>
      <c r="Y1307" s="53"/>
      <c r="Z1307" s="57"/>
      <c r="AA1307" s="66"/>
      <c r="AB1307" s="66"/>
      <c r="AC1307" s="66"/>
      <c r="AD1307" s="66"/>
      <c r="AE1307" s="66"/>
      <c r="AF1307" s="63"/>
      <c r="AG1307" s="64" t="str">
        <f t="shared" si="152"/>
        <v/>
      </c>
    </row>
    <row r="1308" spans="1:33" x14ac:dyDescent="0.25">
      <c r="A1308" s="46" t="str">
        <f>IF(ISBLANK(inbound_data[[#This Row],[Receiving Report ref.'#]]),"",IF(inbound_data[[#This Row],[Ending Quantity]]=0,"ZERO","INV"))</f>
        <v/>
      </c>
      <c r="B1308" s="165" t="str">
        <f t="shared" si="145"/>
        <v/>
      </c>
      <c r="C1308" s="165" t="str">
        <f>IF(ISBLANK(D1308),"",inbound_data[[#This Row],[Pallet_Series]]&amp;inbound_data[[#This Row],[No.]])</f>
        <v/>
      </c>
      <c r="D1308" s="54"/>
      <c r="E1308" s="53"/>
      <c r="F1308" s="56"/>
      <c r="G1308" s="57"/>
      <c r="H1308" s="53"/>
      <c r="I1308" s="53"/>
      <c r="J1308" s="53"/>
      <c r="K1308" s="53"/>
      <c r="L1308" s="67"/>
      <c r="M1308" s="53"/>
      <c r="N1308" s="68"/>
      <c r="O1308" s="68"/>
      <c r="P1308" s="165" t="str">
        <f t="shared" ca="1" si="146"/>
        <v/>
      </c>
      <c r="Q1308" s="165" t="str">
        <f t="shared" ca="1" si="147"/>
        <v/>
      </c>
      <c r="R1308" s="162"/>
      <c r="S1308" s="163"/>
      <c r="T1308" s="61">
        <f t="shared" si="148"/>
        <v>0</v>
      </c>
      <c r="U1308" s="61">
        <f t="shared" si="149"/>
        <v>0</v>
      </c>
      <c r="V1308" s="61">
        <f t="shared" si="150"/>
        <v>0</v>
      </c>
      <c r="W1308" s="53"/>
      <c r="X1308" s="53"/>
      <c r="Y1308" s="53"/>
      <c r="Z1308" s="57"/>
      <c r="AA1308" s="66"/>
      <c r="AB1308" s="66"/>
      <c r="AC1308" s="66"/>
      <c r="AD1308" s="66"/>
      <c r="AE1308" s="66"/>
      <c r="AF1308" s="63"/>
      <c r="AG1308" s="64" t="str">
        <f t="shared" si="152"/>
        <v/>
      </c>
    </row>
    <row r="1309" spans="1:33" x14ac:dyDescent="0.25">
      <c r="A1309" s="46" t="str">
        <f>IF(ISBLANK(inbound_data[[#This Row],[Receiving Report ref.'#]]),"",IF(inbound_data[[#This Row],[Ending Quantity]]=0,"ZERO","INV"))</f>
        <v/>
      </c>
      <c r="B1309" s="165" t="str">
        <f t="shared" si="145"/>
        <v/>
      </c>
      <c r="C1309" s="165" t="str">
        <f>IF(ISBLANK(D1309),"",inbound_data[[#This Row],[Pallet_Series]]&amp;inbound_data[[#This Row],[No.]])</f>
        <v/>
      </c>
      <c r="D1309" s="54"/>
      <c r="E1309" s="53"/>
      <c r="F1309" s="56"/>
      <c r="G1309" s="57"/>
      <c r="H1309" s="53"/>
      <c r="I1309" s="53"/>
      <c r="J1309" s="53"/>
      <c r="K1309" s="53"/>
      <c r="L1309" s="67"/>
      <c r="M1309" s="53"/>
      <c r="N1309" s="68"/>
      <c r="O1309" s="68"/>
      <c r="P1309" s="165" t="str">
        <f t="shared" ca="1" si="146"/>
        <v/>
      </c>
      <c r="Q1309" s="165" t="str">
        <f t="shared" ca="1" si="147"/>
        <v/>
      </c>
      <c r="R1309" s="162"/>
      <c r="S1309" s="163"/>
      <c r="T1309" s="61">
        <f t="shared" si="148"/>
        <v>0</v>
      </c>
      <c r="U1309" s="61">
        <f t="shared" si="149"/>
        <v>0</v>
      </c>
      <c r="V1309" s="61">
        <f t="shared" si="150"/>
        <v>0</v>
      </c>
      <c r="W1309" s="53"/>
      <c r="X1309" s="53"/>
      <c r="Y1309" s="53"/>
      <c r="Z1309" s="57"/>
      <c r="AA1309" s="66"/>
      <c r="AB1309" s="66"/>
      <c r="AC1309" s="66"/>
      <c r="AD1309" s="66"/>
      <c r="AE1309" s="66"/>
      <c r="AF1309" s="63"/>
      <c r="AG1309" s="64" t="str">
        <f t="shared" si="152"/>
        <v/>
      </c>
    </row>
    <row r="1310" spans="1:33" x14ac:dyDescent="0.25">
      <c r="A1310" s="46" t="str">
        <f>IF(ISBLANK(inbound_data[[#This Row],[Receiving Report ref.'#]]),"",IF(inbound_data[[#This Row],[Ending Quantity]]=0,"ZERO","INV"))</f>
        <v/>
      </c>
      <c r="B1310" s="165" t="str">
        <f t="shared" si="145"/>
        <v/>
      </c>
      <c r="C1310" s="165" t="str">
        <f>IF(ISBLANK(D1310),"",inbound_data[[#This Row],[Pallet_Series]]&amp;inbound_data[[#This Row],[No.]])</f>
        <v/>
      </c>
      <c r="D1310" s="54"/>
      <c r="E1310" s="53"/>
      <c r="F1310" s="56"/>
      <c r="G1310" s="57"/>
      <c r="H1310" s="53"/>
      <c r="I1310" s="53"/>
      <c r="J1310" s="53"/>
      <c r="K1310" s="53"/>
      <c r="L1310" s="67"/>
      <c r="M1310" s="53"/>
      <c r="N1310" s="68"/>
      <c r="O1310" s="68"/>
      <c r="P1310" s="165" t="str">
        <f t="shared" ca="1" si="146"/>
        <v/>
      </c>
      <c r="Q1310" s="165" t="str">
        <f t="shared" ca="1" si="147"/>
        <v/>
      </c>
      <c r="R1310" s="162"/>
      <c r="S1310" s="163"/>
      <c r="T1310" s="61">
        <f t="shared" si="148"/>
        <v>0</v>
      </c>
      <c r="U1310" s="61">
        <f t="shared" si="149"/>
        <v>0</v>
      </c>
      <c r="V1310" s="61">
        <f t="shared" si="150"/>
        <v>0</v>
      </c>
      <c r="W1310" s="53"/>
      <c r="X1310" s="53"/>
      <c r="Y1310" s="53"/>
      <c r="Z1310" s="57"/>
      <c r="AA1310" s="66"/>
      <c r="AB1310" s="66"/>
      <c r="AC1310" s="66"/>
      <c r="AD1310" s="66"/>
      <c r="AE1310" s="66"/>
      <c r="AF1310" s="63"/>
      <c r="AG1310" s="64" t="str">
        <f t="shared" si="152"/>
        <v/>
      </c>
    </row>
    <row r="1311" spans="1:33" x14ac:dyDescent="0.25">
      <c r="A1311" s="46" t="str">
        <f>IF(ISBLANK(inbound_data[[#This Row],[Receiving Report ref.'#]]),"",IF(inbound_data[[#This Row],[Ending Quantity]]=0,"ZERO","INV"))</f>
        <v/>
      </c>
      <c r="B1311" s="165" t="str">
        <f t="shared" si="145"/>
        <v/>
      </c>
      <c r="C1311" s="165" t="str">
        <f>IF(ISBLANK(D1311),"",inbound_data[[#This Row],[Pallet_Series]]&amp;inbound_data[[#This Row],[No.]])</f>
        <v/>
      </c>
      <c r="D1311" s="54"/>
      <c r="E1311" s="53"/>
      <c r="F1311" s="56"/>
      <c r="G1311" s="57"/>
      <c r="H1311" s="53"/>
      <c r="I1311" s="53"/>
      <c r="J1311" s="53"/>
      <c r="K1311" s="53"/>
      <c r="L1311" s="67"/>
      <c r="M1311" s="53"/>
      <c r="N1311" s="68"/>
      <c r="O1311" s="68"/>
      <c r="P1311" s="165" t="str">
        <f t="shared" ca="1" si="146"/>
        <v/>
      </c>
      <c r="Q1311" s="165" t="str">
        <f t="shared" ca="1" si="147"/>
        <v/>
      </c>
      <c r="R1311" s="162"/>
      <c r="S1311" s="163"/>
      <c r="T1311" s="61">
        <f t="shared" si="148"/>
        <v>0</v>
      </c>
      <c r="U1311" s="61">
        <f t="shared" si="149"/>
        <v>0</v>
      </c>
      <c r="V1311" s="61">
        <f t="shared" si="150"/>
        <v>0</v>
      </c>
      <c r="W1311" s="53"/>
      <c r="X1311" s="53"/>
      <c r="Y1311" s="53"/>
      <c r="Z1311" s="57"/>
      <c r="AA1311" s="66"/>
      <c r="AB1311" s="66"/>
      <c r="AC1311" s="66"/>
      <c r="AD1311" s="66"/>
      <c r="AE1311" s="66"/>
      <c r="AF1311" s="63"/>
      <c r="AG1311" s="64" t="str">
        <f t="shared" si="152"/>
        <v/>
      </c>
    </row>
    <row r="1312" spans="1:33" x14ac:dyDescent="0.25">
      <c r="A1312" s="46" t="str">
        <f>IF(ISBLANK(inbound_data[[#This Row],[Receiving Report ref.'#]]),"",IF(inbound_data[[#This Row],[Ending Quantity]]=0,"ZERO","INV"))</f>
        <v/>
      </c>
      <c r="B1312" s="165" t="str">
        <f t="shared" si="145"/>
        <v/>
      </c>
      <c r="C1312" s="165" t="str">
        <f>IF(ISBLANK(D1312),"",inbound_data[[#This Row],[Pallet_Series]]&amp;inbound_data[[#This Row],[No.]])</f>
        <v/>
      </c>
      <c r="D1312" s="54"/>
      <c r="E1312" s="53"/>
      <c r="F1312" s="56"/>
      <c r="G1312" s="57"/>
      <c r="H1312" s="53"/>
      <c r="I1312" s="53"/>
      <c r="J1312" s="53"/>
      <c r="K1312" s="53"/>
      <c r="L1312" s="67"/>
      <c r="M1312" s="53"/>
      <c r="N1312" s="68"/>
      <c r="O1312" s="68"/>
      <c r="P1312" s="165" t="str">
        <f t="shared" ca="1" si="146"/>
        <v/>
      </c>
      <c r="Q1312" s="165" t="str">
        <f t="shared" ca="1" si="147"/>
        <v/>
      </c>
      <c r="R1312" s="162"/>
      <c r="S1312" s="163"/>
      <c r="T1312" s="61">
        <f t="shared" si="148"/>
        <v>0</v>
      </c>
      <c r="U1312" s="61">
        <f t="shared" si="149"/>
        <v>0</v>
      </c>
      <c r="V1312" s="61">
        <f t="shared" si="150"/>
        <v>0</v>
      </c>
      <c r="W1312" s="53"/>
      <c r="X1312" s="53"/>
      <c r="Y1312" s="53"/>
      <c r="Z1312" s="57"/>
      <c r="AA1312" s="66"/>
      <c r="AB1312" s="66"/>
      <c r="AC1312" s="66"/>
      <c r="AD1312" s="66"/>
      <c r="AE1312" s="66"/>
      <c r="AF1312" s="63"/>
      <c r="AG1312" s="64" t="str">
        <f t="shared" si="152"/>
        <v/>
      </c>
    </row>
    <row r="1313" spans="1:33" x14ac:dyDescent="0.25">
      <c r="A1313" s="46" t="str">
        <f>IF(ISBLANK(inbound_data[[#This Row],[Receiving Report ref.'#]]),"",IF(inbound_data[[#This Row],[Ending Quantity]]=0,"ZERO","INV"))</f>
        <v/>
      </c>
      <c r="B1313" s="165" t="str">
        <f t="shared" si="145"/>
        <v/>
      </c>
      <c r="C1313" s="165" t="str">
        <f>IF(ISBLANK(D1313),"",inbound_data[[#This Row],[Pallet_Series]]&amp;inbound_data[[#This Row],[No.]])</f>
        <v/>
      </c>
      <c r="D1313" s="54"/>
      <c r="E1313" s="53"/>
      <c r="F1313" s="56"/>
      <c r="G1313" s="57"/>
      <c r="H1313" s="53"/>
      <c r="I1313" s="53"/>
      <c r="J1313" s="53"/>
      <c r="K1313" s="53"/>
      <c r="L1313" s="67"/>
      <c r="M1313" s="53"/>
      <c r="N1313" s="68"/>
      <c r="O1313" s="68"/>
      <c r="P1313" s="165" t="str">
        <f t="shared" ca="1" si="146"/>
        <v/>
      </c>
      <c r="Q1313" s="165" t="str">
        <f t="shared" ca="1" si="147"/>
        <v/>
      </c>
      <c r="R1313" s="162"/>
      <c r="S1313" s="163"/>
      <c r="T1313" s="61">
        <f t="shared" si="148"/>
        <v>0</v>
      </c>
      <c r="U1313" s="61">
        <f t="shared" si="149"/>
        <v>0</v>
      </c>
      <c r="V1313" s="61">
        <f t="shared" si="150"/>
        <v>0</v>
      </c>
      <c r="W1313" s="53"/>
      <c r="X1313" s="53"/>
      <c r="Y1313" s="53"/>
      <c r="Z1313" s="57"/>
      <c r="AA1313" s="66"/>
      <c r="AB1313" s="66"/>
      <c r="AC1313" s="66"/>
      <c r="AD1313" s="66"/>
      <c r="AE1313" s="66"/>
      <c r="AF1313" s="63"/>
      <c r="AG1313" s="64" t="str">
        <f t="shared" si="152"/>
        <v/>
      </c>
    </row>
    <row r="1314" spans="1:33" x14ac:dyDescent="0.25">
      <c r="A1314" s="46" t="str">
        <f>IF(ISBLANK(inbound_data[[#This Row],[Receiving Report ref.'#]]),"",IF(inbound_data[[#This Row],[Ending Quantity]]=0,"ZERO","INV"))</f>
        <v/>
      </c>
      <c r="B1314" s="165" t="str">
        <f t="shared" si="145"/>
        <v/>
      </c>
      <c r="C1314" s="165" t="str">
        <f>IF(ISBLANK(D1314),"",inbound_data[[#This Row],[Pallet_Series]]&amp;inbound_data[[#This Row],[No.]])</f>
        <v/>
      </c>
      <c r="D1314" s="54"/>
      <c r="E1314" s="53"/>
      <c r="F1314" s="56"/>
      <c r="G1314" s="57"/>
      <c r="H1314" s="53"/>
      <c r="I1314" s="53"/>
      <c r="J1314" s="53"/>
      <c r="K1314" s="53"/>
      <c r="L1314" s="67"/>
      <c r="M1314" s="53"/>
      <c r="N1314" s="68"/>
      <c r="O1314" s="68"/>
      <c r="P1314" s="165" t="str">
        <f t="shared" ca="1" si="146"/>
        <v/>
      </c>
      <c r="Q1314" s="165" t="str">
        <f t="shared" ca="1" si="147"/>
        <v/>
      </c>
      <c r="R1314" s="162"/>
      <c r="S1314" s="163"/>
      <c r="T1314" s="61">
        <f t="shared" si="148"/>
        <v>0</v>
      </c>
      <c r="U1314" s="61">
        <f t="shared" si="149"/>
        <v>0</v>
      </c>
      <c r="V1314" s="61">
        <f t="shared" si="150"/>
        <v>0</v>
      </c>
      <c r="W1314" s="53"/>
      <c r="X1314" s="53"/>
      <c r="Y1314" s="53"/>
      <c r="Z1314" s="57"/>
      <c r="AA1314" s="66"/>
      <c r="AB1314" s="66"/>
      <c r="AC1314" s="66"/>
      <c r="AD1314" s="66"/>
      <c r="AE1314" s="66"/>
      <c r="AF1314" s="63"/>
      <c r="AG1314" s="64" t="str">
        <f t="shared" si="152"/>
        <v/>
      </c>
    </row>
    <row r="1315" spans="1:33" x14ac:dyDescent="0.25">
      <c r="A1315" s="46" t="str">
        <f>IF(ISBLANK(inbound_data[[#This Row],[Receiving Report ref.'#]]),"",IF(inbound_data[[#This Row],[Ending Quantity]]=0,"ZERO","INV"))</f>
        <v/>
      </c>
      <c r="B1315" s="165" t="str">
        <f t="shared" si="145"/>
        <v/>
      </c>
      <c r="C1315" s="165" t="str">
        <f>IF(ISBLANK(D1315),"",inbound_data[[#This Row],[Pallet_Series]]&amp;inbound_data[[#This Row],[No.]])</f>
        <v/>
      </c>
      <c r="D1315" s="54"/>
      <c r="E1315" s="53"/>
      <c r="F1315" s="56"/>
      <c r="G1315" s="57"/>
      <c r="H1315" s="53"/>
      <c r="I1315" s="53"/>
      <c r="J1315" s="53"/>
      <c r="K1315" s="53"/>
      <c r="L1315" s="67"/>
      <c r="M1315" s="53"/>
      <c r="N1315" s="68"/>
      <c r="O1315" s="68"/>
      <c r="P1315" s="165" t="str">
        <f t="shared" ca="1" si="146"/>
        <v/>
      </c>
      <c r="Q1315" s="165" t="str">
        <f t="shared" ca="1" si="147"/>
        <v/>
      </c>
      <c r="R1315" s="162"/>
      <c r="S1315" s="163"/>
      <c r="T1315" s="61">
        <f t="shared" si="148"/>
        <v>0</v>
      </c>
      <c r="U1315" s="61">
        <f t="shared" si="149"/>
        <v>0</v>
      </c>
      <c r="V1315" s="61">
        <f t="shared" si="150"/>
        <v>0</v>
      </c>
      <c r="W1315" s="53"/>
      <c r="X1315" s="53"/>
      <c r="Y1315" s="53"/>
      <c r="Z1315" s="57"/>
      <c r="AA1315" s="66"/>
      <c r="AB1315" s="66"/>
      <c r="AC1315" s="66"/>
      <c r="AD1315" s="66"/>
      <c r="AE1315" s="66"/>
      <c r="AF1315" s="63"/>
      <c r="AG1315" s="64" t="str">
        <f t="shared" si="152"/>
        <v/>
      </c>
    </row>
    <row r="1316" spans="1:33" x14ac:dyDescent="0.25">
      <c r="A1316" s="46" t="str">
        <f>IF(ISBLANK(inbound_data[[#This Row],[Receiving Report ref.'#]]),"",IF(inbound_data[[#This Row],[Ending Quantity]]=0,"ZERO","INV"))</f>
        <v/>
      </c>
      <c r="B1316" s="165" t="str">
        <f t="shared" si="145"/>
        <v/>
      </c>
      <c r="C1316" s="165" t="str">
        <f>IF(ISBLANK(D1316),"",inbound_data[[#This Row],[Pallet_Series]]&amp;inbound_data[[#This Row],[No.]])</f>
        <v/>
      </c>
      <c r="D1316" s="54"/>
      <c r="E1316" s="53"/>
      <c r="F1316" s="56"/>
      <c r="G1316" s="57"/>
      <c r="H1316" s="53"/>
      <c r="I1316" s="53"/>
      <c r="J1316" s="53"/>
      <c r="K1316" s="53"/>
      <c r="L1316" s="67"/>
      <c r="M1316" s="53"/>
      <c r="N1316" s="68"/>
      <c r="O1316" s="68"/>
      <c r="P1316" s="165" t="str">
        <f t="shared" ca="1" si="146"/>
        <v/>
      </c>
      <c r="Q1316" s="165" t="str">
        <f t="shared" ca="1" si="147"/>
        <v/>
      </c>
      <c r="R1316" s="162"/>
      <c r="S1316" s="163"/>
      <c r="T1316" s="61">
        <f t="shared" si="148"/>
        <v>0</v>
      </c>
      <c r="U1316" s="61">
        <f t="shared" si="149"/>
        <v>0</v>
      </c>
      <c r="V1316" s="61">
        <f t="shared" si="150"/>
        <v>0</v>
      </c>
      <c r="W1316" s="53"/>
      <c r="X1316" s="53"/>
      <c r="Y1316" s="53"/>
      <c r="Z1316" s="57"/>
      <c r="AA1316" s="66"/>
      <c r="AB1316" s="66"/>
      <c r="AC1316" s="66"/>
      <c r="AD1316" s="66"/>
      <c r="AE1316" s="66"/>
      <c r="AF1316" s="63"/>
      <c r="AG1316" s="64" t="str">
        <f t="shared" si="152"/>
        <v/>
      </c>
    </row>
    <row r="1317" spans="1:33" x14ac:dyDescent="0.25">
      <c r="A1317" s="46" t="str">
        <f>IF(ISBLANK(inbound_data[[#This Row],[Receiving Report ref.'#]]),"",IF(inbound_data[[#This Row],[Ending Quantity]]=0,"ZERO","INV"))</f>
        <v/>
      </c>
      <c r="B1317" s="165" t="str">
        <f t="shared" si="145"/>
        <v/>
      </c>
      <c r="C1317" s="165" t="str">
        <f>IF(ISBLANK(D1317),"",inbound_data[[#This Row],[Pallet_Series]]&amp;inbound_data[[#This Row],[No.]])</f>
        <v/>
      </c>
      <c r="D1317" s="54"/>
      <c r="E1317" s="53"/>
      <c r="F1317" s="56"/>
      <c r="G1317" s="57"/>
      <c r="H1317" s="53"/>
      <c r="I1317" s="53"/>
      <c r="J1317" s="53"/>
      <c r="K1317" s="53"/>
      <c r="L1317" s="67"/>
      <c r="M1317" s="53"/>
      <c r="N1317" s="68"/>
      <c r="O1317" s="68"/>
      <c r="P1317" s="165" t="str">
        <f t="shared" ca="1" si="146"/>
        <v/>
      </c>
      <c r="Q1317" s="165" t="str">
        <f t="shared" ca="1" si="147"/>
        <v/>
      </c>
      <c r="R1317" s="162"/>
      <c r="S1317" s="163"/>
      <c r="T1317" s="61">
        <f t="shared" si="148"/>
        <v>0</v>
      </c>
      <c r="U1317" s="61">
        <f t="shared" si="149"/>
        <v>0</v>
      </c>
      <c r="V1317" s="61">
        <f t="shared" si="150"/>
        <v>0</v>
      </c>
      <c r="W1317" s="53"/>
      <c r="X1317" s="53"/>
      <c r="Y1317" s="53"/>
      <c r="Z1317" s="57"/>
      <c r="AA1317" s="66"/>
      <c r="AB1317" s="66"/>
      <c r="AC1317" s="66"/>
      <c r="AD1317" s="66"/>
      <c r="AE1317" s="66"/>
      <c r="AF1317" s="63"/>
      <c r="AG1317" s="64" t="str">
        <f t="shared" si="152"/>
        <v/>
      </c>
    </row>
    <row r="1318" spans="1:33" x14ac:dyDescent="0.25">
      <c r="A1318" s="46" t="str">
        <f>IF(ISBLANK(inbound_data[[#This Row],[Receiving Report ref.'#]]),"",IF(inbound_data[[#This Row],[Ending Quantity]]=0,"ZERO","INV"))</f>
        <v/>
      </c>
      <c r="B1318" s="165" t="str">
        <f t="shared" si="145"/>
        <v/>
      </c>
      <c r="C1318" s="165" t="str">
        <f>IF(ISBLANK(D1318),"",inbound_data[[#This Row],[Pallet_Series]]&amp;inbound_data[[#This Row],[No.]])</f>
        <v/>
      </c>
      <c r="D1318" s="54"/>
      <c r="E1318" s="53"/>
      <c r="F1318" s="56"/>
      <c r="G1318" s="57"/>
      <c r="H1318" s="53"/>
      <c r="I1318" s="53"/>
      <c r="J1318" s="53"/>
      <c r="K1318" s="53"/>
      <c r="L1318" s="67"/>
      <c r="M1318" s="53"/>
      <c r="N1318" s="68"/>
      <c r="O1318" s="68"/>
      <c r="P1318" s="165" t="str">
        <f t="shared" ca="1" si="146"/>
        <v/>
      </c>
      <c r="Q1318" s="165" t="str">
        <f t="shared" ca="1" si="147"/>
        <v/>
      </c>
      <c r="R1318" s="162"/>
      <c r="S1318" s="163"/>
      <c r="T1318" s="61">
        <f t="shared" si="148"/>
        <v>0</v>
      </c>
      <c r="U1318" s="61">
        <f t="shared" si="149"/>
        <v>0</v>
      </c>
      <c r="V1318" s="61">
        <f t="shared" si="150"/>
        <v>0</v>
      </c>
      <c r="W1318" s="53"/>
      <c r="X1318" s="53"/>
      <c r="Y1318" s="53"/>
      <c r="Z1318" s="57"/>
      <c r="AA1318" s="66"/>
      <c r="AB1318" s="66"/>
      <c r="AC1318" s="66"/>
      <c r="AD1318" s="66"/>
      <c r="AE1318" s="66"/>
      <c r="AF1318" s="63"/>
      <c r="AG1318" s="64" t="str">
        <f t="shared" si="152"/>
        <v/>
      </c>
    </row>
    <row r="1319" spans="1:33" x14ac:dyDescent="0.25">
      <c r="A1319" s="46" t="str">
        <f>IF(ISBLANK(inbound_data[[#This Row],[Receiving Report ref.'#]]),"",IF(inbound_data[[#This Row],[Ending Quantity]]=0,"ZERO","INV"))</f>
        <v/>
      </c>
      <c r="B1319" s="165" t="str">
        <f t="shared" si="145"/>
        <v/>
      </c>
      <c r="C1319" s="165" t="str">
        <f>IF(ISBLANK(D1319),"",inbound_data[[#This Row],[Pallet_Series]]&amp;inbound_data[[#This Row],[No.]])</f>
        <v/>
      </c>
      <c r="D1319" s="54"/>
      <c r="E1319" s="53"/>
      <c r="F1319" s="56"/>
      <c r="G1319" s="57"/>
      <c r="H1319" s="53"/>
      <c r="I1319" s="53"/>
      <c r="J1319" s="53"/>
      <c r="K1319" s="53"/>
      <c r="L1319" s="67"/>
      <c r="M1319" s="53"/>
      <c r="N1319" s="68"/>
      <c r="O1319" s="68"/>
      <c r="P1319" s="165" t="str">
        <f t="shared" ca="1" si="146"/>
        <v/>
      </c>
      <c r="Q1319" s="165" t="str">
        <f t="shared" ca="1" si="147"/>
        <v/>
      </c>
      <c r="R1319" s="162"/>
      <c r="S1319" s="163"/>
      <c r="T1319" s="61">
        <f t="shared" si="148"/>
        <v>0</v>
      </c>
      <c r="U1319" s="61">
        <f t="shared" si="149"/>
        <v>0</v>
      </c>
      <c r="V1319" s="61">
        <f t="shared" si="150"/>
        <v>0</v>
      </c>
      <c r="W1319" s="53"/>
      <c r="X1319" s="53"/>
      <c r="Y1319" s="53"/>
      <c r="Z1319" s="57"/>
      <c r="AA1319" s="66"/>
      <c r="AB1319" s="66"/>
      <c r="AC1319" s="66"/>
      <c r="AD1319" s="66"/>
      <c r="AE1319" s="66"/>
      <c r="AF1319" s="63"/>
      <c r="AG1319" s="64" t="str">
        <f t="shared" si="152"/>
        <v/>
      </c>
    </row>
    <row r="1320" spans="1:33" x14ac:dyDescent="0.25">
      <c r="A1320" s="46" t="str">
        <f>IF(ISBLANK(inbound_data[[#This Row],[Receiving Report ref.'#]]),"",IF(inbound_data[[#This Row],[Ending Quantity]]=0,"ZERO","INV"))</f>
        <v/>
      </c>
      <c r="B1320" s="165" t="str">
        <f t="shared" si="145"/>
        <v/>
      </c>
      <c r="C1320" s="165" t="str">
        <f>IF(ISBLANK(D1320),"",inbound_data[[#This Row],[Pallet_Series]]&amp;inbound_data[[#This Row],[No.]])</f>
        <v/>
      </c>
      <c r="D1320" s="54"/>
      <c r="E1320" s="53"/>
      <c r="F1320" s="56"/>
      <c r="G1320" s="57"/>
      <c r="H1320" s="53"/>
      <c r="I1320" s="53"/>
      <c r="J1320" s="53"/>
      <c r="K1320" s="53"/>
      <c r="L1320" s="67"/>
      <c r="M1320" s="53"/>
      <c r="N1320" s="68"/>
      <c r="O1320" s="68"/>
      <c r="P1320" s="165" t="str">
        <f t="shared" ca="1" si="146"/>
        <v/>
      </c>
      <c r="Q1320" s="165" t="str">
        <f t="shared" ca="1" si="147"/>
        <v/>
      </c>
      <c r="R1320" s="162"/>
      <c r="S1320" s="163"/>
      <c r="T1320" s="61">
        <f t="shared" si="148"/>
        <v>0</v>
      </c>
      <c r="U1320" s="61">
        <f t="shared" si="149"/>
        <v>0</v>
      </c>
      <c r="V1320" s="61">
        <f t="shared" si="150"/>
        <v>0</v>
      </c>
      <c r="W1320" s="53"/>
      <c r="X1320" s="53"/>
      <c r="Y1320" s="53"/>
      <c r="Z1320" s="57"/>
      <c r="AA1320" s="66"/>
      <c r="AB1320" s="66"/>
      <c r="AC1320" s="66"/>
      <c r="AD1320" s="66"/>
      <c r="AE1320" s="66"/>
      <c r="AF1320" s="63"/>
      <c r="AG1320" s="64" t="str">
        <f t="shared" si="152"/>
        <v/>
      </c>
    </row>
    <row r="1321" spans="1:33" x14ac:dyDescent="0.25">
      <c r="A1321" s="46" t="str">
        <f>IF(ISBLANK(inbound_data[[#This Row],[Receiving Report ref.'#]]),"",IF(inbound_data[[#This Row],[Ending Quantity]]=0,"ZERO","INV"))</f>
        <v/>
      </c>
      <c r="B1321" s="165" t="str">
        <f t="shared" si="145"/>
        <v/>
      </c>
      <c r="C1321" s="165" t="str">
        <f>IF(ISBLANK(D1321),"",inbound_data[[#This Row],[Pallet_Series]]&amp;inbound_data[[#This Row],[No.]])</f>
        <v/>
      </c>
      <c r="D1321" s="54"/>
      <c r="E1321" s="53"/>
      <c r="F1321" s="56"/>
      <c r="G1321" s="57"/>
      <c r="H1321" s="53"/>
      <c r="I1321" s="53"/>
      <c r="J1321" s="53"/>
      <c r="K1321" s="53"/>
      <c r="L1321" s="67"/>
      <c r="M1321" s="53"/>
      <c r="N1321" s="68"/>
      <c r="O1321" s="68"/>
      <c r="P1321" s="165" t="str">
        <f t="shared" ca="1" si="146"/>
        <v/>
      </c>
      <c r="Q1321" s="165" t="str">
        <f t="shared" ca="1" si="147"/>
        <v/>
      </c>
      <c r="R1321" s="162"/>
      <c r="S1321" s="163"/>
      <c r="T1321" s="61">
        <f t="shared" si="148"/>
        <v>0</v>
      </c>
      <c r="U1321" s="61">
        <f t="shared" si="149"/>
        <v>0</v>
      </c>
      <c r="V1321" s="61">
        <f t="shared" si="150"/>
        <v>0</v>
      </c>
      <c r="W1321" s="53"/>
      <c r="X1321" s="53"/>
      <c r="Y1321" s="53"/>
      <c r="Z1321" s="57"/>
      <c r="AA1321" s="66"/>
      <c r="AB1321" s="66"/>
      <c r="AC1321" s="66"/>
      <c r="AD1321" s="66"/>
      <c r="AE1321" s="66"/>
      <c r="AF1321" s="63"/>
      <c r="AG1321" s="64" t="str">
        <f t="shared" si="152"/>
        <v/>
      </c>
    </row>
    <row r="1322" spans="1:33" x14ac:dyDescent="0.25">
      <c r="A1322" s="46" t="str">
        <f>IF(ISBLANK(inbound_data[[#This Row],[Receiving Report ref.'#]]),"",IF(inbound_data[[#This Row],[Ending Quantity]]=0,"ZERO","INV"))</f>
        <v/>
      </c>
      <c r="B1322" s="165" t="str">
        <f t="shared" si="145"/>
        <v/>
      </c>
      <c r="C1322" s="165" t="str">
        <f>IF(ISBLANK(D1322),"",inbound_data[[#This Row],[Pallet_Series]]&amp;inbound_data[[#This Row],[No.]])</f>
        <v/>
      </c>
      <c r="D1322" s="54"/>
      <c r="E1322" s="53"/>
      <c r="F1322" s="56"/>
      <c r="G1322" s="57"/>
      <c r="H1322" s="53"/>
      <c r="I1322" s="53"/>
      <c r="J1322" s="53"/>
      <c r="K1322" s="53"/>
      <c r="L1322" s="67"/>
      <c r="M1322" s="53"/>
      <c r="N1322" s="68"/>
      <c r="O1322" s="68"/>
      <c r="P1322" s="165" t="str">
        <f t="shared" ca="1" si="146"/>
        <v/>
      </c>
      <c r="Q1322" s="165" t="str">
        <f t="shared" ca="1" si="147"/>
        <v/>
      </c>
      <c r="R1322" s="162"/>
      <c r="S1322" s="163"/>
      <c r="T1322" s="61">
        <f t="shared" si="148"/>
        <v>0</v>
      </c>
      <c r="U1322" s="61">
        <f t="shared" si="149"/>
        <v>0</v>
      </c>
      <c r="V1322" s="61">
        <f t="shared" si="150"/>
        <v>0</v>
      </c>
      <c r="W1322" s="53"/>
      <c r="X1322" s="53"/>
      <c r="Y1322" s="53"/>
      <c r="Z1322" s="57"/>
      <c r="AA1322" s="66"/>
      <c r="AB1322" s="66"/>
      <c r="AC1322" s="66"/>
      <c r="AD1322" s="66"/>
      <c r="AE1322" s="66"/>
      <c r="AF1322" s="63"/>
      <c r="AG1322" s="64" t="str">
        <f t="shared" si="152"/>
        <v/>
      </c>
    </row>
    <row r="1323" spans="1:33" x14ac:dyDescent="0.25">
      <c r="A1323" s="46" t="str">
        <f>IF(ISBLANK(inbound_data[[#This Row],[Receiving Report ref.'#]]),"",IF(inbound_data[[#This Row],[Ending Quantity]]=0,"ZERO","INV"))</f>
        <v/>
      </c>
      <c r="B1323" s="165" t="str">
        <f t="shared" si="145"/>
        <v/>
      </c>
      <c r="C1323" s="165" t="str">
        <f>IF(ISBLANK(D1323),"",inbound_data[[#This Row],[Pallet_Series]]&amp;inbound_data[[#This Row],[No.]])</f>
        <v/>
      </c>
      <c r="D1323" s="54"/>
      <c r="E1323" s="53"/>
      <c r="F1323" s="56"/>
      <c r="G1323" s="57"/>
      <c r="H1323" s="53"/>
      <c r="I1323" s="53"/>
      <c r="J1323" s="53"/>
      <c r="K1323" s="53"/>
      <c r="L1323" s="67"/>
      <c r="M1323" s="53"/>
      <c r="N1323" s="68"/>
      <c r="O1323" s="68"/>
      <c r="P1323" s="165" t="str">
        <f t="shared" ca="1" si="146"/>
        <v/>
      </c>
      <c r="Q1323" s="165" t="str">
        <f t="shared" ca="1" si="147"/>
        <v/>
      </c>
      <c r="R1323" s="162"/>
      <c r="S1323" s="163"/>
      <c r="T1323" s="61">
        <f t="shared" si="148"/>
        <v>0</v>
      </c>
      <c r="U1323" s="61">
        <f t="shared" si="149"/>
        <v>0</v>
      </c>
      <c r="V1323" s="61">
        <f t="shared" si="150"/>
        <v>0</v>
      </c>
      <c r="W1323" s="53"/>
      <c r="X1323" s="53"/>
      <c r="Y1323" s="53"/>
      <c r="Z1323" s="57"/>
      <c r="AA1323" s="66"/>
      <c r="AB1323" s="66"/>
      <c r="AC1323" s="66"/>
      <c r="AD1323" s="66"/>
      <c r="AE1323" s="66"/>
      <c r="AF1323" s="63"/>
      <c r="AG1323" s="64" t="str">
        <f t="shared" si="152"/>
        <v/>
      </c>
    </row>
    <row r="1324" spans="1:33" x14ac:dyDescent="0.25">
      <c r="A1324" s="46" t="str">
        <f>IF(ISBLANK(inbound_data[[#This Row],[Receiving Report ref.'#]]),"",IF(inbound_data[[#This Row],[Ending Quantity]]=0,"ZERO","INV"))</f>
        <v/>
      </c>
      <c r="B1324" s="165" t="str">
        <f t="shared" si="145"/>
        <v/>
      </c>
      <c r="C1324" s="165" t="str">
        <f>IF(ISBLANK(D1324),"",inbound_data[[#This Row],[Pallet_Series]]&amp;inbound_data[[#This Row],[No.]])</f>
        <v/>
      </c>
      <c r="D1324" s="54"/>
      <c r="E1324" s="53"/>
      <c r="F1324" s="56"/>
      <c r="G1324" s="57"/>
      <c r="H1324" s="53"/>
      <c r="I1324" s="53"/>
      <c r="J1324" s="53"/>
      <c r="K1324" s="53"/>
      <c r="L1324" s="67"/>
      <c r="M1324" s="53"/>
      <c r="N1324" s="68"/>
      <c r="O1324" s="68"/>
      <c r="P1324" s="165" t="str">
        <f t="shared" ca="1" si="146"/>
        <v/>
      </c>
      <c r="Q1324" s="165" t="str">
        <f t="shared" ca="1" si="147"/>
        <v/>
      </c>
      <c r="R1324" s="162"/>
      <c r="S1324" s="163"/>
      <c r="T1324" s="61">
        <f t="shared" si="148"/>
        <v>0</v>
      </c>
      <c r="U1324" s="61">
        <f t="shared" si="149"/>
        <v>0</v>
      </c>
      <c r="V1324" s="61">
        <f t="shared" si="150"/>
        <v>0</v>
      </c>
      <c r="W1324" s="53"/>
      <c r="X1324" s="53"/>
      <c r="Y1324" s="53"/>
      <c r="Z1324" s="57"/>
      <c r="AA1324" s="66"/>
      <c r="AB1324" s="66"/>
      <c r="AC1324" s="66"/>
      <c r="AD1324" s="66"/>
      <c r="AE1324" s="66"/>
      <c r="AF1324" s="63"/>
      <c r="AG1324" s="64" t="str">
        <f t="shared" si="152"/>
        <v/>
      </c>
    </row>
    <row r="1325" spans="1:33" x14ac:dyDescent="0.25">
      <c r="A1325" s="46" t="str">
        <f>IF(ISBLANK(inbound_data[[#This Row],[Receiving Report ref.'#]]),"",IF(inbound_data[[#This Row],[Ending Quantity]]=0,"ZERO","INV"))</f>
        <v/>
      </c>
      <c r="B1325" s="165" t="str">
        <f t="shared" si="145"/>
        <v/>
      </c>
      <c r="C1325" s="165" t="str">
        <f>IF(ISBLANK(D1325),"",inbound_data[[#This Row],[Pallet_Series]]&amp;inbound_data[[#This Row],[No.]])</f>
        <v/>
      </c>
      <c r="D1325" s="54"/>
      <c r="E1325" s="53"/>
      <c r="F1325" s="56"/>
      <c r="G1325" s="57"/>
      <c r="H1325" s="53"/>
      <c r="I1325" s="53"/>
      <c r="J1325" s="53"/>
      <c r="K1325" s="53"/>
      <c r="L1325" s="67"/>
      <c r="M1325" s="53"/>
      <c r="N1325" s="68"/>
      <c r="O1325" s="68"/>
      <c r="P1325" s="165" t="str">
        <f t="shared" ca="1" si="146"/>
        <v/>
      </c>
      <c r="Q1325" s="165" t="str">
        <f t="shared" ca="1" si="147"/>
        <v/>
      </c>
      <c r="R1325" s="162"/>
      <c r="S1325" s="163"/>
      <c r="T1325" s="61">
        <f t="shared" si="148"/>
        <v>0</v>
      </c>
      <c r="U1325" s="61">
        <f t="shared" si="149"/>
        <v>0</v>
      </c>
      <c r="V1325" s="61">
        <f t="shared" si="150"/>
        <v>0</v>
      </c>
      <c r="W1325" s="53"/>
      <c r="X1325" s="53"/>
      <c r="Y1325" s="53"/>
      <c r="Z1325" s="57"/>
      <c r="AA1325" s="66"/>
      <c r="AB1325" s="66"/>
      <c r="AC1325" s="66"/>
      <c r="AD1325" s="66"/>
      <c r="AE1325" s="66"/>
      <c r="AF1325" s="63"/>
      <c r="AG1325" s="64" t="str">
        <f t="shared" si="152"/>
        <v/>
      </c>
    </row>
    <row r="1326" spans="1:33" x14ac:dyDescent="0.25">
      <c r="A1326" s="46" t="str">
        <f>IF(ISBLANK(inbound_data[[#This Row],[Receiving Report ref.'#]]),"",IF(inbound_data[[#This Row],[Ending Quantity]]=0,"ZERO","INV"))</f>
        <v/>
      </c>
      <c r="B1326" s="165" t="str">
        <f t="shared" si="145"/>
        <v/>
      </c>
      <c r="C1326" s="165" t="str">
        <f>IF(ISBLANK(D1326),"",inbound_data[[#This Row],[Pallet_Series]]&amp;inbound_data[[#This Row],[No.]])</f>
        <v/>
      </c>
      <c r="D1326" s="54"/>
      <c r="E1326" s="53"/>
      <c r="F1326" s="56"/>
      <c r="G1326" s="57"/>
      <c r="H1326" s="53"/>
      <c r="I1326" s="53"/>
      <c r="J1326" s="53"/>
      <c r="K1326" s="53"/>
      <c r="L1326" s="67"/>
      <c r="M1326" s="53"/>
      <c r="N1326" s="68"/>
      <c r="O1326" s="68"/>
      <c r="P1326" s="165" t="str">
        <f t="shared" ca="1" si="146"/>
        <v/>
      </c>
      <c r="Q1326" s="165" t="str">
        <f t="shared" ca="1" si="147"/>
        <v/>
      </c>
      <c r="R1326" s="162"/>
      <c r="S1326" s="163"/>
      <c r="T1326" s="61">
        <f t="shared" si="148"/>
        <v>0</v>
      </c>
      <c r="U1326" s="61">
        <f t="shared" si="149"/>
        <v>0</v>
      </c>
      <c r="V1326" s="61">
        <f t="shared" si="150"/>
        <v>0</v>
      </c>
      <c r="W1326" s="53"/>
      <c r="X1326" s="53"/>
      <c r="Y1326" s="53"/>
      <c r="Z1326" s="57"/>
      <c r="AA1326" s="66"/>
      <c r="AB1326" s="66"/>
      <c r="AC1326" s="66"/>
      <c r="AD1326" s="66"/>
      <c r="AE1326" s="66"/>
      <c r="AF1326" s="63"/>
      <c r="AG1326" s="64" t="str">
        <f t="shared" si="152"/>
        <v/>
      </c>
    </row>
    <row r="1327" spans="1:33" x14ac:dyDescent="0.25">
      <c r="A1327" s="46" t="str">
        <f>IF(ISBLANK(inbound_data[[#This Row],[Receiving Report ref.'#]]),"",IF(inbound_data[[#This Row],[Ending Quantity]]=0,"ZERO","INV"))</f>
        <v/>
      </c>
      <c r="B1327" s="165" t="str">
        <f t="shared" si="145"/>
        <v/>
      </c>
      <c r="C1327" s="165" t="str">
        <f>IF(ISBLANK(D1327),"",inbound_data[[#This Row],[Pallet_Series]]&amp;inbound_data[[#This Row],[No.]])</f>
        <v/>
      </c>
      <c r="D1327" s="54"/>
      <c r="E1327" s="53"/>
      <c r="F1327" s="56"/>
      <c r="G1327" s="57"/>
      <c r="H1327" s="53"/>
      <c r="I1327" s="53"/>
      <c r="J1327" s="53"/>
      <c r="K1327" s="53"/>
      <c r="L1327" s="67"/>
      <c r="M1327" s="53"/>
      <c r="N1327" s="68"/>
      <c r="O1327" s="68"/>
      <c r="P1327" s="165" t="str">
        <f t="shared" ca="1" si="146"/>
        <v/>
      </c>
      <c r="Q1327" s="165" t="str">
        <f t="shared" ca="1" si="147"/>
        <v/>
      </c>
      <c r="R1327" s="162"/>
      <c r="S1327" s="163"/>
      <c r="T1327" s="61">
        <f t="shared" si="148"/>
        <v>0</v>
      </c>
      <c r="U1327" s="61">
        <f t="shared" si="149"/>
        <v>0</v>
      </c>
      <c r="V1327" s="61">
        <f t="shared" si="150"/>
        <v>0</v>
      </c>
      <c r="W1327" s="53"/>
      <c r="X1327" s="53"/>
      <c r="Y1327" s="53"/>
      <c r="Z1327" s="57"/>
      <c r="AA1327" s="66"/>
      <c r="AB1327" s="66"/>
      <c r="AC1327" s="66"/>
      <c r="AD1327" s="66"/>
      <c r="AE1327" s="66"/>
      <c r="AF1327" s="63"/>
      <c r="AG1327" s="64" t="str">
        <f t="shared" si="152"/>
        <v/>
      </c>
    </row>
    <row r="1328" spans="1:33" x14ac:dyDescent="0.25">
      <c r="A1328" s="46" t="str">
        <f>IF(ISBLANK(inbound_data[[#This Row],[Receiving Report ref.'#]]),"",IF(inbound_data[[#This Row],[Ending Quantity]]=0,"ZERO","INV"))</f>
        <v/>
      </c>
      <c r="B1328" s="165" t="str">
        <f t="shared" si="145"/>
        <v/>
      </c>
      <c r="C1328" s="165" t="str">
        <f>IF(ISBLANK(D1328),"",inbound_data[[#This Row],[Pallet_Series]]&amp;inbound_data[[#This Row],[No.]])</f>
        <v/>
      </c>
      <c r="D1328" s="54"/>
      <c r="E1328" s="53"/>
      <c r="F1328" s="56"/>
      <c r="G1328" s="57"/>
      <c r="H1328" s="53"/>
      <c r="I1328" s="53"/>
      <c r="J1328" s="53"/>
      <c r="K1328" s="53"/>
      <c r="L1328" s="67"/>
      <c r="M1328" s="53"/>
      <c r="N1328" s="68"/>
      <c r="O1328" s="68"/>
      <c r="P1328" s="165" t="str">
        <f t="shared" ca="1" si="146"/>
        <v/>
      </c>
      <c r="Q1328" s="165" t="str">
        <f t="shared" ca="1" si="147"/>
        <v/>
      </c>
      <c r="R1328" s="162"/>
      <c r="S1328" s="163"/>
      <c r="T1328" s="61">
        <f t="shared" si="148"/>
        <v>0</v>
      </c>
      <c r="U1328" s="61">
        <f t="shared" si="149"/>
        <v>0</v>
      </c>
      <c r="V1328" s="61">
        <f t="shared" si="150"/>
        <v>0</v>
      </c>
      <c r="W1328" s="53"/>
      <c r="X1328" s="53"/>
      <c r="Y1328" s="53"/>
      <c r="Z1328" s="57"/>
      <c r="AA1328" s="66"/>
      <c r="AB1328" s="66"/>
      <c r="AC1328" s="66"/>
      <c r="AD1328" s="66"/>
      <c r="AE1328" s="66"/>
      <c r="AF1328" s="63"/>
      <c r="AG1328" s="64" t="str">
        <f t="shared" si="152"/>
        <v/>
      </c>
    </row>
    <row r="1329" spans="1:33" x14ac:dyDescent="0.25">
      <c r="A1329" s="46" t="str">
        <f>IF(ISBLANK(inbound_data[[#This Row],[Receiving Report ref.'#]]),"",IF(inbound_data[[#This Row],[Ending Quantity]]=0,"ZERO","INV"))</f>
        <v/>
      </c>
      <c r="B1329" s="165" t="str">
        <f t="shared" si="145"/>
        <v/>
      </c>
      <c r="C1329" s="165" t="str">
        <f>IF(ISBLANK(D1329),"",inbound_data[[#This Row],[Pallet_Series]]&amp;inbound_data[[#This Row],[No.]])</f>
        <v/>
      </c>
      <c r="D1329" s="54"/>
      <c r="E1329" s="53"/>
      <c r="F1329" s="56"/>
      <c r="G1329" s="57"/>
      <c r="H1329" s="53"/>
      <c r="I1329" s="53"/>
      <c r="J1329" s="53"/>
      <c r="K1329" s="53"/>
      <c r="L1329" s="67"/>
      <c r="M1329" s="53"/>
      <c r="N1329" s="68"/>
      <c r="O1329" s="68"/>
      <c r="P1329" s="165" t="str">
        <f t="shared" ca="1" si="146"/>
        <v/>
      </c>
      <c r="Q1329" s="165" t="str">
        <f t="shared" ca="1" si="147"/>
        <v/>
      </c>
      <c r="R1329" s="162"/>
      <c r="S1329" s="163"/>
      <c r="T1329" s="61">
        <f t="shared" si="148"/>
        <v>0</v>
      </c>
      <c r="U1329" s="61">
        <f t="shared" si="149"/>
        <v>0</v>
      </c>
      <c r="V1329" s="61">
        <f t="shared" si="150"/>
        <v>0</v>
      </c>
      <c r="W1329" s="53"/>
      <c r="X1329" s="53"/>
      <c r="Y1329" s="53"/>
      <c r="Z1329" s="57"/>
      <c r="AA1329" s="66"/>
      <c r="AB1329" s="66"/>
      <c r="AC1329" s="66"/>
      <c r="AD1329" s="66"/>
      <c r="AE1329" s="66"/>
      <c r="AF1329" s="63"/>
      <c r="AG1329" s="64" t="str">
        <f t="shared" si="152"/>
        <v/>
      </c>
    </row>
    <row r="1330" spans="1:33" x14ac:dyDescent="0.25">
      <c r="A1330" s="46" t="str">
        <f>IF(ISBLANK(inbound_data[[#This Row],[Receiving Report ref.'#]]),"",IF(inbound_data[[#This Row],[Ending Quantity]]=0,"ZERO","INV"))</f>
        <v/>
      </c>
      <c r="B1330" s="165" t="str">
        <f t="shared" si="145"/>
        <v/>
      </c>
      <c r="C1330" s="165" t="str">
        <f>IF(ISBLANK(D1330),"",inbound_data[[#This Row],[Pallet_Series]]&amp;inbound_data[[#This Row],[No.]])</f>
        <v/>
      </c>
      <c r="D1330" s="54"/>
      <c r="E1330" s="53"/>
      <c r="F1330" s="56"/>
      <c r="G1330" s="57"/>
      <c r="H1330" s="53"/>
      <c r="I1330" s="53"/>
      <c r="J1330" s="53"/>
      <c r="K1330" s="53"/>
      <c r="L1330" s="67"/>
      <c r="M1330" s="53"/>
      <c r="N1330" s="68"/>
      <c r="O1330" s="68"/>
      <c r="P1330" s="165" t="str">
        <f t="shared" ca="1" si="146"/>
        <v/>
      </c>
      <c r="Q1330" s="165" t="str">
        <f t="shared" ca="1" si="147"/>
        <v/>
      </c>
      <c r="R1330" s="162"/>
      <c r="S1330" s="163"/>
      <c r="T1330" s="61">
        <f t="shared" si="148"/>
        <v>0</v>
      </c>
      <c r="U1330" s="61">
        <f t="shared" si="149"/>
        <v>0</v>
      </c>
      <c r="V1330" s="61">
        <f t="shared" si="150"/>
        <v>0</v>
      </c>
      <c r="W1330" s="53"/>
      <c r="X1330" s="53"/>
      <c r="Y1330" s="53"/>
      <c r="Z1330" s="57"/>
      <c r="AA1330" s="66"/>
      <c r="AB1330" s="66"/>
      <c r="AC1330" s="66"/>
      <c r="AD1330" s="66"/>
      <c r="AE1330" s="66"/>
      <c r="AF1330" s="63"/>
      <c r="AG1330" s="64" t="str">
        <f t="shared" si="152"/>
        <v/>
      </c>
    </row>
    <row r="1331" spans="1:33" x14ac:dyDescent="0.25">
      <c r="A1331" s="46" t="str">
        <f>IF(ISBLANK(inbound_data[[#This Row],[Receiving Report ref.'#]]),"",IF(inbound_data[[#This Row],[Ending Quantity]]=0,"ZERO","INV"))</f>
        <v/>
      </c>
      <c r="B1331" s="165" t="str">
        <f t="shared" si="145"/>
        <v/>
      </c>
      <c r="C1331" s="165" t="str">
        <f>IF(ISBLANK(D1331),"",inbound_data[[#This Row],[Pallet_Series]]&amp;inbound_data[[#This Row],[No.]])</f>
        <v/>
      </c>
      <c r="D1331" s="54"/>
      <c r="E1331" s="53"/>
      <c r="F1331" s="56"/>
      <c r="G1331" s="57"/>
      <c r="H1331" s="53"/>
      <c r="I1331" s="53"/>
      <c r="J1331" s="53"/>
      <c r="K1331" s="53"/>
      <c r="L1331" s="67"/>
      <c r="M1331" s="53"/>
      <c r="N1331" s="68"/>
      <c r="O1331" s="68"/>
      <c r="P1331" s="165" t="str">
        <f t="shared" ca="1" si="146"/>
        <v/>
      </c>
      <c r="Q1331" s="165" t="str">
        <f t="shared" ca="1" si="147"/>
        <v/>
      </c>
      <c r="R1331" s="162"/>
      <c r="S1331" s="163"/>
      <c r="T1331" s="61">
        <f t="shared" si="148"/>
        <v>0</v>
      </c>
      <c r="U1331" s="61">
        <f t="shared" si="149"/>
        <v>0</v>
      </c>
      <c r="V1331" s="61">
        <f t="shared" si="150"/>
        <v>0</v>
      </c>
      <c r="W1331" s="53"/>
      <c r="X1331" s="53"/>
      <c r="Y1331" s="53"/>
      <c r="Z1331" s="57"/>
      <c r="AA1331" s="66"/>
      <c r="AB1331" s="66"/>
      <c r="AC1331" s="66"/>
      <c r="AD1331" s="66"/>
      <c r="AE1331" s="66"/>
      <c r="AF1331" s="63"/>
      <c r="AG1331" s="64" t="str">
        <f t="shared" si="152"/>
        <v/>
      </c>
    </row>
    <row r="1332" spans="1:33" x14ac:dyDescent="0.25">
      <c r="A1332" s="46" t="str">
        <f>IF(ISBLANK(inbound_data[[#This Row],[Receiving Report ref.'#]]),"",IF(inbound_data[[#This Row],[Ending Quantity]]=0,"ZERO","INV"))</f>
        <v/>
      </c>
      <c r="B1332" s="165" t="str">
        <f t="shared" si="145"/>
        <v/>
      </c>
      <c r="C1332" s="165" t="str">
        <f>IF(ISBLANK(D1332),"",inbound_data[[#This Row],[Pallet_Series]]&amp;inbound_data[[#This Row],[No.]])</f>
        <v/>
      </c>
      <c r="D1332" s="54"/>
      <c r="E1332" s="53"/>
      <c r="F1332" s="56"/>
      <c r="G1332" s="57"/>
      <c r="H1332" s="53"/>
      <c r="I1332" s="53"/>
      <c r="J1332" s="53"/>
      <c r="K1332" s="53"/>
      <c r="L1332" s="67"/>
      <c r="M1332" s="53"/>
      <c r="N1332" s="68"/>
      <c r="O1332" s="68"/>
      <c r="P1332" s="165" t="str">
        <f t="shared" ca="1" si="146"/>
        <v/>
      </c>
      <c r="Q1332" s="165" t="str">
        <f t="shared" ca="1" si="147"/>
        <v/>
      </c>
      <c r="R1332" s="162"/>
      <c r="S1332" s="163"/>
      <c r="T1332" s="61">
        <f t="shared" si="148"/>
        <v>0</v>
      </c>
      <c r="U1332" s="61">
        <f t="shared" si="149"/>
        <v>0</v>
      </c>
      <c r="V1332" s="61">
        <f t="shared" si="150"/>
        <v>0</v>
      </c>
      <c r="W1332" s="53"/>
      <c r="X1332" s="53"/>
      <c r="Y1332" s="53"/>
      <c r="Z1332" s="57"/>
      <c r="AA1332" s="66"/>
      <c r="AB1332" s="66"/>
      <c r="AC1332" s="66"/>
      <c r="AD1332" s="66"/>
      <c r="AE1332" s="66"/>
      <c r="AF1332" s="63"/>
      <c r="AG1332" s="64" t="str">
        <f t="shared" si="152"/>
        <v/>
      </c>
    </row>
    <row r="1333" spans="1:33" x14ac:dyDescent="0.25">
      <c r="A1333" s="46" t="str">
        <f>IF(ISBLANK(inbound_data[[#This Row],[Receiving Report ref.'#]]),"",IF(inbound_data[[#This Row],[Ending Quantity]]=0,"ZERO","INV"))</f>
        <v/>
      </c>
      <c r="B1333" s="165" t="str">
        <f t="shared" si="145"/>
        <v/>
      </c>
      <c r="C1333" s="165" t="str">
        <f>IF(ISBLANK(D1333),"",inbound_data[[#This Row],[Pallet_Series]]&amp;inbound_data[[#This Row],[No.]])</f>
        <v/>
      </c>
      <c r="D1333" s="54"/>
      <c r="E1333" s="53"/>
      <c r="F1333" s="56"/>
      <c r="G1333" s="57"/>
      <c r="H1333" s="53"/>
      <c r="I1333" s="53"/>
      <c r="J1333" s="53"/>
      <c r="K1333" s="53"/>
      <c r="L1333" s="67"/>
      <c r="M1333" s="53"/>
      <c r="N1333" s="68"/>
      <c r="O1333" s="68"/>
      <c r="P1333" s="165" t="str">
        <f t="shared" ca="1" si="146"/>
        <v/>
      </c>
      <c r="Q1333" s="165" t="str">
        <f t="shared" ca="1" si="147"/>
        <v/>
      </c>
      <c r="R1333" s="162"/>
      <c r="S1333" s="163"/>
      <c r="T1333" s="61">
        <f t="shared" si="148"/>
        <v>0</v>
      </c>
      <c r="U1333" s="61">
        <f t="shared" si="149"/>
        <v>0</v>
      </c>
      <c r="V1333" s="61">
        <f t="shared" si="150"/>
        <v>0</v>
      </c>
      <c r="W1333" s="53"/>
      <c r="X1333" s="53"/>
      <c r="Y1333" s="53"/>
      <c r="Z1333" s="57"/>
      <c r="AA1333" s="66"/>
      <c r="AB1333" s="66"/>
      <c r="AC1333" s="66"/>
      <c r="AD1333" s="66"/>
      <c r="AE1333" s="66"/>
      <c r="AF1333" s="63"/>
      <c r="AG1333" s="64" t="str">
        <f t="shared" si="152"/>
        <v/>
      </c>
    </row>
    <row r="1334" spans="1:33" x14ac:dyDescent="0.25">
      <c r="A1334" s="46" t="str">
        <f>IF(ISBLANK(inbound_data[[#This Row],[Receiving Report ref.'#]]),"",IF(inbound_data[[#This Row],[Ending Quantity]]=0,"ZERO","INV"))</f>
        <v/>
      </c>
      <c r="B1334" s="165" t="str">
        <f t="shared" si="145"/>
        <v/>
      </c>
      <c r="C1334" s="165" t="str">
        <f>IF(ISBLANK(D1334),"",inbound_data[[#This Row],[Pallet_Series]]&amp;inbound_data[[#This Row],[No.]])</f>
        <v/>
      </c>
      <c r="D1334" s="54"/>
      <c r="E1334" s="53"/>
      <c r="F1334" s="56"/>
      <c r="G1334" s="57"/>
      <c r="H1334" s="53"/>
      <c r="I1334" s="53"/>
      <c r="J1334" s="53"/>
      <c r="K1334" s="53"/>
      <c r="L1334" s="67"/>
      <c r="M1334" s="53"/>
      <c r="N1334" s="68"/>
      <c r="O1334" s="68"/>
      <c r="P1334" s="165" t="str">
        <f t="shared" ca="1" si="146"/>
        <v/>
      </c>
      <c r="Q1334" s="165" t="str">
        <f t="shared" ca="1" si="147"/>
        <v/>
      </c>
      <c r="R1334" s="162"/>
      <c r="S1334" s="163"/>
      <c r="T1334" s="61">
        <f t="shared" si="148"/>
        <v>0</v>
      </c>
      <c r="U1334" s="61">
        <f t="shared" si="149"/>
        <v>0</v>
      </c>
      <c r="V1334" s="61">
        <f t="shared" si="150"/>
        <v>0</v>
      </c>
      <c r="W1334" s="53"/>
      <c r="X1334" s="53"/>
      <c r="Y1334" s="53"/>
      <c r="Z1334" s="57"/>
      <c r="AA1334" s="66"/>
      <c r="AB1334" s="66"/>
      <c r="AC1334" s="66"/>
      <c r="AD1334" s="66"/>
      <c r="AE1334" s="66"/>
      <c r="AF1334" s="63"/>
      <c r="AG1334" s="64" t="str">
        <f t="shared" si="152"/>
        <v/>
      </c>
    </row>
    <row r="1335" spans="1:33" x14ac:dyDescent="0.25">
      <c r="A1335" s="46" t="str">
        <f>IF(ISBLANK(inbound_data[[#This Row],[Receiving Report ref.'#]]),"",IF(inbound_data[[#This Row],[Ending Quantity]]=0,"ZERO","INV"))</f>
        <v/>
      </c>
      <c r="B1335" s="165" t="str">
        <f t="shared" si="145"/>
        <v/>
      </c>
      <c r="C1335" s="165" t="str">
        <f>IF(ISBLANK(D1335),"",inbound_data[[#This Row],[Pallet_Series]]&amp;inbound_data[[#This Row],[No.]])</f>
        <v/>
      </c>
      <c r="D1335" s="54"/>
      <c r="E1335" s="53"/>
      <c r="F1335" s="56"/>
      <c r="G1335" s="57"/>
      <c r="H1335" s="53"/>
      <c r="I1335" s="53"/>
      <c r="J1335" s="53"/>
      <c r="K1335" s="53"/>
      <c r="L1335" s="67"/>
      <c r="M1335" s="53"/>
      <c r="N1335" s="68"/>
      <c r="O1335" s="68"/>
      <c r="P1335" s="165" t="str">
        <f t="shared" ca="1" si="146"/>
        <v/>
      </c>
      <c r="Q1335" s="165" t="str">
        <f t="shared" ca="1" si="147"/>
        <v/>
      </c>
      <c r="R1335" s="162"/>
      <c r="S1335" s="163"/>
      <c r="T1335" s="61">
        <f t="shared" si="148"/>
        <v>0</v>
      </c>
      <c r="U1335" s="61">
        <f t="shared" si="149"/>
        <v>0</v>
      </c>
      <c r="V1335" s="61">
        <f t="shared" si="150"/>
        <v>0</v>
      </c>
      <c r="W1335" s="53"/>
      <c r="X1335" s="53"/>
      <c r="Y1335" s="53"/>
      <c r="Z1335" s="57"/>
      <c r="AA1335" s="66"/>
      <c r="AB1335" s="66"/>
      <c r="AC1335" s="66"/>
      <c r="AD1335" s="66"/>
      <c r="AE1335" s="66"/>
      <c r="AF1335" s="63"/>
      <c r="AG1335" s="64" t="str">
        <f t="shared" si="152"/>
        <v/>
      </c>
    </row>
    <row r="1336" spans="1:33" x14ac:dyDescent="0.25">
      <c r="A1336" s="46" t="str">
        <f>IF(ISBLANK(inbound_data[[#This Row],[Receiving Report ref.'#]]),"",IF(inbound_data[[#This Row],[Ending Quantity]]=0,"ZERO","INV"))</f>
        <v/>
      </c>
      <c r="B1336" s="165" t="str">
        <f t="shared" si="145"/>
        <v/>
      </c>
      <c r="C1336" s="165" t="str">
        <f>IF(ISBLANK(D1336),"",inbound_data[[#This Row],[Pallet_Series]]&amp;inbound_data[[#This Row],[No.]])</f>
        <v/>
      </c>
      <c r="D1336" s="54"/>
      <c r="E1336" s="53"/>
      <c r="F1336" s="56"/>
      <c r="G1336" s="57"/>
      <c r="H1336" s="53"/>
      <c r="I1336" s="53"/>
      <c r="J1336" s="53"/>
      <c r="K1336" s="53"/>
      <c r="L1336" s="67"/>
      <c r="M1336" s="53"/>
      <c r="N1336" s="68"/>
      <c r="O1336" s="68"/>
      <c r="P1336" s="165" t="str">
        <f t="shared" ca="1" si="146"/>
        <v/>
      </c>
      <c r="Q1336" s="165" t="str">
        <f t="shared" ca="1" si="147"/>
        <v/>
      </c>
      <c r="R1336" s="162"/>
      <c r="S1336" s="163"/>
      <c r="T1336" s="61">
        <f t="shared" si="148"/>
        <v>0</v>
      </c>
      <c r="U1336" s="61">
        <f t="shared" si="149"/>
        <v>0</v>
      </c>
      <c r="V1336" s="61">
        <f t="shared" si="150"/>
        <v>0</v>
      </c>
      <c r="W1336" s="53"/>
      <c r="X1336" s="53"/>
      <c r="Y1336" s="53"/>
      <c r="Z1336" s="57"/>
      <c r="AA1336" s="66"/>
      <c r="AB1336" s="66"/>
      <c r="AC1336" s="66"/>
      <c r="AD1336" s="66"/>
      <c r="AE1336" s="66"/>
      <c r="AF1336" s="63"/>
      <c r="AG1336" s="64" t="str">
        <f t="shared" si="152"/>
        <v/>
      </c>
    </row>
    <row r="1337" spans="1:33" x14ac:dyDescent="0.25">
      <c r="A1337" s="46" t="str">
        <f>IF(ISBLANK(inbound_data[[#This Row],[Receiving Report ref.'#]]),"",IF(inbound_data[[#This Row],[Ending Quantity]]=0,"ZERO","INV"))</f>
        <v/>
      </c>
      <c r="B1337" s="165" t="str">
        <f t="shared" si="145"/>
        <v/>
      </c>
      <c r="C1337" s="165" t="str">
        <f>IF(ISBLANK(D1337),"",inbound_data[[#This Row],[Pallet_Series]]&amp;inbound_data[[#This Row],[No.]])</f>
        <v/>
      </c>
      <c r="D1337" s="54"/>
      <c r="E1337" s="53"/>
      <c r="F1337" s="56"/>
      <c r="G1337" s="57"/>
      <c r="H1337" s="53"/>
      <c r="I1337" s="53"/>
      <c r="J1337" s="53"/>
      <c r="K1337" s="53"/>
      <c r="L1337" s="67"/>
      <c r="M1337" s="53"/>
      <c r="N1337" s="68"/>
      <c r="O1337" s="68"/>
      <c r="P1337" s="165" t="str">
        <f t="shared" ca="1" si="146"/>
        <v/>
      </c>
      <c r="Q1337" s="165" t="str">
        <f t="shared" ca="1" si="147"/>
        <v/>
      </c>
      <c r="R1337" s="162"/>
      <c r="S1337" s="163"/>
      <c r="T1337" s="61">
        <f t="shared" si="148"/>
        <v>0</v>
      </c>
      <c r="U1337" s="61">
        <f t="shared" si="149"/>
        <v>0</v>
      </c>
      <c r="V1337" s="61">
        <f t="shared" si="150"/>
        <v>0</v>
      </c>
      <c r="W1337" s="53"/>
      <c r="X1337" s="53"/>
      <c r="Y1337" s="53"/>
      <c r="Z1337" s="57"/>
      <c r="AA1337" s="66"/>
      <c r="AB1337" s="66"/>
      <c r="AC1337" s="66"/>
      <c r="AD1337" s="66"/>
      <c r="AE1337" s="66"/>
      <c r="AF1337" s="63"/>
      <c r="AG1337" s="64" t="str">
        <f t="shared" si="152"/>
        <v/>
      </c>
    </row>
    <row r="1338" spans="1:33" x14ac:dyDescent="0.25">
      <c r="A1338" s="46" t="str">
        <f>IF(ISBLANK(inbound_data[[#This Row],[Receiving Report ref.'#]]),"",IF(inbound_data[[#This Row],[Ending Quantity]]=0,"ZERO","INV"))</f>
        <v/>
      </c>
      <c r="B1338" s="165" t="str">
        <f t="shared" si="145"/>
        <v/>
      </c>
      <c r="C1338" s="165" t="str">
        <f>IF(ISBLANK(D1338),"",inbound_data[[#This Row],[Pallet_Series]]&amp;inbound_data[[#This Row],[No.]])</f>
        <v/>
      </c>
      <c r="D1338" s="54"/>
      <c r="E1338" s="53"/>
      <c r="F1338" s="56"/>
      <c r="G1338" s="57"/>
      <c r="H1338" s="53"/>
      <c r="I1338" s="53"/>
      <c r="J1338" s="53"/>
      <c r="K1338" s="53"/>
      <c r="L1338" s="67"/>
      <c r="M1338" s="53"/>
      <c r="N1338" s="68"/>
      <c r="O1338" s="68"/>
      <c r="P1338" s="165" t="str">
        <f t="shared" ca="1" si="146"/>
        <v/>
      </c>
      <c r="Q1338" s="165" t="str">
        <f t="shared" ca="1" si="147"/>
        <v/>
      </c>
      <c r="R1338" s="162"/>
      <c r="S1338" s="163"/>
      <c r="T1338" s="61">
        <f t="shared" si="148"/>
        <v>0</v>
      </c>
      <c r="U1338" s="61">
        <f t="shared" si="149"/>
        <v>0</v>
      </c>
      <c r="V1338" s="61">
        <f t="shared" si="150"/>
        <v>0</v>
      </c>
      <c r="W1338" s="53"/>
      <c r="X1338" s="53"/>
      <c r="Y1338" s="53"/>
      <c r="Z1338" s="57"/>
      <c r="AA1338" s="66"/>
      <c r="AB1338" s="66"/>
      <c r="AC1338" s="66"/>
      <c r="AD1338" s="66"/>
      <c r="AE1338" s="66"/>
      <c r="AF1338" s="63"/>
      <c r="AG1338" s="64" t="str">
        <f t="shared" si="152"/>
        <v/>
      </c>
    </row>
    <row r="1339" spans="1:33" x14ac:dyDescent="0.25">
      <c r="A1339" s="46" t="str">
        <f>IF(ISBLANK(inbound_data[[#This Row],[Receiving Report ref.'#]]),"",IF(inbound_data[[#This Row],[Ending Quantity]]=0,"ZERO","INV"))</f>
        <v/>
      </c>
      <c r="B1339" s="165" t="str">
        <f t="shared" si="145"/>
        <v/>
      </c>
      <c r="C1339" s="165" t="str">
        <f>IF(ISBLANK(D1339),"",inbound_data[[#This Row],[Pallet_Series]]&amp;inbound_data[[#This Row],[No.]])</f>
        <v/>
      </c>
      <c r="D1339" s="54"/>
      <c r="E1339" s="53"/>
      <c r="F1339" s="56"/>
      <c r="G1339" s="57"/>
      <c r="H1339" s="53"/>
      <c r="I1339" s="53"/>
      <c r="J1339" s="53"/>
      <c r="K1339" s="53"/>
      <c r="L1339" s="67"/>
      <c r="M1339" s="53"/>
      <c r="N1339" s="68"/>
      <c r="O1339" s="68"/>
      <c r="P1339" s="165" t="str">
        <f t="shared" ca="1" si="146"/>
        <v/>
      </c>
      <c r="Q1339" s="165" t="str">
        <f t="shared" ca="1" si="147"/>
        <v/>
      </c>
      <c r="R1339" s="162"/>
      <c r="S1339" s="163"/>
      <c r="T1339" s="61">
        <f t="shared" si="148"/>
        <v>0</v>
      </c>
      <c r="U1339" s="61">
        <f t="shared" si="149"/>
        <v>0</v>
      </c>
      <c r="V1339" s="61">
        <f t="shared" si="150"/>
        <v>0</v>
      </c>
      <c r="W1339" s="53"/>
      <c r="X1339" s="53"/>
      <c r="Y1339" s="53"/>
      <c r="Z1339" s="57"/>
      <c r="AA1339" s="66"/>
      <c r="AB1339" s="66"/>
      <c r="AC1339" s="66"/>
      <c r="AD1339" s="66"/>
      <c r="AE1339" s="66"/>
      <c r="AF1339" s="63"/>
      <c r="AG1339" s="64" t="str">
        <f t="shared" si="152"/>
        <v/>
      </c>
    </row>
    <row r="1340" spans="1:33" x14ac:dyDescent="0.25">
      <c r="A1340" s="46" t="str">
        <f>IF(ISBLANK(inbound_data[[#This Row],[Receiving Report ref.'#]]),"",IF(inbound_data[[#This Row],[Ending Quantity]]=0,"ZERO","INV"))</f>
        <v/>
      </c>
      <c r="B1340" s="165" t="str">
        <f t="shared" si="145"/>
        <v/>
      </c>
      <c r="C1340" s="165" t="str">
        <f>IF(ISBLANK(D1340),"",inbound_data[[#This Row],[Pallet_Series]]&amp;inbound_data[[#This Row],[No.]])</f>
        <v/>
      </c>
      <c r="D1340" s="54"/>
      <c r="E1340" s="53"/>
      <c r="F1340" s="56"/>
      <c r="G1340" s="57"/>
      <c r="H1340" s="53"/>
      <c r="I1340" s="53"/>
      <c r="J1340" s="53"/>
      <c r="K1340" s="53"/>
      <c r="L1340" s="67"/>
      <c r="M1340" s="53"/>
      <c r="N1340" s="68"/>
      <c r="O1340" s="68"/>
      <c r="P1340" s="165" t="str">
        <f t="shared" ca="1" si="146"/>
        <v/>
      </c>
      <c r="Q1340" s="165" t="str">
        <f t="shared" ca="1" si="147"/>
        <v/>
      </c>
      <c r="R1340" s="162"/>
      <c r="S1340" s="163"/>
      <c r="T1340" s="61">
        <f t="shared" si="148"/>
        <v>0</v>
      </c>
      <c r="U1340" s="61">
        <f t="shared" si="149"/>
        <v>0</v>
      </c>
      <c r="V1340" s="61">
        <f t="shared" si="150"/>
        <v>0</v>
      </c>
      <c r="W1340" s="53"/>
      <c r="X1340" s="53"/>
      <c r="Y1340" s="53"/>
      <c r="Z1340" s="57"/>
      <c r="AA1340" s="66"/>
      <c r="AB1340" s="66"/>
      <c r="AC1340" s="66"/>
      <c r="AD1340" s="66"/>
      <c r="AE1340" s="66"/>
      <c r="AF1340" s="63"/>
      <c r="AG1340" s="64" t="str">
        <f t="shared" si="152"/>
        <v/>
      </c>
    </row>
    <row r="1341" spans="1:33" x14ac:dyDescent="0.25">
      <c r="A1341" s="46" t="str">
        <f>IF(ISBLANK(inbound_data[[#This Row],[Receiving Report ref.'#]]),"",IF(inbound_data[[#This Row],[Ending Quantity]]=0,"ZERO","INV"))</f>
        <v/>
      </c>
      <c r="B1341" s="165" t="str">
        <f t="shared" si="145"/>
        <v/>
      </c>
      <c r="C1341" s="165" t="str">
        <f>IF(ISBLANK(D1341),"",inbound_data[[#This Row],[Pallet_Series]]&amp;inbound_data[[#This Row],[No.]])</f>
        <v/>
      </c>
      <c r="D1341" s="54"/>
      <c r="E1341" s="53"/>
      <c r="F1341" s="56"/>
      <c r="G1341" s="57"/>
      <c r="H1341" s="53"/>
      <c r="I1341" s="53"/>
      <c r="J1341" s="53"/>
      <c r="K1341" s="53"/>
      <c r="L1341" s="67"/>
      <c r="M1341" s="53"/>
      <c r="N1341" s="68"/>
      <c r="O1341" s="68"/>
      <c r="P1341" s="165" t="str">
        <f t="shared" ca="1" si="146"/>
        <v/>
      </c>
      <c r="Q1341" s="165" t="str">
        <f t="shared" ca="1" si="147"/>
        <v/>
      </c>
      <c r="R1341" s="162"/>
      <c r="S1341" s="163"/>
      <c r="T1341" s="61">
        <f t="shared" si="148"/>
        <v>0</v>
      </c>
      <c r="U1341" s="61">
        <f t="shared" si="149"/>
        <v>0</v>
      </c>
      <c r="V1341" s="61">
        <f t="shared" si="150"/>
        <v>0</v>
      </c>
      <c r="W1341" s="53"/>
      <c r="X1341" s="53"/>
      <c r="Y1341" s="53"/>
      <c r="Z1341" s="57"/>
      <c r="AA1341" s="66"/>
      <c r="AB1341" s="66"/>
      <c r="AC1341" s="66"/>
      <c r="AD1341" s="66"/>
      <c r="AE1341" s="66"/>
      <c r="AF1341" s="63"/>
      <c r="AG1341" s="64" t="str">
        <f t="shared" si="152"/>
        <v/>
      </c>
    </row>
    <row r="1342" spans="1:33" x14ac:dyDescent="0.25">
      <c r="A1342" s="46" t="str">
        <f>IF(ISBLANK(inbound_data[[#This Row],[Receiving Report ref.'#]]),"",IF(inbound_data[[#This Row],[Ending Quantity]]=0,"ZERO","INV"))</f>
        <v/>
      </c>
      <c r="B1342" s="165" t="str">
        <f t="shared" si="145"/>
        <v/>
      </c>
      <c r="C1342" s="165" t="str">
        <f>IF(ISBLANK(D1342),"",inbound_data[[#This Row],[Pallet_Series]]&amp;inbound_data[[#This Row],[No.]])</f>
        <v/>
      </c>
      <c r="D1342" s="54"/>
      <c r="E1342" s="53"/>
      <c r="F1342" s="56"/>
      <c r="G1342" s="57"/>
      <c r="H1342" s="53"/>
      <c r="I1342" s="53"/>
      <c r="J1342" s="53"/>
      <c r="K1342" s="53"/>
      <c r="L1342" s="67"/>
      <c r="M1342" s="53"/>
      <c r="N1342" s="68"/>
      <c r="O1342" s="68"/>
      <c r="P1342" s="165" t="str">
        <f t="shared" ca="1" si="146"/>
        <v/>
      </c>
      <c r="Q1342" s="165" t="str">
        <f t="shared" ca="1" si="147"/>
        <v/>
      </c>
      <c r="R1342" s="162"/>
      <c r="S1342" s="163"/>
      <c r="T1342" s="61">
        <f t="shared" si="148"/>
        <v>0</v>
      </c>
      <c r="U1342" s="61">
        <f t="shared" si="149"/>
        <v>0</v>
      </c>
      <c r="V1342" s="61">
        <f t="shared" si="150"/>
        <v>0</v>
      </c>
      <c r="W1342" s="53"/>
      <c r="X1342" s="53"/>
      <c r="Y1342" s="53"/>
      <c r="Z1342" s="57"/>
      <c r="AA1342" s="66"/>
      <c r="AB1342" s="66"/>
      <c r="AC1342" s="66"/>
      <c r="AD1342" s="66"/>
      <c r="AE1342" s="66"/>
      <c r="AF1342" s="63"/>
      <c r="AG1342" s="64" t="str">
        <f t="shared" si="152"/>
        <v/>
      </c>
    </row>
    <row r="1343" spans="1:33" x14ac:dyDescent="0.25">
      <c r="A1343" s="46" t="str">
        <f>IF(ISBLANK(inbound_data[[#This Row],[Receiving Report ref.'#]]),"",IF(inbound_data[[#This Row],[Ending Quantity]]=0,"ZERO","INV"))</f>
        <v/>
      </c>
      <c r="B1343" s="165" t="str">
        <f t="shared" si="145"/>
        <v/>
      </c>
      <c r="C1343" s="165" t="str">
        <f>IF(ISBLANK(D1343),"",inbound_data[[#This Row],[Pallet_Series]]&amp;inbound_data[[#This Row],[No.]])</f>
        <v/>
      </c>
      <c r="D1343" s="54"/>
      <c r="E1343" s="53"/>
      <c r="F1343" s="56"/>
      <c r="G1343" s="57"/>
      <c r="H1343" s="53"/>
      <c r="I1343" s="53"/>
      <c r="J1343" s="53"/>
      <c r="K1343" s="53"/>
      <c r="L1343" s="67"/>
      <c r="M1343" s="53"/>
      <c r="N1343" s="68"/>
      <c r="O1343" s="68"/>
      <c r="P1343" s="165" t="str">
        <f t="shared" ca="1" si="146"/>
        <v/>
      </c>
      <c r="Q1343" s="165" t="str">
        <f t="shared" ca="1" si="147"/>
        <v/>
      </c>
      <c r="R1343" s="162"/>
      <c r="S1343" s="163"/>
      <c r="T1343" s="61">
        <f t="shared" si="148"/>
        <v>0</v>
      </c>
      <c r="U1343" s="61">
        <f t="shared" si="149"/>
        <v>0</v>
      </c>
      <c r="V1343" s="61">
        <f t="shared" si="150"/>
        <v>0</v>
      </c>
      <c r="W1343" s="53"/>
      <c r="X1343" s="53"/>
      <c r="Y1343" s="53"/>
      <c r="Z1343" s="57"/>
      <c r="AA1343" s="66"/>
      <c r="AB1343" s="66"/>
      <c r="AC1343" s="66"/>
      <c r="AD1343" s="66"/>
      <c r="AE1343" s="66"/>
      <c r="AF1343" s="63"/>
      <c r="AG1343" s="64" t="str">
        <f t="shared" si="152"/>
        <v/>
      </c>
    </row>
    <row r="1344" spans="1:33" x14ac:dyDescent="0.25">
      <c r="A1344" s="46" t="str">
        <f>IF(ISBLANK(inbound_data[[#This Row],[Receiving Report ref.'#]]),"",IF(inbound_data[[#This Row],[Ending Quantity]]=0,"ZERO","INV"))</f>
        <v/>
      </c>
      <c r="B1344" s="165" t="str">
        <f t="shared" si="145"/>
        <v/>
      </c>
      <c r="C1344" s="165" t="str">
        <f>IF(ISBLANK(D1344),"",inbound_data[[#This Row],[Pallet_Series]]&amp;inbound_data[[#This Row],[No.]])</f>
        <v/>
      </c>
      <c r="D1344" s="54"/>
      <c r="E1344" s="53"/>
      <c r="F1344" s="56"/>
      <c r="G1344" s="57"/>
      <c r="H1344" s="53"/>
      <c r="I1344" s="53"/>
      <c r="J1344" s="53"/>
      <c r="K1344" s="53"/>
      <c r="L1344" s="67"/>
      <c r="M1344" s="53"/>
      <c r="N1344" s="68"/>
      <c r="O1344" s="68"/>
      <c r="P1344" s="165" t="str">
        <f t="shared" ca="1" si="146"/>
        <v/>
      </c>
      <c r="Q1344" s="165" t="str">
        <f t="shared" ca="1" si="147"/>
        <v/>
      </c>
      <c r="R1344" s="162"/>
      <c r="S1344" s="163"/>
      <c r="T1344" s="61">
        <f t="shared" si="148"/>
        <v>0</v>
      </c>
      <c r="U1344" s="61">
        <f t="shared" si="149"/>
        <v>0</v>
      </c>
      <c r="V1344" s="61">
        <f t="shared" si="150"/>
        <v>0</v>
      </c>
      <c r="W1344" s="53"/>
      <c r="X1344" s="53"/>
      <c r="Y1344" s="53"/>
      <c r="Z1344" s="57"/>
      <c r="AA1344" s="66"/>
      <c r="AB1344" s="66"/>
      <c r="AC1344" s="66"/>
      <c r="AD1344" s="66"/>
      <c r="AE1344" s="66"/>
      <c r="AF1344" s="63"/>
      <c r="AG1344" s="64" t="str">
        <f t="shared" si="152"/>
        <v/>
      </c>
    </row>
    <row r="1345" spans="1:33" x14ac:dyDescent="0.25">
      <c r="A1345" s="46" t="str">
        <f>IF(ISBLANK(inbound_data[[#This Row],[Receiving Report ref.'#]]),"",IF(inbound_data[[#This Row],[Ending Quantity]]=0,"ZERO","INV"))</f>
        <v/>
      </c>
      <c r="B1345" s="165" t="str">
        <f t="shared" si="145"/>
        <v/>
      </c>
      <c r="C1345" s="165" t="str">
        <f>IF(ISBLANK(D1345),"",inbound_data[[#This Row],[Pallet_Series]]&amp;inbound_data[[#This Row],[No.]])</f>
        <v/>
      </c>
      <c r="D1345" s="54"/>
      <c r="E1345" s="53"/>
      <c r="F1345" s="56"/>
      <c r="G1345" s="57"/>
      <c r="H1345" s="53"/>
      <c r="I1345" s="53"/>
      <c r="J1345" s="53"/>
      <c r="K1345" s="53"/>
      <c r="L1345" s="67"/>
      <c r="M1345" s="53"/>
      <c r="N1345" s="68"/>
      <c r="O1345" s="68"/>
      <c r="P1345" s="165" t="str">
        <f t="shared" ca="1" si="146"/>
        <v/>
      </c>
      <c r="Q1345" s="165" t="str">
        <f t="shared" ca="1" si="147"/>
        <v/>
      </c>
      <c r="R1345" s="162"/>
      <c r="S1345" s="163"/>
      <c r="T1345" s="61">
        <f t="shared" si="148"/>
        <v>0</v>
      </c>
      <c r="U1345" s="61">
        <f t="shared" si="149"/>
        <v>0</v>
      </c>
      <c r="V1345" s="61">
        <f t="shared" si="150"/>
        <v>0</v>
      </c>
      <c r="W1345" s="53"/>
      <c r="X1345" s="53"/>
      <c r="Y1345" s="53"/>
      <c r="Z1345" s="57"/>
      <c r="AA1345" s="66"/>
      <c r="AB1345" s="66"/>
      <c r="AC1345" s="66"/>
      <c r="AD1345" s="66"/>
      <c r="AE1345" s="66"/>
      <c r="AF1345" s="63"/>
      <c r="AG1345" s="64" t="str">
        <f t="shared" si="152"/>
        <v/>
      </c>
    </row>
    <row r="1346" spans="1:33" x14ac:dyDescent="0.25">
      <c r="A1346" s="46" t="str">
        <f>IF(ISBLANK(inbound_data[[#This Row],[Receiving Report ref.'#]]),"",IF(inbound_data[[#This Row],[Ending Quantity]]=0,"ZERO","INV"))</f>
        <v/>
      </c>
      <c r="B1346" s="165" t="str">
        <f t="shared" si="145"/>
        <v/>
      </c>
      <c r="C1346" s="165" t="str">
        <f>IF(ISBLANK(D1346),"",inbound_data[[#This Row],[Pallet_Series]]&amp;inbound_data[[#This Row],[No.]])</f>
        <v/>
      </c>
      <c r="D1346" s="54"/>
      <c r="E1346" s="53"/>
      <c r="F1346" s="56"/>
      <c r="G1346" s="57"/>
      <c r="H1346" s="53"/>
      <c r="I1346" s="53"/>
      <c r="J1346" s="53"/>
      <c r="K1346" s="53"/>
      <c r="L1346" s="67"/>
      <c r="M1346" s="53"/>
      <c r="N1346" s="68"/>
      <c r="O1346" s="68"/>
      <c r="P1346" s="165" t="str">
        <f t="shared" ca="1" si="146"/>
        <v/>
      </c>
      <c r="Q1346" s="165" t="str">
        <f t="shared" ca="1" si="147"/>
        <v/>
      </c>
      <c r="R1346" s="162"/>
      <c r="S1346" s="163"/>
      <c r="T1346" s="61">
        <f t="shared" si="148"/>
        <v>0</v>
      </c>
      <c r="U1346" s="61">
        <f t="shared" si="149"/>
        <v>0</v>
      </c>
      <c r="V1346" s="61">
        <f t="shared" si="150"/>
        <v>0</v>
      </c>
      <c r="W1346" s="53"/>
      <c r="X1346" s="53"/>
      <c r="Y1346" s="53"/>
      <c r="Z1346" s="57"/>
      <c r="AA1346" s="66"/>
      <c r="AB1346" s="66"/>
      <c r="AC1346" s="66"/>
      <c r="AD1346" s="66"/>
      <c r="AE1346" s="66"/>
      <c r="AF1346" s="63"/>
      <c r="AG1346" s="64" t="str">
        <f t="shared" si="152"/>
        <v/>
      </c>
    </row>
    <row r="1347" spans="1:33" x14ac:dyDescent="0.25">
      <c r="A1347" s="46" t="str">
        <f>IF(ISBLANK(inbound_data[[#This Row],[Receiving Report ref.'#]]),"",IF(inbound_data[[#This Row],[Ending Quantity]]=0,"ZERO","INV"))</f>
        <v/>
      </c>
      <c r="B1347" s="165" t="str">
        <f t="shared" si="145"/>
        <v/>
      </c>
      <c r="C1347" s="165" t="str">
        <f>IF(ISBLANK(D1347),"",inbound_data[[#This Row],[Pallet_Series]]&amp;inbound_data[[#This Row],[No.]])</f>
        <v/>
      </c>
      <c r="D1347" s="54"/>
      <c r="E1347" s="53"/>
      <c r="F1347" s="56"/>
      <c r="G1347" s="57"/>
      <c r="H1347" s="53"/>
      <c r="I1347" s="53"/>
      <c r="J1347" s="53"/>
      <c r="K1347" s="53"/>
      <c r="L1347" s="67"/>
      <c r="M1347" s="53"/>
      <c r="N1347" s="68"/>
      <c r="O1347" s="68"/>
      <c r="P1347" s="165" t="str">
        <f t="shared" ca="1" si="146"/>
        <v/>
      </c>
      <c r="Q1347" s="165" t="str">
        <f t="shared" ca="1" si="147"/>
        <v/>
      </c>
      <c r="R1347" s="162"/>
      <c r="S1347" s="163"/>
      <c r="T1347" s="61">
        <f t="shared" si="148"/>
        <v>0</v>
      </c>
      <c r="U1347" s="61">
        <f t="shared" si="149"/>
        <v>0</v>
      </c>
      <c r="V1347" s="61">
        <f t="shared" si="150"/>
        <v>0</v>
      </c>
      <c r="W1347" s="53"/>
      <c r="X1347" s="53"/>
      <c r="Y1347" s="53"/>
      <c r="Z1347" s="57"/>
      <c r="AA1347" s="66"/>
      <c r="AB1347" s="66"/>
      <c r="AC1347" s="66"/>
      <c r="AD1347" s="66"/>
      <c r="AE1347" s="66"/>
      <c r="AF1347" s="63"/>
      <c r="AG1347" s="64" t="str">
        <f t="shared" si="152"/>
        <v/>
      </c>
    </row>
    <row r="1348" spans="1:33" x14ac:dyDescent="0.25">
      <c r="A1348" s="46" t="str">
        <f>IF(ISBLANK(inbound_data[[#This Row],[Receiving Report ref.'#]]),"",IF(inbound_data[[#This Row],[Ending Quantity]]=0,"ZERO","INV"))</f>
        <v/>
      </c>
      <c r="B1348" s="165" t="str">
        <f t="shared" si="145"/>
        <v/>
      </c>
      <c r="C1348" s="165" t="str">
        <f>IF(ISBLANK(D1348),"",inbound_data[[#This Row],[Pallet_Series]]&amp;inbound_data[[#This Row],[No.]])</f>
        <v/>
      </c>
      <c r="D1348" s="54"/>
      <c r="E1348" s="53"/>
      <c r="F1348" s="56"/>
      <c r="G1348" s="57"/>
      <c r="H1348" s="53"/>
      <c r="I1348" s="53"/>
      <c r="J1348" s="53"/>
      <c r="K1348" s="53"/>
      <c r="L1348" s="67"/>
      <c r="M1348" s="53"/>
      <c r="N1348" s="68"/>
      <c r="O1348" s="68"/>
      <c r="P1348" s="165" t="str">
        <f t="shared" ca="1" si="146"/>
        <v/>
      </c>
      <c r="Q1348" s="165" t="str">
        <f t="shared" ca="1" si="147"/>
        <v/>
      </c>
      <c r="R1348" s="162"/>
      <c r="S1348" s="163"/>
      <c r="T1348" s="61">
        <f t="shared" si="148"/>
        <v>0</v>
      </c>
      <c r="U1348" s="61">
        <f t="shared" si="149"/>
        <v>0</v>
      </c>
      <c r="V1348" s="61">
        <f t="shared" si="150"/>
        <v>0</v>
      </c>
      <c r="W1348" s="53"/>
      <c r="X1348" s="53"/>
      <c r="Y1348" s="53"/>
      <c r="Z1348" s="57"/>
      <c r="AA1348" s="66"/>
      <c r="AB1348" s="66"/>
      <c r="AC1348" s="66"/>
      <c r="AD1348" s="66"/>
      <c r="AE1348" s="66"/>
      <c r="AF1348" s="63"/>
      <c r="AG1348" s="64" t="str">
        <f t="shared" si="152"/>
        <v/>
      </c>
    </row>
    <row r="1349" spans="1:33" x14ac:dyDescent="0.25">
      <c r="A1349" s="46" t="str">
        <f>IF(ISBLANK(inbound_data[[#This Row],[Receiving Report ref.'#]]),"",IF(inbound_data[[#This Row],[Ending Quantity]]=0,"ZERO","INV"))</f>
        <v/>
      </c>
      <c r="B1349" s="165" t="str">
        <f t="shared" si="145"/>
        <v/>
      </c>
      <c r="C1349" s="165" t="str">
        <f>IF(ISBLANK(D1349),"",inbound_data[[#This Row],[Pallet_Series]]&amp;inbound_data[[#This Row],[No.]])</f>
        <v/>
      </c>
      <c r="D1349" s="54"/>
      <c r="E1349" s="53"/>
      <c r="F1349" s="56"/>
      <c r="G1349" s="57"/>
      <c r="H1349" s="53"/>
      <c r="I1349" s="53"/>
      <c r="J1349" s="53"/>
      <c r="K1349" s="53"/>
      <c r="L1349" s="67"/>
      <c r="M1349" s="53"/>
      <c r="N1349" s="68"/>
      <c r="O1349" s="68"/>
      <c r="P1349" s="165" t="str">
        <f t="shared" ca="1" si="146"/>
        <v/>
      </c>
      <c r="Q1349" s="165" t="str">
        <f t="shared" ca="1" si="147"/>
        <v/>
      </c>
      <c r="R1349" s="162"/>
      <c r="S1349" s="163"/>
      <c r="T1349" s="61">
        <f t="shared" si="148"/>
        <v>0</v>
      </c>
      <c r="U1349" s="61">
        <f t="shared" si="149"/>
        <v>0</v>
      </c>
      <c r="V1349" s="61">
        <f t="shared" si="150"/>
        <v>0</v>
      </c>
      <c r="W1349" s="53"/>
      <c r="X1349" s="53"/>
      <c r="Y1349" s="53"/>
      <c r="Z1349" s="57"/>
      <c r="AA1349" s="66"/>
      <c r="AB1349" s="66"/>
      <c r="AC1349" s="66"/>
      <c r="AD1349" s="66"/>
      <c r="AE1349" s="66"/>
      <c r="AF1349" s="63"/>
      <c r="AG1349" s="64" t="str">
        <f t="shared" si="152"/>
        <v/>
      </c>
    </row>
    <row r="1350" spans="1:33" x14ac:dyDescent="0.25">
      <c r="A1350" s="46" t="str">
        <f>IF(ISBLANK(inbound_data[[#This Row],[Receiving Report ref.'#]]),"",IF(inbound_data[[#This Row],[Ending Quantity]]=0,"ZERO","INV"))</f>
        <v/>
      </c>
      <c r="B1350" s="165" t="str">
        <f t="shared" si="145"/>
        <v/>
      </c>
      <c r="C1350" s="165" t="str">
        <f>IF(ISBLANK(D1350),"",inbound_data[[#This Row],[Pallet_Series]]&amp;inbound_data[[#This Row],[No.]])</f>
        <v/>
      </c>
      <c r="D1350" s="54"/>
      <c r="E1350" s="53"/>
      <c r="F1350" s="56"/>
      <c r="G1350" s="57"/>
      <c r="H1350" s="53"/>
      <c r="I1350" s="53"/>
      <c r="J1350" s="53"/>
      <c r="K1350" s="53"/>
      <c r="L1350" s="67"/>
      <c r="M1350" s="53"/>
      <c r="N1350" s="68"/>
      <c r="O1350" s="68"/>
      <c r="P1350" s="165" t="str">
        <f t="shared" ca="1" si="146"/>
        <v/>
      </c>
      <c r="Q1350" s="165" t="str">
        <f t="shared" ca="1" si="147"/>
        <v/>
      </c>
      <c r="R1350" s="162"/>
      <c r="S1350" s="163"/>
      <c r="T1350" s="61">
        <f t="shared" si="148"/>
        <v>0</v>
      </c>
      <c r="U1350" s="61">
        <f t="shared" si="149"/>
        <v>0</v>
      </c>
      <c r="V1350" s="61">
        <f t="shared" si="150"/>
        <v>0</v>
      </c>
      <c r="W1350" s="53"/>
      <c r="X1350" s="53"/>
      <c r="Y1350" s="53"/>
      <c r="Z1350" s="57"/>
      <c r="AA1350" s="66"/>
      <c r="AB1350" s="66"/>
      <c r="AC1350" s="66"/>
      <c r="AD1350" s="66"/>
      <c r="AE1350" s="66"/>
      <c r="AF1350" s="63"/>
      <c r="AG1350" s="64" t="str">
        <f t="shared" si="152"/>
        <v/>
      </c>
    </row>
    <row r="1351" spans="1:33" x14ac:dyDescent="0.25">
      <c r="A1351" s="46" t="str">
        <f>IF(ISBLANK(inbound_data[[#This Row],[Receiving Report ref.'#]]),"",IF(inbound_data[[#This Row],[Ending Quantity]]=0,"ZERO","INV"))</f>
        <v/>
      </c>
      <c r="B1351" s="165" t="str">
        <f t="shared" si="145"/>
        <v/>
      </c>
      <c r="C1351" s="165" t="str">
        <f>IF(ISBLANK(D1351),"",inbound_data[[#This Row],[Pallet_Series]]&amp;inbound_data[[#This Row],[No.]])</f>
        <v/>
      </c>
      <c r="D1351" s="54"/>
      <c r="E1351" s="53"/>
      <c r="F1351" s="56"/>
      <c r="G1351" s="57"/>
      <c r="H1351" s="53"/>
      <c r="I1351" s="53"/>
      <c r="J1351" s="53"/>
      <c r="K1351" s="53"/>
      <c r="L1351" s="67"/>
      <c r="M1351" s="53"/>
      <c r="N1351" s="68"/>
      <c r="O1351" s="68"/>
      <c r="P1351" s="165" t="str">
        <f t="shared" ca="1" si="146"/>
        <v/>
      </c>
      <c r="Q1351" s="165" t="str">
        <f t="shared" ca="1" si="147"/>
        <v/>
      </c>
      <c r="R1351" s="162"/>
      <c r="S1351" s="163"/>
      <c r="T1351" s="61">
        <f t="shared" si="148"/>
        <v>0</v>
      </c>
      <c r="U1351" s="61">
        <f t="shared" si="149"/>
        <v>0</v>
      </c>
      <c r="V1351" s="61">
        <f t="shared" si="150"/>
        <v>0</v>
      </c>
      <c r="W1351" s="53"/>
      <c r="X1351" s="53"/>
      <c r="Y1351" s="53"/>
      <c r="Z1351" s="57"/>
      <c r="AA1351" s="66"/>
      <c r="AB1351" s="66"/>
      <c r="AC1351" s="66"/>
      <c r="AD1351" s="66"/>
      <c r="AE1351" s="66"/>
      <c r="AF1351" s="63"/>
      <c r="AG1351" s="64" t="str">
        <f t="shared" si="152"/>
        <v/>
      </c>
    </row>
    <row r="1352" spans="1:33" x14ac:dyDescent="0.25">
      <c r="A1352" s="46" t="str">
        <f>IF(ISBLANK(inbound_data[[#This Row],[Receiving Report ref.'#]]),"",IF(inbound_data[[#This Row],[Ending Quantity]]=0,"ZERO","INV"))</f>
        <v/>
      </c>
      <c r="B1352" s="165" t="str">
        <f t="shared" si="145"/>
        <v/>
      </c>
      <c r="C1352" s="165" t="str">
        <f>IF(ISBLANK(D1352),"",inbound_data[[#This Row],[Pallet_Series]]&amp;inbound_data[[#This Row],[No.]])</f>
        <v/>
      </c>
      <c r="D1352" s="54"/>
      <c r="E1352" s="53"/>
      <c r="F1352" s="56"/>
      <c r="G1352" s="57"/>
      <c r="H1352" s="53"/>
      <c r="I1352" s="53"/>
      <c r="J1352" s="53"/>
      <c r="K1352" s="53"/>
      <c r="L1352" s="67"/>
      <c r="M1352" s="53"/>
      <c r="N1352" s="68"/>
      <c r="O1352" s="68"/>
      <c r="P1352" s="165" t="str">
        <f t="shared" ca="1" si="146"/>
        <v/>
      </c>
      <c r="Q1352" s="165" t="str">
        <f t="shared" ca="1" si="147"/>
        <v/>
      </c>
      <c r="R1352" s="162"/>
      <c r="S1352" s="163"/>
      <c r="T1352" s="61">
        <f t="shared" si="148"/>
        <v>0</v>
      </c>
      <c r="U1352" s="61">
        <f t="shared" si="149"/>
        <v>0</v>
      </c>
      <c r="V1352" s="61">
        <f t="shared" si="150"/>
        <v>0</v>
      </c>
      <c r="W1352" s="53"/>
      <c r="X1352" s="53"/>
      <c r="Y1352" s="53"/>
      <c r="Z1352" s="57"/>
      <c r="AA1352" s="66"/>
      <c r="AB1352" s="66"/>
      <c r="AC1352" s="66"/>
      <c r="AD1352" s="66"/>
      <c r="AE1352" s="66"/>
      <c r="AF1352" s="63"/>
      <c r="AG1352" s="64" t="str">
        <f t="shared" si="152"/>
        <v/>
      </c>
    </row>
    <row r="1353" spans="1:33" x14ac:dyDescent="0.25">
      <c r="A1353" s="46" t="str">
        <f>IF(ISBLANK(inbound_data[[#This Row],[Receiving Report ref.'#]]),"",IF(inbound_data[[#This Row],[Ending Quantity]]=0,"ZERO","INV"))</f>
        <v/>
      </c>
      <c r="B1353" s="165" t="str">
        <f t="shared" ref="B1353:B1416" si="153">IF(ISBLANK(D1353),"",TEXT(ROW(),"00000"))</f>
        <v/>
      </c>
      <c r="C1353" s="165" t="str">
        <f>IF(ISBLANK(D1353),"",inbound_data[[#This Row],[Pallet_Series]]&amp;inbound_data[[#This Row],[No.]])</f>
        <v/>
      </c>
      <c r="D1353" s="54"/>
      <c r="E1353" s="53"/>
      <c r="F1353" s="56"/>
      <c r="G1353" s="57"/>
      <c r="H1353" s="53"/>
      <c r="I1353" s="53"/>
      <c r="J1353" s="53"/>
      <c r="K1353" s="53"/>
      <c r="L1353" s="67"/>
      <c r="M1353" s="53"/>
      <c r="N1353" s="68"/>
      <c r="O1353" s="68"/>
      <c r="P1353" s="165" t="str">
        <f t="shared" ref="P1353:P1416" ca="1" si="154">IF(A1353="ZERO","",IF(O1353="","",O1353-TODAY()))</f>
        <v/>
      </c>
      <c r="Q1353" s="165" t="str">
        <f t="shared" ref="Q1353:Q1416" ca="1" si="155">IF(A1353="ZERO","",IF(P1353&lt;0,"ALREADY EXPIRED",IF(P1353&lt;60,"NEARLY EXPIRED","")))</f>
        <v/>
      </c>
      <c r="R1353" s="162"/>
      <c r="S1353" s="163"/>
      <c r="T1353" s="61">
        <f t="shared" ref="T1353:T1416" si="156">IF(ISBLANK(R1353),0,R1353-SUMIF(STOCK_CODE_OUT,$C1353,QTY_OUT))</f>
        <v>0</v>
      </c>
      <c r="U1353" s="61">
        <f t="shared" ref="U1353:U1416" si="157">IF(ISBLANK(S1353),0,S1353-SUMIF(STOCK_CODE_OUT,$C1353,KILOS_OUT))</f>
        <v>0</v>
      </c>
      <c r="V1353" s="61">
        <f t="shared" ref="V1353:V1416" si="158">IF(ISBLANK(K1353),0,K1353-SUMIF(STOCK_CODE_OUT,$C1353,PALLET_OUT))</f>
        <v>0</v>
      </c>
      <c r="W1353" s="53"/>
      <c r="X1353" s="53"/>
      <c r="Y1353" s="53"/>
      <c r="Z1353" s="57"/>
      <c r="AA1353" s="66"/>
      <c r="AB1353" s="66"/>
      <c r="AC1353" s="66"/>
      <c r="AD1353" s="66"/>
      <c r="AE1353" s="66"/>
      <c r="AF1353" s="63"/>
      <c r="AG1353" s="64" t="str">
        <f t="shared" si="152"/>
        <v/>
      </c>
    </row>
    <row r="1354" spans="1:33" x14ac:dyDescent="0.25">
      <c r="A1354" s="46" t="str">
        <f>IF(ISBLANK(inbound_data[[#This Row],[Receiving Report ref.'#]]),"",IF(inbound_data[[#This Row],[Ending Quantity]]=0,"ZERO","INV"))</f>
        <v/>
      </c>
      <c r="B1354" s="165" t="str">
        <f t="shared" si="153"/>
        <v/>
      </c>
      <c r="C1354" s="165" t="str">
        <f>IF(ISBLANK(D1354),"",inbound_data[[#This Row],[Pallet_Series]]&amp;inbound_data[[#This Row],[No.]])</f>
        <v/>
      </c>
      <c r="D1354" s="54"/>
      <c r="E1354" s="53"/>
      <c r="F1354" s="56"/>
      <c r="G1354" s="57"/>
      <c r="H1354" s="53"/>
      <c r="I1354" s="53"/>
      <c r="J1354" s="53"/>
      <c r="K1354" s="53"/>
      <c r="L1354" s="67"/>
      <c r="M1354" s="53"/>
      <c r="N1354" s="68"/>
      <c r="O1354" s="68"/>
      <c r="P1354" s="165" t="str">
        <f t="shared" ca="1" si="154"/>
        <v/>
      </c>
      <c r="Q1354" s="165" t="str">
        <f t="shared" ca="1" si="155"/>
        <v/>
      </c>
      <c r="R1354" s="162"/>
      <c r="S1354" s="163"/>
      <c r="T1354" s="61">
        <f t="shared" si="156"/>
        <v>0</v>
      </c>
      <c r="U1354" s="61">
        <f t="shared" si="157"/>
        <v>0</v>
      </c>
      <c r="V1354" s="61">
        <f t="shared" si="158"/>
        <v>0</v>
      </c>
      <c r="W1354" s="53"/>
      <c r="X1354" s="53"/>
      <c r="Y1354" s="53"/>
      <c r="Z1354" s="57"/>
      <c r="AA1354" s="66"/>
      <c r="AB1354" s="66"/>
      <c r="AC1354" s="66"/>
      <c r="AD1354" s="66"/>
      <c r="AE1354" s="66"/>
      <c r="AF1354" s="63"/>
      <c r="AG1354" s="64" t="str">
        <f t="shared" si="152"/>
        <v/>
      </c>
    </row>
    <row r="1355" spans="1:33" x14ac:dyDescent="0.25">
      <c r="A1355" s="46" t="str">
        <f>IF(ISBLANK(inbound_data[[#This Row],[Receiving Report ref.'#]]),"",IF(inbound_data[[#This Row],[Ending Quantity]]=0,"ZERO","INV"))</f>
        <v/>
      </c>
      <c r="B1355" s="165" t="str">
        <f t="shared" si="153"/>
        <v/>
      </c>
      <c r="C1355" s="165" t="str">
        <f>IF(ISBLANK(D1355),"",inbound_data[[#This Row],[Pallet_Series]]&amp;inbound_data[[#This Row],[No.]])</f>
        <v/>
      </c>
      <c r="D1355" s="54"/>
      <c r="E1355" s="53"/>
      <c r="F1355" s="56"/>
      <c r="G1355" s="57"/>
      <c r="H1355" s="53"/>
      <c r="I1355" s="53"/>
      <c r="J1355" s="53"/>
      <c r="K1355" s="53"/>
      <c r="L1355" s="67"/>
      <c r="M1355" s="53"/>
      <c r="N1355" s="68"/>
      <c r="O1355" s="68"/>
      <c r="P1355" s="165" t="str">
        <f t="shared" ca="1" si="154"/>
        <v/>
      </c>
      <c r="Q1355" s="165" t="str">
        <f t="shared" ca="1" si="155"/>
        <v/>
      </c>
      <c r="R1355" s="162"/>
      <c r="S1355" s="163"/>
      <c r="T1355" s="61">
        <f t="shared" si="156"/>
        <v>0</v>
      </c>
      <c r="U1355" s="61">
        <f t="shared" si="157"/>
        <v>0</v>
      </c>
      <c r="V1355" s="61">
        <f t="shared" si="158"/>
        <v>0</v>
      </c>
      <c r="W1355" s="53"/>
      <c r="X1355" s="53"/>
      <c r="Y1355" s="53"/>
      <c r="Z1355" s="57"/>
      <c r="AA1355" s="66"/>
      <c r="AB1355" s="66"/>
      <c r="AC1355" s="66"/>
      <c r="AD1355" s="66"/>
      <c r="AE1355" s="66"/>
      <c r="AF1355" s="63"/>
      <c r="AG1355" s="64" t="str">
        <f t="shared" si="152"/>
        <v/>
      </c>
    </row>
    <row r="1356" spans="1:33" x14ac:dyDescent="0.25">
      <c r="A1356" s="46" t="str">
        <f>IF(ISBLANK(inbound_data[[#This Row],[Receiving Report ref.'#]]),"",IF(inbound_data[[#This Row],[Ending Quantity]]=0,"ZERO","INV"))</f>
        <v/>
      </c>
      <c r="B1356" s="165" t="str">
        <f t="shared" si="153"/>
        <v/>
      </c>
      <c r="C1356" s="165" t="str">
        <f>IF(ISBLANK(D1356),"",inbound_data[[#This Row],[Pallet_Series]]&amp;inbound_data[[#This Row],[No.]])</f>
        <v/>
      </c>
      <c r="D1356" s="54"/>
      <c r="E1356" s="53"/>
      <c r="F1356" s="56"/>
      <c r="G1356" s="57"/>
      <c r="H1356" s="53"/>
      <c r="I1356" s="53"/>
      <c r="J1356" s="53"/>
      <c r="K1356" s="53"/>
      <c r="L1356" s="67"/>
      <c r="M1356" s="53"/>
      <c r="N1356" s="68"/>
      <c r="O1356" s="68"/>
      <c r="P1356" s="165" t="str">
        <f t="shared" ca="1" si="154"/>
        <v/>
      </c>
      <c r="Q1356" s="165" t="str">
        <f t="shared" ca="1" si="155"/>
        <v/>
      </c>
      <c r="R1356" s="162"/>
      <c r="S1356" s="163"/>
      <c r="T1356" s="61">
        <f t="shared" si="156"/>
        <v>0</v>
      </c>
      <c r="U1356" s="61">
        <f t="shared" si="157"/>
        <v>0</v>
      </c>
      <c r="V1356" s="61">
        <f t="shared" si="158"/>
        <v>0</v>
      </c>
      <c r="W1356" s="53"/>
      <c r="X1356" s="53"/>
      <c r="Y1356" s="53"/>
      <c r="Z1356" s="57"/>
      <c r="AA1356" s="66"/>
      <c r="AB1356" s="66"/>
      <c r="AC1356" s="66"/>
      <c r="AD1356" s="66"/>
      <c r="AE1356" s="66"/>
      <c r="AF1356" s="63"/>
      <c r="AG1356" s="64" t="str">
        <f t="shared" si="152"/>
        <v/>
      </c>
    </row>
    <row r="1357" spans="1:33" x14ac:dyDescent="0.25">
      <c r="A1357" s="46" t="str">
        <f>IF(ISBLANK(inbound_data[[#This Row],[Receiving Report ref.'#]]),"",IF(inbound_data[[#This Row],[Ending Quantity]]=0,"ZERO","INV"))</f>
        <v/>
      </c>
      <c r="B1357" s="165" t="str">
        <f t="shared" si="153"/>
        <v/>
      </c>
      <c r="C1357" s="165" t="str">
        <f>IF(ISBLANK(D1357),"",inbound_data[[#This Row],[Pallet_Series]]&amp;inbound_data[[#This Row],[No.]])</f>
        <v/>
      </c>
      <c r="D1357" s="54"/>
      <c r="E1357" s="53"/>
      <c r="F1357" s="56"/>
      <c r="G1357" s="57"/>
      <c r="H1357" s="53"/>
      <c r="I1357" s="53"/>
      <c r="J1357" s="53"/>
      <c r="K1357" s="53"/>
      <c r="L1357" s="67"/>
      <c r="M1357" s="53"/>
      <c r="N1357" s="68"/>
      <c r="O1357" s="68"/>
      <c r="P1357" s="165" t="str">
        <f t="shared" ca="1" si="154"/>
        <v/>
      </c>
      <c r="Q1357" s="165" t="str">
        <f t="shared" ca="1" si="155"/>
        <v/>
      </c>
      <c r="R1357" s="162"/>
      <c r="S1357" s="163"/>
      <c r="T1357" s="61">
        <f t="shared" si="156"/>
        <v>0</v>
      </c>
      <c r="U1357" s="61">
        <f t="shared" si="157"/>
        <v>0</v>
      </c>
      <c r="V1357" s="61">
        <f t="shared" si="158"/>
        <v>0</v>
      </c>
      <c r="W1357" s="53"/>
      <c r="X1357" s="53"/>
      <c r="Y1357" s="53"/>
      <c r="Z1357" s="57"/>
      <c r="AA1357" s="66"/>
      <c r="AB1357" s="66"/>
      <c r="AC1357" s="66"/>
      <c r="AD1357" s="66"/>
      <c r="AE1357" s="66"/>
      <c r="AF1357" s="63"/>
      <c r="AG1357" s="64" t="str">
        <f t="shared" si="152"/>
        <v/>
      </c>
    </row>
    <row r="1358" spans="1:33" x14ac:dyDescent="0.25">
      <c r="A1358" s="46" t="str">
        <f>IF(ISBLANK(inbound_data[[#This Row],[Receiving Report ref.'#]]),"",IF(inbound_data[[#This Row],[Ending Quantity]]=0,"ZERO","INV"))</f>
        <v/>
      </c>
      <c r="B1358" s="165" t="str">
        <f t="shared" si="153"/>
        <v/>
      </c>
      <c r="C1358" s="165" t="str">
        <f>IF(ISBLANK(D1358),"",inbound_data[[#This Row],[Pallet_Series]]&amp;inbound_data[[#This Row],[No.]])</f>
        <v/>
      </c>
      <c r="D1358" s="54"/>
      <c r="E1358" s="53"/>
      <c r="F1358" s="56"/>
      <c r="G1358" s="57"/>
      <c r="H1358" s="53"/>
      <c r="I1358" s="53"/>
      <c r="J1358" s="53"/>
      <c r="K1358" s="53"/>
      <c r="L1358" s="67"/>
      <c r="M1358" s="53"/>
      <c r="N1358" s="68"/>
      <c r="O1358" s="68"/>
      <c r="P1358" s="165" t="str">
        <f t="shared" ca="1" si="154"/>
        <v/>
      </c>
      <c r="Q1358" s="165" t="str">
        <f t="shared" ca="1" si="155"/>
        <v/>
      </c>
      <c r="R1358" s="162"/>
      <c r="S1358" s="163"/>
      <c r="T1358" s="61">
        <f t="shared" si="156"/>
        <v>0</v>
      </c>
      <c r="U1358" s="61">
        <f t="shared" si="157"/>
        <v>0</v>
      </c>
      <c r="V1358" s="61">
        <f t="shared" si="158"/>
        <v>0</v>
      </c>
      <c r="W1358" s="53"/>
      <c r="X1358" s="53"/>
      <c r="Y1358" s="53"/>
      <c r="Z1358" s="57"/>
      <c r="AA1358" s="66"/>
      <c r="AB1358" s="66"/>
      <c r="AC1358" s="66"/>
      <c r="AD1358" s="66"/>
      <c r="AE1358" s="66"/>
      <c r="AF1358" s="63"/>
      <c r="AG1358" s="64" t="str">
        <f t="shared" si="152"/>
        <v/>
      </c>
    </row>
    <row r="1359" spans="1:33" x14ac:dyDescent="0.25">
      <c r="A1359" s="46" t="str">
        <f>IF(ISBLANK(inbound_data[[#This Row],[Receiving Report ref.'#]]),"",IF(inbound_data[[#This Row],[Ending Quantity]]=0,"ZERO","INV"))</f>
        <v/>
      </c>
      <c r="B1359" s="165" t="str">
        <f t="shared" si="153"/>
        <v/>
      </c>
      <c r="C1359" s="165" t="str">
        <f>IF(ISBLANK(D1359),"",inbound_data[[#This Row],[Pallet_Series]]&amp;inbound_data[[#This Row],[No.]])</f>
        <v/>
      </c>
      <c r="D1359" s="54"/>
      <c r="E1359" s="53"/>
      <c r="F1359" s="56"/>
      <c r="G1359" s="57"/>
      <c r="H1359" s="53"/>
      <c r="I1359" s="53"/>
      <c r="J1359" s="53"/>
      <c r="K1359" s="53"/>
      <c r="L1359" s="67"/>
      <c r="M1359" s="53"/>
      <c r="N1359" s="68"/>
      <c r="O1359" s="68"/>
      <c r="P1359" s="165" t="str">
        <f t="shared" ca="1" si="154"/>
        <v/>
      </c>
      <c r="Q1359" s="165" t="str">
        <f t="shared" ca="1" si="155"/>
        <v/>
      </c>
      <c r="R1359" s="162"/>
      <c r="S1359" s="163"/>
      <c r="T1359" s="61">
        <f t="shared" si="156"/>
        <v>0</v>
      </c>
      <c r="U1359" s="61">
        <f t="shared" si="157"/>
        <v>0</v>
      </c>
      <c r="V1359" s="61">
        <f t="shared" si="158"/>
        <v>0</v>
      </c>
      <c r="W1359" s="53"/>
      <c r="X1359" s="53"/>
      <c r="Y1359" s="53"/>
      <c r="Z1359" s="57"/>
      <c r="AA1359" s="66"/>
      <c r="AB1359" s="66"/>
      <c r="AC1359" s="66"/>
      <c r="AD1359" s="66"/>
      <c r="AE1359" s="66"/>
      <c r="AF1359" s="63"/>
      <c r="AG1359" s="64" t="str">
        <f t="shared" si="152"/>
        <v/>
      </c>
    </row>
    <row r="1360" spans="1:33" x14ac:dyDescent="0.25">
      <c r="A1360" s="46" t="str">
        <f>IF(ISBLANK(inbound_data[[#This Row],[Receiving Report ref.'#]]),"",IF(inbound_data[[#This Row],[Ending Quantity]]=0,"ZERO","INV"))</f>
        <v/>
      </c>
      <c r="B1360" s="165" t="str">
        <f t="shared" si="153"/>
        <v/>
      </c>
      <c r="C1360" s="165" t="str">
        <f>IF(ISBLANK(D1360),"",inbound_data[[#This Row],[Pallet_Series]]&amp;inbound_data[[#This Row],[No.]])</f>
        <v/>
      </c>
      <c r="D1360" s="54"/>
      <c r="E1360" s="53"/>
      <c r="F1360" s="56"/>
      <c r="G1360" s="57"/>
      <c r="H1360" s="53"/>
      <c r="I1360" s="53"/>
      <c r="J1360" s="53"/>
      <c r="K1360" s="53"/>
      <c r="L1360" s="67"/>
      <c r="M1360" s="53"/>
      <c r="N1360" s="68"/>
      <c r="O1360" s="68"/>
      <c r="P1360" s="165" t="str">
        <f t="shared" ca="1" si="154"/>
        <v/>
      </c>
      <c r="Q1360" s="165" t="str">
        <f t="shared" ca="1" si="155"/>
        <v/>
      </c>
      <c r="R1360" s="162"/>
      <c r="S1360" s="163"/>
      <c r="T1360" s="61">
        <f t="shared" si="156"/>
        <v>0</v>
      </c>
      <c r="U1360" s="61">
        <f t="shared" si="157"/>
        <v>0</v>
      </c>
      <c r="V1360" s="61">
        <f t="shared" si="158"/>
        <v>0</v>
      </c>
      <c r="W1360" s="53"/>
      <c r="X1360" s="53"/>
      <c r="Y1360" s="53"/>
      <c r="Z1360" s="57"/>
      <c r="AA1360" s="66"/>
      <c r="AB1360" s="66"/>
      <c r="AC1360" s="66"/>
      <c r="AD1360" s="66"/>
      <c r="AE1360" s="66"/>
      <c r="AF1360" s="63"/>
      <c r="AG1360" s="64" t="str">
        <f t="shared" si="152"/>
        <v/>
      </c>
    </row>
    <row r="1361" spans="1:33" x14ac:dyDescent="0.25">
      <c r="A1361" s="46" t="str">
        <f>IF(ISBLANK(inbound_data[[#This Row],[Receiving Report ref.'#]]),"",IF(inbound_data[[#This Row],[Ending Quantity]]=0,"ZERO","INV"))</f>
        <v/>
      </c>
      <c r="B1361" s="165" t="str">
        <f t="shared" si="153"/>
        <v/>
      </c>
      <c r="C1361" s="165" t="str">
        <f>IF(ISBLANK(D1361),"",inbound_data[[#This Row],[Pallet_Series]]&amp;inbound_data[[#This Row],[No.]])</f>
        <v/>
      </c>
      <c r="D1361" s="54"/>
      <c r="E1361" s="53"/>
      <c r="F1361" s="56"/>
      <c r="G1361" s="57"/>
      <c r="H1361" s="53"/>
      <c r="I1361" s="53"/>
      <c r="J1361" s="53"/>
      <c r="K1361" s="53"/>
      <c r="L1361" s="67"/>
      <c r="M1361" s="53"/>
      <c r="N1361" s="68"/>
      <c r="O1361" s="68"/>
      <c r="P1361" s="165" t="str">
        <f t="shared" ca="1" si="154"/>
        <v/>
      </c>
      <c r="Q1361" s="165" t="str">
        <f t="shared" ca="1" si="155"/>
        <v/>
      </c>
      <c r="R1361" s="162"/>
      <c r="S1361" s="163"/>
      <c r="T1361" s="61">
        <f t="shared" si="156"/>
        <v>0</v>
      </c>
      <c r="U1361" s="61">
        <f t="shared" si="157"/>
        <v>0</v>
      </c>
      <c r="V1361" s="61">
        <f t="shared" si="158"/>
        <v>0</v>
      </c>
      <c r="W1361" s="53"/>
      <c r="X1361" s="53"/>
      <c r="Y1361" s="53"/>
      <c r="Z1361" s="57"/>
      <c r="AA1361" s="66"/>
      <c r="AB1361" s="66"/>
      <c r="AC1361" s="66"/>
      <c r="AD1361" s="66"/>
      <c r="AE1361" s="66"/>
      <c r="AF1361" s="63"/>
      <c r="AG1361" s="64" t="str">
        <f t="shared" si="152"/>
        <v/>
      </c>
    </row>
    <row r="1362" spans="1:33" x14ac:dyDescent="0.25">
      <c r="A1362" s="46" t="str">
        <f>IF(ISBLANK(inbound_data[[#This Row],[Receiving Report ref.'#]]),"",IF(inbound_data[[#This Row],[Ending Quantity]]=0,"ZERO","INV"))</f>
        <v/>
      </c>
      <c r="B1362" s="165" t="str">
        <f t="shared" si="153"/>
        <v/>
      </c>
      <c r="C1362" s="165" t="str">
        <f>IF(ISBLANK(D1362),"",inbound_data[[#This Row],[Pallet_Series]]&amp;inbound_data[[#This Row],[No.]])</f>
        <v/>
      </c>
      <c r="D1362" s="54"/>
      <c r="E1362" s="53"/>
      <c r="F1362" s="56"/>
      <c r="G1362" s="57"/>
      <c r="H1362" s="53"/>
      <c r="I1362" s="53"/>
      <c r="J1362" s="53"/>
      <c r="K1362" s="53"/>
      <c r="L1362" s="67"/>
      <c r="M1362" s="53"/>
      <c r="N1362" s="68"/>
      <c r="O1362" s="68"/>
      <c r="P1362" s="165" t="str">
        <f t="shared" ca="1" si="154"/>
        <v/>
      </c>
      <c r="Q1362" s="165" t="str">
        <f t="shared" ca="1" si="155"/>
        <v/>
      </c>
      <c r="R1362" s="162"/>
      <c r="S1362" s="163"/>
      <c r="T1362" s="61">
        <f t="shared" si="156"/>
        <v>0</v>
      </c>
      <c r="U1362" s="61">
        <f t="shared" si="157"/>
        <v>0</v>
      </c>
      <c r="V1362" s="61">
        <f t="shared" si="158"/>
        <v>0</v>
      </c>
      <c r="W1362" s="53"/>
      <c r="X1362" s="53"/>
      <c r="Y1362" s="53"/>
      <c r="Z1362" s="57"/>
      <c r="AA1362" s="66"/>
      <c r="AB1362" s="66"/>
      <c r="AC1362" s="66"/>
      <c r="AD1362" s="66"/>
      <c r="AE1362" s="66"/>
      <c r="AF1362" s="63"/>
      <c r="AG1362" s="64" t="str">
        <f t="shared" ref="AG1362:AG1425" si="159">IF(T1362&gt;0,CONCATENATE(AA1362,AB1362,TEXT(AC1362,"R00"),TEXT(AD1362,"L0."),TEXT(AE1362,"0")),"")</f>
        <v/>
      </c>
    </row>
    <row r="1363" spans="1:33" x14ac:dyDescent="0.25">
      <c r="A1363" s="46" t="str">
        <f>IF(ISBLANK(inbound_data[[#This Row],[Receiving Report ref.'#]]),"",IF(inbound_data[[#This Row],[Ending Quantity]]=0,"ZERO","INV"))</f>
        <v/>
      </c>
      <c r="B1363" s="165" t="str">
        <f t="shared" si="153"/>
        <v/>
      </c>
      <c r="C1363" s="165" t="str">
        <f>IF(ISBLANK(D1363),"",inbound_data[[#This Row],[Pallet_Series]]&amp;inbound_data[[#This Row],[No.]])</f>
        <v/>
      </c>
      <c r="D1363" s="54"/>
      <c r="E1363" s="53"/>
      <c r="F1363" s="56"/>
      <c r="G1363" s="57"/>
      <c r="H1363" s="53"/>
      <c r="I1363" s="53"/>
      <c r="J1363" s="53"/>
      <c r="K1363" s="53"/>
      <c r="L1363" s="67"/>
      <c r="M1363" s="53"/>
      <c r="N1363" s="68"/>
      <c r="O1363" s="68"/>
      <c r="P1363" s="165" t="str">
        <f t="shared" ca="1" si="154"/>
        <v/>
      </c>
      <c r="Q1363" s="165" t="str">
        <f t="shared" ca="1" si="155"/>
        <v/>
      </c>
      <c r="R1363" s="162"/>
      <c r="S1363" s="163"/>
      <c r="T1363" s="61">
        <f t="shared" si="156"/>
        <v>0</v>
      </c>
      <c r="U1363" s="61">
        <f t="shared" si="157"/>
        <v>0</v>
      </c>
      <c r="V1363" s="61">
        <f t="shared" si="158"/>
        <v>0</v>
      </c>
      <c r="W1363" s="53"/>
      <c r="X1363" s="53"/>
      <c r="Y1363" s="53"/>
      <c r="Z1363" s="57"/>
      <c r="AA1363" s="66"/>
      <c r="AB1363" s="66"/>
      <c r="AC1363" s="66"/>
      <c r="AD1363" s="66"/>
      <c r="AE1363" s="66"/>
      <c r="AF1363" s="63"/>
      <c r="AG1363" s="64" t="str">
        <f t="shared" si="159"/>
        <v/>
      </c>
    </row>
    <row r="1364" spans="1:33" x14ac:dyDescent="0.25">
      <c r="A1364" s="46" t="str">
        <f>IF(ISBLANK(inbound_data[[#This Row],[Receiving Report ref.'#]]),"",IF(inbound_data[[#This Row],[Ending Quantity]]=0,"ZERO","INV"))</f>
        <v/>
      </c>
      <c r="B1364" s="165" t="str">
        <f t="shared" si="153"/>
        <v/>
      </c>
      <c r="C1364" s="165" t="str">
        <f>IF(ISBLANK(D1364),"",inbound_data[[#This Row],[Pallet_Series]]&amp;inbound_data[[#This Row],[No.]])</f>
        <v/>
      </c>
      <c r="D1364" s="54"/>
      <c r="E1364" s="53"/>
      <c r="F1364" s="56"/>
      <c r="G1364" s="57"/>
      <c r="H1364" s="53"/>
      <c r="I1364" s="53"/>
      <c r="J1364" s="53"/>
      <c r="K1364" s="53"/>
      <c r="L1364" s="67"/>
      <c r="M1364" s="53"/>
      <c r="N1364" s="68"/>
      <c r="O1364" s="68"/>
      <c r="P1364" s="165" t="str">
        <f t="shared" ca="1" si="154"/>
        <v/>
      </c>
      <c r="Q1364" s="165" t="str">
        <f t="shared" ca="1" si="155"/>
        <v/>
      </c>
      <c r="R1364" s="162"/>
      <c r="S1364" s="163"/>
      <c r="T1364" s="61">
        <f t="shared" si="156"/>
        <v>0</v>
      </c>
      <c r="U1364" s="61">
        <f t="shared" si="157"/>
        <v>0</v>
      </c>
      <c r="V1364" s="61">
        <f t="shared" si="158"/>
        <v>0</v>
      </c>
      <c r="W1364" s="53"/>
      <c r="X1364" s="53"/>
      <c r="Y1364" s="53"/>
      <c r="Z1364" s="57"/>
      <c r="AA1364" s="66"/>
      <c r="AB1364" s="66"/>
      <c r="AC1364" s="66"/>
      <c r="AD1364" s="66"/>
      <c r="AE1364" s="66"/>
      <c r="AF1364" s="63"/>
      <c r="AG1364" s="64" t="str">
        <f t="shared" si="159"/>
        <v/>
      </c>
    </row>
    <row r="1365" spans="1:33" x14ac:dyDescent="0.25">
      <c r="A1365" s="46" t="str">
        <f>IF(ISBLANK(inbound_data[[#This Row],[Receiving Report ref.'#]]),"",IF(inbound_data[[#This Row],[Ending Quantity]]=0,"ZERO","INV"))</f>
        <v/>
      </c>
      <c r="B1365" s="165" t="str">
        <f t="shared" si="153"/>
        <v/>
      </c>
      <c r="C1365" s="165" t="str">
        <f>IF(ISBLANK(D1365),"",inbound_data[[#This Row],[Pallet_Series]]&amp;inbound_data[[#This Row],[No.]])</f>
        <v/>
      </c>
      <c r="D1365" s="54"/>
      <c r="E1365" s="53"/>
      <c r="F1365" s="56"/>
      <c r="G1365" s="57"/>
      <c r="H1365" s="53"/>
      <c r="I1365" s="53"/>
      <c r="J1365" s="53"/>
      <c r="K1365" s="53"/>
      <c r="L1365" s="67"/>
      <c r="M1365" s="53"/>
      <c r="N1365" s="68"/>
      <c r="O1365" s="68"/>
      <c r="P1365" s="165" t="str">
        <f t="shared" ca="1" si="154"/>
        <v/>
      </c>
      <c r="Q1365" s="165" t="str">
        <f t="shared" ca="1" si="155"/>
        <v/>
      </c>
      <c r="R1365" s="162"/>
      <c r="S1365" s="163"/>
      <c r="T1365" s="61">
        <f t="shared" si="156"/>
        <v>0</v>
      </c>
      <c r="U1365" s="61">
        <f t="shared" si="157"/>
        <v>0</v>
      </c>
      <c r="V1365" s="61">
        <f t="shared" si="158"/>
        <v>0</v>
      </c>
      <c r="W1365" s="53"/>
      <c r="X1365" s="53"/>
      <c r="Y1365" s="53"/>
      <c r="Z1365" s="57"/>
      <c r="AA1365" s="66"/>
      <c r="AB1365" s="66"/>
      <c r="AC1365" s="66"/>
      <c r="AD1365" s="66"/>
      <c r="AE1365" s="66"/>
      <c r="AF1365" s="63"/>
      <c r="AG1365" s="64" t="str">
        <f t="shared" si="159"/>
        <v/>
      </c>
    </row>
    <row r="1366" spans="1:33" x14ac:dyDescent="0.25">
      <c r="A1366" s="46" t="str">
        <f>IF(ISBLANK(inbound_data[[#This Row],[Receiving Report ref.'#]]),"",IF(inbound_data[[#This Row],[Ending Quantity]]=0,"ZERO","INV"))</f>
        <v/>
      </c>
      <c r="B1366" s="165" t="str">
        <f t="shared" si="153"/>
        <v/>
      </c>
      <c r="C1366" s="165" t="str">
        <f>IF(ISBLANK(D1366),"",inbound_data[[#This Row],[Pallet_Series]]&amp;inbound_data[[#This Row],[No.]])</f>
        <v/>
      </c>
      <c r="D1366" s="54"/>
      <c r="E1366" s="53"/>
      <c r="F1366" s="56"/>
      <c r="G1366" s="57"/>
      <c r="H1366" s="53"/>
      <c r="I1366" s="53"/>
      <c r="J1366" s="53"/>
      <c r="K1366" s="53"/>
      <c r="L1366" s="67"/>
      <c r="M1366" s="53"/>
      <c r="N1366" s="68"/>
      <c r="O1366" s="68"/>
      <c r="P1366" s="165" t="str">
        <f t="shared" ca="1" si="154"/>
        <v/>
      </c>
      <c r="Q1366" s="165" t="str">
        <f t="shared" ca="1" si="155"/>
        <v/>
      </c>
      <c r="R1366" s="162"/>
      <c r="S1366" s="163"/>
      <c r="T1366" s="61">
        <f t="shared" si="156"/>
        <v>0</v>
      </c>
      <c r="U1366" s="61">
        <f t="shared" si="157"/>
        <v>0</v>
      </c>
      <c r="V1366" s="61">
        <f t="shared" si="158"/>
        <v>0</v>
      </c>
      <c r="W1366" s="53"/>
      <c r="X1366" s="53"/>
      <c r="Y1366" s="53"/>
      <c r="Z1366" s="57"/>
      <c r="AA1366" s="66"/>
      <c r="AB1366" s="66"/>
      <c r="AC1366" s="66"/>
      <c r="AD1366" s="66"/>
      <c r="AE1366" s="66"/>
      <c r="AF1366" s="63"/>
      <c r="AG1366" s="64" t="str">
        <f t="shared" si="159"/>
        <v/>
      </c>
    </row>
    <row r="1367" spans="1:33" x14ac:dyDescent="0.25">
      <c r="A1367" s="46" t="str">
        <f>IF(ISBLANK(inbound_data[[#This Row],[Receiving Report ref.'#]]),"",IF(inbound_data[[#This Row],[Ending Quantity]]=0,"ZERO","INV"))</f>
        <v/>
      </c>
      <c r="B1367" s="165" t="str">
        <f t="shared" si="153"/>
        <v/>
      </c>
      <c r="C1367" s="165" t="str">
        <f>IF(ISBLANK(D1367),"",inbound_data[[#This Row],[Pallet_Series]]&amp;inbound_data[[#This Row],[No.]])</f>
        <v/>
      </c>
      <c r="D1367" s="54"/>
      <c r="E1367" s="53"/>
      <c r="F1367" s="56"/>
      <c r="G1367" s="57"/>
      <c r="H1367" s="53"/>
      <c r="I1367" s="53"/>
      <c r="J1367" s="53"/>
      <c r="K1367" s="53"/>
      <c r="L1367" s="67"/>
      <c r="M1367" s="53"/>
      <c r="N1367" s="68"/>
      <c r="O1367" s="68"/>
      <c r="P1367" s="165" t="str">
        <f t="shared" ca="1" si="154"/>
        <v/>
      </c>
      <c r="Q1367" s="165" t="str">
        <f t="shared" ca="1" si="155"/>
        <v/>
      </c>
      <c r="R1367" s="162"/>
      <c r="S1367" s="163"/>
      <c r="T1367" s="61">
        <f t="shared" si="156"/>
        <v>0</v>
      </c>
      <c r="U1367" s="61">
        <f t="shared" si="157"/>
        <v>0</v>
      </c>
      <c r="V1367" s="61">
        <f t="shared" si="158"/>
        <v>0</v>
      </c>
      <c r="W1367" s="53"/>
      <c r="X1367" s="53"/>
      <c r="Y1367" s="53"/>
      <c r="Z1367" s="57"/>
      <c r="AA1367" s="66"/>
      <c r="AB1367" s="66"/>
      <c r="AC1367" s="66"/>
      <c r="AD1367" s="66"/>
      <c r="AE1367" s="66"/>
      <c r="AF1367" s="63"/>
      <c r="AG1367" s="64" t="str">
        <f t="shared" si="159"/>
        <v/>
      </c>
    </row>
    <row r="1368" spans="1:33" x14ac:dyDescent="0.25">
      <c r="A1368" s="46" t="str">
        <f>IF(ISBLANK(inbound_data[[#This Row],[Receiving Report ref.'#]]),"",IF(inbound_data[[#This Row],[Ending Quantity]]=0,"ZERO","INV"))</f>
        <v/>
      </c>
      <c r="B1368" s="165" t="str">
        <f t="shared" si="153"/>
        <v/>
      </c>
      <c r="C1368" s="165" t="str">
        <f>IF(ISBLANK(D1368),"",inbound_data[[#This Row],[Pallet_Series]]&amp;inbound_data[[#This Row],[No.]])</f>
        <v/>
      </c>
      <c r="D1368" s="54"/>
      <c r="E1368" s="53"/>
      <c r="F1368" s="56"/>
      <c r="G1368" s="57"/>
      <c r="H1368" s="53"/>
      <c r="I1368" s="53"/>
      <c r="J1368" s="53"/>
      <c r="K1368" s="53"/>
      <c r="L1368" s="67"/>
      <c r="M1368" s="53"/>
      <c r="N1368" s="68"/>
      <c r="O1368" s="68"/>
      <c r="P1368" s="165" t="str">
        <f t="shared" ca="1" si="154"/>
        <v/>
      </c>
      <c r="Q1368" s="165" t="str">
        <f t="shared" ca="1" si="155"/>
        <v/>
      </c>
      <c r="R1368" s="162"/>
      <c r="S1368" s="163"/>
      <c r="T1368" s="61">
        <f t="shared" si="156"/>
        <v>0</v>
      </c>
      <c r="U1368" s="61">
        <f t="shared" si="157"/>
        <v>0</v>
      </c>
      <c r="V1368" s="61">
        <f t="shared" si="158"/>
        <v>0</v>
      </c>
      <c r="W1368" s="53"/>
      <c r="X1368" s="53"/>
      <c r="Y1368" s="53"/>
      <c r="Z1368" s="57"/>
      <c r="AA1368" s="66"/>
      <c r="AB1368" s="66"/>
      <c r="AC1368" s="66"/>
      <c r="AD1368" s="66"/>
      <c r="AE1368" s="66"/>
      <c r="AF1368" s="63"/>
      <c r="AG1368" s="64" t="str">
        <f t="shared" si="159"/>
        <v/>
      </c>
    </row>
    <row r="1369" spans="1:33" x14ac:dyDescent="0.25">
      <c r="A1369" s="46" t="str">
        <f>IF(ISBLANK(inbound_data[[#This Row],[Receiving Report ref.'#]]),"",IF(inbound_data[[#This Row],[Ending Quantity]]=0,"ZERO","INV"))</f>
        <v/>
      </c>
      <c r="B1369" s="165" t="str">
        <f t="shared" si="153"/>
        <v/>
      </c>
      <c r="C1369" s="165" t="str">
        <f>IF(ISBLANK(D1369),"",inbound_data[[#This Row],[Pallet_Series]]&amp;inbound_data[[#This Row],[No.]])</f>
        <v/>
      </c>
      <c r="D1369" s="54"/>
      <c r="E1369" s="53"/>
      <c r="F1369" s="56"/>
      <c r="G1369" s="57"/>
      <c r="H1369" s="53"/>
      <c r="I1369" s="53"/>
      <c r="J1369" s="53"/>
      <c r="K1369" s="53"/>
      <c r="L1369" s="67"/>
      <c r="M1369" s="53"/>
      <c r="N1369" s="68"/>
      <c r="O1369" s="68"/>
      <c r="P1369" s="165" t="str">
        <f t="shared" ca="1" si="154"/>
        <v/>
      </c>
      <c r="Q1369" s="165" t="str">
        <f t="shared" ca="1" si="155"/>
        <v/>
      </c>
      <c r="R1369" s="162"/>
      <c r="S1369" s="163"/>
      <c r="T1369" s="61">
        <f t="shared" si="156"/>
        <v>0</v>
      </c>
      <c r="U1369" s="61">
        <f t="shared" si="157"/>
        <v>0</v>
      </c>
      <c r="V1369" s="61">
        <f t="shared" si="158"/>
        <v>0</v>
      </c>
      <c r="W1369" s="53"/>
      <c r="X1369" s="53"/>
      <c r="Y1369" s="53"/>
      <c r="Z1369" s="57"/>
      <c r="AA1369" s="66"/>
      <c r="AB1369" s="66"/>
      <c r="AC1369" s="66"/>
      <c r="AD1369" s="66"/>
      <c r="AE1369" s="66"/>
      <c r="AF1369" s="63"/>
      <c r="AG1369" s="64" t="str">
        <f t="shared" si="159"/>
        <v/>
      </c>
    </row>
    <row r="1370" spans="1:33" x14ac:dyDescent="0.25">
      <c r="A1370" s="46" t="str">
        <f>IF(ISBLANK(inbound_data[[#This Row],[Receiving Report ref.'#]]),"",IF(inbound_data[[#This Row],[Ending Quantity]]=0,"ZERO","INV"))</f>
        <v/>
      </c>
      <c r="B1370" s="165" t="str">
        <f t="shared" si="153"/>
        <v/>
      </c>
      <c r="C1370" s="165" t="str">
        <f>IF(ISBLANK(D1370),"",inbound_data[[#This Row],[Pallet_Series]]&amp;inbound_data[[#This Row],[No.]])</f>
        <v/>
      </c>
      <c r="D1370" s="54"/>
      <c r="E1370" s="53"/>
      <c r="F1370" s="56"/>
      <c r="G1370" s="57"/>
      <c r="H1370" s="53"/>
      <c r="I1370" s="53"/>
      <c r="J1370" s="53"/>
      <c r="K1370" s="53"/>
      <c r="L1370" s="67"/>
      <c r="M1370" s="53"/>
      <c r="N1370" s="68"/>
      <c r="O1370" s="68"/>
      <c r="P1370" s="165" t="str">
        <f t="shared" ca="1" si="154"/>
        <v/>
      </c>
      <c r="Q1370" s="165" t="str">
        <f t="shared" ca="1" si="155"/>
        <v/>
      </c>
      <c r="R1370" s="162"/>
      <c r="S1370" s="163"/>
      <c r="T1370" s="61">
        <f t="shared" si="156"/>
        <v>0</v>
      </c>
      <c r="U1370" s="61">
        <f t="shared" si="157"/>
        <v>0</v>
      </c>
      <c r="V1370" s="61">
        <f t="shared" si="158"/>
        <v>0</v>
      </c>
      <c r="W1370" s="53"/>
      <c r="X1370" s="53"/>
      <c r="Y1370" s="53"/>
      <c r="Z1370" s="57"/>
      <c r="AA1370" s="66"/>
      <c r="AB1370" s="66"/>
      <c r="AC1370" s="66"/>
      <c r="AD1370" s="66"/>
      <c r="AE1370" s="66"/>
      <c r="AF1370" s="63"/>
      <c r="AG1370" s="64" t="str">
        <f t="shared" si="159"/>
        <v/>
      </c>
    </row>
    <row r="1371" spans="1:33" x14ac:dyDescent="0.25">
      <c r="A1371" s="46" t="str">
        <f>IF(ISBLANK(inbound_data[[#This Row],[Receiving Report ref.'#]]),"",IF(inbound_data[[#This Row],[Ending Quantity]]=0,"ZERO","INV"))</f>
        <v/>
      </c>
      <c r="B1371" s="165" t="str">
        <f t="shared" si="153"/>
        <v/>
      </c>
      <c r="C1371" s="165" t="str">
        <f>IF(ISBLANK(D1371),"",inbound_data[[#This Row],[Pallet_Series]]&amp;inbound_data[[#This Row],[No.]])</f>
        <v/>
      </c>
      <c r="D1371" s="54"/>
      <c r="E1371" s="53"/>
      <c r="F1371" s="56"/>
      <c r="G1371" s="57"/>
      <c r="H1371" s="53"/>
      <c r="I1371" s="53"/>
      <c r="J1371" s="53"/>
      <c r="K1371" s="53"/>
      <c r="L1371" s="67"/>
      <c r="M1371" s="53"/>
      <c r="N1371" s="68"/>
      <c r="O1371" s="68"/>
      <c r="P1371" s="165" t="str">
        <f t="shared" ca="1" si="154"/>
        <v/>
      </c>
      <c r="Q1371" s="165" t="str">
        <f t="shared" ca="1" si="155"/>
        <v/>
      </c>
      <c r="R1371" s="162"/>
      <c r="S1371" s="163"/>
      <c r="T1371" s="61">
        <f t="shared" si="156"/>
        <v>0</v>
      </c>
      <c r="U1371" s="61">
        <f t="shared" si="157"/>
        <v>0</v>
      </c>
      <c r="V1371" s="61">
        <f t="shared" si="158"/>
        <v>0</v>
      </c>
      <c r="W1371" s="53"/>
      <c r="X1371" s="53"/>
      <c r="Y1371" s="53"/>
      <c r="Z1371" s="57"/>
      <c r="AA1371" s="66"/>
      <c r="AB1371" s="66"/>
      <c r="AC1371" s="66"/>
      <c r="AD1371" s="66"/>
      <c r="AE1371" s="66"/>
      <c r="AF1371" s="63"/>
      <c r="AG1371" s="64" t="str">
        <f t="shared" si="159"/>
        <v/>
      </c>
    </row>
    <row r="1372" spans="1:33" x14ac:dyDescent="0.25">
      <c r="A1372" s="46" t="str">
        <f>IF(ISBLANK(inbound_data[[#This Row],[Receiving Report ref.'#]]),"",IF(inbound_data[[#This Row],[Ending Quantity]]=0,"ZERO","INV"))</f>
        <v/>
      </c>
      <c r="B1372" s="165" t="str">
        <f t="shared" si="153"/>
        <v/>
      </c>
      <c r="C1372" s="165" t="str">
        <f>IF(ISBLANK(D1372),"",inbound_data[[#This Row],[Pallet_Series]]&amp;inbound_data[[#This Row],[No.]])</f>
        <v/>
      </c>
      <c r="D1372" s="54"/>
      <c r="E1372" s="53"/>
      <c r="F1372" s="56"/>
      <c r="G1372" s="57"/>
      <c r="H1372" s="53"/>
      <c r="I1372" s="53"/>
      <c r="J1372" s="53"/>
      <c r="K1372" s="53"/>
      <c r="L1372" s="67"/>
      <c r="M1372" s="53"/>
      <c r="N1372" s="68"/>
      <c r="O1372" s="68"/>
      <c r="P1372" s="165" t="str">
        <f t="shared" ca="1" si="154"/>
        <v/>
      </c>
      <c r="Q1372" s="165" t="str">
        <f t="shared" ca="1" si="155"/>
        <v/>
      </c>
      <c r="R1372" s="162"/>
      <c r="S1372" s="163"/>
      <c r="T1372" s="61">
        <f t="shared" si="156"/>
        <v>0</v>
      </c>
      <c r="U1372" s="61">
        <f t="shared" si="157"/>
        <v>0</v>
      </c>
      <c r="V1372" s="61">
        <f t="shared" si="158"/>
        <v>0</v>
      </c>
      <c r="W1372" s="53"/>
      <c r="X1372" s="53"/>
      <c r="Y1372" s="53"/>
      <c r="Z1372" s="57"/>
      <c r="AA1372" s="66"/>
      <c r="AB1372" s="66"/>
      <c r="AC1372" s="66"/>
      <c r="AD1372" s="66"/>
      <c r="AE1372" s="66"/>
      <c r="AF1372" s="63"/>
      <c r="AG1372" s="64" t="str">
        <f t="shared" si="159"/>
        <v/>
      </c>
    </row>
    <row r="1373" spans="1:33" x14ac:dyDescent="0.25">
      <c r="A1373" s="46" t="str">
        <f>IF(ISBLANK(inbound_data[[#This Row],[Receiving Report ref.'#]]),"",IF(inbound_data[[#This Row],[Ending Quantity]]=0,"ZERO","INV"))</f>
        <v/>
      </c>
      <c r="B1373" s="165" t="str">
        <f t="shared" si="153"/>
        <v/>
      </c>
      <c r="C1373" s="165" t="str">
        <f>IF(ISBLANK(D1373),"",inbound_data[[#This Row],[Pallet_Series]]&amp;inbound_data[[#This Row],[No.]])</f>
        <v/>
      </c>
      <c r="D1373" s="54"/>
      <c r="E1373" s="53"/>
      <c r="F1373" s="56"/>
      <c r="G1373" s="57"/>
      <c r="H1373" s="53"/>
      <c r="I1373" s="53"/>
      <c r="J1373" s="53"/>
      <c r="K1373" s="53"/>
      <c r="L1373" s="67"/>
      <c r="M1373" s="53"/>
      <c r="N1373" s="68"/>
      <c r="O1373" s="68"/>
      <c r="P1373" s="165" t="str">
        <f t="shared" ca="1" si="154"/>
        <v/>
      </c>
      <c r="Q1373" s="165" t="str">
        <f t="shared" ca="1" si="155"/>
        <v/>
      </c>
      <c r="R1373" s="162"/>
      <c r="S1373" s="163"/>
      <c r="T1373" s="61">
        <f t="shared" si="156"/>
        <v>0</v>
      </c>
      <c r="U1373" s="61">
        <f t="shared" si="157"/>
        <v>0</v>
      </c>
      <c r="V1373" s="61">
        <f t="shared" si="158"/>
        <v>0</v>
      </c>
      <c r="W1373" s="53"/>
      <c r="X1373" s="53"/>
      <c r="Y1373" s="53"/>
      <c r="Z1373" s="57"/>
      <c r="AA1373" s="66"/>
      <c r="AB1373" s="66"/>
      <c r="AC1373" s="66"/>
      <c r="AD1373" s="66"/>
      <c r="AE1373" s="66"/>
      <c r="AF1373" s="63"/>
      <c r="AG1373" s="64" t="str">
        <f t="shared" si="159"/>
        <v/>
      </c>
    </row>
    <row r="1374" spans="1:33" x14ac:dyDescent="0.25">
      <c r="A1374" s="46" t="str">
        <f>IF(ISBLANK(inbound_data[[#This Row],[Receiving Report ref.'#]]),"",IF(inbound_data[[#This Row],[Ending Quantity]]=0,"ZERO","INV"))</f>
        <v/>
      </c>
      <c r="B1374" s="165" t="str">
        <f t="shared" si="153"/>
        <v/>
      </c>
      <c r="C1374" s="165" t="str">
        <f>IF(ISBLANK(D1374),"",inbound_data[[#This Row],[Pallet_Series]]&amp;inbound_data[[#This Row],[No.]])</f>
        <v/>
      </c>
      <c r="D1374" s="54"/>
      <c r="E1374" s="53"/>
      <c r="F1374" s="56"/>
      <c r="G1374" s="57"/>
      <c r="H1374" s="53"/>
      <c r="I1374" s="53"/>
      <c r="J1374" s="53"/>
      <c r="K1374" s="53"/>
      <c r="L1374" s="67"/>
      <c r="M1374" s="53"/>
      <c r="N1374" s="68"/>
      <c r="O1374" s="68"/>
      <c r="P1374" s="165" t="str">
        <f t="shared" ca="1" si="154"/>
        <v/>
      </c>
      <c r="Q1374" s="165" t="str">
        <f t="shared" ca="1" si="155"/>
        <v/>
      </c>
      <c r="R1374" s="162"/>
      <c r="S1374" s="163"/>
      <c r="T1374" s="61">
        <f t="shared" si="156"/>
        <v>0</v>
      </c>
      <c r="U1374" s="61">
        <f t="shared" si="157"/>
        <v>0</v>
      </c>
      <c r="V1374" s="61">
        <f t="shared" si="158"/>
        <v>0</v>
      </c>
      <c r="W1374" s="53"/>
      <c r="X1374" s="53"/>
      <c r="Y1374" s="53"/>
      <c r="Z1374" s="57"/>
      <c r="AA1374" s="66"/>
      <c r="AB1374" s="66"/>
      <c r="AC1374" s="66"/>
      <c r="AD1374" s="66"/>
      <c r="AE1374" s="66"/>
      <c r="AF1374" s="63"/>
      <c r="AG1374" s="64" t="str">
        <f t="shared" si="159"/>
        <v/>
      </c>
    </row>
    <row r="1375" spans="1:33" x14ac:dyDescent="0.25">
      <c r="A1375" s="46" t="str">
        <f>IF(ISBLANK(inbound_data[[#This Row],[Receiving Report ref.'#]]),"",IF(inbound_data[[#This Row],[Ending Quantity]]=0,"ZERO","INV"))</f>
        <v/>
      </c>
      <c r="B1375" s="165" t="str">
        <f t="shared" si="153"/>
        <v/>
      </c>
      <c r="C1375" s="165" t="str">
        <f>IF(ISBLANK(D1375),"",inbound_data[[#This Row],[Pallet_Series]]&amp;inbound_data[[#This Row],[No.]])</f>
        <v/>
      </c>
      <c r="D1375" s="54"/>
      <c r="E1375" s="53"/>
      <c r="F1375" s="56"/>
      <c r="G1375" s="57"/>
      <c r="H1375" s="53"/>
      <c r="I1375" s="53"/>
      <c r="J1375" s="53"/>
      <c r="K1375" s="53"/>
      <c r="L1375" s="67"/>
      <c r="M1375" s="53"/>
      <c r="N1375" s="68"/>
      <c r="O1375" s="68"/>
      <c r="P1375" s="165" t="str">
        <f t="shared" ca="1" si="154"/>
        <v/>
      </c>
      <c r="Q1375" s="165" t="str">
        <f t="shared" ca="1" si="155"/>
        <v/>
      </c>
      <c r="R1375" s="162"/>
      <c r="S1375" s="163"/>
      <c r="T1375" s="61">
        <f t="shared" si="156"/>
        <v>0</v>
      </c>
      <c r="U1375" s="61">
        <f t="shared" si="157"/>
        <v>0</v>
      </c>
      <c r="V1375" s="61">
        <f t="shared" si="158"/>
        <v>0</v>
      </c>
      <c r="W1375" s="53"/>
      <c r="X1375" s="53"/>
      <c r="Y1375" s="53"/>
      <c r="Z1375" s="57"/>
      <c r="AA1375" s="66"/>
      <c r="AB1375" s="66"/>
      <c r="AC1375" s="66"/>
      <c r="AD1375" s="66"/>
      <c r="AE1375" s="66"/>
      <c r="AF1375" s="63"/>
      <c r="AG1375" s="64" t="str">
        <f t="shared" si="159"/>
        <v/>
      </c>
    </row>
    <row r="1376" spans="1:33" x14ac:dyDescent="0.25">
      <c r="A1376" s="46" t="str">
        <f>IF(ISBLANK(inbound_data[[#This Row],[Receiving Report ref.'#]]),"",IF(inbound_data[[#This Row],[Ending Quantity]]=0,"ZERO","INV"))</f>
        <v/>
      </c>
      <c r="B1376" s="165" t="str">
        <f t="shared" si="153"/>
        <v/>
      </c>
      <c r="C1376" s="165" t="str">
        <f>IF(ISBLANK(D1376),"",inbound_data[[#This Row],[Pallet_Series]]&amp;inbound_data[[#This Row],[No.]])</f>
        <v/>
      </c>
      <c r="D1376" s="54"/>
      <c r="E1376" s="53"/>
      <c r="F1376" s="56"/>
      <c r="G1376" s="57"/>
      <c r="H1376" s="53"/>
      <c r="I1376" s="53"/>
      <c r="J1376" s="53"/>
      <c r="K1376" s="53"/>
      <c r="L1376" s="67"/>
      <c r="M1376" s="53"/>
      <c r="N1376" s="68"/>
      <c r="O1376" s="68"/>
      <c r="P1376" s="165" t="str">
        <f t="shared" ca="1" si="154"/>
        <v/>
      </c>
      <c r="Q1376" s="165" t="str">
        <f t="shared" ca="1" si="155"/>
        <v/>
      </c>
      <c r="R1376" s="162"/>
      <c r="S1376" s="163"/>
      <c r="T1376" s="61">
        <f t="shared" si="156"/>
        <v>0</v>
      </c>
      <c r="U1376" s="61">
        <f t="shared" si="157"/>
        <v>0</v>
      </c>
      <c r="V1376" s="61">
        <f t="shared" si="158"/>
        <v>0</v>
      </c>
      <c r="W1376" s="53"/>
      <c r="X1376" s="53"/>
      <c r="Y1376" s="53"/>
      <c r="Z1376" s="57"/>
      <c r="AA1376" s="66"/>
      <c r="AB1376" s="66"/>
      <c r="AC1376" s="66"/>
      <c r="AD1376" s="66"/>
      <c r="AE1376" s="66"/>
      <c r="AF1376" s="63"/>
      <c r="AG1376" s="64" t="str">
        <f t="shared" si="159"/>
        <v/>
      </c>
    </row>
    <row r="1377" spans="1:33" x14ac:dyDescent="0.25">
      <c r="A1377" s="46" t="str">
        <f>IF(ISBLANK(inbound_data[[#This Row],[Receiving Report ref.'#]]),"",IF(inbound_data[[#This Row],[Ending Quantity]]=0,"ZERO","INV"))</f>
        <v/>
      </c>
      <c r="B1377" s="165" t="str">
        <f t="shared" si="153"/>
        <v/>
      </c>
      <c r="C1377" s="165" t="str">
        <f>IF(ISBLANK(D1377),"",inbound_data[[#This Row],[Pallet_Series]]&amp;inbound_data[[#This Row],[No.]])</f>
        <v/>
      </c>
      <c r="D1377" s="54"/>
      <c r="E1377" s="53"/>
      <c r="F1377" s="56"/>
      <c r="G1377" s="57"/>
      <c r="H1377" s="53"/>
      <c r="I1377" s="53"/>
      <c r="J1377" s="53"/>
      <c r="K1377" s="53"/>
      <c r="L1377" s="67"/>
      <c r="M1377" s="53"/>
      <c r="N1377" s="68"/>
      <c r="O1377" s="68"/>
      <c r="P1377" s="165" t="str">
        <f t="shared" ca="1" si="154"/>
        <v/>
      </c>
      <c r="Q1377" s="165" t="str">
        <f t="shared" ca="1" si="155"/>
        <v/>
      </c>
      <c r="R1377" s="162"/>
      <c r="S1377" s="163"/>
      <c r="T1377" s="61">
        <f t="shared" si="156"/>
        <v>0</v>
      </c>
      <c r="U1377" s="61">
        <f t="shared" si="157"/>
        <v>0</v>
      </c>
      <c r="V1377" s="61">
        <f t="shared" si="158"/>
        <v>0</v>
      </c>
      <c r="W1377" s="53"/>
      <c r="X1377" s="53"/>
      <c r="Y1377" s="53"/>
      <c r="Z1377" s="57"/>
      <c r="AA1377" s="66"/>
      <c r="AB1377" s="66"/>
      <c r="AC1377" s="66"/>
      <c r="AD1377" s="66"/>
      <c r="AE1377" s="66"/>
      <c r="AF1377" s="63"/>
      <c r="AG1377" s="64" t="str">
        <f t="shared" si="159"/>
        <v/>
      </c>
    </row>
    <row r="1378" spans="1:33" x14ac:dyDescent="0.25">
      <c r="A1378" s="46" t="str">
        <f>IF(ISBLANK(inbound_data[[#This Row],[Receiving Report ref.'#]]),"",IF(inbound_data[[#This Row],[Ending Quantity]]=0,"ZERO","INV"))</f>
        <v/>
      </c>
      <c r="B1378" s="165" t="str">
        <f t="shared" si="153"/>
        <v/>
      </c>
      <c r="C1378" s="165" t="str">
        <f>IF(ISBLANK(D1378),"",inbound_data[[#This Row],[Pallet_Series]]&amp;inbound_data[[#This Row],[No.]])</f>
        <v/>
      </c>
      <c r="D1378" s="54"/>
      <c r="E1378" s="53"/>
      <c r="F1378" s="56"/>
      <c r="G1378" s="57"/>
      <c r="H1378" s="53"/>
      <c r="I1378" s="53"/>
      <c r="J1378" s="53"/>
      <c r="K1378" s="53"/>
      <c r="L1378" s="67"/>
      <c r="M1378" s="53"/>
      <c r="N1378" s="68"/>
      <c r="O1378" s="68"/>
      <c r="P1378" s="165" t="str">
        <f t="shared" ca="1" si="154"/>
        <v/>
      </c>
      <c r="Q1378" s="165" t="str">
        <f t="shared" ca="1" si="155"/>
        <v/>
      </c>
      <c r="R1378" s="162"/>
      <c r="S1378" s="163"/>
      <c r="T1378" s="61">
        <f t="shared" si="156"/>
        <v>0</v>
      </c>
      <c r="U1378" s="61">
        <f t="shared" si="157"/>
        <v>0</v>
      </c>
      <c r="V1378" s="61">
        <f t="shared" si="158"/>
        <v>0</v>
      </c>
      <c r="W1378" s="53"/>
      <c r="X1378" s="53"/>
      <c r="Y1378" s="53"/>
      <c r="Z1378" s="57"/>
      <c r="AA1378" s="66"/>
      <c r="AB1378" s="66"/>
      <c r="AC1378" s="66"/>
      <c r="AD1378" s="66"/>
      <c r="AE1378" s="66"/>
      <c r="AF1378" s="63"/>
      <c r="AG1378" s="64" t="str">
        <f t="shared" si="159"/>
        <v/>
      </c>
    </row>
    <row r="1379" spans="1:33" x14ac:dyDescent="0.25">
      <c r="A1379" s="46" t="str">
        <f>IF(ISBLANK(inbound_data[[#This Row],[Receiving Report ref.'#]]),"",IF(inbound_data[[#This Row],[Ending Quantity]]=0,"ZERO","INV"))</f>
        <v/>
      </c>
      <c r="B1379" s="165" t="str">
        <f t="shared" si="153"/>
        <v/>
      </c>
      <c r="C1379" s="165" t="str">
        <f>IF(ISBLANK(D1379),"",inbound_data[[#This Row],[Pallet_Series]]&amp;inbound_data[[#This Row],[No.]])</f>
        <v/>
      </c>
      <c r="D1379" s="54"/>
      <c r="E1379" s="53"/>
      <c r="F1379" s="56"/>
      <c r="G1379" s="57"/>
      <c r="H1379" s="53"/>
      <c r="I1379" s="53"/>
      <c r="J1379" s="53"/>
      <c r="K1379" s="53"/>
      <c r="L1379" s="67"/>
      <c r="M1379" s="53"/>
      <c r="N1379" s="68"/>
      <c r="O1379" s="68"/>
      <c r="P1379" s="165" t="str">
        <f t="shared" ca="1" si="154"/>
        <v/>
      </c>
      <c r="Q1379" s="165" t="str">
        <f t="shared" ca="1" si="155"/>
        <v/>
      </c>
      <c r="R1379" s="162"/>
      <c r="S1379" s="163"/>
      <c r="T1379" s="61">
        <f t="shared" si="156"/>
        <v>0</v>
      </c>
      <c r="U1379" s="61">
        <f t="shared" si="157"/>
        <v>0</v>
      </c>
      <c r="V1379" s="61">
        <f t="shared" si="158"/>
        <v>0</v>
      </c>
      <c r="W1379" s="53"/>
      <c r="X1379" s="53"/>
      <c r="Y1379" s="53"/>
      <c r="Z1379" s="57"/>
      <c r="AA1379" s="66"/>
      <c r="AB1379" s="66"/>
      <c r="AC1379" s="66"/>
      <c r="AD1379" s="66"/>
      <c r="AE1379" s="66"/>
      <c r="AF1379" s="63"/>
      <c r="AG1379" s="64" t="str">
        <f t="shared" si="159"/>
        <v/>
      </c>
    </row>
    <row r="1380" spans="1:33" x14ac:dyDescent="0.25">
      <c r="A1380" s="46" t="str">
        <f>IF(ISBLANK(inbound_data[[#This Row],[Receiving Report ref.'#]]),"",IF(inbound_data[[#This Row],[Ending Quantity]]=0,"ZERO","INV"))</f>
        <v/>
      </c>
      <c r="B1380" s="165" t="str">
        <f t="shared" si="153"/>
        <v/>
      </c>
      <c r="C1380" s="165" t="str">
        <f>IF(ISBLANK(D1380),"",inbound_data[[#This Row],[Pallet_Series]]&amp;inbound_data[[#This Row],[No.]])</f>
        <v/>
      </c>
      <c r="D1380" s="54"/>
      <c r="E1380" s="53"/>
      <c r="F1380" s="56"/>
      <c r="G1380" s="57"/>
      <c r="H1380" s="53"/>
      <c r="I1380" s="53"/>
      <c r="J1380" s="53"/>
      <c r="K1380" s="53"/>
      <c r="L1380" s="67"/>
      <c r="M1380" s="53"/>
      <c r="N1380" s="68"/>
      <c r="O1380" s="68"/>
      <c r="P1380" s="165" t="str">
        <f t="shared" ca="1" si="154"/>
        <v/>
      </c>
      <c r="Q1380" s="165" t="str">
        <f t="shared" ca="1" si="155"/>
        <v/>
      </c>
      <c r="R1380" s="162"/>
      <c r="S1380" s="163"/>
      <c r="T1380" s="61">
        <f t="shared" si="156"/>
        <v>0</v>
      </c>
      <c r="U1380" s="61">
        <f t="shared" si="157"/>
        <v>0</v>
      </c>
      <c r="V1380" s="61">
        <f t="shared" si="158"/>
        <v>0</v>
      </c>
      <c r="W1380" s="53"/>
      <c r="X1380" s="53"/>
      <c r="Y1380" s="53"/>
      <c r="Z1380" s="57"/>
      <c r="AA1380" s="66"/>
      <c r="AB1380" s="66"/>
      <c r="AC1380" s="66"/>
      <c r="AD1380" s="66"/>
      <c r="AE1380" s="66"/>
      <c r="AF1380" s="63"/>
      <c r="AG1380" s="64" t="str">
        <f t="shared" si="159"/>
        <v/>
      </c>
    </row>
    <row r="1381" spans="1:33" x14ac:dyDescent="0.25">
      <c r="A1381" s="46" t="str">
        <f>IF(ISBLANK(inbound_data[[#This Row],[Receiving Report ref.'#]]),"",IF(inbound_data[[#This Row],[Ending Quantity]]=0,"ZERO","INV"))</f>
        <v/>
      </c>
      <c r="B1381" s="165" t="str">
        <f t="shared" si="153"/>
        <v/>
      </c>
      <c r="C1381" s="165" t="str">
        <f>IF(ISBLANK(D1381),"",inbound_data[[#This Row],[Pallet_Series]]&amp;inbound_data[[#This Row],[No.]])</f>
        <v/>
      </c>
      <c r="D1381" s="54"/>
      <c r="E1381" s="53"/>
      <c r="F1381" s="56"/>
      <c r="G1381" s="57"/>
      <c r="H1381" s="53"/>
      <c r="I1381" s="53"/>
      <c r="J1381" s="53"/>
      <c r="K1381" s="53"/>
      <c r="L1381" s="67"/>
      <c r="M1381" s="53"/>
      <c r="N1381" s="68"/>
      <c r="O1381" s="68"/>
      <c r="P1381" s="165" t="str">
        <f t="shared" ca="1" si="154"/>
        <v/>
      </c>
      <c r="Q1381" s="165" t="str">
        <f t="shared" ca="1" si="155"/>
        <v/>
      </c>
      <c r="R1381" s="162"/>
      <c r="S1381" s="163"/>
      <c r="T1381" s="61">
        <f t="shared" si="156"/>
        <v>0</v>
      </c>
      <c r="U1381" s="61">
        <f t="shared" si="157"/>
        <v>0</v>
      </c>
      <c r="V1381" s="61">
        <f t="shared" si="158"/>
        <v>0</v>
      </c>
      <c r="W1381" s="53"/>
      <c r="X1381" s="53"/>
      <c r="Y1381" s="53"/>
      <c r="Z1381" s="57"/>
      <c r="AA1381" s="66"/>
      <c r="AB1381" s="66"/>
      <c r="AC1381" s="66"/>
      <c r="AD1381" s="66"/>
      <c r="AE1381" s="66"/>
      <c r="AF1381" s="63"/>
      <c r="AG1381" s="64" t="str">
        <f t="shared" si="159"/>
        <v/>
      </c>
    </row>
    <row r="1382" spans="1:33" x14ac:dyDescent="0.25">
      <c r="A1382" s="46" t="str">
        <f>IF(ISBLANK(inbound_data[[#This Row],[Receiving Report ref.'#]]),"",IF(inbound_data[[#This Row],[Ending Quantity]]=0,"ZERO","INV"))</f>
        <v/>
      </c>
      <c r="B1382" s="165" t="str">
        <f t="shared" si="153"/>
        <v/>
      </c>
      <c r="C1382" s="165" t="str">
        <f>IF(ISBLANK(D1382),"",inbound_data[[#This Row],[Pallet_Series]]&amp;inbound_data[[#This Row],[No.]])</f>
        <v/>
      </c>
      <c r="D1382" s="54"/>
      <c r="E1382" s="53"/>
      <c r="F1382" s="56"/>
      <c r="G1382" s="57"/>
      <c r="H1382" s="53"/>
      <c r="I1382" s="53"/>
      <c r="J1382" s="53"/>
      <c r="K1382" s="53"/>
      <c r="L1382" s="67"/>
      <c r="M1382" s="53"/>
      <c r="N1382" s="68"/>
      <c r="O1382" s="68"/>
      <c r="P1382" s="165" t="str">
        <f t="shared" ca="1" si="154"/>
        <v/>
      </c>
      <c r="Q1382" s="165" t="str">
        <f t="shared" ca="1" si="155"/>
        <v/>
      </c>
      <c r="R1382" s="162"/>
      <c r="S1382" s="163"/>
      <c r="T1382" s="61">
        <f t="shared" si="156"/>
        <v>0</v>
      </c>
      <c r="U1382" s="61">
        <f t="shared" si="157"/>
        <v>0</v>
      </c>
      <c r="V1382" s="61">
        <f t="shared" si="158"/>
        <v>0</v>
      </c>
      <c r="W1382" s="53"/>
      <c r="X1382" s="53"/>
      <c r="Y1382" s="53"/>
      <c r="Z1382" s="57"/>
      <c r="AA1382" s="66"/>
      <c r="AB1382" s="66"/>
      <c r="AC1382" s="66"/>
      <c r="AD1382" s="66"/>
      <c r="AE1382" s="66"/>
      <c r="AF1382" s="63"/>
      <c r="AG1382" s="64" t="str">
        <f t="shared" si="159"/>
        <v/>
      </c>
    </row>
    <row r="1383" spans="1:33" x14ac:dyDescent="0.25">
      <c r="A1383" s="46" t="str">
        <f>IF(ISBLANK(inbound_data[[#This Row],[Receiving Report ref.'#]]),"",IF(inbound_data[[#This Row],[Ending Quantity]]=0,"ZERO","INV"))</f>
        <v/>
      </c>
      <c r="B1383" s="165" t="str">
        <f t="shared" si="153"/>
        <v/>
      </c>
      <c r="C1383" s="165" t="str">
        <f>IF(ISBLANK(D1383),"",inbound_data[[#This Row],[Pallet_Series]]&amp;inbound_data[[#This Row],[No.]])</f>
        <v/>
      </c>
      <c r="D1383" s="54"/>
      <c r="E1383" s="53"/>
      <c r="F1383" s="56"/>
      <c r="G1383" s="57"/>
      <c r="H1383" s="53"/>
      <c r="I1383" s="53"/>
      <c r="J1383" s="53"/>
      <c r="K1383" s="53"/>
      <c r="L1383" s="67"/>
      <c r="M1383" s="53"/>
      <c r="N1383" s="68"/>
      <c r="O1383" s="68"/>
      <c r="P1383" s="165" t="str">
        <f t="shared" ca="1" si="154"/>
        <v/>
      </c>
      <c r="Q1383" s="165" t="str">
        <f t="shared" ca="1" si="155"/>
        <v/>
      </c>
      <c r="R1383" s="162"/>
      <c r="S1383" s="163"/>
      <c r="T1383" s="61">
        <f t="shared" si="156"/>
        <v>0</v>
      </c>
      <c r="U1383" s="61">
        <f t="shared" si="157"/>
        <v>0</v>
      </c>
      <c r="V1383" s="61">
        <f t="shared" si="158"/>
        <v>0</v>
      </c>
      <c r="W1383" s="53"/>
      <c r="X1383" s="53"/>
      <c r="Y1383" s="53"/>
      <c r="Z1383" s="57"/>
      <c r="AA1383" s="66"/>
      <c r="AB1383" s="66"/>
      <c r="AC1383" s="66"/>
      <c r="AD1383" s="66"/>
      <c r="AE1383" s="66"/>
      <c r="AF1383" s="63"/>
      <c r="AG1383" s="64" t="str">
        <f t="shared" si="159"/>
        <v/>
      </c>
    </row>
    <row r="1384" spans="1:33" x14ac:dyDescent="0.25">
      <c r="A1384" s="46" t="str">
        <f>IF(ISBLANK(inbound_data[[#This Row],[Receiving Report ref.'#]]),"",IF(inbound_data[[#This Row],[Ending Quantity]]=0,"ZERO","INV"))</f>
        <v/>
      </c>
      <c r="B1384" s="165" t="str">
        <f t="shared" si="153"/>
        <v/>
      </c>
      <c r="C1384" s="165" t="str">
        <f>IF(ISBLANK(D1384),"",inbound_data[[#This Row],[Pallet_Series]]&amp;inbound_data[[#This Row],[No.]])</f>
        <v/>
      </c>
      <c r="D1384" s="54"/>
      <c r="E1384" s="53"/>
      <c r="F1384" s="56"/>
      <c r="G1384" s="57"/>
      <c r="H1384" s="53"/>
      <c r="I1384" s="53"/>
      <c r="J1384" s="53"/>
      <c r="K1384" s="53"/>
      <c r="L1384" s="67"/>
      <c r="M1384" s="53"/>
      <c r="N1384" s="68"/>
      <c r="O1384" s="68"/>
      <c r="P1384" s="165" t="str">
        <f t="shared" ca="1" si="154"/>
        <v/>
      </c>
      <c r="Q1384" s="165" t="str">
        <f t="shared" ca="1" si="155"/>
        <v/>
      </c>
      <c r="R1384" s="162"/>
      <c r="S1384" s="163"/>
      <c r="T1384" s="61">
        <f t="shared" si="156"/>
        <v>0</v>
      </c>
      <c r="U1384" s="61">
        <f t="shared" si="157"/>
        <v>0</v>
      </c>
      <c r="V1384" s="61">
        <f t="shared" si="158"/>
        <v>0</v>
      </c>
      <c r="W1384" s="53"/>
      <c r="X1384" s="53"/>
      <c r="Y1384" s="53"/>
      <c r="Z1384" s="57"/>
      <c r="AA1384" s="66"/>
      <c r="AB1384" s="66"/>
      <c r="AC1384" s="66"/>
      <c r="AD1384" s="66"/>
      <c r="AE1384" s="66"/>
      <c r="AF1384" s="63"/>
      <c r="AG1384" s="64" t="str">
        <f t="shared" si="159"/>
        <v/>
      </c>
    </row>
    <row r="1385" spans="1:33" x14ac:dyDescent="0.25">
      <c r="A1385" s="46" t="str">
        <f>IF(ISBLANK(inbound_data[[#This Row],[Receiving Report ref.'#]]),"",IF(inbound_data[[#This Row],[Ending Quantity]]=0,"ZERO","INV"))</f>
        <v/>
      </c>
      <c r="B1385" s="165" t="str">
        <f t="shared" si="153"/>
        <v/>
      </c>
      <c r="C1385" s="165" t="str">
        <f>IF(ISBLANK(D1385),"",inbound_data[[#This Row],[Pallet_Series]]&amp;inbound_data[[#This Row],[No.]])</f>
        <v/>
      </c>
      <c r="D1385" s="54"/>
      <c r="E1385" s="53"/>
      <c r="F1385" s="56"/>
      <c r="G1385" s="57"/>
      <c r="H1385" s="53"/>
      <c r="I1385" s="53"/>
      <c r="J1385" s="53"/>
      <c r="K1385" s="53"/>
      <c r="L1385" s="67"/>
      <c r="M1385" s="53"/>
      <c r="N1385" s="68"/>
      <c r="O1385" s="68"/>
      <c r="P1385" s="165" t="str">
        <f t="shared" ca="1" si="154"/>
        <v/>
      </c>
      <c r="Q1385" s="165" t="str">
        <f t="shared" ca="1" si="155"/>
        <v/>
      </c>
      <c r="R1385" s="162"/>
      <c r="S1385" s="163"/>
      <c r="T1385" s="61">
        <f t="shared" si="156"/>
        <v>0</v>
      </c>
      <c r="U1385" s="61">
        <f t="shared" si="157"/>
        <v>0</v>
      </c>
      <c r="V1385" s="61">
        <f t="shared" si="158"/>
        <v>0</v>
      </c>
      <c r="W1385" s="53"/>
      <c r="X1385" s="53"/>
      <c r="Y1385" s="53"/>
      <c r="Z1385" s="57"/>
      <c r="AA1385" s="66"/>
      <c r="AB1385" s="66"/>
      <c r="AC1385" s="66"/>
      <c r="AD1385" s="66"/>
      <c r="AE1385" s="66"/>
      <c r="AF1385" s="63"/>
      <c r="AG1385" s="64" t="str">
        <f t="shared" si="159"/>
        <v/>
      </c>
    </row>
    <row r="1386" spans="1:33" x14ac:dyDescent="0.25">
      <c r="A1386" s="46" t="str">
        <f>IF(ISBLANK(inbound_data[[#This Row],[Receiving Report ref.'#]]),"",IF(inbound_data[[#This Row],[Ending Quantity]]=0,"ZERO","INV"))</f>
        <v/>
      </c>
      <c r="B1386" s="165" t="str">
        <f t="shared" si="153"/>
        <v/>
      </c>
      <c r="C1386" s="165" t="str">
        <f>IF(ISBLANK(D1386),"",inbound_data[[#This Row],[Pallet_Series]]&amp;inbound_data[[#This Row],[No.]])</f>
        <v/>
      </c>
      <c r="D1386" s="54"/>
      <c r="E1386" s="53"/>
      <c r="F1386" s="56"/>
      <c r="G1386" s="57"/>
      <c r="H1386" s="53"/>
      <c r="I1386" s="53"/>
      <c r="J1386" s="53"/>
      <c r="K1386" s="53"/>
      <c r="L1386" s="67"/>
      <c r="M1386" s="53"/>
      <c r="N1386" s="68"/>
      <c r="O1386" s="68"/>
      <c r="P1386" s="165" t="str">
        <f t="shared" ca="1" si="154"/>
        <v/>
      </c>
      <c r="Q1386" s="165" t="str">
        <f t="shared" ca="1" si="155"/>
        <v/>
      </c>
      <c r="R1386" s="162"/>
      <c r="S1386" s="163"/>
      <c r="T1386" s="61">
        <f t="shared" si="156"/>
        <v>0</v>
      </c>
      <c r="U1386" s="61">
        <f t="shared" si="157"/>
        <v>0</v>
      </c>
      <c r="V1386" s="61">
        <f t="shared" si="158"/>
        <v>0</v>
      </c>
      <c r="W1386" s="53"/>
      <c r="X1386" s="53"/>
      <c r="Y1386" s="53"/>
      <c r="Z1386" s="57"/>
      <c r="AA1386" s="66"/>
      <c r="AB1386" s="66"/>
      <c r="AC1386" s="66"/>
      <c r="AD1386" s="66"/>
      <c r="AE1386" s="66"/>
      <c r="AF1386" s="63"/>
      <c r="AG1386" s="64" t="str">
        <f t="shared" si="159"/>
        <v/>
      </c>
    </row>
    <row r="1387" spans="1:33" x14ac:dyDescent="0.25">
      <c r="A1387" s="46" t="str">
        <f>IF(ISBLANK(inbound_data[[#This Row],[Receiving Report ref.'#]]),"",IF(inbound_data[[#This Row],[Ending Quantity]]=0,"ZERO","INV"))</f>
        <v/>
      </c>
      <c r="B1387" s="165" t="str">
        <f t="shared" si="153"/>
        <v/>
      </c>
      <c r="C1387" s="165" t="str">
        <f>IF(ISBLANK(D1387),"",inbound_data[[#This Row],[Pallet_Series]]&amp;inbound_data[[#This Row],[No.]])</f>
        <v/>
      </c>
      <c r="D1387" s="54"/>
      <c r="E1387" s="53"/>
      <c r="F1387" s="56"/>
      <c r="G1387" s="57"/>
      <c r="H1387" s="53"/>
      <c r="I1387" s="53"/>
      <c r="J1387" s="53"/>
      <c r="K1387" s="53"/>
      <c r="L1387" s="67"/>
      <c r="M1387" s="53"/>
      <c r="N1387" s="68"/>
      <c r="O1387" s="68"/>
      <c r="P1387" s="165" t="str">
        <f t="shared" ca="1" si="154"/>
        <v/>
      </c>
      <c r="Q1387" s="165" t="str">
        <f t="shared" ca="1" si="155"/>
        <v/>
      </c>
      <c r="R1387" s="162"/>
      <c r="S1387" s="163"/>
      <c r="T1387" s="61">
        <f t="shared" si="156"/>
        <v>0</v>
      </c>
      <c r="U1387" s="61">
        <f t="shared" si="157"/>
        <v>0</v>
      </c>
      <c r="V1387" s="61">
        <f t="shared" si="158"/>
        <v>0</v>
      </c>
      <c r="W1387" s="53"/>
      <c r="X1387" s="53"/>
      <c r="Y1387" s="53"/>
      <c r="Z1387" s="57"/>
      <c r="AA1387" s="66"/>
      <c r="AB1387" s="66"/>
      <c r="AC1387" s="66"/>
      <c r="AD1387" s="66"/>
      <c r="AE1387" s="66"/>
      <c r="AF1387" s="63"/>
      <c r="AG1387" s="64" t="str">
        <f t="shared" si="159"/>
        <v/>
      </c>
    </row>
    <row r="1388" spans="1:33" x14ac:dyDescent="0.25">
      <c r="A1388" s="46" t="str">
        <f>IF(ISBLANK(inbound_data[[#This Row],[Receiving Report ref.'#]]),"",IF(inbound_data[[#This Row],[Ending Quantity]]=0,"ZERO","INV"))</f>
        <v/>
      </c>
      <c r="B1388" s="165" t="str">
        <f t="shared" si="153"/>
        <v/>
      </c>
      <c r="C1388" s="165" t="str">
        <f>IF(ISBLANK(D1388),"",inbound_data[[#This Row],[Pallet_Series]]&amp;inbound_data[[#This Row],[No.]])</f>
        <v/>
      </c>
      <c r="D1388" s="54"/>
      <c r="E1388" s="53"/>
      <c r="F1388" s="56"/>
      <c r="G1388" s="57"/>
      <c r="H1388" s="53"/>
      <c r="I1388" s="53"/>
      <c r="J1388" s="53"/>
      <c r="K1388" s="53"/>
      <c r="L1388" s="67"/>
      <c r="M1388" s="53"/>
      <c r="N1388" s="68"/>
      <c r="O1388" s="68"/>
      <c r="P1388" s="165" t="str">
        <f t="shared" ca="1" si="154"/>
        <v/>
      </c>
      <c r="Q1388" s="165" t="str">
        <f t="shared" ca="1" si="155"/>
        <v/>
      </c>
      <c r="R1388" s="162"/>
      <c r="S1388" s="163"/>
      <c r="T1388" s="61">
        <f t="shared" si="156"/>
        <v>0</v>
      </c>
      <c r="U1388" s="61">
        <f t="shared" si="157"/>
        <v>0</v>
      </c>
      <c r="V1388" s="61">
        <f t="shared" si="158"/>
        <v>0</v>
      </c>
      <c r="W1388" s="53"/>
      <c r="X1388" s="53"/>
      <c r="Y1388" s="53"/>
      <c r="Z1388" s="57"/>
      <c r="AA1388" s="66"/>
      <c r="AB1388" s="66"/>
      <c r="AC1388" s="66"/>
      <c r="AD1388" s="66"/>
      <c r="AE1388" s="66"/>
      <c r="AF1388" s="63"/>
      <c r="AG1388" s="64" t="str">
        <f t="shared" si="159"/>
        <v/>
      </c>
    </row>
    <row r="1389" spans="1:33" x14ac:dyDescent="0.25">
      <c r="A1389" s="46" t="str">
        <f>IF(ISBLANK(inbound_data[[#This Row],[Receiving Report ref.'#]]),"",IF(inbound_data[[#This Row],[Ending Quantity]]=0,"ZERO","INV"))</f>
        <v/>
      </c>
      <c r="B1389" s="165" t="str">
        <f t="shared" si="153"/>
        <v/>
      </c>
      <c r="C1389" s="165" t="str">
        <f>IF(ISBLANK(D1389),"",inbound_data[[#This Row],[Pallet_Series]]&amp;inbound_data[[#This Row],[No.]])</f>
        <v/>
      </c>
      <c r="D1389" s="54"/>
      <c r="E1389" s="53"/>
      <c r="F1389" s="56"/>
      <c r="G1389" s="57"/>
      <c r="H1389" s="53"/>
      <c r="I1389" s="53"/>
      <c r="J1389" s="53"/>
      <c r="K1389" s="53"/>
      <c r="L1389" s="67"/>
      <c r="M1389" s="53"/>
      <c r="N1389" s="68"/>
      <c r="O1389" s="68"/>
      <c r="P1389" s="165" t="str">
        <f t="shared" ca="1" si="154"/>
        <v/>
      </c>
      <c r="Q1389" s="165" t="str">
        <f t="shared" ca="1" si="155"/>
        <v/>
      </c>
      <c r="R1389" s="162"/>
      <c r="S1389" s="163"/>
      <c r="T1389" s="61">
        <f t="shared" si="156"/>
        <v>0</v>
      </c>
      <c r="U1389" s="61">
        <f t="shared" si="157"/>
        <v>0</v>
      </c>
      <c r="V1389" s="61">
        <f t="shared" si="158"/>
        <v>0</v>
      </c>
      <c r="W1389" s="53"/>
      <c r="X1389" s="53"/>
      <c r="Y1389" s="53"/>
      <c r="Z1389" s="57"/>
      <c r="AA1389" s="66"/>
      <c r="AB1389" s="66"/>
      <c r="AC1389" s="66"/>
      <c r="AD1389" s="66"/>
      <c r="AE1389" s="66"/>
      <c r="AF1389" s="63"/>
      <c r="AG1389" s="64" t="str">
        <f t="shared" si="159"/>
        <v/>
      </c>
    </row>
    <row r="1390" spans="1:33" x14ac:dyDescent="0.25">
      <c r="A1390" s="46" t="str">
        <f>IF(ISBLANK(inbound_data[[#This Row],[Receiving Report ref.'#]]),"",IF(inbound_data[[#This Row],[Ending Quantity]]=0,"ZERO","INV"))</f>
        <v/>
      </c>
      <c r="B1390" s="165" t="str">
        <f t="shared" si="153"/>
        <v/>
      </c>
      <c r="C1390" s="165" t="str">
        <f>IF(ISBLANK(D1390),"",inbound_data[[#This Row],[Pallet_Series]]&amp;inbound_data[[#This Row],[No.]])</f>
        <v/>
      </c>
      <c r="D1390" s="54"/>
      <c r="E1390" s="53"/>
      <c r="F1390" s="56"/>
      <c r="G1390" s="57"/>
      <c r="H1390" s="53"/>
      <c r="I1390" s="53"/>
      <c r="J1390" s="53"/>
      <c r="K1390" s="53"/>
      <c r="L1390" s="67"/>
      <c r="M1390" s="53"/>
      <c r="N1390" s="68"/>
      <c r="O1390" s="68"/>
      <c r="P1390" s="165" t="str">
        <f t="shared" ca="1" si="154"/>
        <v/>
      </c>
      <c r="Q1390" s="165" t="str">
        <f t="shared" ca="1" si="155"/>
        <v/>
      </c>
      <c r="R1390" s="162"/>
      <c r="S1390" s="163"/>
      <c r="T1390" s="61">
        <f t="shared" si="156"/>
        <v>0</v>
      </c>
      <c r="U1390" s="61">
        <f t="shared" si="157"/>
        <v>0</v>
      </c>
      <c r="V1390" s="61">
        <f t="shared" si="158"/>
        <v>0</v>
      </c>
      <c r="W1390" s="53"/>
      <c r="X1390" s="53"/>
      <c r="Y1390" s="53"/>
      <c r="Z1390" s="57"/>
      <c r="AA1390" s="66"/>
      <c r="AB1390" s="66"/>
      <c r="AC1390" s="66"/>
      <c r="AD1390" s="66"/>
      <c r="AE1390" s="66"/>
      <c r="AF1390" s="63"/>
      <c r="AG1390" s="64" t="str">
        <f t="shared" si="159"/>
        <v/>
      </c>
    </row>
    <row r="1391" spans="1:33" x14ac:dyDescent="0.25">
      <c r="A1391" s="46" t="str">
        <f>IF(ISBLANK(inbound_data[[#This Row],[Receiving Report ref.'#]]),"",IF(inbound_data[[#This Row],[Ending Quantity]]=0,"ZERO","INV"))</f>
        <v/>
      </c>
      <c r="B1391" s="165" t="str">
        <f t="shared" si="153"/>
        <v/>
      </c>
      <c r="C1391" s="165" t="str">
        <f>IF(ISBLANK(D1391),"",inbound_data[[#This Row],[Pallet_Series]]&amp;inbound_data[[#This Row],[No.]])</f>
        <v/>
      </c>
      <c r="D1391" s="54"/>
      <c r="E1391" s="53"/>
      <c r="F1391" s="56"/>
      <c r="G1391" s="57"/>
      <c r="H1391" s="53"/>
      <c r="I1391" s="53"/>
      <c r="J1391" s="53"/>
      <c r="K1391" s="53"/>
      <c r="L1391" s="67"/>
      <c r="M1391" s="53"/>
      <c r="N1391" s="68"/>
      <c r="O1391" s="68"/>
      <c r="P1391" s="165" t="str">
        <f t="shared" ca="1" si="154"/>
        <v/>
      </c>
      <c r="Q1391" s="165" t="str">
        <f t="shared" ca="1" si="155"/>
        <v/>
      </c>
      <c r="R1391" s="162"/>
      <c r="S1391" s="163"/>
      <c r="T1391" s="61">
        <f t="shared" si="156"/>
        <v>0</v>
      </c>
      <c r="U1391" s="61">
        <f t="shared" si="157"/>
        <v>0</v>
      </c>
      <c r="V1391" s="61">
        <f t="shared" si="158"/>
        <v>0</v>
      </c>
      <c r="W1391" s="53"/>
      <c r="X1391" s="53"/>
      <c r="Y1391" s="53"/>
      <c r="Z1391" s="57"/>
      <c r="AA1391" s="66"/>
      <c r="AB1391" s="66"/>
      <c r="AC1391" s="66"/>
      <c r="AD1391" s="66"/>
      <c r="AE1391" s="66"/>
      <c r="AF1391" s="63"/>
      <c r="AG1391" s="64" t="str">
        <f t="shared" si="159"/>
        <v/>
      </c>
    </row>
    <row r="1392" spans="1:33" x14ac:dyDescent="0.25">
      <c r="A1392" s="46" t="str">
        <f>IF(ISBLANK(inbound_data[[#This Row],[Receiving Report ref.'#]]),"",IF(inbound_data[[#This Row],[Ending Quantity]]=0,"ZERO","INV"))</f>
        <v/>
      </c>
      <c r="B1392" s="165" t="str">
        <f t="shared" si="153"/>
        <v/>
      </c>
      <c r="C1392" s="165" t="str">
        <f>IF(ISBLANK(D1392),"",inbound_data[[#This Row],[Pallet_Series]]&amp;inbound_data[[#This Row],[No.]])</f>
        <v/>
      </c>
      <c r="D1392" s="54"/>
      <c r="E1392" s="53"/>
      <c r="F1392" s="56"/>
      <c r="G1392" s="57"/>
      <c r="H1392" s="53"/>
      <c r="I1392" s="53"/>
      <c r="J1392" s="53"/>
      <c r="K1392" s="53"/>
      <c r="L1392" s="67"/>
      <c r="M1392" s="53"/>
      <c r="N1392" s="68"/>
      <c r="O1392" s="68"/>
      <c r="P1392" s="165" t="str">
        <f t="shared" ca="1" si="154"/>
        <v/>
      </c>
      <c r="Q1392" s="165" t="str">
        <f t="shared" ca="1" si="155"/>
        <v/>
      </c>
      <c r="R1392" s="162"/>
      <c r="S1392" s="163"/>
      <c r="T1392" s="61">
        <f t="shared" si="156"/>
        <v>0</v>
      </c>
      <c r="U1392" s="61">
        <f t="shared" si="157"/>
        <v>0</v>
      </c>
      <c r="V1392" s="61">
        <f t="shared" si="158"/>
        <v>0</v>
      </c>
      <c r="W1392" s="53"/>
      <c r="X1392" s="53"/>
      <c r="Y1392" s="53"/>
      <c r="Z1392" s="57"/>
      <c r="AA1392" s="66"/>
      <c r="AB1392" s="66"/>
      <c r="AC1392" s="66"/>
      <c r="AD1392" s="66"/>
      <c r="AE1392" s="66"/>
      <c r="AF1392" s="63"/>
      <c r="AG1392" s="64" t="str">
        <f t="shared" si="159"/>
        <v/>
      </c>
    </row>
    <row r="1393" spans="1:33" x14ac:dyDescent="0.25">
      <c r="A1393" s="46" t="str">
        <f>IF(ISBLANK(inbound_data[[#This Row],[Receiving Report ref.'#]]),"",IF(inbound_data[[#This Row],[Ending Quantity]]=0,"ZERO","INV"))</f>
        <v/>
      </c>
      <c r="B1393" s="165" t="str">
        <f t="shared" si="153"/>
        <v/>
      </c>
      <c r="C1393" s="165" t="str">
        <f>IF(ISBLANK(D1393),"",inbound_data[[#This Row],[Pallet_Series]]&amp;inbound_data[[#This Row],[No.]])</f>
        <v/>
      </c>
      <c r="D1393" s="54"/>
      <c r="E1393" s="53"/>
      <c r="F1393" s="56"/>
      <c r="G1393" s="57"/>
      <c r="H1393" s="53"/>
      <c r="I1393" s="53"/>
      <c r="J1393" s="53"/>
      <c r="K1393" s="53"/>
      <c r="L1393" s="67"/>
      <c r="M1393" s="53"/>
      <c r="N1393" s="68"/>
      <c r="O1393" s="68"/>
      <c r="P1393" s="165" t="str">
        <f t="shared" ca="1" si="154"/>
        <v/>
      </c>
      <c r="Q1393" s="165" t="str">
        <f t="shared" ca="1" si="155"/>
        <v/>
      </c>
      <c r="R1393" s="162"/>
      <c r="S1393" s="163"/>
      <c r="T1393" s="61">
        <f t="shared" si="156"/>
        <v>0</v>
      </c>
      <c r="U1393" s="61">
        <f t="shared" si="157"/>
        <v>0</v>
      </c>
      <c r="V1393" s="61">
        <f t="shared" si="158"/>
        <v>0</v>
      </c>
      <c r="W1393" s="53"/>
      <c r="X1393" s="53"/>
      <c r="Y1393" s="53"/>
      <c r="Z1393" s="57"/>
      <c r="AA1393" s="66"/>
      <c r="AB1393" s="66"/>
      <c r="AC1393" s="66"/>
      <c r="AD1393" s="66"/>
      <c r="AE1393" s="66"/>
      <c r="AF1393" s="63"/>
      <c r="AG1393" s="64" t="str">
        <f t="shared" si="159"/>
        <v/>
      </c>
    </row>
    <row r="1394" spans="1:33" x14ac:dyDescent="0.25">
      <c r="A1394" s="46" t="str">
        <f>IF(ISBLANK(inbound_data[[#This Row],[Receiving Report ref.'#]]),"",IF(inbound_data[[#This Row],[Ending Quantity]]=0,"ZERO","INV"))</f>
        <v/>
      </c>
      <c r="B1394" s="165" t="str">
        <f t="shared" si="153"/>
        <v/>
      </c>
      <c r="C1394" s="165" t="str">
        <f>IF(ISBLANK(D1394),"",inbound_data[[#This Row],[Pallet_Series]]&amp;inbound_data[[#This Row],[No.]])</f>
        <v/>
      </c>
      <c r="D1394" s="54"/>
      <c r="E1394" s="53"/>
      <c r="F1394" s="56"/>
      <c r="G1394" s="57"/>
      <c r="H1394" s="53"/>
      <c r="I1394" s="53"/>
      <c r="J1394" s="53"/>
      <c r="K1394" s="53"/>
      <c r="L1394" s="67"/>
      <c r="M1394" s="53"/>
      <c r="N1394" s="68"/>
      <c r="O1394" s="68"/>
      <c r="P1394" s="165" t="str">
        <f t="shared" ca="1" si="154"/>
        <v/>
      </c>
      <c r="Q1394" s="165" t="str">
        <f t="shared" ca="1" si="155"/>
        <v/>
      </c>
      <c r="R1394" s="162"/>
      <c r="S1394" s="163"/>
      <c r="T1394" s="61">
        <f t="shared" si="156"/>
        <v>0</v>
      </c>
      <c r="U1394" s="61">
        <f t="shared" si="157"/>
        <v>0</v>
      </c>
      <c r="V1394" s="61">
        <f t="shared" si="158"/>
        <v>0</v>
      </c>
      <c r="W1394" s="53"/>
      <c r="X1394" s="53"/>
      <c r="Y1394" s="53"/>
      <c r="Z1394" s="57"/>
      <c r="AA1394" s="66"/>
      <c r="AB1394" s="66"/>
      <c r="AC1394" s="66"/>
      <c r="AD1394" s="66"/>
      <c r="AE1394" s="66"/>
      <c r="AF1394" s="63"/>
      <c r="AG1394" s="64" t="str">
        <f t="shared" si="159"/>
        <v/>
      </c>
    </row>
    <row r="1395" spans="1:33" x14ac:dyDescent="0.25">
      <c r="A1395" s="46" t="str">
        <f>IF(ISBLANK(inbound_data[[#This Row],[Receiving Report ref.'#]]),"",IF(inbound_data[[#This Row],[Ending Quantity]]=0,"ZERO","INV"))</f>
        <v/>
      </c>
      <c r="B1395" s="165" t="str">
        <f t="shared" si="153"/>
        <v/>
      </c>
      <c r="C1395" s="165" t="str">
        <f>IF(ISBLANK(D1395),"",inbound_data[[#This Row],[Pallet_Series]]&amp;inbound_data[[#This Row],[No.]])</f>
        <v/>
      </c>
      <c r="D1395" s="54"/>
      <c r="E1395" s="53"/>
      <c r="F1395" s="56"/>
      <c r="G1395" s="57"/>
      <c r="H1395" s="53"/>
      <c r="I1395" s="53"/>
      <c r="J1395" s="53"/>
      <c r="K1395" s="53"/>
      <c r="L1395" s="67"/>
      <c r="M1395" s="53"/>
      <c r="N1395" s="68"/>
      <c r="O1395" s="68"/>
      <c r="P1395" s="165" t="str">
        <f t="shared" ca="1" si="154"/>
        <v/>
      </c>
      <c r="Q1395" s="165" t="str">
        <f t="shared" ca="1" si="155"/>
        <v/>
      </c>
      <c r="R1395" s="162"/>
      <c r="S1395" s="163"/>
      <c r="T1395" s="61">
        <f t="shared" si="156"/>
        <v>0</v>
      </c>
      <c r="U1395" s="61">
        <f t="shared" si="157"/>
        <v>0</v>
      </c>
      <c r="V1395" s="61">
        <f t="shared" si="158"/>
        <v>0</v>
      </c>
      <c r="W1395" s="53"/>
      <c r="X1395" s="53"/>
      <c r="Y1395" s="53"/>
      <c r="Z1395" s="57"/>
      <c r="AA1395" s="66"/>
      <c r="AB1395" s="66"/>
      <c r="AC1395" s="66"/>
      <c r="AD1395" s="66"/>
      <c r="AE1395" s="66"/>
      <c r="AF1395" s="63"/>
      <c r="AG1395" s="64" t="str">
        <f t="shared" si="159"/>
        <v/>
      </c>
    </row>
    <row r="1396" spans="1:33" x14ac:dyDescent="0.25">
      <c r="A1396" s="46" t="str">
        <f>IF(ISBLANK(inbound_data[[#This Row],[Receiving Report ref.'#]]),"",IF(inbound_data[[#This Row],[Ending Quantity]]=0,"ZERO","INV"))</f>
        <v/>
      </c>
      <c r="B1396" s="165" t="str">
        <f t="shared" si="153"/>
        <v/>
      </c>
      <c r="C1396" s="165" t="str">
        <f>IF(ISBLANK(D1396),"",inbound_data[[#This Row],[Pallet_Series]]&amp;inbound_data[[#This Row],[No.]])</f>
        <v/>
      </c>
      <c r="D1396" s="54"/>
      <c r="E1396" s="53"/>
      <c r="F1396" s="56"/>
      <c r="G1396" s="57"/>
      <c r="H1396" s="53"/>
      <c r="I1396" s="53"/>
      <c r="J1396" s="53"/>
      <c r="K1396" s="53"/>
      <c r="L1396" s="67"/>
      <c r="M1396" s="53"/>
      <c r="N1396" s="68"/>
      <c r="O1396" s="68"/>
      <c r="P1396" s="165" t="str">
        <f t="shared" ca="1" si="154"/>
        <v/>
      </c>
      <c r="Q1396" s="165" t="str">
        <f t="shared" ca="1" si="155"/>
        <v/>
      </c>
      <c r="R1396" s="162"/>
      <c r="S1396" s="163"/>
      <c r="T1396" s="61">
        <f t="shared" si="156"/>
        <v>0</v>
      </c>
      <c r="U1396" s="61">
        <f t="shared" si="157"/>
        <v>0</v>
      </c>
      <c r="V1396" s="61">
        <f t="shared" si="158"/>
        <v>0</v>
      </c>
      <c r="W1396" s="53"/>
      <c r="X1396" s="53"/>
      <c r="Y1396" s="53"/>
      <c r="Z1396" s="57"/>
      <c r="AA1396" s="66"/>
      <c r="AB1396" s="66"/>
      <c r="AC1396" s="66"/>
      <c r="AD1396" s="66"/>
      <c r="AE1396" s="66"/>
      <c r="AF1396" s="63"/>
      <c r="AG1396" s="64" t="str">
        <f t="shared" si="159"/>
        <v/>
      </c>
    </row>
    <row r="1397" spans="1:33" x14ac:dyDescent="0.25">
      <c r="A1397" s="46" t="str">
        <f>IF(ISBLANK(inbound_data[[#This Row],[Receiving Report ref.'#]]),"",IF(inbound_data[[#This Row],[Ending Quantity]]=0,"ZERO","INV"))</f>
        <v/>
      </c>
      <c r="B1397" s="165" t="str">
        <f t="shared" si="153"/>
        <v/>
      </c>
      <c r="C1397" s="165" t="str">
        <f>IF(ISBLANK(D1397),"",inbound_data[[#This Row],[Pallet_Series]]&amp;inbound_data[[#This Row],[No.]])</f>
        <v/>
      </c>
      <c r="D1397" s="54"/>
      <c r="E1397" s="53"/>
      <c r="F1397" s="56"/>
      <c r="G1397" s="57"/>
      <c r="H1397" s="53"/>
      <c r="I1397" s="53"/>
      <c r="J1397" s="53"/>
      <c r="K1397" s="53"/>
      <c r="L1397" s="67"/>
      <c r="M1397" s="53"/>
      <c r="N1397" s="68"/>
      <c r="O1397" s="68"/>
      <c r="P1397" s="165" t="str">
        <f t="shared" ca="1" si="154"/>
        <v/>
      </c>
      <c r="Q1397" s="165" t="str">
        <f t="shared" ca="1" si="155"/>
        <v/>
      </c>
      <c r="R1397" s="162"/>
      <c r="S1397" s="163"/>
      <c r="T1397" s="61">
        <f t="shared" si="156"/>
        <v>0</v>
      </c>
      <c r="U1397" s="61">
        <f t="shared" si="157"/>
        <v>0</v>
      </c>
      <c r="V1397" s="61">
        <f t="shared" si="158"/>
        <v>0</v>
      </c>
      <c r="W1397" s="53"/>
      <c r="X1397" s="53"/>
      <c r="Y1397" s="53"/>
      <c r="Z1397" s="57"/>
      <c r="AA1397" s="66"/>
      <c r="AB1397" s="66"/>
      <c r="AC1397" s="66"/>
      <c r="AD1397" s="66"/>
      <c r="AE1397" s="66"/>
      <c r="AF1397" s="63"/>
      <c r="AG1397" s="64" t="str">
        <f t="shared" si="159"/>
        <v/>
      </c>
    </row>
    <row r="1398" spans="1:33" x14ac:dyDescent="0.25">
      <c r="A1398" s="46" t="str">
        <f>IF(ISBLANK(inbound_data[[#This Row],[Receiving Report ref.'#]]),"",IF(inbound_data[[#This Row],[Ending Quantity]]=0,"ZERO","INV"))</f>
        <v/>
      </c>
      <c r="B1398" s="165" t="str">
        <f t="shared" si="153"/>
        <v/>
      </c>
      <c r="C1398" s="165" t="str">
        <f>IF(ISBLANK(D1398),"",inbound_data[[#This Row],[Pallet_Series]]&amp;inbound_data[[#This Row],[No.]])</f>
        <v/>
      </c>
      <c r="D1398" s="54"/>
      <c r="E1398" s="53"/>
      <c r="F1398" s="56"/>
      <c r="G1398" s="57"/>
      <c r="H1398" s="53"/>
      <c r="I1398" s="53"/>
      <c r="J1398" s="53"/>
      <c r="K1398" s="53"/>
      <c r="L1398" s="67"/>
      <c r="M1398" s="53"/>
      <c r="N1398" s="68"/>
      <c r="O1398" s="68"/>
      <c r="P1398" s="165" t="str">
        <f t="shared" ca="1" si="154"/>
        <v/>
      </c>
      <c r="Q1398" s="165" t="str">
        <f t="shared" ca="1" si="155"/>
        <v/>
      </c>
      <c r="R1398" s="162"/>
      <c r="S1398" s="163"/>
      <c r="T1398" s="61">
        <f t="shared" si="156"/>
        <v>0</v>
      </c>
      <c r="U1398" s="61">
        <f t="shared" si="157"/>
        <v>0</v>
      </c>
      <c r="V1398" s="61">
        <f t="shared" si="158"/>
        <v>0</v>
      </c>
      <c r="W1398" s="53"/>
      <c r="X1398" s="53"/>
      <c r="Y1398" s="53"/>
      <c r="Z1398" s="57"/>
      <c r="AA1398" s="66"/>
      <c r="AB1398" s="66"/>
      <c r="AC1398" s="66"/>
      <c r="AD1398" s="66"/>
      <c r="AE1398" s="66"/>
      <c r="AF1398" s="63"/>
      <c r="AG1398" s="64" t="str">
        <f t="shared" si="159"/>
        <v/>
      </c>
    </row>
    <row r="1399" spans="1:33" x14ac:dyDescent="0.25">
      <c r="A1399" s="46" t="str">
        <f>IF(ISBLANK(inbound_data[[#This Row],[Receiving Report ref.'#]]),"",IF(inbound_data[[#This Row],[Ending Quantity]]=0,"ZERO","INV"))</f>
        <v/>
      </c>
      <c r="B1399" s="165" t="str">
        <f t="shared" si="153"/>
        <v/>
      </c>
      <c r="C1399" s="165" t="str">
        <f>IF(ISBLANK(D1399),"",inbound_data[[#This Row],[Pallet_Series]]&amp;inbound_data[[#This Row],[No.]])</f>
        <v/>
      </c>
      <c r="D1399" s="54"/>
      <c r="E1399" s="53"/>
      <c r="F1399" s="56"/>
      <c r="G1399" s="57"/>
      <c r="H1399" s="53"/>
      <c r="I1399" s="53"/>
      <c r="J1399" s="53"/>
      <c r="K1399" s="53"/>
      <c r="L1399" s="67"/>
      <c r="M1399" s="53"/>
      <c r="N1399" s="68"/>
      <c r="O1399" s="68"/>
      <c r="P1399" s="165" t="str">
        <f t="shared" ca="1" si="154"/>
        <v/>
      </c>
      <c r="Q1399" s="165" t="str">
        <f t="shared" ca="1" si="155"/>
        <v/>
      </c>
      <c r="R1399" s="162"/>
      <c r="S1399" s="163"/>
      <c r="T1399" s="61">
        <f t="shared" si="156"/>
        <v>0</v>
      </c>
      <c r="U1399" s="61">
        <f t="shared" si="157"/>
        <v>0</v>
      </c>
      <c r="V1399" s="61">
        <f t="shared" si="158"/>
        <v>0</v>
      </c>
      <c r="W1399" s="53"/>
      <c r="X1399" s="53"/>
      <c r="Y1399" s="53"/>
      <c r="Z1399" s="57"/>
      <c r="AA1399" s="66"/>
      <c r="AB1399" s="66"/>
      <c r="AC1399" s="66"/>
      <c r="AD1399" s="66"/>
      <c r="AE1399" s="66"/>
      <c r="AF1399" s="63"/>
      <c r="AG1399" s="64" t="str">
        <f t="shared" si="159"/>
        <v/>
      </c>
    </row>
    <row r="1400" spans="1:33" x14ac:dyDescent="0.25">
      <c r="A1400" s="46" t="str">
        <f>IF(ISBLANK(inbound_data[[#This Row],[Receiving Report ref.'#]]),"",IF(inbound_data[[#This Row],[Ending Quantity]]=0,"ZERO","INV"))</f>
        <v/>
      </c>
      <c r="B1400" s="165" t="str">
        <f t="shared" si="153"/>
        <v/>
      </c>
      <c r="C1400" s="165" t="str">
        <f>IF(ISBLANK(D1400),"",inbound_data[[#This Row],[Pallet_Series]]&amp;inbound_data[[#This Row],[No.]])</f>
        <v/>
      </c>
      <c r="D1400" s="54"/>
      <c r="E1400" s="53"/>
      <c r="F1400" s="56"/>
      <c r="G1400" s="57"/>
      <c r="H1400" s="53"/>
      <c r="I1400" s="53"/>
      <c r="J1400" s="53"/>
      <c r="K1400" s="53"/>
      <c r="L1400" s="67"/>
      <c r="M1400" s="53"/>
      <c r="N1400" s="68"/>
      <c r="O1400" s="68"/>
      <c r="P1400" s="165" t="str">
        <f t="shared" ca="1" si="154"/>
        <v/>
      </c>
      <c r="Q1400" s="165" t="str">
        <f t="shared" ca="1" si="155"/>
        <v/>
      </c>
      <c r="R1400" s="162"/>
      <c r="S1400" s="163"/>
      <c r="T1400" s="61">
        <f t="shared" si="156"/>
        <v>0</v>
      </c>
      <c r="U1400" s="61">
        <f t="shared" si="157"/>
        <v>0</v>
      </c>
      <c r="V1400" s="61">
        <f t="shared" si="158"/>
        <v>0</v>
      </c>
      <c r="W1400" s="53"/>
      <c r="X1400" s="53"/>
      <c r="Y1400" s="53"/>
      <c r="Z1400" s="57"/>
      <c r="AA1400" s="66"/>
      <c r="AB1400" s="66"/>
      <c r="AC1400" s="66"/>
      <c r="AD1400" s="66"/>
      <c r="AE1400" s="66"/>
      <c r="AF1400" s="63"/>
      <c r="AG1400" s="64" t="str">
        <f t="shared" si="159"/>
        <v/>
      </c>
    </row>
    <row r="1401" spans="1:33" x14ac:dyDescent="0.25">
      <c r="A1401" s="46" t="str">
        <f>IF(ISBLANK(inbound_data[[#This Row],[Receiving Report ref.'#]]),"",IF(inbound_data[[#This Row],[Ending Quantity]]=0,"ZERO","INV"))</f>
        <v/>
      </c>
      <c r="B1401" s="165" t="str">
        <f t="shared" si="153"/>
        <v/>
      </c>
      <c r="C1401" s="165" t="str">
        <f>IF(ISBLANK(D1401),"",inbound_data[[#This Row],[Pallet_Series]]&amp;inbound_data[[#This Row],[No.]])</f>
        <v/>
      </c>
      <c r="D1401" s="54"/>
      <c r="E1401" s="53"/>
      <c r="F1401" s="56"/>
      <c r="G1401" s="57"/>
      <c r="H1401" s="53"/>
      <c r="I1401" s="53"/>
      <c r="J1401" s="53"/>
      <c r="K1401" s="53"/>
      <c r="L1401" s="67"/>
      <c r="M1401" s="53"/>
      <c r="N1401" s="68"/>
      <c r="O1401" s="68"/>
      <c r="P1401" s="165" t="str">
        <f t="shared" ca="1" si="154"/>
        <v/>
      </c>
      <c r="Q1401" s="165" t="str">
        <f t="shared" ca="1" si="155"/>
        <v/>
      </c>
      <c r="R1401" s="162"/>
      <c r="S1401" s="163"/>
      <c r="T1401" s="61">
        <f t="shared" si="156"/>
        <v>0</v>
      </c>
      <c r="U1401" s="61">
        <f t="shared" si="157"/>
        <v>0</v>
      </c>
      <c r="V1401" s="61">
        <f t="shared" si="158"/>
        <v>0</v>
      </c>
      <c r="W1401" s="53"/>
      <c r="X1401" s="53"/>
      <c r="Y1401" s="53"/>
      <c r="Z1401" s="57"/>
      <c r="AA1401" s="66"/>
      <c r="AB1401" s="66"/>
      <c r="AC1401" s="66"/>
      <c r="AD1401" s="66"/>
      <c r="AE1401" s="66"/>
      <c r="AF1401" s="63"/>
      <c r="AG1401" s="64" t="str">
        <f t="shared" si="159"/>
        <v/>
      </c>
    </row>
    <row r="1402" spans="1:33" x14ac:dyDescent="0.25">
      <c r="A1402" s="46" t="str">
        <f>IF(ISBLANK(inbound_data[[#This Row],[Receiving Report ref.'#]]),"",IF(inbound_data[[#This Row],[Ending Quantity]]=0,"ZERO","INV"))</f>
        <v/>
      </c>
      <c r="B1402" s="165" t="str">
        <f t="shared" si="153"/>
        <v/>
      </c>
      <c r="C1402" s="165" t="str">
        <f>IF(ISBLANK(D1402),"",inbound_data[[#This Row],[Pallet_Series]]&amp;inbound_data[[#This Row],[No.]])</f>
        <v/>
      </c>
      <c r="D1402" s="54"/>
      <c r="E1402" s="53"/>
      <c r="F1402" s="56"/>
      <c r="G1402" s="57"/>
      <c r="H1402" s="53"/>
      <c r="I1402" s="53"/>
      <c r="J1402" s="53"/>
      <c r="K1402" s="53"/>
      <c r="L1402" s="67"/>
      <c r="M1402" s="53"/>
      <c r="N1402" s="68"/>
      <c r="O1402" s="68"/>
      <c r="P1402" s="165" t="str">
        <f t="shared" ca="1" si="154"/>
        <v/>
      </c>
      <c r="Q1402" s="165" t="str">
        <f t="shared" ca="1" si="155"/>
        <v/>
      </c>
      <c r="R1402" s="162"/>
      <c r="S1402" s="163"/>
      <c r="T1402" s="61">
        <f t="shared" si="156"/>
        <v>0</v>
      </c>
      <c r="U1402" s="61">
        <f t="shared" si="157"/>
        <v>0</v>
      </c>
      <c r="V1402" s="61">
        <f t="shared" si="158"/>
        <v>0</v>
      </c>
      <c r="W1402" s="53"/>
      <c r="X1402" s="53"/>
      <c r="Y1402" s="53"/>
      <c r="Z1402" s="57"/>
      <c r="AA1402" s="66"/>
      <c r="AB1402" s="66"/>
      <c r="AC1402" s="66"/>
      <c r="AD1402" s="66"/>
      <c r="AE1402" s="66"/>
      <c r="AF1402" s="63"/>
      <c r="AG1402" s="64" t="str">
        <f t="shared" si="159"/>
        <v/>
      </c>
    </row>
    <row r="1403" spans="1:33" x14ac:dyDescent="0.25">
      <c r="A1403" s="46" t="str">
        <f>IF(ISBLANK(inbound_data[[#This Row],[Receiving Report ref.'#]]),"",IF(inbound_data[[#This Row],[Ending Quantity]]=0,"ZERO","INV"))</f>
        <v/>
      </c>
      <c r="B1403" s="165" t="str">
        <f t="shared" si="153"/>
        <v/>
      </c>
      <c r="C1403" s="165" t="str">
        <f>IF(ISBLANK(D1403),"",inbound_data[[#This Row],[Pallet_Series]]&amp;inbound_data[[#This Row],[No.]])</f>
        <v/>
      </c>
      <c r="D1403" s="54"/>
      <c r="E1403" s="53"/>
      <c r="F1403" s="56"/>
      <c r="G1403" s="57"/>
      <c r="H1403" s="53"/>
      <c r="I1403" s="53"/>
      <c r="J1403" s="53"/>
      <c r="K1403" s="53"/>
      <c r="L1403" s="67"/>
      <c r="M1403" s="53"/>
      <c r="N1403" s="68"/>
      <c r="O1403" s="68"/>
      <c r="P1403" s="165" t="str">
        <f t="shared" ca="1" si="154"/>
        <v/>
      </c>
      <c r="Q1403" s="165" t="str">
        <f t="shared" ca="1" si="155"/>
        <v/>
      </c>
      <c r="R1403" s="162"/>
      <c r="S1403" s="163"/>
      <c r="T1403" s="61">
        <f t="shared" si="156"/>
        <v>0</v>
      </c>
      <c r="U1403" s="61">
        <f t="shared" si="157"/>
        <v>0</v>
      </c>
      <c r="V1403" s="61">
        <f t="shared" si="158"/>
        <v>0</v>
      </c>
      <c r="W1403" s="53"/>
      <c r="X1403" s="53"/>
      <c r="Y1403" s="53"/>
      <c r="Z1403" s="57"/>
      <c r="AA1403" s="66"/>
      <c r="AB1403" s="66"/>
      <c r="AC1403" s="66"/>
      <c r="AD1403" s="66"/>
      <c r="AE1403" s="66"/>
      <c r="AF1403" s="63"/>
      <c r="AG1403" s="64" t="str">
        <f t="shared" si="159"/>
        <v/>
      </c>
    </row>
    <row r="1404" spans="1:33" x14ac:dyDescent="0.25">
      <c r="A1404" s="46" t="str">
        <f>IF(ISBLANK(inbound_data[[#This Row],[Receiving Report ref.'#]]),"",IF(inbound_data[[#This Row],[Ending Quantity]]=0,"ZERO","INV"))</f>
        <v/>
      </c>
      <c r="B1404" s="165" t="str">
        <f t="shared" si="153"/>
        <v/>
      </c>
      <c r="C1404" s="165" t="str">
        <f>IF(ISBLANK(D1404),"",inbound_data[[#This Row],[Pallet_Series]]&amp;inbound_data[[#This Row],[No.]])</f>
        <v/>
      </c>
      <c r="D1404" s="54"/>
      <c r="E1404" s="53"/>
      <c r="F1404" s="56"/>
      <c r="G1404" s="57"/>
      <c r="H1404" s="53"/>
      <c r="I1404" s="53"/>
      <c r="J1404" s="53"/>
      <c r="K1404" s="53"/>
      <c r="L1404" s="67"/>
      <c r="M1404" s="53"/>
      <c r="N1404" s="68"/>
      <c r="O1404" s="68"/>
      <c r="P1404" s="165" t="str">
        <f t="shared" ca="1" si="154"/>
        <v/>
      </c>
      <c r="Q1404" s="165" t="str">
        <f t="shared" ca="1" si="155"/>
        <v/>
      </c>
      <c r="R1404" s="162"/>
      <c r="S1404" s="163"/>
      <c r="T1404" s="61">
        <f t="shared" si="156"/>
        <v>0</v>
      </c>
      <c r="U1404" s="61">
        <f t="shared" si="157"/>
        <v>0</v>
      </c>
      <c r="V1404" s="61">
        <f t="shared" si="158"/>
        <v>0</v>
      </c>
      <c r="W1404" s="53"/>
      <c r="X1404" s="53"/>
      <c r="Y1404" s="53"/>
      <c r="Z1404" s="57"/>
      <c r="AA1404" s="66"/>
      <c r="AB1404" s="66"/>
      <c r="AC1404" s="66"/>
      <c r="AD1404" s="66"/>
      <c r="AE1404" s="66"/>
      <c r="AF1404" s="63"/>
      <c r="AG1404" s="64" t="str">
        <f t="shared" si="159"/>
        <v/>
      </c>
    </row>
    <row r="1405" spans="1:33" x14ac:dyDescent="0.25">
      <c r="A1405" s="46" t="str">
        <f>IF(ISBLANK(inbound_data[[#This Row],[Receiving Report ref.'#]]),"",IF(inbound_data[[#This Row],[Ending Quantity]]=0,"ZERO","INV"))</f>
        <v/>
      </c>
      <c r="B1405" s="165" t="str">
        <f t="shared" si="153"/>
        <v/>
      </c>
      <c r="C1405" s="165" t="str">
        <f>IF(ISBLANK(D1405),"",inbound_data[[#This Row],[Pallet_Series]]&amp;inbound_data[[#This Row],[No.]])</f>
        <v/>
      </c>
      <c r="D1405" s="54"/>
      <c r="E1405" s="53"/>
      <c r="F1405" s="56"/>
      <c r="G1405" s="57"/>
      <c r="H1405" s="53"/>
      <c r="I1405" s="53"/>
      <c r="J1405" s="53"/>
      <c r="K1405" s="53"/>
      <c r="L1405" s="67"/>
      <c r="M1405" s="53"/>
      <c r="N1405" s="68"/>
      <c r="O1405" s="68"/>
      <c r="P1405" s="165" t="str">
        <f t="shared" ca="1" si="154"/>
        <v/>
      </c>
      <c r="Q1405" s="165" t="str">
        <f t="shared" ca="1" si="155"/>
        <v/>
      </c>
      <c r="R1405" s="162"/>
      <c r="S1405" s="163"/>
      <c r="T1405" s="61">
        <f t="shared" si="156"/>
        <v>0</v>
      </c>
      <c r="U1405" s="61">
        <f t="shared" si="157"/>
        <v>0</v>
      </c>
      <c r="V1405" s="61">
        <f t="shared" si="158"/>
        <v>0</v>
      </c>
      <c r="W1405" s="53"/>
      <c r="X1405" s="53"/>
      <c r="Y1405" s="53"/>
      <c r="Z1405" s="57"/>
      <c r="AA1405" s="66"/>
      <c r="AB1405" s="66"/>
      <c r="AC1405" s="66"/>
      <c r="AD1405" s="66"/>
      <c r="AE1405" s="66"/>
      <c r="AF1405" s="63"/>
      <c r="AG1405" s="64" t="str">
        <f t="shared" si="159"/>
        <v/>
      </c>
    </row>
    <row r="1406" spans="1:33" x14ac:dyDescent="0.25">
      <c r="A1406" s="46" t="str">
        <f>IF(ISBLANK(inbound_data[[#This Row],[Receiving Report ref.'#]]),"",IF(inbound_data[[#This Row],[Ending Quantity]]=0,"ZERO","INV"))</f>
        <v/>
      </c>
      <c r="B1406" s="165" t="str">
        <f t="shared" si="153"/>
        <v/>
      </c>
      <c r="C1406" s="165" t="str">
        <f>IF(ISBLANK(D1406),"",inbound_data[[#This Row],[Pallet_Series]]&amp;inbound_data[[#This Row],[No.]])</f>
        <v/>
      </c>
      <c r="D1406" s="54"/>
      <c r="E1406" s="53"/>
      <c r="F1406" s="56"/>
      <c r="G1406" s="57"/>
      <c r="H1406" s="53"/>
      <c r="I1406" s="53"/>
      <c r="J1406" s="53"/>
      <c r="K1406" s="53"/>
      <c r="L1406" s="67"/>
      <c r="M1406" s="53"/>
      <c r="N1406" s="68"/>
      <c r="O1406" s="68"/>
      <c r="P1406" s="165" t="str">
        <f t="shared" ca="1" si="154"/>
        <v/>
      </c>
      <c r="Q1406" s="165" t="str">
        <f t="shared" ca="1" si="155"/>
        <v/>
      </c>
      <c r="R1406" s="162"/>
      <c r="S1406" s="163"/>
      <c r="T1406" s="61">
        <f t="shared" si="156"/>
        <v>0</v>
      </c>
      <c r="U1406" s="61">
        <f t="shared" si="157"/>
        <v>0</v>
      </c>
      <c r="V1406" s="61">
        <f t="shared" si="158"/>
        <v>0</v>
      </c>
      <c r="W1406" s="53"/>
      <c r="X1406" s="53"/>
      <c r="Y1406" s="53"/>
      <c r="Z1406" s="57"/>
      <c r="AA1406" s="66"/>
      <c r="AB1406" s="66"/>
      <c r="AC1406" s="66"/>
      <c r="AD1406" s="66"/>
      <c r="AE1406" s="66"/>
      <c r="AF1406" s="63"/>
      <c r="AG1406" s="64" t="str">
        <f t="shared" si="159"/>
        <v/>
      </c>
    </row>
    <row r="1407" spans="1:33" x14ac:dyDescent="0.25">
      <c r="A1407" s="46" t="str">
        <f>IF(ISBLANK(inbound_data[[#This Row],[Receiving Report ref.'#]]),"",IF(inbound_data[[#This Row],[Ending Quantity]]=0,"ZERO","INV"))</f>
        <v/>
      </c>
      <c r="B1407" s="165" t="str">
        <f t="shared" si="153"/>
        <v/>
      </c>
      <c r="C1407" s="165" t="str">
        <f>IF(ISBLANK(D1407),"",inbound_data[[#This Row],[Pallet_Series]]&amp;inbound_data[[#This Row],[No.]])</f>
        <v/>
      </c>
      <c r="D1407" s="54"/>
      <c r="E1407" s="53"/>
      <c r="F1407" s="56"/>
      <c r="G1407" s="57"/>
      <c r="H1407" s="53"/>
      <c r="I1407" s="53"/>
      <c r="J1407" s="53"/>
      <c r="K1407" s="53"/>
      <c r="L1407" s="67"/>
      <c r="M1407" s="53"/>
      <c r="N1407" s="68"/>
      <c r="O1407" s="68"/>
      <c r="P1407" s="165" t="str">
        <f t="shared" ca="1" si="154"/>
        <v/>
      </c>
      <c r="Q1407" s="165" t="str">
        <f t="shared" ca="1" si="155"/>
        <v/>
      </c>
      <c r="R1407" s="162"/>
      <c r="S1407" s="163"/>
      <c r="T1407" s="61">
        <f t="shared" si="156"/>
        <v>0</v>
      </c>
      <c r="U1407" s="61">
        <f t="shared" si="157"/>
        <v>0</v>
      </c>
      <c r="V1407" s="61">
        <f t="shared" si="158"/>
        <v>0</v>
      </c>
      <c r="W1407" s="53"/>
      <c r="X1407" s="53"/>
      <c r="Y1407" s="53"/>
      <c r="Z1407" s="57"/>
      <c r="AA1407" s="66"/>
      <c r="AB1407" s="66"/>
      <c r="AC1407" s="66"/>
      <c r="AD1407" s="66"/>
      <c r="AE1407" s="66"/>
      <c r="AF1407" s="63"/>
      <c r="AG1407" s="64" t="str">
        <f t="shared" si="159"/>
        <v/>
      </c>
    </row>
    <row r="1408" spans="1:33" x14ac:dyDescent="0.25">
      <c r="A1408" s="46" t="str">
        <f>IF(ISBLANK(inbound_data[[#This Row],[Receiving Report ref.'#]]),"",IF(inbound_data[[#This Row],[Ending Quantity]]=0,"ZERO","INV"))</f>
        <v/>
      </c>
      <c r="B1408" s="165" t="str">
        <f t="shared" si="153"/>
        <v/>
      </c>
      <c r="C1408" s="165" t="str">
        <f>IF(ISBLANK(D1408),"",inbound_data[[#This Row],[Pallet_Series]]&amp;inbound_data[[#This Row],[No.]])</f>
        <v/>
      </c>
      <c r="D1408" s="54"/>
      <c r="E1408" s="53"/>
      <c r="F1408" s="56"/>
      <c r="G1408" s="57"/>
      <c r="H1408" s="53"/>
      <c r="I1408" s="53"/>
      <c r="J1408" s="53"/>
      <c r="K1408" s="53"/>
      <c r="L1408" s="67"/>
      <c r="M1408" s="53"/>
      <c r="N1408" s="68"/>
      <c r="O1408" s="68"/>
      <c r="P1408" s="165" t="str">
        <f t="shared" ca="1" si="154"/>
        <v/>
      </c>
      <c r="Q1408" s="165" t="str">
        <f t="shared" ca="1" si="155"/>
        <v/>
      </c>
      <c r="R1408" s="162"/>
      <c r="S1408" s="163"/>
      <c r="T1408" s="61">
        <f t="shared" si="156"/>
        <v>0</v>
      </c>
      <c r="U1408" s="61">
        <f t="shared" si="157"/>
        <v>0</v>
      </c>
      <c r="V1408" s="61">
        <f t="shared" si="158"/>
        <v>0</v>
      </c>
      <c r="W1408" s="53"/>
      <c r="X1408" s="53"/>
      <c r="Y1408" s="53"/>
      <c r="Z1408" s="57"/>
      <c r="AA1408" s="66"/>
      <c r="AB1408" s="66"/>
      <c r="AC1408" s="66"/>
      <c r="AD1408" s="66"/>
      <c r="AE1408" s="66"/>
      <c r="AF1408" s="63"/>
      <c r="AG1408" s="64" t="str">
        <f t="shared" si="159"/>
        <v/>
      </c>
    </row>
    <row r="1409" spans="1:33" x14ac:dyDescent="0.25">
      <c r="A1409" s="46" t="str">
        <f>IF(ISBLANK(inbound_data[[#This Row],[Receiving Report ref.'#]]),"",IF(inbound_data[[#This Row],[Ending Quantity]]=0,"ZERO","INV"))</f>
        <v/>
      </c>
      <c r="B1409" s="165" t="str">
        <f t="shared" si="153"/>
        <v/>
      </c>
      <c r="C1409" s="165" t="str">
        <f>IF(ISBLANK(D1409),"",inbound_data[[#This Row],[Pallet_Series]]&amp;inbound_data[[#This Row],[No.]])</f>
        <v/>
      </c>
      <c r="D1409" s="54"/>
      <c r="E1409" s="53"/>
      <c r="F1409" s="56"/>
      <c r="G1409" s="57"/>
      <c r="H1409" s="53"/>
      <c r="I1409" s="53"/>
      <c r="J1409" s="53"/>
      <c r="K1409" s="53"/>
      <c r="L1409" s="67"/>
      <c r="M1409" s="53"/>
      <c r="N1409" s="68"/>
      <c r="O1409" s="68"/>
      <c r="P1409" s="165" t="str">
        <f t="shared" ca="1" si="154"/>
        <v/>
      </c>
      <c r="Q1409" s="165" t="str">
        <f t="shared" ca="1" si="155"/>
        <v/>
      </c>
      <c r="R1409" s="162"/>
      <c r="S1409" s="163"/>
      <c r="T1409" s="61">
        <f t="shared" si="156"/>
        <v>0</v>
      </c>
      <c r="U1409" s="61">
        <f t="shared" si="157"/>
        <v>0</v>
      </c>
      <c r="V1409" s="61">
        <f t="shared" si="158"/>
        <v>0</v>
      </c>
      <c r="W1409" s="53"/>
      <c r="X1409" s="53"/>
      <c r="Y1409" s="53"/>
      <c r="Z1409" s="57"/>
      <c r="AA1409" s="66"/>
      <c r="AB1409" s="66"/>
      <c r="AC1409" s="66"/>
      <c r="AD1409" s="66"/>
      <c r="AE1409" s="66"/>
      <c r="AF1409" s="63"/>
      <c r="AG1409" s="64" t="str">
        <f t="shared" si="159"/>
        <v/>
      </c>
    </row>
    <row r="1410" spans="1:33" x14ac:dyDescent="0.25">
      <c r="A1410" s="46" t="str">
        <f>IF(ISBLANK(inbound_data[[#This Row],[Receiving Report ref.'#]]),"",IF(inbound_data[[#This Row],[Ending Quantity]]=0,"ZERO","INV"))</f>
        <v/>
      </c>
      <c r="B1410" s="165" t="str">
        <f t="shared" si="153"/>
        <v/>
      </c>
      <c r="C1410" s="165" t="str">
        <f>IF(ISBLANK(D1410),"",inbound_data[[#This Row],[Pallet_Series]]&amp;inbound_data[[#This Row],[No.]])</f>
        <v/>
      </c>
      <c r="D1410" s="54"/>
      <c r="E1410" s="53"/>
      <c r="F1410" s="56"/>
      <c r="G1410" s="57"/>
      <c r="H1410" s="53"/>
      <c r="I1410" s="53"/>
      <c r="J1410" s="53"/>
      <c r="K1410" s="53"/>
      <c r="L1410" s="67"/>
      <c r="M1410" s="53"/>
      <c r="N1410" s="68"/>
      <c r="O1410" s="68"/>
      <c r="P1410" s="165" t="str">
        <f t="shared" ca="1" si="154"/>
        <v/>
      </c>
      <c r="Q1410" s="165" t="str">
        <f t="shared" ca="1" si="155"/>
        <v/>
      </c>
      <c r="R1410" s="162"/>
      <c r="S1410" s="163"/>
      <c r="T1410" s="61">
        <f t="shared" si="156"/>
        <v>0</v>
      </c>
      <c r="U1410" s="61">
        <f t="shared" si="157"/>
        <v>0</v>
      </c>
      <c r="V1410" s="61">
        <f t="shared" si="158"/>
        <v>0</v>
      </c>
      <c r="W1410" s="53"/>
      <c r="X1410" s="53"/>
      <c r="Y1410" s="53"/>
      <c r="Z1410" s="57"/>
      <c r="AA1410" s="66"/>
      <c r="AB1410" s="66"/>
      <c r="AC1410" s="66"/>
      <c r="AD1410" s="66"/>
      <c r="AE1410" s="66"/>
      <c r="AF1410" s="63"/>
      <c r="AG1410" s="64" t="str">
        <f t="shared" si="159"/>
        <v/>
      </c>
    </row>
    <row r="1411" spans="1:33" x14ac:dyDescent="0.25">
      <c r="A1411" s="46" t="str">
        <f>IF(ISBLANK(inbound_data[[#This Row],[Receiving Report ref.'#]]),"",IF(inbound_data[[#This Row],[Ending Quantity]]=0,"ZERO","INV"))</f>
        <v/>
      </c>
      <c r="B1411" s="165" t="str">
        <f t="shared" si="153"/>
        <v/>
      </c>
      <c r="C1411" s="165" t="str">
        <f>IF(ISBLANK(D1411),"",inbound_data[[#This Row],[Pallet_Series]]&amp;inbound_data[[#This Row],[No.]])</f>
        <v/>
      </c>
      <c r="D1411" s="54"/>
      <c r="E1411" s="53"/>
      <c r="F1411" s="56"/>
      <c r="G1411" s="57"/>
      <c r="H1411" s="53"/>
      <c r="I1411" s="53"/>
      <c r="J1411" s="53"/>
      <c r="K1411" s="53"/>
      <c r="L1411" s="67"/>
      <c r="M1411" s="53"/>
      <c r="N1411" s="68"/>
      <c r="O1411" s="68"/>
      <c r="P1411" s="165" t="str">
        <f t="shared" ca="1" si="154"/>
        <v/>
      </c>
      <c r="Q1411" s="165" t="str">
        <f t="shared" ca="1" si="155"/>
        <v/>
      </c>
      <c r="R1411" s="162"/>
      <c r="S1411" s="163"/>
      <c r="T1411" s="61">
        <f t="shared" si="156"/>
        <v>0</v>
      </c>
      <c r="U1411" s="61">
        <f t="shared" si="157"/>
        <v>0</v>
      </c>
      <c r="V1411" s="61">
        <f t="shared" si="158"/>
        <v>0</v>
      </c>
      <c r="W1411" s="53"/>
      <c r="X1411" s="53"/>
      <c r="Y1411" s="53"/>
      <c r="Z1411" s="57"/>
      <c r="AA1411" s="66"/>
      <c r="AB1411" s="66"/>
      <c r="AC1411" s="66"/>
      <c r="AD1411" s="66"/>
      <c r="AE1411" s="66"/>
      <c r="AF1411" s="63"/>
      <c r="AG1411" s="64" t="str">
        <f t="shared" si="159"/>
        <v/>
      </c>
    </row>
    <row r="1412" spans="1:33" x14ac:dyDescent="0.25">
      <c r="A1412" s="46" t="str">
        <f>IF(ISBLANK(inbound_data[[#This Row],[Receiving Report ref.'#]]),"",IF(inbound_data[[#This Row],[Ending Quantity]]=0,"ZERO","INV"))</f>
        <v/>
      </c>
      <c r="B1412" s="165" t="str">
        <f t="shared" si="153"/>
        <v/>
      </c>
      <c r="C1412" s="165" t="str">
        <f>IF(ISBLANK(D1412),"",inbound_data[[#This Row],[Pallet_Series]]&amp;inbound_data[[#This Row],[No.]])</f>
        <v/>
      </c>
      <c r="D1412" s="54"/>
      <c r="E1412" s="53"/>
      <c r="F1412" s="56"/>
      <c r="G1412" s="57"/>
      <c r="H1412" s="53"/>
      <c r="I1412" s="53"/>
      <c r="J1412" s="53"/>
      <c r="K1412" s="53"/>
      <c r="L1412" s="67"/>
      <c r="M1412" s="53"/>
      <c r="N1412" s="68"/>
      <c r="O1412" s="68"/>
      <c r="P1412" s="165" t="str">
        <f t="shared" ca="1" si="154"/>
        <v/>
      </c>
      <c r="Q1412" s="165" t="str">
        <f t="shared" ca="1" si="155"/>
        <v/>
      </c>
      <c r="R1412" s="162"/>
      <c r="S1412" s="163"/>
      <c r="T1412" s="61">
        <f t="shared" si="156"/>
        <v>0</v>
      </c>
      <c r="U1412" s="61">
        <f t="shared" si="157"/>
        <v>0</v>
      </c>
      <c r="V1412" s="61">
        <f t="shared" si="158"/>
        <v>0</v>
      </c>
      <c r="W1412" s="53"/>
      <c r="X1412" s="53"/>
      <c r="Y1412" s="53"/>
      <c r="Z1412" s="57"/>
      <c r="AA1412" s="66"/>
      <c r="AB1412" s="66"/>
      <c r="AC1412" s="66"/>
      <c r="AD1412" s="66"/>
      <c r="AE1412" s="66"/>
      <c r="AF1412" s="63"/>
      <c r="AG1412" s="64" t="str">
        <f t="shared" si="159"/>
        <v/>
      </c>
    </row>
    <row r="1413" spans="1:33" x14ac:dyDescent="0.25">
      <c r="A1413" s="46" t="str">
        <f>IF(ISBLANK(inbound_data[[#This Row],[Receiving Report ref.'#]]),"",IF(inbound_data[[#This Row],[Ending Quantity]]=0,"ZERO","INV"))</f>
        <v/>
      </c>
      <c r="B1413" s="165" t="str">
        <f t="shared" si="153"/>
        <v/>
      </c>
      <c r="C1413" s="165" t="str">
        <f>IF(ISBLANK(D1413),"",inbound_data[[#This Row],[Pallet_Series]]&amp;inbound_data[[#This Row],[No.]])</f>
        <v/>
      </c>
      <c r="D1413" s="54"/>
      <c r="E1413" s="53"/>
      <c r="F1413" s="56"/>
      <c r="G1413" s="57"/>
      <c r="H1413" s="53"/>
      <c r="I1413" s="53"/>
      <c r="J1413" s="53"/>
      <c r="K1413" s="53"/>
      <c r="L1413" s="67"/>
      <c r="M1413" s="53"/>
      <c r="N1413" s="68"/>
      <c r="O1413" s="68"/>
      <c r="P1413" s="165" t="str">
        <f t="shared" ca="1" si="154"/>
        <v/>
      </c>
      <c r="Q1413" s="165" t="str">
        <f t="shared" ca="1" si="155"/>
        <v/>
      </c>
      <c r="R1413" s="162"/>
      <c r="S1413" s="163"/>
      <c r="T1413" s="61">
        <f t="shared" si="156"/>
        <v>0</v>
      </c>
      <c r="U1413" s="61">
        <f t="shared" si="157"/>
        <v>0</v>
      </c>
      <c r="V1413" s="61">
        <f t="shared" si="158"/>
        <v>0</v>
      </c>
      <c r="W1413" s="53"/>
      <c r="X1413" s="53"/>
      <c r="Y1413" s="53"/>
      <c r="Z1413" s="57"/>
      <c r="AA1413" s="66"/>
      <c r="AB1413" s="66"/>
      <c r="AC1413" s="66"/>
      <c r="AD1413" s="66"/>
      <c r="AE1413" s="66"/>
      <c r="AF1413" s="63"/>
      <c r="AG1413" s="64" t="str">
        <f t="shared" si="159"/>
        <v/>
      </c>
    </row>
    <row r="1414" spans="1:33" x14ac:dyDescent="0.25">
      <c r="A1414" s="46" t="str">
        <f>IF(ISBLANK(inbound_data[[#This Row],[Receiving Report ref.'#]]),"",IF(inbound_data[[#This Row],[Ending Quantity]]=0,"ZERO","INV"))</f>
        <v/>
      </c>
      <c r="B1414" s="165" t="str">
        <f t="shared" si="153"/>
        <v/>
      </c>
      <c r="C1414" s="165" t="str">
        <f>IF(ISBLANK(D1414),"",inbound_data[[#This Row],[Pallet_Series]]&amp;inbound_data[[#This Row],[No.]])</f>
        <v/>
      </c>
      <c r="D1414" s="54"/>
      <c r="E1414" s="53"/>
      <c r="F1414" s="56"/>
      <c r="G1414" s="57"/>
      <c r="H1414" s="53"/>
      <c r="I1414" s="53"/>
      <c r="J1414" s="53"/>
      <c r="K1414" s="53"/>
      <c r="L1414" s="67"/>
      <c r="M1414" s="53"/>
      <c r="N1414" s="68"/>
      <c r="O1414" s="68"/>
      <c r="P1414" s="165" t="str">
        <f t="shared" ca="1" si="154"/>
        <v/>
      </c>
      <c r="Q1414" s="165" t="str">
        <f t="shared" ca="1" si="155"/>
        <v/>
      </c>
      <c r="R1414" s="162"/>
      <c r="S1414" s="163"/>
      <c r="T1414" s="61">
        <f t="shared" si="156"/>
        <v>0</v>
      </c>
      <c r="U1414" s="61">
        <f t="shared" si="157"/>
        <v>0</v>
      </c>
      <c r="V1414" s="61">
        <f t="shared" si="158"/>
        <v>0</v>
      </c>
      <c r="W1414" s="53"/>
      <c r="X1414" s="53"/>
      <c r="Y1414" s="53"/>
      <c r="Z1414" s="57"/>
      <c r="AA1414" s="66"/>
      <c r="AB1414" s="66"/>
      <c r="AC1414" s="66"/>
      <c r="AD1414" s="66"/>
      <c r="AE1414" s="66"/>
      <c r="AF1414" s="63"/>
      <c r="AG1414" s="64" t="str">
        <f t="shared" si="159"/>
        <v/>
      </c>
    </row>
    <row r="1415" spans="1:33" x14ac:dyDescent="0.25">
      <c r="A1415" s="46" t="str">
        <f>IF(ISBLANK(inbound_data[[#This Row],[Receiving Report ref.'#]]),"",IF(inbound_data[[#This Row],[Ending Quantity]]=0,"ZERO","INV"))</f>
        <v/>
      </c>
      <c r="B1415" s="165" t="str">
        <f t="shared" si="153"/>
        <v/>
      </c>
      <c r="C1415" s="165" t="str">
        <f>IF(ISBLANK(D1415),"",inbound_data[[#This Row],[Pallet_Series]]&amp;inbound_data[[#This Row],[No.]])</f>
        <v/>
      </c>
      <c r="D1415" s="54"/>
      <c r="E1415" s="53"/>
      <c r="F1415" s="56"/>
      <c r="G1415" s="57"/>
      <c r="H1415" s="53"/>
      <c r="I1415" s="53"/>
      <c r="J1415" s="53"/>
      <c r="K1415" s="53"/>
      <c r="L1415" s="67"/>
      <c r="M1415" s="53"/>
      <c r="N1415" s="68"/>
      <c r="O1415" s="68"/>
      <c r="P1415" s="165" t="str">
        <f t="shared" ca="1" si="154"/>
        <v/>
      </c>
      <c r="Q1415" s="165" t="str">
        <f t="shared" ca="1" si="155"/>
        <v/>
      </c>
      <c r="R1415" s="162"/>
      <c r="S1415" s="163"/>
      <c r="T1415" s="61">
        <f t="shared" si="156"/>
        <v>0</v>
      </c>
      <c r="U1415" s="61">
        <f t="shared" si="157"/>
        <v>0</v>
      </c>
      <c r="V1415" s="61">
        <f t="shared" si="158"/>
        <v>0</v>
      </c>
      <c r="W1415" s="53"/>
      <c r="X1415" s="53"/>
      <c r="Y1415" s="53"/>
      <c r="Z1415" s="57"/>
      <c r="AA1415" s="66"/>
      <c r="AB1415" s="66"/>
      <c r="AC1415" s="66"/>
      <c r="AD1415" s="66"/>
      <c r="AE1415" s="66"/>
      <c r="AF1415" s="63"/>
      <c r="AG1415" s="64" t="str">
        <f t="shared" si="159"/>
        <v/>
      </c>
    </row>
    <row r="1416" spans="1:33" x14ac:dyDescent="0.25">
      <c r="A1416" s="46" t="str">
        <f>IF(ISBLANK(inbound_data[[#This Row],[Receiving Report ref.'#]]),"",IF(inbound_data[[#This Row],[Ending Quantity]]=0,"ZERO","INV"))</f>
        <v/>
      </c>
      <c r="B1416" s="165" t="str">
        <f t="shared" si="153"/>
        <v/>
      </c>
      <c r="C1416" s="165" t="str">
        <f>IF(ISBLANK(D1416),"",inbound_data[[#This Row],[Pallet_Series]]&amp;inbound_data[[#This Row],[No.]])</f>
        <v/>
      </c>
      <c r="D1416" s="54"/>
      <c r="E1416" s="53"/>
      <c r="F1416" s="56"/>
      <c r="G1416" s="57"/>
      <c r="H1416" s="53"/>
      <c r="I1416" s="53"/>
      <c r="J1416" s="53"/>
      <c r="K1416" s="53"/>
      <c r="L1416" s="67"/>
      <c r="M1416" s="53"/>
      <c r="N1416" s="68"/>
      <c r="O1416" s="68"/>
      <c r="P1416" s="165" t="str">
        <f t="shared" ca="1" si="154"/>
        <v/>
      </c>
      <c r="Q1416" s="165" t="str">
        <f t="shared" ca="1" si="155"/>
        <v/>
      </c>
      <c r="R1416" s="162"/>
      <c r="S1416" s="163"/>
      <c r="T1416" s="61">
        <f t="shared" si="156"/>
        <v>0</v>
      </c>
      <c r="U1416" s="61">
        <f t="shared" si="157"/>
        <v>0</v>
      </c>
      <c r="V1416" s="61">
        <f t="shared" si="158"/>
        <v>0</v>
      </c>
      <c r="W1416" s="53"/>
      <c r="X1416" s="53"/>
      <c r="Y1416" s="53"/>
      <c r="Z1416" s="57"/>
      <c r="AA1416" s="66"/>
      <c r="AB1416" s="66"/>
      <c r="AC1416" s="66"/>
      <c r="AD1416" s="66"/>
      <c r="AE1416" s="66"/>
      <c r="AF1416" s="63"/>
      <c r="AG1416" s="64" t="str">
        <f t="shared" si="159"/>
        <v/>
      </c>
    </row>
    <row r="1417" spans="1:33" x14ac:dyDescent="0.25">
      <c r="A1417" s="46" t="str">
        <f>IF(ISBLANK(inbound_data[[#This Row],[Receiving Report ref.'#]]),"",IF(inbound_data[[#This Row],[Ending Quantity]]=0,"ZERO","INV"))</f>
        <v/>
      </c>
      <c r="B1417" s="165" t="str">
        <f t="shared" ref="B1417:B1480" si="160">IF(ISBLANK(D1417),"",TEXT(ROW(),"00000"))</f>
        <v/>
      </c>
      <c r="C1417" s="165" t="str">
        <f>IF(ISBLANK(D1417),"",inbound_data[[#This Row],[Pallet_Series]]&amp;inbound_data[[#This Row],[No.]])</f>
        <v/>
      </c>
      <c r="D1417" s="54"/>
      <c r="E1417" s="53"/>
      <c r="F1417" s="56"/>
      <c r="G1417" s="57"/>
      <c r="H1417" s="53"/>
      <c r="I1417" s="53"/>
      <c r="J1417" s="53"/>
      <c r="K1417" s="53"/>
      <c r="L1417" s="67"/>
      <c r="M1417" s="53"/>
      <c r="N1417" s="68"/>
      <c r="O1417" s="68"/>
      <c r="P1417" s="165" t="str">
        <f t="shared" ref="P1417:P1480" ca="1" si="161">IF(A1417="ZERO","",IF(O1417="","",O1417-TODAY()))</f>
        <v/>
      </c>
      <c r="Q1417" s="165" t="str">
        <f t="shared" ref="Q1417:Q1480" ca="1" si="162">IF(A1417="ZERO","",IF(P1417&lt;0,"ALREADY EXPIRED",IF(P1417&lt;60,"NEARLY EXPIRED","")))</f>
        <v/>
      </c>
      <c r="R1417" s="162"/>
      <c r="S1417" s="163"/>
      <c r="T1417" s="61">
        <f t="shared" ref="T1417:T1480" si="163">IF(ISBLANK(R1417),0,R1417-SUMIF(STOCK_CODE_OUT,$C1417,QTY_OUT))</f>
        <v>0</v>
      </c>
      <c r="U1417" s="61">
        <f t="shared" ref="U1417:U1480" si="164">IF(ISBLANK(S1417),0,S1417-SUMIF(STOCK_CODE_OUT,$C1417,KILOS_OUT))</f>
        <v>0</v>
      </c>
      <c r="V1417" s="61">
        <f t="shared" ref="V1417:V1480" si="165">IF(ISBLANK(K1417),0,K1417-SUMIF(STOCK_CODE_OUT,$C1417,PALLET_OUT))</f>
        <v>0</v>
      </c>
      <c r="W1417" s="53"/>
      <c r="X1417" s="53"/>
      <c r="Y1417" s="53"/>
      <c r="Z1417" s="57"/>
      <c r="AA1417" s="66"/>
      <c r="AB1417" s="66"/>
      <c r="AC1417" s="66"/>
      <c r="AD1417" s="66"/>
      <c r="AE1417" s="66"/>
      <c r="AF1417" s="63"/>
      <c r="AG1417" s="64" t="str">
        <f t="shared" si="159"/>
        <v/>
      </c>
    </row>
    <row r="1418" spans="1:33" x14ac:dyDescent="0.25">
      <c r="A1418" s="46" t="str">
        <f>IF(ISBLANK(inbound_data[[#This Row],[Receiving Report ref.'#]]),"",IF(inbound_data[[#This Row],[Ending Quantity]]=0,"ZERO","INV"))</f>
        <v/>
      </c>
      <c r="B1418" s="165" t="str">
        <f t="shared" si="160"/>
        <v/>
      </c>
      <c r="C1418" s="165" t="str">
        <f>IF(ISBLANK(D1418),"",inbound_data[[#This Row],[Pallet_Series]]&amp;inbound_data[[#This Row],[No.]])</f>
        <v/>
      </c>
      <c r="D1418" s="54"/>
      <c r="E1418" s="53"/>
      <c r="F1418" s="56"/>
      <c r="G1418" s="57"/>
      <c r="H1418" s="53"/>
      <c r="I1418" s="53"/>
      <c r="J1418" s="53"/>
      <c r="K1418" s="53"/>
      <c r="L1418" s="67"/>
      <c r="M1418" s="53"/>
      <c r="N1418" s="68"/>
      <c r="O1418" s="68"/>
      <c r="P1418" s="165" t="str">
        <f t="shared" ca="1" si="161"/>
        <v/>
      </c>
      <c r="Q1418" s="165" t="str">
        <f t="shared" ca="1" si="162"/>
        <v/>
      </c>
      <c r="R1418" s="162"/>
      <c r="S1418" s="163"/>
      <c r="T1418" s="61">
        <f t="shared" si="163"/>
        <v>0</v>
      </c>
      <c r="U1418" s="61">
        <f t="shared" si="164"/>
        <v>0</v>
      </c>
      <c r="V1418" s="61">
        <f t="shared" si="165"/>
        <v>0</v>
      </c>
      <c r="W1418" s="53"/>
      <c r="X1418" s="53"/>
      <c r="Y1418" s="53"/>
      <c r="Z1418" s="57"/>
      <c r="AA1418" s="66"/>
      <c r="AB1418" s="66"/>
      <c r="AC1418" s="66"/>
      <c r="AD1418" s="66"/>
      <c r="AE1418" s="66"/>
      <c r="AF1418" s="63"/>
      <c r="AG1418" s="64" t="str">
        <f t="shared" si="159"/>
        <v/>
      </c>
    </row>
    <row r="1419" spans="1:33" x14ac:dyDescent="0.25">
      <c r="A1419" s="46" t="str">
        <f>IF(ISBLANK(inbound_data[[#This Row],[Receiving Report ref.'#]]),"",IF(inbound_data[[#This Row],[Ending Quantity]]=0,"ZERO","INV"))</f>
        <v/>
      </c>
      <c r="B1419" s="165" t="str">
        <f t="shared" si="160"/>
        <v/>
      </c>
      <c r="C1419" s="165" t="str">
        <f>IF(ISBLANK(D1419),"",inbound_data[[#This Row],[Pallet_Series]]&amp;inbound_data[[#This Row],[No.]])</f>
        <v/>
      </c>
      <c r="D1419" s="54"/>
      <c r="E1419" s="53"/>
      <c r="F1419" s="56"/>
      <c r="G1419" s="57"/>
      <c r="H1419" s="53"/>
      <c r="I1419" s="53"/>
      <c r="J1419" s="53"/>
      <c r="K1419" s="53"/>
      <c r="L1419" s="67"/>
      <c r="M1419" s="53"/>
      <c r="N1419" s="68"/>
      <c r="O1419" s="68"/>
      <c r="P1419" s="165" t="str">
        <f t="shared" ca="1" si="161"/>
        <v/>
      </c>
      <c r="Q1419" s="165" t="str">
        <f t="shared" ca="1" si="162"/>
        <v/>
      </c>
      <c r="R1419" s="162"/>
      <c r="S1419" s="163"/>
      <c r="T1419" s="61">
        <f t="shared" si="163"/>
        <v>0</v>
      </c>
      <c r="U1419" s="61">
        <f t="shared" si="164"/>
        <v>0</v>
      </c>
      <c r="V1419" s="61">
        <f t="shared" si="165"/>
        <v>0</v>
      </c>
      <c r="W1419" s="53"/>
      <c r="X1419" s="53"/>
      <c r="Y1419" s="53"/>
      <c r="Z1419" s="57"/>
      <c r="AA1419" s="66"/>
      <c r="AB1419" s="66"/>
      <c r="AC1419" s="66"/>
      <c r="AD1419" s="66"/>
      <c r="AE1419" s="66"/>
      <c r="AF1419" s="63"/>
      <c r="AG1419" s="64" t="str">
        <f t="shared" si="159"/>
        <v/>
      </c>
    </row>
    <row r="1420" spans="1:33" x14ac:dyDescent="0.25">
      <c r="A1420" s="46" t="str">
        <f>IF(ISBLANK(inbound_data[[#This Row],[Receiving Report ref.'#]]),"",IF(inbound_data[[#This Row],[Ending Quantity]]=0,"ZERO","INV"))</f>
        <v/>
      </c>
      <c r="B1420" s="165" t="str">
        <f t="shared" si="160"/>
        <v/>
      </c>
      <c r="C1420" s="165" t="str">
        <f>IF(ISBLANK(D1420),"",inbound_data[[#This Row],[Pallet_Series]]&amp;inbound_data[[#This Row],[No.]])</f>
        <v/>
      </c>
      <c r="D1420" s="54"/>
      <c r="E1420" s="53"/>
      <c r="F1420" s="56"/>
      <c r="G1420" s="57"/>
      <c r="H1420" s="53"/>
      <c r="I1420" s="53"/>
      <c r="J1420" s="53"/>
      <c r="K1420" s="53"/>
      <c r="L1420" s="67"/>
      <c r="M1420" s="53"/>
      <c r="N1420" s="68"/>
      <c r="O1420" s="68"/>
      <c r="P1420" s="165" t="str">
        <f t="shared" ca="1" si="161"/>
        <v/>
      </c>
      <c r="Q1420" s="165" t="str">
        <f t="shared" ca="1" si="162"/>
        <v/>
      </c>
      <c r="R1420" s="162"/>
      <c r="S1420" s="163"/>
      <c r="T1420" s="61">
        <f t="shared" si="163"/>
        <v>0</v>
      </c>
      <c r="U1420" s="61">
        <f t="shared" si="164"/>
        <v>0</v>
      </c>
      <c r="V1420" s="61">
        <f t="shared" si="165"/>
        <v>0</v>
      </c>
      <c r="W1420" s="53"/>
      <c r="X1420" s="53"/>
      <c r="Y1420" s="53"/>
      <c r="Z1420" s="57"/>
      <c r="AA1420" s="66"/>
      <c r="AB1420" s="66"/>
      <c r="AC1420" s="66"/>
      <c r="AD1420" s="66"/>
      <c r="AE1420" s="66"/>
      <c r="AF1420" s="63"/>
      <c r="AG1420" s="64" t="str">
        <f t="shared" si="159"/>
        <v/>
      </c>
    </row>
    <row r="1421" spans="1:33" x14ac:dyDescent="0.25">
      <c r="A1421" s="46" t="str">
        <f>IF(ISBLANK(inbound_data[[#This Row],[Receiving Report ref.'#]]),"",IF(inbound_data[[#This Row],[Ending Quantity]]=0,"ZERO","INV"))</f>
        <v/>
      </c>
      <c r="B1421" s="165" t="str">
        <f t="shared" si="160"/>
        <v/>
      </c>
      <c r="C1421" s="165" t="str">
        <f>IF(ISBLANK(D1421),"",inbound_data[[#This Row],[Pallet_Series]]&amp;inbound_data[[#This Row],[No.]])</f>
        <v/>
      </c>
      <c r="D1421" s="54"/>
      <c r="E1421" s="53"/>
      <c r="F1421" s="56"/>
      <c r="G1421" s="57"/>
      <c r="H1421" s="53"/>
      <c r="I1421" s="53"/>
      <c r="J1421" s="53"/>
      <c r="K1421" s="53"/>
      <c r="L1421" s="67"/>
      <c r="M1421" s="53"/>
      <c r="N1421" s="68"/>
      <c r="O1421" s="68"/>
      <c r="P1421" s="165" t="str">
        <f t="shared" ca="1" si="161"/>
        <v/>
      </c>
      <c r="Q1421" s="165" t="str">
        <f t="shared" ca="1" si="162"/>
        <v/>
      </c>
      <c r="R1421" s="162"/>
      <c r="S1421" s="163"/>
      <c r="T1421" s="61">
        <f t="shared" si="163"/>
        <v>0</v>
      </c>
      <c r="U1421" s="61">
        <f t="shared" si="164"/>
        <v>0</v>
      </c>
      <c r="V1421" s="61">
        <f t="shared" si="165"/>
        <v>0</v>
      </c>
      <c r="W1421" s="53"/>
      <c r="X1421" s="53"/>
      <c r="Y1421" s="53"/>
      <c r="Z1421" s="57"/>
      <c r="AA1421" s="66"/>
      <c r="AB1421" s="66"/>
      <c r="AC1421" s="66"/>
      <c r="AD1421" s="66"/>
      <c r="AE1421" s="66"/>
      <c r="AF1421" s="63"/>
      <c r="AG1421" s="64" t="str">
        <f t="shared" si="159"/>
        <v/>
      </c>
    </row>
    <row r="1422" spans="1:33" x14ac:dyDescent="0.25">
      <c r="A1422" s="46" t="str">
        <f>IF(ISBLANK(inbound_data[[#This Row],[Receiving Report ref.'#]]),"",IF(inbound_data[[#This Row],[Ending Quantity]]=0,"ZERO","INV"))</f>
        <v/>
      </c>
      <c r="B1422" s="165" t="str">
        <f t="shared" si="160"/>
        <v/>
      </c>
      <c r="C1422" s="165" t="str">
        <f>IF(ISBLANK(D1422),"",inbound_data[[#This Row],[Pallet_Series]]&amp;inbound_data[[#This Row],[No.]])</f>
        <v/>
      </c>
      <c r="D1422" s="54"/>
      <c r="E1422" s="53"/>
      <c r="F1422" s="56"/>
      <c r="G1422" s="57"/>
      <c r="H1422" s="53"/>
      <c r="I1422" s="53"/>
      <c r="J1422" s="53"/>
      <c r="K1422" s="53"/>
      <c r="L1422" s="67"/>
      <c r="M1422" s="53"/>
      <c r="N1422" s="68"/>
      <c r="O1422" s="68"/>
      <c r="P1422" s="165" t="str">
        <f t="shared" ca="1" si="161"/>
        <v/>
      </c>
      <c r="Q1422" s="165" t="str">
        <f t="shared" ca="1" si="162"/>
        <v/>
      </c>
      <c r="R1422" s="162"/>
      <c r="S1422" s="163"/>
      <c r="T1422" s="61">
        <f t="shared" si="163"/>
        <v>0</v>
      </c>
      <c r="U1422" s="61">
        <f t="shared" si="164"/>
        <v>0</v>
      </c>
      <c r="V1422" s="61">
        <f t="shared" si="165"/>
        <v>0</v>
      </c>
      <c r="W1422" s="53"/>
      <c r="X1422" s="53"/>
      <c r="Y1422" s="53"/>
      <c r="Z1422" s="57"/>
      <c r="AA1422" s="66"/>
      <c r="AB1422" s="66"/>
      <c r="AC1422" s="66"/>
      <c r="AD1422" s="66"/>
      <c r="AE1422" s="66"/>
      <c r="AF1422" s="63"/>
      <c r="AG1422" s="64" t="str">
        <f t="shared" si="159"/>
        <v/>
      </c>
    </row>
    <row r="1423" spans="1:33" x14ac:dyDescent="0.25">
      <c r="A1423" s="46" t="str">
        <f>IF(ISBLANK(inbound_data[[#This Row],[Receiving Report ref.'#]]),"",IF(inbound_data[[#This Row],[Ending Quantity]]=0,"ZERO","INV"))</f>
        <v/>
      </c>
      <c r="B1423" s="165" t="str">
        <f t="shared" si="160"/>
        <v/>
      </c>
      <c r="C1423" s="165" t="str">
        <f>IF(ISBLANK(D1423),"",inbound_data[[#This Row],[Pallet_Series]]&amp;inbound_data[[#This Row],[No.]])</f>
        <v/>
      </c>
      <c r="D1423" s="54"/>
      <c r="E1423" s="53"/>
      <c r="F1423" s="56"/>
      <c r="G1423" s="57"/>
      <c r="H1423" s="53"/>
      <c r="I1423" s="53"/>
      <c r="J1423" s="53"/>
      <c r="K1423" s="53"/>
      <c r="L1423" s="67"/>
      <c r="M1423" s="53"/>
      <c r="N1423" s="68"/>
      <c r="O1423" s="68"/>
      <c r="P1423" s="165" t="str">
        <f t="shared" ca="1" si="161"/>
        <v/>
      </c>
      <c r="Q1423" s="165" t="str">
        <f t="shared" ca="1" si="162"/>
        <v/>
      </c>
      <c r="R1423" s="162"/>
      <c r="S1423" s="163"/>
      <c r="T1423" s="61">
        <f t="shared" si="163"/>
        <v>0</v>
      </c>
      <c r="U1423" s="61">
        <f t="shared" si="164"/>
        <v>0</v>
      </c>
      <c r="V1423" s="61">
        <f t="shared" si="165"/>
        <v>0</v>
      </c>
      <c r="W1423" s="53"/>
      <c r="X1423" s="53"/>
      <c r="Y1423" s="53"/>
      <c r="Z1423" s="57"/>
      <c r="AA1423" s="66"/>
      <c r="AB1423" s="66"/>
      <c r="AC1423" s="66"/>
      <c r="AD1423" s="66"/>
      <c r="AE1423" s="66"/>
      <c r="AF1423" s="63"/>
      <c r="AG1423" s="64" t="str">
        <f t="shared" si="159"/>
        <v/>
      </c>
    </row>
    <row r="1424" spans="1:33" x14ac:dyDescent="0.25">
      <c r="A1424" s="46" t="str">
        <f>IF(ISBLANK(inbound_data[[#This Row],[Receiving Report ref.'#]]),"",IF(inbound_data[[#This Row],[Ending Quantity]]=0,"ZERO","INV"))</f>
        <v/>
      </c>
      <c r="B1424" s="165" t="str">
        <f t="shared" si="160"/>
        <v/>
      </c>
      <c r="C1424" s="165" t="str">
        <f>IF(ISBLANK(D1424),"",inbound_data[[#This Row],[Pallet_Series]]&amp;inbound_data[[#This Row],[No.]])</f>
        <v/>
      </c>
      <c r="D1424" s="54"/>
      <c r="E1424" s="53"/>
      <c r="F1424" s="56"/>
      <c r="G1424" s="57"/>
      <c r="H1424" s="53"/>
      <c r="I1424" s="53"/>
      <c r="J1424" s="53"/>
      <c r="K1424" s="53"/>
      <c r="L1424" s="67"/>
      <c r="M1424" s="53"/>
      <c r="N1424" s="68"/>
      <c r="O1424" s="68"/>
      <c r="P1424" s="165" t="str">
        <f t="shared" ca="1" si="161"/>
        <v/>
      </c>
      <c r="Q1424" s="165" t="str">
        <f t="shared" ca="1" si="162"/>
        <v/>
      </c>
      <c r="R1424" s="162"/>
      <c r="S1424" s="163"/>
      <c r="T1424" s="61">
        <f t="shared" si="163"/>
        <v>0</v>
      </c>
      <c r="U1424" s="61">
        <f t="shared" si="164"/>
        <v>0</v>
      </c>
      <c r="V1424" s="61">
        <f t="shared" si="165"/>
        <v>0</v>
      </c>
      <c r="W1424" s="53"/>
      <c r="X1424" s="53"/>
      <c r="Y1424" s="53"/>
      <c r="Z1424" s="57"/>
      <c r="AA1424" s="66"/>
      <c r="AB1424" s="66"/>
      <c r="AC1424" s="66"/>
      <c r="AD1424" s="66"/>
      <c r="AE1424" s="66"/>
      <c r="AF1424" s="63"/>
      <c r="AG1424" s="64" t="str">
        <f t="shared" si="159"/>
        <v/>
      </c>
    </row>
    <row r="1425" spans="1:33" x14ac:dyDescent="0.25">
      <c r="A1425" s="46" t="str">
        <f>IF(ISBLANK(inbound_data[[#This Row],[Receiving Report ref.'#]]),"",IF(inbound_data[[#This Row],[Ending Quantity]]=0,"ZERO","INV"))</f>
        <v/>
      </c>
      <c r="B1425" s="165" t="str">
        <f t="shared" si="160"/>
        <v/>
      </c>
      <c r="C1425" s="165" t="str">
        <f>IF(ISBLANK(D1425),"",inbound_data[[#This Row],[Pallet_Series]]&amp;inbound_data[[#This Row],[No.]])</f>
        <v/>
      </c>
      <c r="D1425" s="54"/>
      <c r="E1425" s="53"/>
      <c r="F1425" s="56"/>
      <c r="G1425" s="57"/>
      <c r="H1425" s="53"/>
      <c r="I1425" s="53"/>
      <c r="J1425" s="53"/>
      <c r="K1425" s="53"/>
      <c r="L1425" s="67"/>
      <c r="M1425" s="53"/>
      <c r="N1425" s="68"/>
      <c r="O1425" s="68"/>
      <c r="P1425" s="165" t="str">
        <f t="shared" ca="1" si="161"/>
        <v/>
      </c>
      <c r="Q1425" s="165" t="str">
        <f t="shared" ca="1" si="162"/>
        <v/>
      </c>
      <c r="R1425" s="162"/>
      <c r="S1425" s="163"/>
      <c r="T1425" s="61">
        <f t="shared" si="163"/>
        <v>0</v>
      </c>
      <c r="U1425" s="61">
        <f t="shared" si="164"/>
        <v>0</v>
      </c>
      <c r="V1425" s="61">
        <f t="shared" si="165"/>
        <v>0</v>
      </c>
      <c r="W1425" s="53"/>
      <c r="X1425" s="53"/>
      <c r="Y1425" s="53"/>
      <c r="Z1425" s="57"/>
      <c r="AA1425" s="66"/>
      <c r="AB1425" s="66"/>
      <c r="AC1425" s="66"/>
      <c r="AD1425" s="66"/>
      <c r="AE1425" s="66"/>
      <c r="AF1425" s="63"/>
      <c r="AG1425" s="64" t="str">
        <f t="shared" si="159"/>
        <v/>
      </c>
    </row>
    <row r="1426" spans="1:33" x14ac:dyDescent="0.25">
      <c r="A1426" s="46" t="str">
        <f>IF(ISBLANK(inbound_data[[#This Row],[Receiving Report ref.'#]]),"",IF(inbound_data[[#This Row],[Ending Quantity]]=0,"ZERO","INV"))</f>
        <v/>
      </c>
      <c r="B1426" s="165" t="str">
        <f t="shared" si="160"/>
        <v/>
      </c>
      <c r="C1426" s="165" t="str">
        <f>IF(ISBLANK(D1426),"",inbound_data[[#This Row],[Pallet_Series]]&amp;inbound_data[[#This Row],[No.]])</f>
        <v/>
      </c>
      <c r="D1426" s="54"/>
      <c r="E1426" s="53"/>
      <c r="F1426" s="56"/>
      <c r="G1426" s="57"/>
      <c r="H1426" s="53"/>
      <c r="I1426" s="53"/>
      <c r="J1426" s="53"/>
      <c r="K1426" s="53"/>
      <c r="L1426" s="67"/>
      <c r="M1426" s="53"/>
      <c r="N1426" s="68"/>
      <c r="O1426" s="68"/>
      <c r="P1426" s="165" t="str">
        <f t="shared" ca="1" si="161"/>
        <v/>
      </c>
      <c r="Q1426" s="165" t="str">
        <f t="shared" ca="1" si="162"/>
        <v/>
      </c>
      <c r="R1426" s="162"/>
      <c r="S1426" s="163"/>
      <c r="T1426" s="61">
        <f t="shared" si="163"/>
        <v>0</v>
      </c>
      <c r="U1426" s="61">
        <f t="shared" si="164"/>
        <v>0</v>
      </c>
      <c r="V1426" s="61">
        <f t="shared" si="165"/>
        <v>0</v>
      </c>
      <c r="W1426" s="53"/>
      <c r="X1426" s="53"/>
      <c r="Y1426" s="53"/>
      <c r="Z1426" s="57"/>
      <c r="AA1426" s="66"/>
      <c r="AB1426" s="66"/>
      <c r="AC1426" s="66"/>
      <c r="AD1426" s="66"/>
      <c r="AE1426" s="66"/>
      <c r="AF1426" s="63"/>
      <c r="AG1426" s="64" t="str">
        <f t="shared" ref="AG1426:AG1489" si="166">IF(T1426&gt;0,CONCATENATE(AA1426,AB1426,TEXT(AC1426,"R00"),TEXT(AD1426,"L0."),TEXT(AE1426,"0")),"")</f>
        <v/>
      </c>
    </row>
    <row r="1427" spans="1:33" x14ac:dyDescent="0.25">
      <c r="A1427" s="46" t="str">
        <f>IF(ISBLANK(inbound_data[[#This Row],[Receiving Report ref.'#]]),"",IF(inbound_data[[#This Row],[Ending Quantity]]=0,"ZERO","INV"))</f>
        <v/>
      </c>
      <c r="B1427" s="165" t="str">
        <f t="shared" si="160"/>
        <v/>
      </c>
      <c r="C1427" s="165" t="str">
        <f>IF(ISBLANK(D1427),"",inbound_data[[#This Row],[Pallet_Series]]&amp;inbound_data[[#This Row],[No.]])</f>
        <v/>
      </c>
      <c r="D1427" s="54"/>
      <c r="E1427" s="53"/>
      <c r="F1427" s="56"/>
      <c r="G1427" s="57"/>
      <c r="H1427" s="53"/>
      <c r="I1427" s="53"/>
      <c r="J1427" s="53"/>
      <c r="K1427" s="53"/>
      <c r="L1427" s="67"/>
      <c r="M1427" s="53"/>
      <c r="N1427" s="68"/>
      <c r="O1427" s="68"/>
      <c r="P1427" s="165" t="str">
        <f t="shared" ca="1" si="161"/>
        <v/>
      </c>
      <c r="Q1427" s="165" t="str">
        <f t="shared" ca="1" si="162"/>
        <v/>
      </c>
      <c r="R1427" s="162"/>
      <c r="S1427" s="163"/>
      <c r="T1427" s="61">
        <f t="shared" si="163"/>
        <v>0</v>
      </c>
      <c r="U1427" s="61">
        <f t="shared" si="164"/>
        <v>0</v>
      </c>
      <c r="V1427" s="61">
        <f t="shared" si="165"/>
        <v>0</v>
      </c>
      <c r="W1427" s="53"/>
      <c r="X1427" s="53"/>
      <c r="Y1427" s="53"/>
      <c r="Z1427" s="57"/>
      <c r="AA1427" s="66"/>
      <c r="AB1427" s="66"/>
      <c r="AC1427" s="66"/>
      <c r="AD1427" s="66"/>
      <c r="AE1427" s="66"/>
      <c r="AF1427" s="63"/>
      <c r="AG1427" s="64" t="str">
        <f t="shared" si="166"/>
        <v/>
      </c>
    </row>
    <row r="1428" spans="1:33" x14ac:dyDescent="0.25">
      <c r="A1428" s="46" t="str">
        <f>IF(ISBLANK(inbound_data[[#This Row],[Receiving Report ref.'#]]),"",IF(inbound_data[[#This Row],[Ending Quantity]]=0,"ZERO","INV"))</f>
        <v/>
      </c>
      <c r="B1428" s="165" t="str">
        <f t="shared" si="160"/>
        <v/>
      </c>
      <c r="C1428" s="165" t="str">
        <f>IF(ISBLANK(D1428),"",inbound_data[[#This Row],[Pallet_Series]]&amp;inbound_data[[#This Row],[No.]])</f>
        <v/>
      </c>
      <c r="D1428" s="54"/>
      <c r="E1428" s="53"/>
      <c r="F1428" s="56"/>
      <c r="G1428" s="57"/>
      <c r="H1428" s="53"/>
      <c r="I1428" s="53"/>
      <c r="J1428" s="53"/>
      <c r="K1428" s="53"/>
      <c r="L1428" s="67"/>
      <c r="M1428" s="53"/>
      <c r="N1428" s="68"/>
      <c r="O1428" s="68"/>
      <c r="P1428" s="165" t="str">
        <f t="shared" ca="1" si="161"/>
        <v/>
      </c>
      <c r="Q1428" s="165" t="str">
        <f t="shared" ca="1" si="162"/>
        <v/>
      </c>
      <c r="R1428" s="162"/>
      <c r="S1428" s="163"/>
      <c r="T1428" s="61">
        <f t="shared" si="163"/>
        <v>0</v>
      </c>
      <c r="U1428" s="61">
        <f t="shared" si="164"/>
        <v>0</v>
      </c>
      <c r="V1428" s="61">
        <f t="shared" si="165"/>
        <v>0</v>
      </c>
      <c r="W1428" s="53"/>
      <c r="X1428" s="53"/>
      <c r="Y1428" s="53"/>
      <c r="Z1428" s="57"/>
      <c r="AA1428" s="66"/>
      <c r="AB1428" s="66"/>
      <c r="AC1428" s="66"/>
      <c r="AD1428" s="66"/>
      <c r="AE1428" s="66"/>
      <c r="AF1428" s="63"/>
      <c r="AG1428" s="64" t="str">
        <f t="shared" si="166"/>
        <v/>
      </c>
    </row>
    <row r="1429" spans="1:33" x14ac:dyDescent="0.25">
      <c r="A1429" s="46" t="str">
        <f>IF(ISBLANK(inbound_data[[#This Row],[Receiving Report ref.'#]]),"",IF(inbound_data[[#This Row],[Ending Quantity]]=0,"ZERO","INV"))</f>
        <v/>
      </c>
      <c r="B1429" s="165" t="str">
        <f t="shared" si="160"/>
        <v/>
      </c>
      <c r="C1429" s="165" t="str">
        <f>IF(ISBLANK(D1429),"",inbound_data[[#This Row],[Pallet_Series]]&amp;inbound_data[[#This Row],[No.]])</f>
        <v/>
      </c>
      <c r="D1429" s="54"/>
      <c r="E1429" s="53"/>
      <c r="F1429" s="56"/>
      <c r="G1429" s="57"/>
      <c r="H1429" s="53"/>
      <c r="I1429" s="53"/>
      <c r="J1429" s="53"/>
      <c r="K1429" s="53"/>
      <c r="L1429" s="67"/>
      <c r="M1429" s="53"/>
      <c r="N1429" s="68"/>
      <c r="O1429" s="68"/>
      <c r="P1429" s="165" t="str">
        <f t="shared" ca="1" si="161"/>
        <v/>
      </c>
      <c r="Q1429" s="165" t="str">
        <f t="shared" ca="1" si="162"/>
        <v/>
      </c>
      <c r="R1429" s="162"/>
      <c r="S1429" s="163"/>
      <c r="T1429" s="61">
        <f t="shared" si="163"/>
        <v>0</v>
      </c>
      <c r="U1429" s="61">
        <f t="shared" si="164"/>
        <v>0</v>
      </c>
      <c r="V1429" s="61">
        <f t="shared" si="165"/>
        <v>0</v>
      </c>
      <c r="W1429" s="53"/>
      <c r="X1429" s="53"/>
      <c r="Y1429" s="53"/>
      <c r="Z1429" s="57"/>
      <c r="AA1429" s="66"/>
      <c r="AB1429" s="66"/>
      <c r="AC1429" s="66"/>
      <c r="AD1429" s="66"/>
      <c r="AE1429" s="66"/>
      <c r="AF1429" s="63"/>
      <c r="AG1429" s="64" t="str">
        <f t="shared" si="166"/>
        <v/>
      </c>
    </row>
    <row r="1430" spans="1:33" x14ac:dyDescent="0.25">
      <c r="A1430" s="46" t="str">
        <f>IF(ISBLANK(inbound_data[[#This Row],[Receiving Report ref.'#]]),"",IF(inbound_data[[#This Row],[Ending Quantity]]=0,"ZERO","INV"))</f>
        <v/>
      </c>
      <c r="B1430" s="165" t="str">
        <f t="shared" si="160"/>
        <v/>
      </c>
      <c r="C1430" s="165" t="str">
        <f>IF(ISBLANK(D1430),"",inbound_data[[#This Row],[Pallet_Series]]&amp;inbound_data[[#This Row],[No.]])</f>
        <v/>
      </c>
      <c r="D1430" s="54"/>
      <c r="E1430" s="53"/>
      <c r="F1430" s="56"/>
      <c r="G1430" s="57"/>
      <c r="H1430" s="53"/>
      <c r="I1430" s="53"/>
      <c r="J1430" s="53"/>
      <c r="K1430" s="53"/>
      <c r="L1430" s="67"/>
      <c r="M1430" s="53"/>
      <c r="N1430" s="68"/>
      <c r="O1430" s="68"/>
      <c r="P1430" s="165" t="str">
        <f t="shared" ca="1" si="161"/>
        <v/>
      </c>
      <c r="Q1430" s="165" t="str">
        <f t="shared" ca="1" si="162"/>
        <v/>
      </c>
      <c r="R1430" s="162"/>
      <c r="S1430" s="163"/>
      <c r="T1430" s="61">
        <f t="shared" si="163"/>
        <v>0</v>
      </c>
      <c r="U1430" s="61">
        <f t="shared" si="164"/>
        <v>0</v>
      </c>
      <c r="V1430" s="61">
        <f t="shared" si="165"/>
        <v>0</v>
      </c>
      <c r="W1430" s="53"/>
      <c r="X1430" s="53"/>
      <c r="Y1430" s="53"/>
      <c r="Z1430" s="57"/>
      <c r="AA1430" s="66"/>
      <c r="AB1430" s="66"/>
      <c r="AC1430" s="66"/>
      <c r="AD1430" s="66"/>
      <c r="AE1430" s="66"/>
      <c r="AF1430" s="63"/>
      <c r="AG1430" s="64" t="str">
        <f t="shared" si="166"/>
        <v/>
      </c>
    </row>
    <row r="1431" spans="1:33" x14ac:dyDescent="0.25">
      <c r="A1431" s="46" t="str">
        <f>IF(ISBLANK(inbound_data[[#This Row],[Receiving Report ref.'#]]),"",IF(inbound_data[[#This Row],[Ending Quantity]]=0,"ZERO","INV"))</f>
        <v/>
      </c>
      <c r="B1431" s="165" t="str">
        <f t="shared" si="160"/>
        <v/>
      </c>
      <c r="C1431" s="165" t="str">
        <f>IF(ISBLANK(D1431),"",inbound_data[[#This Row],[Pallet_Series]]&amp;inbound_data[[#This Row],[No.]])</f>
        <v/>
      </c>
      <c r="D1431" s="54"/>
      <c r="E1431" s="53"/>
      <c r="F1431" s="56"/>
      <c r="G1431" s="57"/>
      <c r="H1431" s="53"/>
      <c r="I1431" s="53"/>
      <c r="J1431" s="53"/>
      <c r="K1431" s="53"/>
      <c r="L1431" s="67"/>
      <c r="M1431" s="53"/>
      <c r="N1431" s="68"/>
      <c r="O1431" s="68"/>
      <c r="P1431" s="165" t="str">
        <f t="shared" ca="1" si="161"/>
        <v/>
      </c>
      <c r="Q1431" s="165" t="str">
        <f t="shared" ca="1" si="162"/>
        <v/>
      </c>
      <c r="R1431" s="162"/>
      <c r="S1431" s="163"/>
      <c r="T1431" s="61">
        <f t="shared" si="163"/>
        <v>0</v>
      </c>
      <c r="U1431" s="61">
        <f t="shared" si="164"/>
        <v>0</v>
      </c>
      <c r="V1431" s="61">
        <f t="shared" si="165"/>
        <v>0</v>
      </c>
      <c r="W1431" s="53"/>
      <c r="X1431" s="53"/>
      <c r="Y1431" s="53"/>
      <c r="Z1431" s="57"/>
      <c r="AA1431" s="66"/>
      <c r="AB1431" s="66"/>
      <c r="AC1431" s="66"/>
      <c r="AD1431" s="66"/>
      <c r="AE1431" s="66"/>
      <c r="AF1431" s="63"/>
      <c r="AG1431" s="64" t="str">
        <f t="shared" si="166"/>
        <v/>
      </c>
    </row>
    <row r="1432" spans="1:33" x14ac:dyDescent="0.25">
      <c r="A1432" s="46" t="str">
        <f>IF(ISBLANK(inbound_data[[#This Row],[Receiving Report ref.'#]]),"",IF(inbound_data[[#This Row],[Ending Quantity]]=0,"ZERO","INV"))</f>
        <v/>
      </c>
      <c r="B1432" s="165" t="str">
        <f t="shared" si="160"/>
        <v/>
      </c>
      <c r="C1432" s="165" t="str">
        <f>IF(ISBLANK(D1432),"",inbound_data[[#This Row],[Pallet_Series]]&amp;inbound_data[[#This Row],[No.]])</f>
        <v/>
      </c>
      <c r="D1432" s="54"/>
      <c r="E1432" s="53"/>
      <c r="F1432" s="56"/>
      <c r="G1432" s="57"/>
      <c r="H1432" s="53"/>
      <c r="I1432" s="53"/>
      <c r="J1432" s="53"/>
      <c r="K1432" s="53"/>
      <c r="L1432" s="67"/>
      <c r="M1432" s="53"/>
      <c r="N1432" s="68"/>
      <c r="O1432" s="68"/>
      <c r="P1432" s="165" t="str">
        <f t="shared" ca="1" si="161"/>
        <v/>
      </c>
      <c r="Q1432" s="165" t="str">
        <f t="shared" ca="1" si="162"/>
        <v/>
      </c>
      <c r="R1432" s="162"/>
      <c r="S1432" s="163"/>
      <c r="T1432" s="61">
        <f t="shared" si="163"/>
        <v>0</v>
      </c>
      <c r="U1432" s="61">
        <f t="shared" si="164"/>
        <v>0</v>
      </c>
      <c r="V1432" s="61">
        <f t="shared" si="165"/>
        <v>0</v>
      </c>
      <c r="W1432" s="53"/>
      <c r="X1432" s="53"/>
      <c r="Y1432" s="53"/>
      <c r="Z1432" s="57"/>
      <c r="AA1432" s="66"/>
      <c r="AB1432" s="66"/>
      <c r="AC1432" s="66"/>
      <c r="AD1432" s="66"/>
      <c r="AE1432" s="66"/>
      <c r="AF1432" s="63"/>
      <c r="AG1432" s="64" t="str">
        <f t="shared" si="166"/>
        <v/>
      </c>
    </row>
    <row r="1433" spans="1:33" x14ac:dyDescent="0.25">
      <c r="A1433" s="46" t="str">
        <f>IF(ISBLANK(inbound_data[[#This Row],[Receiving Report ref.'#]]),"",IF(inbound_data[[#This Row],[Ending Quantity]]=0,"ZERO","INV"))</f>
        <v/>
      </c>
      <c r="B1433" s="165" t="str">
        <f t="shared" si="160"/>
        <v/>
      </c>
      <c r="C1433" s="165" t="str">
        <f>IF(ISBLANK(D1433),"",inbound_data[[#This Row],[Pallet_Series]]&amp;inbound_data[[#This Row],[No.]])</f>
        <v/>
      </c>
      <c r="D1433" s="54"/>
      <c r="E1433" s="53"/>
      <c r="F1433" s="56"/>
      <c r="G1433" s="57"/>
      <c r="H1433" s="53"/>
      <c r="I1433" s="53"/>
      <c r="J1433" s="53"/>
      <c r="K1433" s="53"/>
      <c r="L1433" s="67"/>
      <c r="M1433" s="53"/>
      <c r="N1433" s="68"/>
      <c r="O1433" s="68"/>
      <c r="P1433" s="165" t="str">
        <f t="shared" ca="1" si="161"/>
        <v/>
      </c>
      <c r="Q1433" s="165" t="str">
        <f t="shared" ca="1" si="162"/>
        <v/>
      </c>
      <c r="R1433" s="162"/>
      <c r="S1433" s="163"/>
      <c r="T1433" s="61">
        <f t="shared" si="163"/>
        <v>0</v>
      </c>
      <c r="U1433" s="61">
        <f t="shared" si="164"/>
        <v>0</v>
      </c>
      <c r="V1433" s="61">
        <f t="shared" si="165"/>
        <v>0</v>
      </c>
      <c r="W1433" s="53"/>
      <c r="X1433" s="53"/>
      <c r="Y1433" s="53"/>
      <c r="Z1433" s="57"/>
      <c r="AA1433" s="66"/>
      <c r="AB1433" s="66"/>
      <c r="AC1433" s="66"/>
      <c r="AD1433" s="66"/>
      <c r="AE1433" s="66"/>
      <c r="AF1433" s="63"/>
      <c r="AG1433" s="64" t="str">
        <f t="shared" si="166"/>
        <v/>
      </c>
    </row>
    <row r="1434" spans="1:33" x14ac:dyDescent="0.25">
      <c r="A1434" s="46" t="str">
        <f>IF(ISBLANK(inbound_data[[#This Row],[Receiving Report ref.'#]]),"",IF(inbound_data[[#This Row],[Ending Quantity]]=0,"ZERO","INV"))</f>
        <v/>
      </c>
      <c r="B1434" s="165" t="str">
        <f t="shared" si="160"/>
        <v/>
      </c>
      <c r="C1434" s="165" t="str">
        <f>IF(ISBLANK(D1434),"",inbound_data[[#This Row],[Pallet_Series]]&amp;inbound_data[[#This Row],[No.]])</f>
        <v/>
      </c>
      <c r="D1434" s="54"/>
      <c r="E1434" s="53"/>
      <c r="F1434" s="56"/>
      <c r="G1434" s="57"/>
      <c r="H1434" s="53"/>
      <c r="I1434" s="53"/>
      <c r="J1434" s="53"/>
      <c r="K1434" s="53"/>
      <c r="L1434" s="67"/>
      <c r="M1434" s="53"/>
      <c r="N1434" s="68"/>
      <c r="O1434" s="68"/>
      <c r="P1434" s="165" t="str">
        <f t="shared" ca="1" si="161"/>
        <v/>
      </c>
      <c r="Q1434" s="165" t="str">
        <f t="shared" ca="1" si="162"/>
        <v/>
      </c>
      <c r="R1434" s="162"/>
      <c r="S1434" s="163"/>
      <c r="T1434" s="61">
        <f t="shared" si="163"/>
        <v>0</v>
      </c>
      <c r="U1434" s="61">
        <f t="shared" si="164"/>
        <v>0</v>
      </c>
      <c r="V1434" s="61">
        <f t="shared" si="165"/>
        <v>0</v>
      </c>
      <c r="W1434" s="53"/>
      <c r="X1434" s="53"/>
      <c r="Y1434" s="53"/>
      <c r="Z1434" s="57"/>
      <c r="AA1434" s="66"/>
      <c r="AB1434" s="66"/>
      <c r="AC1434" s="66"/>
      <c r="AD1434" s="66"/>
      <c r="AE1434" s="66"/>
      <c r="AF1434" s="63"/>
      <c r="AG1434" s="64" t="str">
        <f t="shared" si="166"/>
        <v/>
      </c>
    </row>
    <row r="1435" spans="1:33" x14ac:dyDescent="0.25">
      <c r="A1435" s="46" t="str">
        <f>IF(ISBLANK(inbound_data[[#This Row],[Receiving Report ref.'#]]),"",IF(inbound_data[[#This Row],[Ending Quantity]]=0,"ZERO","INV"))</f>
        <v/>
      </c>
      <c r="B1435" s="165" t="str">
        <f t="shared" si="160"/>
        <v/>
      </c>
      <c r="C1435" s="165" t="str">
        <f>IF(ISBLANK(D1435),"",inbound_data[[#This Row],[Pallet_Series]]&amp;inbound_data[[#This Row],[No.]])</f>
        <v/>
      </c>
      <c r="D1435" s="54"/>
      <c r="E1435" s="53"/>
      <c r="F1435" s="56"/>
      <c r="G1435" s="57"/>
      <c r="H1435" s="53"/>
      <c r="I1435" s="53"/>
      <c r="J1435" s="53"/>
      <c r="K1435" s="53"/>
      <c r="L1435" s="67"/>
      <c r="M1435" s="53"/>
      <c r="N1435" s="68"/>
      <c r="O1435" s="68"/>
      <c r="P1435" s="165" t="str">
        <f t="shared" ca="1" si="161"/>
        <v/>
      </c>
      <c r="Q1435" s="165" t="str">
        <f t="shared" ca="1" si="162"/>
        <v/>
      </c>
      <c r="R1435" s="162"/>
      <c r="S1435" s="163"/>
      <c r="T1435" s="61">
        <f t="shared" si="163"/>
        <v>0</v>
      </c>
      <c r="U1435" s="61">
        <f t="shared" si="164"/>
        <v>0</v>
      </c>
      <c r="V1435" s="61">
        <f t="shared" si="165"/>
        <v>0</v>
      </c>
      <c r="W1435" s="53"/>
      <c r="X1435" s="53"/>
      <c r="Y1435" s="53"/>
      <c r="Z1435" s="57"/>
      <c r="AA1435" s="66"/>
      <c r="AB1435" s="66"/>
      <c r="AC1435" s="66"/>
      <c r="AD1435" s="66"/>
      <c r="AE1435" s="66"/>
      <c r="AF1435" s="63"/>
      <c r="AG1435" s="64" t="str">
        <f t="shared" si="166"/>
        <v/>
      </c>
    </row>
    <row r="1436" spans="1:33" x14ac:dyDescent="0.25">
      <c r="A1436" s="46" t="str">
        <f>IF(ISBLANK(inbound_data[[#This Row],[Receiving Report ref.'#]]),"",IF(inbound_data[[#This Row],[Ending Quantity]]=0,"ZERO","INV"))</f>
        <v/>
      </c>
      <c r="B1436" s="165" t="str">
        <f t="shared" si="160"/>
        <v/>
      </c>
      <c r="C1436" s="165" t="str">
        <f>IF(ISBLANK(D1436),"",inbound_data[[#This Row],[Pallet_Series]]&amp;inbound_data[[#This Row],[No.]])</f>
        <v/>
      </c>
      <c r="D1436" s="54"/>
      <c r="E1436" s="53"/>
      <c r="F1436" s="56"/>
      <c r="G1436" s="57"/>
      <c r="H1436" s="53"/>
      <c r="I1436" s="53"/>
      <c r="J1436" s="53"/>
      <c r="K1436" s="53"/>
      <c r="L1436" s="67"/>
      <c r="M1436" s="53"/>
      <c r="N1436" s="68"/>
      <c r="O1436" s="68"/>
      <c r="P1436" s="165" t="str">
        <f t="shared" ca="1" si="161"/>
        <v/>
      </c>
      <c r="Q1436" s="165" t="str">
        <f t="shared" ca="1" si="162"/>
        <v/>
      </c>
      <c r="R1436" s="162"/>
      <c r="S1436" s="163"/>
      <c r="T1436" s="61">
        <f t="shared" si="163"/>
        <v>0</v>
      </c>
      <c r="U1436" s="61">
        <f t="shared" si="164"/>
        <v>0</v>
      </c>
      <c r="V1436" s="61">
        <f t="shared" si="165"/>
        <v>0</v>
      </c>
      <c r="W1436" s="53"/>
      <c r="X1436" s="53"/>
      <c r="Y1436" s="53"/>
      <c r="Z1436" s="57"/>
      <c r="AA1436" s="66"/>
      <c r="AB1436" s="66"/>
      <c r="AC1436" s="66"/>
      <c r="AD1436" s="66"/>
      <c r="AE1436" s="66"/>
      <c r="AF1436" s="63"/>
      <c r="AG1436" s="64" t="str">
        <f t="shared" si="166"/>
        <v/>
      </c>
    </row>
    <row r="1437" spans="1:33" x14ac:dyDescent="0.25">
      <c r="A1437" s="46" t="str">
        <f>IF(ISBLANK(inbound_data[[#This Row],[Receiving Report ref.'#]]),"",IF(inbound_data[[#This Row],[Ending Quantity]]=0,"ZERO","INV"))</f>
        <v/>
      </c>
      <c r="B1437" s="165" t="str">
        <f t="shared" si="160"/>
        <v/>
      </c>
      <c r="C1437" s="165" t="str">
        <f>IF(ISBLANK(D1437),"",inbound_data[[#This Row],[Pallet_Series]]&amp;inbound_data[[#This Row],[No.]])</f>
        <v/>
      </c>
      <c r="D1437" s="54"/>
      <c r="E1437" s="53"/>
      <c r="F1437" s="56"/>
      <c r="G1437" s="57"/>
      <c r="H1437" s="53"/>
      <c r="I1437" s="53"/>
      <c r="J1437" s="53"/>
      <c r="K1437" s="53"/>
      <c r="L1437" s="67"/>
      <c r="M1437" s="53"/>
      <c r="N1437" s="68"/>
      <c r="O1437" s="68"/>
      <c r="P1437" s="165" t="str">
        <f t="shared" ca="1" si="161"/>
        <v/>
      </c>
      <c r="Q1437" s="165" t="str">
        <f t="shared" ca="1" si="162"/>
        <v/>
      </c>
      <c r="R1437" s="162"/>
      <c r="S1437" s="163"/>
      <c r="T1437" s="61">
        <f t="shared" si="163"/>
        <v>0</v>
      </c>
      <c r="U1437" s="61">
        <f t="shared" si="164"/>
        <v>0</v>
      </c>
      <c r="V1437" s="61">
        <f t="shared" si="165"/>
        <v>0</v>
      </c>
      <c r="W1437" s="53"/>
      <c r="X1437" s="53"/>
      <c r="Y1437" s="53"/>
      <c r="Z1437" s="57"/>
      <c r="AA1437" s="66"/>
      <c r="AB1437" s="66"/>
      <c r="AC1437" s="66"/>
      <c r="AD1437" s="66"/>
      <c r="AE1437" s="66"/>
      <c r="AF1437" s="63"/>
      <c r="AG1437" s="64" t="str">
        <f t="shared" si="166"/>
        <v/>
      </c>
    </row>
    <row r="1438" spans="1:33" x14ac:dyDescent="0.25">
      <c r="A1438" s="46" t="str">
        <f>IF(ISBLANK(inbound_data[[#This Row],[Receiving Report ref.'#]]),"",IF(inbound_data[[#This Row],[Ending Quantity]]=0,"ZERO","INV"))</f>
        <v/>
      </c>
      <c r="B1438" s="165" t="str">
        <f t="shared" si="160"/>
        <v/>
      </c>
      <c r="C1438" s="165" t="str">
        <f>IF(ISBLANK(D1438),"",inbound_data[[#This Row],[Pallet_Series]]&amp;inbound_data[[#This Row],[No.]])</f>
        <v/>
      </c>
      <c r="D1438" s="54"/>
      <c r="E1438" s="53"/>
      <c r="F1438" s="56"/>
      <c r="G1438" s="57"/>
      <c r="H1438" s="53"/>
      <c r="I1438" s="53"/>
      <c r="J1438" s="53"/>
      <c r="K1438" s="53"/>
      <c r="L1438" s="67"/>
      <c r="M1438" s="53"/>
      <c r="N1438" s="68"/>
      <c r="O1438" s="68"/>
      <c r="P1438" s="165" t="str">
        <f t="shared" ca="1" si="161"/>
        <v/>
      </c>
      <c r="Q1438" s="165" t="str">
        <f t="shared" ca="1" si="162"/>
        <v/>
      </c>
      <c r="R1438" s="162"/>
      <c r="S1438" s="163"/>
      <c r="T1438" s="61">
        <f t="shared" si="163"/>
        <v>0</v>
      </c>
      <c r="U1438" s="61">
        <f t="shared" si="164"/>
        <v>0</v>
      </c>
      <c r="V1438" s="61">
        <f t="shared" si="165"/>
        <v>0</v>
      </c>
      <c r="W1438" s="53"/>
      <c r="X1438" s="53"/>
      <c r="Y1438" s="53"/>
      <c r="Z1438" s="57"/>
      <c r="AA1438" s="66"/>
      <c r="AB1438" s="66"/>
      <c r="AC1438" s="66"/>
      <c r="AD1438" s="66"/>
      <c r="AE1438" s="66"/>
      <c r="AF1438" s="63"/>
      <c r="AG1438" s="64" t="str">
        <f t="shared" si="166"/>
        <v/>
      </c>
    </row>
    <row r="1439" spans="1:33" x14ac:dyDescent="0.25">
      <c r="A1439" s="46" t="str">
        <f>IF(ISBLANK(inbound_data[[#This Row],[Receiving Report ref.'#]]),"",IF(inbound_data[[#This Row],[Ending Quantity]]=0,"ZERO","INV"))</f>
        <v/>
      </c>
      <c r="B1439" s="165" t="str">
        <f t="shared" si="160"/>
        <v/>
      </c>
      <c r="C1439" s="165" t="str">
        <f>IF(ISBLANK(D1439),"",inbound_data[[#This Row],[Pallet_Series]]&amp;inbound_data[[#This Row],[No.]])</f>
        <v/>
      </c>
      <c r="D1439" s="54"/>
      <c r="E1439" s="53"/>
      <c r="F1439" s="56"/>
      <c r="G1439" s="57"/>
      <c r="H1439" s="53"/>
      <c r="I1439" s="53"/>
      <c r="J1439" s="53"/>
      <c r="K1439" s="53"/>
      <c r="L1439" s="67"/>
      <c r="M1439" s="53"/>
      <c r="N1439" s="68"/>
      <c r="O1439" s="68"/>
      <c r="P1439" s="165" t="str">
        <f t="shared" ca="1" si="161"/>
        <v/>
      </c>
      <c r="Q1439" s="165" t="str">
        <f t="shared" ca="1" si="162"/>
        <v/>
      </c>
      <c r="R1439" s="162"/>
      <c r="S1439" s="163"/>
      <c r="T1439" s="61">
        <f t="shared" si="163"/>
        <v>0</v>
      </c>
      <c r="U1439" s="61">
        <f t="shared" si="164"/>
        <v>0</v>
      </c>
      <c r="V1439" s="61">
        <f t="shared" si="165"/>
        <v>0</v>
      </c>
      <c r="W1439" s="53"/>
      <c r="X1439" s="53"/>
      <c r="Y1439" s="53"/>
      <c r="Z1439" s="57"/>
      <c r="AA1439" s="66"/>
      <c r="AB1439" s="66"/>
      <c r="AC1439" s="66"/>
      <c r="AD1439" s="66"/>
      <c r="AE1439" s="66"/>
      <c r="AF1439" s="63"/>
      <c r="AG1439" s="64" t="str">
        <f t="shared" si="166"/>
        <v/>
      </c>
    </row>
    <row r="1440" spans="1:33" x14ac:dyDescent="0.25">
      <c r="A1440" s="46" t="str">
        <f>IF(ISBLANK(inbound_data[[#This Row],[Receiving Report ref.'#]]),"",IF(inbound_data[[#This Row],[Ending Quantity]]=0,"ZERO","INV"))</f>
        <v/>
      </c>
      <c r="B1440" s="165" t="str">
        <f t="shared" si="160"/>
        <v/>
      </c>
      <c r="C1440" s="165" t="str">
        <f>IF(ISBLANK(D1440),"",inbound_data[[#This Row],[Pallet_Series]]&amp;inbound_data[[#This Row],[No.]])</f>
        <v/>
      </c>
      <c r="D1440" s="54"/>
      <c r="E1440" s="53"/>
      <c r="F1440" s="56"/>
      <c r="G1440" s="57"/>
      <c r="H1440" s="53"/>
      <c r="I1440" s="53"/>
      <c r="J1440" s="53"/>
      <c r="K1440" s="53"/>
      <c r="L1440" s="67"/>
      <c r="M1440" s="53"/>
      <c r="N1440" s="68"/>
      <c r="O1440" s="68"/>
      <c r="P1440" s="165" t="str">
        <f t="shared" ca="1" si="161"/>
        <v/>
      </c>
      <c r="Q1440" s="165" t="str">
        <f t="shared" ca="1" si="162"/>
        <v/>
      </c>
      <c r="R1440" s="162"/>
      <c r="S1440" s="163"/>
      <c r="T1440" s="61">
        <f t="shared" si="163"/>
        <v>0</v>
      </c>
      <c r="U1440" s="61">
        <f t="shared" si="164"/>
        <v>0</v>
      </c>
      <c r="V1440" s="61">
        <f t="shared" si="165"/>
        <v>0</v>
      </c>
      <c r="W1440" s="53"/>
      <c r="X1440" s="53"/>
      <c r="Y1440" s="53"/>
      <c r="Z1440" s="57"/>
      <c r="AA1440" s="66"/>
      <c r="AB1440" s="66"/>
      <c r="AC1440" s="66"/>
      <c r="AD1440" s="66"/>
      <c r="AE1440" s="66"/>
      <c r="AF1440" s="63"/>
      <c r="AG1440" s="64" t="str">
        <f t="shared" si="166"/>
        <v/>
      </c>
    </row>
    <row r="1441" spans="1:33" x14ac:dyDescent="0.25">
      <c r="A1441" s="46" t="str">
        <f>IF(ISBLANK(inbound_data[[#This Row],[Receiving Report ref.'#]]),"",IF(inbound_data[[#This Row],[Ending Quantity]]=0,"ZERO","INV"))</f>
        <v/>
      </c>
      <c r="B1441" s="165" t="str">
        <f t="shared" si="160"/>
        <v/>
      </c>
      <c r="C1441" s="165" t="str">
        <f>IF(ISBLANK(D1441),"",inbound_data[[#This Row],[Pallet_Series]]&amp;inbound_data[[#This Row],[No.]])</f>
        <v/>
      </c>
      <c r="D1441" s="54"/>
      <c r="E1441" s="53"/>
      <c r="F1441" s="56"/>
      <c r="G1441" s="57"/>
      <c r="H1441" s="53"/>
      <c r="I1441" s="53"/>
      <c r="J1441" s="53"/>
      <c r="K1441" s="53"/>
      <c r="L1441" s="67"/>
      <c r="M1441" s="53"/>
      <c r="N1441" s="68"/>
      <c r="O1441" s="68"/>
      <c r="P1441" s="165" t="str">
        <f t="shared" ca="1" si="161"/>
        <v/>
      </c>
      <c r="Q1441" s="165" t="str">
        <f t="shared" ca="1" si="162"/>
        <v/>
      </c>
      <c r="R1441" s="162"/>
      <c r="S1441" s="163"/>
      <c r="T1441" s="61">
        <f t="shared" si="163"/>
        <v>0</v>
      </c>
      <c r="U1441" s="61">
        <f t="shared" si="164"/>
        <v>0</v>
      </c>
      <c r="V1441" s="61">
        <f t="shared" si="165"/>
        <v>0</v>
      </c>
      <c r="W1441" s="53"/>
      <c r="X1441" s="53"/>
      <c r="Y1441" s="53"/>
      <c r="Z1441" s="57"/>
      <c r="AA1441" s="66"/>
      <c r="AB1441" s="66"/>
      <c r="AC1441" s="66"/>
      <c r="AD1441" s="66"/>
      <c r="AE1441" s="66"/>
      <c r="AF1441" s="63"/>
      <c r="AG1441" s="64" t="str">
        <f t="shared" si="166"/>
        <v/>
      </c>
    </row>
    <row r="1442" spans="1:33" x14ac:dyDescent="0.25">
      <c r="A1442" s="46" t="str">
        <f>IF(ISBLANK(inbound_data[[#This Row],[Receiving Report ref.'#]]),"",IF(inbound_data[[#This Row],[Ending Quantity]]=0,"ZERO","INV"))</f>
        <v/>
      </c>
      <c r="B1442" s="165" t="str">
        <f t="shared" si="160"/>
        <v/>
      </c>
      <c r="C1442" s="165" t="str">
        <f>IF(ISBLANK(D1442),"",inbound_data[[#This Row],[Pallet_Series]]&amp;inbound_data[[#This Row],[No.]])</f>
        <v/>
      </c>
      <c r="D1442" s="54"/>
      <c r="E1442" s="53"/>
      <c r="F1442" s="56"/>
      <c r="G1442" s="57"/>
      <c r="H1442" s="53"/>
      <c r="I1442" s="53"/>
      <c r="J1442" s="53"/>
      <c r="K1442" s="53"/>
      <c r="L1442" s="67"/>
      <c r="M1442" s="53"/>
      <c r="N1442" s="68"/>
      <c r="O1442" s="68"/>
      <c r="P1442" s="165" t="str">
        <f t="shared" ca="1" si="161"/>
        <v/>
      </c>
      <c r="Q1442" s="165" t="str">
        <f t="shared" ca="1" si="162"/>
        <v/>
      </c>
      <c r="R1442" s="162"/>
      <c r="S1442" s="163"/>
      <c r="T1442" s="61">
        <f t="shared" si="163"/>
        <v>0</v>
      </c>
      <c r="U1442" s="61">
        <f t="shared" si="164"/>
        <v>0</v>
      </c>
      <c r="V1442" s="61">
        <f t="shared" si="165"/>
        <v>0</v>
      </c>
      <c r="W1442" s="53"/>
      <c r="X1442" s="53"/>
      <c r="Y1442" s="53"/>
      <c r="Z1442" s="57"/>
      <c r="AA1442" s="66"/>
      <c r="AB1442" s="66"/>
      <c r="AC1442" s="66"/>
      <c r="AD1442" s="66"/>
      <c r="AE1442" s="66"/>
      <c r="AF1442" s="63"/>
      <c r="AG1442" s="64" t="str">
        <f t="shared" si="166"/>
        <v/>
      </c>
    </row>
    <row r="1443" spans="1:33" x14ac:dyDescent="0.25">
      <c r="A1443" s="46" t="str">
        <f>IF(ISBLANK(inbound_data[[#This Row],[Receiving Report ref.'#]]),"",IF(inbound_data[[#This Row],[Ending Quantity]]=0,"ZERO","INV"))</f>
        <v/>
      </c>
      <c r="B1443" s="165" t="str">
        <f t="shared" si="160"/>
        <v/>
      </c>
      <c r="C1443" s="165" t="str">
        <f>IF(ISBLANK(D1443),"",inbound_data[[#This Row],[Pallet_Series]]&amp;inbound_data[[#This Row],[No.]])</f>
        <v/>
      </c>
      <c r="D1443" s="54"/>
      <c r="E1443" s="53"/>
      <c r="F1443" s="56"/>
      <c r="G1443" s="57"/>
      <c r="H1443" s="53"/>
      <c r="I1443" s="53"/>
      <c r="J1443" s="53"/>
      <c r="K1443" s="53"/>
      <c r="L1443" s="67"/>
      <c r="M1443" s="53"/>
      <c r="N1443" s="68"/>
      <c r="O1443" s="68"/>
      <c r="P1443" s="165" t="str">
        <f t="shared" ca="1" si="161"/>
        <v/>
      </c>
      <c r="Q1443" s="165" t="str">
        <f t="shared" ca="1" si="162"/>
        <v/>
      </c>
      <c r="R1443" s="162"/>
      <c r="S1443" s="163"/>
      <c r="T1443" s="61">
        <f t="shared" si="163"/>
        <v>0</v>
      </c>
      <c r="U1443" s="61">
        <f t="shared" si="164"/>
        <v>0</v>
      </c>
      <c r="V1443" s="61">
        <f t="shared" si="165"/>
        <v>0</v>
      </c>
      <c r="W1443" s="53"/>
      <c r="X1443" s="53"/>
      <c r="Y1443" s="53"/>
      <c r="Z1443" s="57"/>
      <c r="AA1443" s="66"/>
      <c r="AB1443" s="66"/>
      <c r="AC1443" s="66"/>
      <c r="AD1443" s="66"/>
      <c r="AE1443" s="66"/>
      <c r="AF1443" s="63"/>
      <c r="AG1443" s="64" t="str">
        <f t="shared" si="166"/>
        <v/>
      </c>
    </row>
    <row r="1444" spans="1:33" x14ac:dyDescent="0.25">
      <c r="A1444" s="46" t="str">
        <f>IF(ISBLANK(inbound_data[[#This Row],[Receiving Report ref.'#]]),"",IF(inbound_data[[#This Row],[Ending Quantity]]=0,"ZERO","INV"))</f>
        <v/>
      </c>
      <c r="B1444" s="165" t="str">
        <f t="shared" si="160"/>
        <v/>
      </c>
      <c r="C1444" s="165" t="str">
        <f>IF(ISBLANK(D1444),"",inbound_data[[#This Row],[Pallet_Series]]&amp;inbound_data[[#This Row],[No.]])</f>
        <v/>
      </c>
      <c r="D1444" s="54"/>
      <c r="E1444" s="53"/>
      <c r="F1444" s="56"/>
      <c r="G1444" s="57"/>
      <c r="H1444" s="53"/>
      <c r="I1444" s="53"/>
      <c r="J1444" s="53"/>
      <c r="K1444" s="53"/>
      <c r="L1444" s="67"/>
      <c r="M1444" s="53"/>
      <c r="N1444" s="68"/>
      <c r="O1444" s="68"/>
      <c r="P1444" s="165" t="str">
        <f t="shared" ca="1" si="161"/>
        <v/>
      </c>
      <c r="Q1444" s="165" t="str">
        <f t="shared" ca="1" si="162"/>
        <v/>
      </c>
      <c r="R1444" s="162"/>
      <c r="S1444" s="163"/>
      <c r="T1444" s="61">
        <f t="shared" si="163"/>
        <v>0</v>
      </c>
      <c r="U1444" s="61">
        <f t="shared" si="164"/>
        <v>0</v>
      </c>
      <c r="V1444" s="61">
        <f t="shared" si="165"/>
        <v>0</v>
      </c>
      <c r="W1444" s="53"/>
      <c r="X1444" s="53"/>
      <c r="Y1444" s="53"/>
      <c r="Z1444" s="57"/>
      <c r="AA1444" s="66"/>
      <c r="AB1444" s="66"/>
      <c r="AC1444" s="66"/>
      <c r="AD1444" s="66"/>
      <c r="AE1444" s="66"/>
      <c r="AF1444" s="63"/>
      <c r="AG1444" s="64" t="str">
        <f t="shared" si="166"/>
        <v/>
      </c>
    </row>
    <row r="1445" spans="1:33" x14ac:dyDescent="0.25">
      <c r="A1445" s="46" t="str">
        <f>IF(ISBLANK(inbound_data[[#This Row],[Receiving Report ref.'#]]),"",IF(inbound_data[[#This Row],[Ending Quantity]]=0,"ZERO","INV"))</f>
        <v/>
      </c>
      <c r="B1445" s="165" t="str">
        <f t="shared" si="160"/>
        <v/>
      </c>
      <c r="C1445" s="165" t="str">
        <f>IF(ISBLANK(D1445),"",inbound_data[[#This Row],[Pallet_Series]]&amp;inbound_data[[#This Row],[No.]])</f>
        <v/>
      </c>
      <c r="D1445" s="54"/>
      <c r="E1445" s="53"/>
      <c r="F1445" s="56"/>
      <c r="G1445" s="57"/>
      <c r="H1445" s="53"/>
      <c r="I1445" s="53"/>
      <c r="J1445" s="53"/>
      <c r="K1445" s="53"/>
      <c r="L1445" s="67"/>
      <c r="M1445" s="53"/>
      <c r="N1445" s="68"/>
      <c r="O1445" s="68"/>
      <c r="P1445" s="165" t="str">
        <f t="shared" ca="1" si="161"/>
        <v/>
      </c>
      <c r="Q1445" s="165" t="str">
        <f t="shared" ca="1" si="162"/>
        <v/>
      </c>
      <c r="R1445" s="162"/>
      <c r="S1445" s="163"/>
      <c r="T1445" s="61">
        <f t="shared" si="163"/>
        <v>0</v>
      </c>
      <c r="U1445" s="61">
        <f t="shared" si="164"/>
        <v>0</v>
      </c>
      <c r="V1445" s="61">
        <f t="shared" si="165"/>
        <v>0</v>
      </c>
      <c r="W1445" s="53"/>
      <c r="X1445" s="53"/>
      <c r="Y1445" s="53"/>
      <c r="Z1445" s="57"/>
      <c r="AA1445" s="66"/>
      <c r="AB1445" s="66"/>
      <c r="AC1445" s="66"/>
      <c r="AD1445" s="66"/>
      <c r="AE1445" s="66"/>
      <c r="AF1445" s="63"/>
      <c r="AG1445" s="64" t="str">
        <f t="shared" si="166"/>
        <v/>
      </c>
    </row>
    <row r="1446" spans="1:33" x14ac:dyDescent="0.25">
      <c r="A1446" s="46" t="str">
        <f>IF(ISBLANK(inbound_data[[#This Row],[Receiving Report ref.'#]]),"",IF(inbound_data[[#This Row],[Ending Quantity]]=0,"ZERO","INV"))</f>
        <v/>
      </c>
      <c r="B1446" s="165" t="str">
        <f t="shared" si="160"/>
        <v/>
      </c>
      <c r="C1446" s="165" t="str">
        <f>IF(ISBLANK(D1446),"",inbound_data[[#This Row],[Pallet_Series]]&amp;inbound_data[[#This Row],[No.]])</f>
        <v/>
      </c>
      <c r="D1446" s="54"/>
      <c r="E1446" s="53"/>
      <c r="F1446" s="56"/>
      <c r="G1446" s="57"/>
      <c r="H1446" s="53"/>
      <c r="I1446" s="53"/>
      <c r="J1446" s="53"/>
      <c r="K1446" s="53"/>
      <c r="L1446" s="67"/>
      <c r="M1446" s="53"/>
      <c r="N1446" s="68"/>
      <c r="O1446" s="68"/>
      <c r="P1446" s="165" t="str">
        <f t="shared" ca="1" si="161"/>
        <v/>
      </c>
      <c r="Q1446" s="165" t="str">
        <f t="shared" ca="1" si="162"/>
        <v/>
      </c>
      <c r="R1446" s="162"/>
      <c r="S1446" s="163"/>
      <c r="T1446" s="61">
        <f t="shared" si="163"/>
        <v>0</v>
      </c>
      <c r="U1446" s="61">
        <f t="shared" si="164"/>
        <v>0</v>
      </c>
      <c r="V1446" s="61">
        <f t="shared" si="165"/>
        <v>0</v>
      </c>
      <c r="W1446" s="53"/>
      <c r="X1446" s="53"/>
      <c r="Y1446" s="53"/>
      <c r="Z1446" s="57"/>
      <c r="AA1446" s="66"/>
      <c r="AB1446" s="66"/>
      <c r="AC1446" s="66"/>
      <c r="AD1446" s="66"/>
      <c r="AE1446" s="66"/>
      <c r="AF1446" s="63"/>
      <c r="AG1446" s="64" t="str">
        <f t="shared" si="166"/>
        <v/>
      </c>
    </row>
    <row r="1447" spans="1:33" x14ac:dyDescent="0.25">
      <c r="A1447" s="46" t="str">
        <f>IF(ISBLANK(inbound_data[[#This Row],[Receiving Report ref.'#]]),"",IF(inbound_data[[#This Row],[Ending Quantity]]=0,"ZERO","INV"))</f>
        <v/>
      </c>
      <c r="B1447" s="165" t="str">
        <f t="shared" si="160"/>
        <v/>
      </c>
      <c r="C1447" s="165" t="str">
        <f>IF(ISBLANK(D1447),"",inbound_data[[#This Row],[Pallet_Series]]&amp;inbound_data[[#This Row],[No.]])</f>
        <v/>
      </c>
      <c r="D1447" s="54"/>
      <c r="E1447" s="53"/>
      <c r="F1447" s="56"/>
      <c r="G1447" s="57"/>
      <c r="H1447" s="53"/>
      <c r="I1447" s="53"/>
      <c r="J1447" s="53"/>
      <c r="K1447" s="53"/>
      <c r="L1447" s="67"/>
      <c r="M1447" s="53"/>
      <c r="N1447" s="68"/>
      <c r="O1447" s="68"/>
      <c r="P1447" s="165" t="str">
        <f t="shared" ca="1" si="161"/>
        <v/>
      </c>
      <c r="Q1447" s="165" t="str">
        <f t="shared" ca="1" si="162"/>
        <v/>
      </c>
      <c r="R1447" s="162"/>
      <c r="S1447" s="163"/>
      <c r="T1447" s="61">
        <f t="shared" si="163"/>
        <v>0</v>
      </c>
      <c r="U1447" s="61">
        <f t="shared" si="164"/>
        <v>0</v>
      </c>
      <c r="V1447" s="61">
        <f t="shared" si="165"/>
        <v>0</v>
      </c>
      <c r="W1447" s="53"/>
      <c r="X1447" s="53"/>
      <c r="Y1447" s="53"/>
      <c r="Z1447" s="57"/>
      <c r="AA1447" s="66"/>
      <c r="AB1447" s="66"/>
      <c r="AC1447" s="66"/>
      <c r="AD1447" s="66"/>
      <c r="AE1447" s="66"/>
      <c r="AF1447" s="63"/>
      <c r="AG1447" s="64" t="str">
        <f t="shared" si="166"/>
        <v/>
      </c>
    </row>
    <row r="1448" spans="1:33" x14ac:dyDescent="0.25">
      <c r="A1448" s="46" t="str">
        <f>IF(ISBLANK(inbound_data[[#This Row],[Receiving Report ref.'#]]),"",IF(inbound_data[[#This Row],[Ending Quantity]]=0,"ZERO","INV"))</f>
        <v/>
      </c>
      <c r="B1448" s="165" t="str">
        <f t="shared" si="160"/>
        <v/>
      </c>
      <c r="C1448" s="165" t="str">
        <f>IF(ISBLANK(D1448),"",inbound_data[[#This Row],[Pallet_Series]]&amp;inbound_data[[#This Row],[No.]])</f>
        <v/>
      </c>
      <c r="D1448" s="54"/>
      <c r="E1448" s="53"/>
      <c r="F1448" s="56"/>
      <c r="G1448" s="57"/>
      <c r="H1448" s="53"/>
      <c r="I1448" s="53"/>
      <c r="J1448" s="53"/>
      <c r="K1448" s="53"/>
      <c r="L1448" s="67"/>
      <c r="M1448" s="53"/>
      <c r="N1448" s="68"/>
      <c r="O1448" s="68"/>
      <c r="P1448" s="165" t="str">
        <f t="shared" ca="1" si="161"/>
        <v/>
      </c>
      <c r="Q1448" s="165" t="str">
        <f t="shared" ca="1" si="162"/>
        <v/>
      </c>
      <c r="R1448" s="162"/>
      <c r="S1448" s="163"/>
      <c r="T1448" s="61">
        <f t="shared" si="163"/>
        <v>0</v>
      </c>
      <c r="U1448" s="61">
        <f t="shared" si="164"/>
        <v>0</v>
      </c>
      <c r="V1448" s="61">
        <f t="shared" si="165"/>
        <v>0</v>
      </c>
      <c r="W1448" s="53"/>
      <c r="X1448" s="53"/>
      <c r="Y1448" s="53"/>
      <c r="Z1448" s="57"/>
      <c r="AA1448" s="66"/>
      <c r="AB1448" s="66"/>
      <c r="AC1448" s="66"/>
      <c r="AD1448" s="66"/>
      <c r="AE1448" s="66"/>
      <c r="AF1448" s="63"/>
      <c r="AG1448" s="64" t="str">
        <f t="shared" si="166"/>
        <v/>
      </c>
    </row>
    <row r="1449" spans="1:33" x14ac:dyDescent="0.25">
      <c r="A1449" s="46" t="str">
        <f>IF(ISBLANK(inbound_data[[#This Row],[Receiving Report ref.'#]]),"",IF(inbound_data[[#This Row],[Ending Quantity]]=0,"ZERO","INV"))</f>
        <v/>
      </c>
      <c r="B1449" s="165" t="str">
        <f t="shared" si="160"/>
        <v/>
      </c>
      <c r="C1449" s="165" t="str">
        <f>IF(ISBLANK(D1449),"",inbound_data[[#This Row],[Pallet_Series]]&amp;inbound_data[[#This Row],[No.]])</f>
        <v/>
      </c>
      <c r="D1449" s="54"/>
      <c r="E1449" s="53"/>
      <c r="F1449" s="56"/>
      <c r="G1449" s="57"/>
      <c r="H1449" s="53"/>
      <c r="I1449" s="53"/>
      <c r="J1449" s="53"/>
      <c r="K1449" s="53"/>
      <c r="L1449" s="67"/>
      <c r="M1449" s="53"/>
      <c r="N1449" s="68"/>
      <c r="O1449" s="68"/>
      <c r="P1449" s="165" t="str">
        <f t="shared" ca="1" si="161"/>
        <v/>
      </c>
      <c r="Q1449" s="165" t="str">
        <f t="shared" ca="1" si="162"/>
        <v/>
      </c>
      <c r="R1449" s="162"/>
      <c r="S1449" s="163"/>
      <c r="T1449" s="61">
        <f t="shared" si="163"/>
        <v>0</v>
      </c>
      <c r="U1449" s="61">
        <f t="shared" si="164"/>
        <v>0</v>
      </c>
      <c r="V1449" s="61">
        <f t="shared" si="165"/>
        <v>0</v>
      </c>
      <c r="W1449" s="53"/>
      <c r="X1449" s="53"/>
      <c r="Y1449" s="53"/>
      <c r="Z1449" s="57"/>
      <c r="AA1449" s="66"/>
      <c r="AB1449" s="66"/>
      <c r="AC1449" s="66"/>
      <c r="AD1449" s="66"/>
      <c r="AE1449" s="66"/>
      <c r="AF1449" s="63"/>
      <c r="AG1449" s="64" t="str">
        <f t="shared" si="166"/>
        <v/>
      </c>
    </row>
    <row r="1450" spans="1:33" x14ac:dyDescent="0.25">
      <c r="A1450" s="46" t="str">
        <f>IF(ISBLANK(inbound_data[[#This Row],[Receiving Report ref.'#]]),"",IF(inbound_data[[#This Row],[Ending Quantity]]=0,"ZERO","INV"))</f>
        <v/>
      </c>
      <c r="B1450" s="165" t="str">
        <f t="shared" si="160"/>
        <v/>
      </c>
      <c r="C1450" s="165" t="str">
        <f>IF(ISBLANK(D1450),"",inbound_data[[#This Row],[Pallet_Series]]&amp;inbound_data[[#This Row],[No.]])</f>
        <v/>
      </c>
      <c r="D1450" s="54"/>
      <c r="E1450" s="53"/>
      <c r="F1450" s="56"/>
      <c r="G1450" s="57"/>
      <c r="H1450" s="53"/>
      <c r="I1450" s="53"/>
      <c r="J1450" s="53"/>
      <c r="K1450" s="53"/>
      <c r="L1450" s="67"/>
      <c r="M1450" s="53"/>
      <c r="N1450" s="68"/>
      <c r="O1450" s="68"/>
      <c r="P1450" s="165" t="str">
        <f t="shared" ca="1" si="161"/>
        <v/>
      </c>
      <c r="Q1450" s="165" t="str">
        <f t="shared" ca="1" si="162"/>
        <v/>
      </c>
      <c r="R1450" s="162"/>
      <c r="S1450" s="163"/>
      <c r="T1450" s="61">
        <f t="shared" si="163"/>
        <v>0</v>
      </c>
      <c r="U1450" s="61">
        <f t="shared" si="164"/>
        <v>0</v>
      </c>
      <c r="V1450" s="61">
        <f t="shared" si="165"/>
        <v>0</v>
      </c>
      <c r="W1450" s="53"/>
      <c r="X1450" s="53"/>
      <c r="Y1450" s="53"/>
      <c r="Z1450" s="57"/>
      <c r="AA1450" s="66"/>
      <c r="AB1450" s="66"/>
      <c r="AC1450" s="66"/>
      <c r="AD1450" s="66"/>
      <c r="AE1450" s="66"/>
      <c r="AF1450" s="63"/>
      <c r="AG1450" s="64" t="str">
        <f t="shared" si="166"/>
        <v/>
      </c>
    </row>
    <row r="1451" spans="1:33" x14ac:dyDescent="0.25">
      <c r="A1451" s="46" t="str">
        <f>IF(ISBLANK(inbound_data[[#This Row],[Receiving Report ref.'#]]),"",IF(inbound_data[[#This Row],[Ending Quantity]]=0,"ZERO","INV"))</f>
        <v/>
      </c>
      <c r="B1451" s="165" t="str">
        <f t="shared" si="160"/>
        <v/>
      </c>
      <c r="C1451" s="165" t="str">
        <f>IF(ISBLANK(D1451),"",inbound_data[[#This Row],[Pallet_Series]]&amp;inbound_data[[#This Row],[No.]])</f>
        <v/>
      </c>
      <c r="D1451" s="54"/>
      <c r="E1451" s="53"/>
      <c r="F1451" s="56"/>
      <c r="G1451" s="57"/>
      <c r="H1451" s="53"/>
      <c r="I1451" s="53"/>
      <c r="J1451" s="53"/>
      <c r="K1451" s="53"/>
      <c r="L1451" s="67"/>
      <c r="M1451" s="53"/>
      <c r="N1451" s="68"/>
      <c r="O1451" s="68"/>
      <c r="P1451" s="165" t="str">
        <f t="shared" ca="1" si="161"/>
        <v/>
      </c>
      <c r="Q1451" s="165" t="str">
        <f t="shared" ca="1" si="162"/>
        <v/>
      </c>
      <c r="R1451" s="162"/>
      <c r="S1451" s="163"/>
      <c r="T1451" s="61">
        <f t="shared" si="163"/>
        <v>0</v>
      </c>
      <c r="U1451" s="61">
        <f t="shared" si="164"/>
        <v>0</v>
      </c>
      <c r="V1451" s="61">
        <f t="shared" si="165"/>
        <v>0</v>
      </c>
      <c r="W1451" s="53"/>
      <c r="X1451" s="53"/>
      <c r="Y1451" s="53"/>
      <c r="Z1451" s="57"/>
      <c r="AA1451" s="66"/>
      <c r="AB1451" s="66"/>
      <c r="AC1451" s="66"/>
      <c r="AD1451" s="66"/>
      <c r="AE1451" s="66"/>
      <c r="AF1451" s="63"/>
      <c r="AG1451" s="64" t="str">
        <f t="shared" si="166"/>
        <v/>
      </c>
    </row>
    <row r="1452" spans="1:33" x14ac:dyDescent="0.25">
      <c r="A1452" s="46" t="str">
        <f>IF(ISBLANK(inbound_data[[#This Row],[Receiving Report ref.'#]]),"",IF(inbound_data[[#This Row],[Ending Quantity]]=0,"ZERO","INV"))</f>
        <v/>
      </c>
      <c r="B1452" s="165" t="str">
        <f t="shared" si="160"/>
        <v/>
      </c>
      <c r="C1452" s="165" t="str">
        <f>IF(ISBLANK(D1452),"",inbound_data[[#This Row],[Pallet_Series]]&amp;inbound_data[[#This Row],[No.]])</f>
        <v/>
      </c>
      <c r="D1452" s="54"/>
      <c r="E1452" s="53"/>
      <c r="F1452" s="56"/>
      <c r="G1452" s="57"/>
      <c r="H1452" s="53"/>
      <c r="I1452" s="53"/>
      <c r="J1452" s="53"/>
      <c r="K1452" s="53"/>
      <c r="L1452" s="67"/>
      <c r="M1452" s="53"/>
      <c r="N1452" s="68"/>
      <c r="O1452" s="68"/>
      <c r="P1452" s="165" t="str">
        <f t="shared" ca="1" si="161"/>
        <v/>
      </c>
      <c r="Q1452" s="165" t="str">
        <f t="shared" ca="1" si="162"/>
        <v/>
      </c>
      <c r="R1452" s="162"/>
      <c r="S1452" s="163"/>
      <c r="T1452" s="61">
        <f t="shared" si="163"/>
        <v>0</v>
      </c>
      <c r="U1452" s="61">
        <f t="shared" si="164"/>
        <v>0</v>
      </c>
      <c r="V1452" s="61">
        <f t="shared" si="165"/>
        <v>0</v>
      </c>
      <c r="W1452" s="53"/>
      <c r="X1452" s="53"/>
      <c r="Y1452" s="53"/>
      <c r="Z1452" s="57"/>
      <c r="AA1452" s="66"/>
      <c r="AB1452" s="66"/>
      <c r="AC1452" s="66"/>
      <c r="AD1452" s="66"/>
      <c r="AE1452" s="66"/>
      <c r="AF1452" s="63"/>
      <c r="AG1452" s="64" t="str">
        <f t="shared" si="166"/>
        <v/>
      </c>
    </row>
    <row r="1453" spans="1:33" x14ac:dyDescent="0.25">
      <c r="A1453" s="46" t="str">
        <f>IF(ISBLANK(inbound_data[[#This Row],[Receiving Report ref.'#]]),"",IF(inbound_data[[#This Row],[Ending Quantity]]=0,"ZERO","INV"))</f>
        <v/>
      </c>
      <c r="B1453" s="165" t="str">
        <f t="shared" si="160"/>
        <v/>
      </c>
      <c r="C1453" s="165" t="str">
        <f>IF(ISBLANK(D1453),"",inbound_data[[#This Row],[Pallet_Series]]&amp;inbound_data[[#This Row],[No.]])</f>
        <v/>
      </c>
      <c r="D1453" s="54"/>
      <c r="E1453" s="53"/>
      <c r="F1453" s="56"/>
      <c r="G1453" s="57"/>
      <c r="H1453" s="53"/>
      <c r="I1453" s="53"/>
      <c r="J1453" s="53"/>
      <c r="K1453" s="53"/>
      <c r="L1453" s="67"/>
      <c r="M1453" s="53"/>
      <c r="N1453" s="68"/>
      <c r="O1453" s="68"/>
      <c r="P1453" s="165" t="str">
        <f t="shared" ca="1" si="161"/>
        <v/>
      </c>
      <c r="Q1453" s="165" t="str">
        <f t="shared" ca="1" si="162"/>
        <v/>
      </c>
      <c r="R1453" s="162"/>
      <c r="S1453" s="163"/>
      <c r="T1453" s="61">
        <f t="shared" si="163"/>
        <v>0</v>
      </c>
      <c r="U1453" s="61">
        <f t="shared" si="164"/>
        <v>0</v>
      </c>
      <c r="V1453" s="61">
        <f t="shared" si="165"/>
        <v>0</v>
      </c>
      <c r="W1453" s="53"/>
      <c r="X1453" s="53"/>
      <c r="Y1453" s="53"/>
      <c r="Z1453" s="57"/>
      <c r="AA1453" s="66"/>
      <c r="AB1453" s="66"/>
      <c r="AC1453" s="66"/>
      <c r="AD1453" s="66"/>
      <c r="AE1453" s="66"/>
      <c r="AF1453" s="63"/>
      <c r="AG1453" s="64" t="str">
        <f t="shared" si="166"/>
        <v/>
      </c>
    </row>
    <row r="1454" spans="1:33" x14ac:dyDescent="0.25">
      <c r="A1454" s="46" t="str">
        <f>IF(ISBLANK(inbound_data[[#This Row],[Receiving Report ref.'#]]),"",IF(inbound_data[[#This Row],[Ending Quantity]]=0,"ZERO","INV"))</f>
        <v/>
      </c>
      <c r="B1454" s="165" t="str">
        <f t="shared" si="160"/>
        <v/>
      </c>
      <c r="C1454" s="165" t="str">
        <f>IF(ISBLANK(D1454),"",inbound_data[[#This Row],[Pallet_Series]]&amp;inbound_data[[#This Row],[No.]])</f>
        <v/>
      </c>
      <c r="D1454" s="54"/>
      <c r="E1454" s="53"/>
      <c r="F1454" s="56"/>
      <c r="G1454" s="57"/>
      <c r="H1454" s="53"/>
      <c r="I1454" s="53"/>
      <c r="J1454" s="53"/>
      <c r="K1454" s="53"/>
      <c r="L1454" s="67"/>
      <c r="M1454" s="53"/>
      <c r="N1454" s="68"/>
      <c r="O1454" s="68"/>
      <c r="P1454" s="165" t="str">
        <f t="shared" ca="1" si="161"/>
        <v/>
      </c>
      <c r="Q1454" s="165" t="str">
        <f t="shared" ca="1" si="162"/>
        <v/>
      </c>
      <c r="R1454" s="162"/>
      <c r="S1454" s="163"/>
      <c r="T1454" s="61">
        <f t="shared" si="163"/>
        <v>0</v>
      </c>
      <c r="U1454" s="61">
        <f t="shared" si="164"/>
        <v>0</v>
      </c>
      <c r="V1454" s="61">
        <f t="shared" si="165"/>
        <v>0</v>
      </c>
      <c r="W1454" s="53"/>
      <c r="X1454" s="53"/>
      <c r="Y1454" s="53"/>
      <c r="Z1454" s="57"/>
      <c r="AA1454" s="66"/>
      <c r="AB1454" s="66"/>
      <c r="AC1454" s="66"/>
      <c r="AD1454" s="66"/>
      <c r="AE1454" s="66"/>
      <c r="AF1454" s="63"/>
      <c r="AG1454" s="64" t="str">
        <f t="shared" si="166"/>
        <v/>
      </c>
    </row>
    <row r="1455" spans="1:33" x14ac:dyDescent="0.25">
      <c r="A1455" s="46" t="str">
        <f>IF(ISBLANK(inbound_data[[#This Row],[Receiving Report ref.'#]]),"",IF(inbound_data[[#This Row],[Ending Quantity]]=0,"ZERO","INV"))</f>
        <v/>
      </c>
      <c r="B1455" s="165" t="str">
        <f t="shared" si="160"/>
        <v/>
      </c>
      <c r="C1455" s="165" t="str">
        <f>IF(ISBLANK(D1455),"",inbound_data[[#This Row],[Pallet_Series]]&amp;inbound_data[[#This Row],[No.]])</f>
        <v/>
      </c>
      <c r="D1455" s="54"/>
      <c r="E1455" s="53"/>
      <c r="F1455" s="56"/>
      <c r="G1455" s="57"/>
      <c r="H1455" s="53"/>
      <c r="I1455" s="53"/>
      <c r="J1455" s="53"/>
      <c r="K1455" s="53"/>
      <c r="L1455" s="67"/>
      <c r="M1455" s="53"/>
      <c r="N1455" s="68"/>
      <c r="O1455" s="68"/>
      <c r="P1455" s="165" t="str">
        <f t="shared" ca="1" si="161"/>
        <v/>
      </c>
      <c r="Q1455" s="165" t="str">
        <f t="shared" ca="1" si="162"/>
        <v/>
      </c>
      <c r="R1455" s="162"/>
      <c r="S1455" s="163"/>
      <c r="T1455" s="61">
        <f t="shared" si="163"/>
        <v>0</v>
      </c>
      <c r="U1455" s="61">
        <f t="shared" si="164"/>
        <v>0</v>
      </c>
      <c r="V1455" s="61">
        <f t="shared" si="165"/>
        <v>0</v>
      </c>
      <c r="W1455" s="53"/>
      <c r="X1455" s="53"/>
      <c r="Y1455" s="53"/>
      <c r="Z1455" s="57"/>
      <c r="AA1455" s="66"/>
      <c r="AB1455" s="66"/>
      <c r="AC1455" s="66"/>
      <c r="AD1455" s="66"/>
      <c r="AE1455" s="66"/>
      <c r="AF1455" s="63"/>
      <c r="AG1455" s="64" t="str">
        <f t="shared" si="166"/>
        <v/>
      </c>
    </row>
    <row r="1456" spans="1:33" x14ac:dyDescent="0.25">
      <c r="A1456" s="46" t="str">
        <f>IF(ISBLANK(inbound_data[[#This Row],[Receiving Report ref.'#]]),"",IF(inbound_data[[#This Row],[Ending Quantity]]=0,"ZERO","INV"))</f>
        <v/>
      </c>
      <c r="B1456" s="165" t="str">
        <f t="shared" si="160"/>
        <v/>
      </c>
      <c r="C1456" s="165" t="str">
        <f>IF(ISBLANK(D1456),"",inbound_data[[#This Row],[Pallet_Series]]&amp;inbound_data[[#This Row],[No.]])</f>
        <v/>
      </c>
      <c r="D1456" s="54"/>
      <c r="E1456" s="53"/>
      <c r="F1456" s="56"/>
      <c r="G1456" s="57"/>
      <c r="H1456" s="53"/>
      <c r="I1456" s="53"/>
      <c r="J1456" s="53"/>
      <c r="K1456" s="53"/>
      <c r="L1456" s="67"/>
      <c r="M1456" s="53"/>
      <c r="N1456" s="68"/>
      <c r="O1456" s="68"/>
      <c r="P1456" s="165" t="str">
        <f t="shared" ca="1" si="161"/>
        <v/>
      </c>
      <c r="Q1456" s="165" t="str">
        <f t="shared" ca="1" si="162"/>
        <v/>
      </c>
      <c r="R1456" s="162"/>
      <c r="S1456" s="163"/>
      <c r="T1456" s="61">
        <f t="shared" si="163"/>
        <v>0</v>
      </c>
      <c r="U1456" s="61">
        <f t="shared" si="164"/>
        <v>0</v>
      </c>
      <c r="V1456" s="61">
        <f t="shared" si="165"/>
        <v>0</v>
      </c>
      <c r="W1456" s="53"/>
      <c r="X1456" s="53"/>
      <c r="Y1456" s="53"/>
      <c r="Z1456" s="57"/>
      <c r="AA1456" s="66"/>
      <c r="AB1456" s="66"/>
      <c r="AC1456" s="66"/>
      <c r="AD1456" s="66"/>
      <c r="AE1456" s="66"/>
      <c r="AF1456" s="63"/>
      <c r="AG1456" s="64" t="str">
        <f t="shared" si="166"/>
        <v/>
      </c>
    </row>
    <row r="1457" spans="1:33" x14ac:dyDescent="0.25">
      <c r="A1457" s="46" t="str">
        <f>IF(ISBLANK(inbound_data[[#This Row],[Receiving Report ref.'#]]),"",IF(inbound_data[[#This Row],[Ending Quantity]]=0,"ZERO","INV"))</f>
        <v/>
      </c>
      <c r="B1457" s="165" t="str">
        <f t="shared" si="160"/>
        <v/>
      </c>
      <c r="C1457" s="165" t="str">
        <f>IF(ISBLANK(D1457),"",inbound_data[[#This Row],[Pallet_Series]]&amp;inbound_data[[#This Row],[No.]])</f>
        <v/>
      </c>
      <c r="D1457" s="54"/>
      <c r="E1457" s="53"/>
      <c r="F1457" s="56"/>
      <c r="G1457" s="57"/>
      <c r="H1457" s="53"/>
      <c r="I1457" s="53"/>
      <c r="J1457" s="53"/>
      <c r="K1457" s="53"/>
      <c r="L1457" s="67"/>
      <c r="M1457" s="53"/>
      <c r="N1457" s="68"/>
      <c r="O1457" s="68"/>
      <c r="P1457" s="165" t="str">
        <f t="shared" ca="1" si="161"/>
        <v/>
      </c>
      <c r="Q1457" s="165" t="str">
        <f t="shared" ca="1" si="162"/>
        <v/>
      </c>
      <c r="R1457" s="162"/>
      <c r="S1457" s="163"/>
      <c r="T1457" s="61">
        <f t="shared" si="163"/>
        <v>0</v>
      </c>
      <c r="U1457" s="61">
        <f t="shared" si="164"/>
        <v>0</v>
      </c>
      <c r="V1457" s="61">
        <f t="shared" si="165"/>
        <v>0</v>
      </c>
      <c r="W1457" s="53"/>
      <c r="X1457" s="53"/>
      <c r="Y1457" s="53"/>
      <c r="Z1457" s="57"/>
      <c r="AA1457" s="66"/>
      <c r="AB1457" s="66"/>
      <c r="AC1457" s="66"/>
      <c r="AD1457" s="66"/>
      <c r="AE1457" s="66"/>
      <c r="AF1457" s="63"/>
      <c r="AG1457" s="64" t="str">
        <f t="shared" si="166"/>
        <v/>
      </c>
    </row>
    <row r="1458" spans="1:33" x14ac:dyDescent="0.25">
      <c r="A1458" s="46" t="str">
        <f>IF(ISBLANK(inbound_data[[#This Row],[Receiving Report ref.'#]]),"",IF(inbound_data[[#This Row],[Ending Quantity]]=0,"ZERO","INV"))</f>
        <v/>
      </c>
      <c r="B1458" s="165" t="str">
        <f t="shared" si="160"/>
        <v/>
      </c>
      <c r="C1458" s="165" t="str">
        <f>IF(ISBLANK(D1458),"",inbound_data[[#This Row],[Pallet_Series]]&amp;inbound_data[[#This Row],[No.]])</f>
        <v/>
      </c>
      <c r="D1458" s="54"/>
      <c r="E1458" s="53"/>
      <c r="F1458" s="56"/>
      <c r="G1458" s="57"/>
      <c r="H1458" s="53"/>
      <c r="I1458" s="53"/>
      <c r="J1458" s="53"/>
      <c r="K1458" s="53"/>
      <c r="L1458" s="67"/>
      <c r="M1458" s="53"/>
      <c r="N1458" s="68"/>
      <c r="O1458" s="68"/>
      <c r="P1458" s="165" t="str">
        <f t="shared" ca="1" si="161"/>
        <v/>
      </c>
      <c r="Q1458" s="165" t="str">
        <f t="shared" ca="1" si="162"/>
        <v/>
      </c>
      <c r="R1458" s="162"/>
      <c r="S1458" s="163"/>
      <c r="T1458" s="61">
        <f t="shared" si="163"/>
        <v>0</v>
      </c>
      <c r="U1458" s="61">
        <f t="shared" si="164"/>
        <v>0</v>
      </c>
      <c r="V1458" s="61">
        <f t="shared" si="165"/>
        <v>0</v>
      </c>
      <c r="W1458" s="53"/>
      <c r="X1458" s="53"/>
      <c r="Y1458" s="53"/>
      <c r="Z1458" s="57"/>
      <c r="AA1458" s="66"/>
      <c r="AB1458" s="66"/>
      <c r="AC1458" s="66"/>
      <c r="AD1458" s="66"/>
      <c r="AE1458" s="66"/>
      <c r="AF1458" s="63"/>
      <c r="AG1458" s="64" t="str">
        <f t="shared" si="166"/>
        <v/>
      </c>
    </row>
    <row r="1459" spans="1:33" x14ac:dyDescent="0.25">
      <c r="A1459" s="46" t="str">
        <f>IF(ISBLANK(inbound_data[[#This Row],[Receiving Report ref.'#]]),"",IF(inbound_data[[#This Row],[Ending Quantity]]=0,"ZERO","INV"))</f>
        <v/>
      </c>
      <c r="B1459" s="165" t="str">
        <f t="shared" si="160"/>
        <v/>
      </c>
      <c r="C1459" s="165" t="str">
        <f>IF(ISBLANK(D1459),"",inbound_data[[#This Row],[Pallet_Series]]&amp;inbound_data[[#This Row],[No.]])</f>
        <v/>
      </c>
      <c r="D1459" s="54"/>
      <c r="E1459" s="53"/>
      <c r="F1459" s="56"/>
      <c r="G1459" s="57"/>
      <c r="H1459" s="53"/>
      <c r="I1459" s="53"/>
      <c r="J1459" s="53"/>
      <c r="K1459" s="53"/>
      <c r="L1459" s="67"/>
      <c r="M1459" s="53"/>
      <c r="N1459" s="68"/>
      <c r="O1459" s="68"/>
      <c r="P1459" s="165" t="str">
        <f t="shared" ca="1" si="161"/>
        <v/>
      </c>
      <c r="Q1459" s="165" t="str">
        <f t="shared" ca="1" si="162"/>
        <v/>
      </c>
      <c r="R1459" s="162"/>
      <c r="S1459" s="163"/>
      <c r="T1459" s="61">
        <f t="shared" si="163"/>
        <v>0</v>
      </c>
      <c r="U1459" s="61">
        <f t="shared" si="164"/>
        <v>0</v>
      </c>
      <c r="V1459" s="61">
        <f t="shared" si="165"/>
        <v>0</v>
      </c>
      <c r="W1459" s="53"/>
      <c r="X1459" s="53"/>
      <c r="Y1459" s="53"/>
      <c r="Z1459" s="57"/>
      <c r="AA1459" s="66"/>
      <c r="AB1459" s="66"/>
      <c r="AC1459" s="66"/>
      <c r="AD1459" s="66"/>
      <c r="AE1459" s="66"/>
      <c r="AF1459" s="63"/>
      <c r="AG1459" s="64" t="str">
        <f t="shared" si="166"/>
        <v/>
      </c>
    </row>
    <row r="1460" spans="1:33" x14ac:dyDescent="0.25">
      <c r="A1460" s="46" t="str">
        <f>IF(ISBLANK(inbound_data[[#This Row],[Receiving Report ref.'#]]),"",IF(inbound_data[[#This Row],[Ending Quantity]]=0,"ZERO","INV"))</f>
        <v/>
      </c>
      <c r="B1460" s="165" t="str">
        <f t="shared" si="160"/>
        <v/>
      </c>
      <c r="C1460" s="165" t="str">
        <f>IF(ISBLANK(D1460),"",inbound_data[[#This Row],[Pallet_Series]]&amp;inbound_data[[#This Row],[No.]])</f>
        <v/>
      </c>
      <c r="D1460" s="54"/>
      <c r="E1460" s="53"/>
      <c r="F1460" s="56"/>
      <c r="G1460" s="57"/>
      <c r="H1460" s="53"/>
      <c r="I1460" s="53"/>
      <c r="J1460" s="53"/>
      <c r="K1460" s="53"/>
      <c r="L1460" s="67"/>
      <c r="M1460" s="53"/>
      <c r="N1460" s="68"/>
      <c r="O1460" s="68"/>
      <c r="P1460" s="165" t="str">
        <f t="shared" ca="1" si="161"/>
        <v/>
      </c>
      <c r="Q1460" s="165" t="str">
        <f t="shared" ca="1" si="162"/>
        <v/>
      </c>
      <c r="R1460" s="162"/>
      <c r="S1460" s="163"/>
      <c r="T1460" s="61">
        <f t="shared" si="163"/>
        <v>0</v>
      </c>
      <c r="U1460" s="61">
        <f t="shared" si="164"/>
        <v>0</v>
      </c>
      <c r="V1460" s="61">
        <f t="shared" si="165"/>
        <v>0</v>
      </c>
      <c r="W1460" s="53"/>
      <c r="X1460" s="53"/>
      <c r="Y1460" s="53"/>
      <c r="Z1460" s="57"/>
      <c r="AA1460" s="66"/>
      <c r="AB1460" s="66"/>
      <c r="AC1460" s="66"/>
      <c r="AD1460" s="66"/>
      <c r="AE1460" s="66"/>
      <c r="AF1460" s="63"/>
      <c r="AG1460" s="64" t="str">
        <f t="shared" si="166"/>
        <v/>
      </c>
    </row>
    <row r="1461" spans="1:33" x14ac:dyDescent="0.25">
      <c r="A1461" s="46" t="str">
        <f>IF(ISBLANK(inbound_data[[#This Row],[Receiving Report ref.'#]]),"",IF(inbound_data[[#This Row],[Ending Quantity]]=0,"ZERO","INV"))</f>
        <v/>
      </c>
      <c r="B1461" s="165" t="str">
        <f t="shared" si="160"/>
        <v/>
      </c>
      <c r="C1461" s="165" t="str">
        <f>IF(ISBLANK(D1461),"",inbound_data[[#This Row],[Pallet_Series]]&amp;inbound_data[[#This Row],[No.]])</f>
        <v/>
      </c>
      <c r="D1461" s="54"/>
      <c r="E1461" s="53"/>
      <c r="F1461" s="56"/>
      <c r="G1461" s="57"/>
      <c r="H1461" s="53"/>
      <c r="I1461" s="53"/>
      <c r="J1461" s="53"/>
      <c r="K1461" s="53"/>
      <c r="L1461" s="67"/>
      <c r="M1461" s="53"/>
      <c r="N1461" s="68"/>
      <c r="O1461" s="68"/>
      <c r="P1461" s="165" t="str">
        <f t="shared" ca="1" si="161"/>
        <v/>
      </c>
      <c r="Q1461" s="165" t="str">
        <f t="shared" ca="1" si="162"/>
        <v/>
      </c>
      <c r="R1461" s="162"/>
      <c r="S1461" s="163"/>
      <c r="T1461" s="61">
        <f t="shared" si="163"/>
        <v>0</v>
      </c>
      <c r="U1461" s="61">
        <f t="shared" si="164"/>
        <v>0</v>
      </c>
      <c r="V1461" s="61">
        <f t="shared" si="165"/>
        <v>0</v>
      </c>
      <c r="W1461" s="53"/>
      <c r="X1461" s="53"/>
      <c r="Y1461" s="53"/>
      <c r="Z1461" s="57"/>
      <c r="AA1461" s="66"/>
      <c r="AB1461" s="66"/>
      <c r="AC1461" s="66"/>
      <c r="AD1461" s="66"/>
      <c r="AE1461" s="66"/>
      <c r="AF1461" s="63"/>
      <c r="AG1461" s="64" t="str">
        <f t="shared" si="166"/>
        <v/>
      </c>
    </row>
    <row r="1462" spans="1:33" x14ac:dyDescent="0.25">
      <c r="A1462" s="46" t="str">
        <f>IF(ISBLANK(inbound_data[[#This Row],[Receiving Report ref.'#]]),"",IF(inbound_data[[#This Row],[Ending Quantity]]=0,"ZERO","INV"))</f>
        <v/>
      </c>
      <c r="B1462" s="165" t="str">
        <f t="shared" si="160"/>
        <v/>
      </c>
      <c r="C1462" s="165" t="str">
        <f>IF(ISBLANK(D1462),"",inbound_data[[#This Row],[Pallet_Series]]&amp;inbound_data[[#This Row],[No.]])</f>
        <v/>
      </c>
      <c r="D1462" s="54"/>
      <c r="E1462" s="53"/>
      <c r="F1462" s="56"/>
      <c r="G1462" s="57"/>
      <c r="H1462" s="53"/>
      <c r="I1462" s="53"/>
      <c r="J1462" s="53"/>
      <c r="K1462" s="53"/>
      <c r="L1462" s="67"/>
      <c r="M1462" s="53"/>
      <c r="N1462" s="68"/>
      <c r="O1462" s="68"/>
      <c r="P1462" s="165" t="str">
        <f t="shared" ca="1" si="161"/>
        <v/>
      </c>
      <c r="Q1462" s="165" t="str">
        <f t="shared" ca="1" si="162"/>
        <v/>
      </c>
      <c r="R1462" s="162"/>
      <c r="S1462" s="163"/>
      <c r="T1462" s="61">
        <f t="shared" si="163"/>
        <v>0</v>
      </c>
      <c r="U1462" s="61">
        <f t="shared" si="164"/>
        <v>0</v>
      </c>
      <c r="V1462" s="61">
        <f t="shared" si="165"/>
        <v>0</v>
      </c>
      <c r="W1462" s="53"/>
      <c r="X1462" s="53"/>
      <c r="Y1462" s="53"/>
      <c r="Z1462" s="57"/>
      <c r="AA1462" s="66"/>
      <c r="AB1462" s="66"/>
      <c r="AC1462" s="66"/>
      <c r="AD1462" s="66"/>
      <c r="AE1462" s="66"/>
      <c r="AF1462" s="63"/>
      <c r="AG1462" s="64" t="str">
        <f t="shared" si="166"/>
        <v/>
      </c>
    </row>
    <row r="1463" spans="1:33" x14ac:dyDescent="0.25">
      <c r="A1463" s="46" t="str">
        <f>IF(ISBLANK(inbound_data[[#This Row],[Receiving Report ref.'#]]),"",IF(inbound_data[[#This Row],[Ending Quantity]]=0,"ZERO","INV"))</f>
        <v/>
      </c>
      <c r="B1463" s="165" t="str">
        <f t="shared" si="160"/>
        <v/>
      </c>
      <c r="C1463" s="165" t="str">
        <f>IF(ISBLANK(D1463),"",inbound_data[[#This Row],[Pallet_Series]]&amp;inbound_data[[#This Row],[No.]])</f>
        <v/>
      </c>
      <c r="D1463" s="54"/>
      <c r="E1463" s="53"/>
      <c r="F1463" s="56"/>
      <c r="G1463" s="57"/>
      <c r="H1463" s="53"/>
      <c r="I1463" s="53"/>
      <c r="J1463" s="53"/>
      <c r="K1463" s="53"/>
      <c r="L1463" s="67"/>
      <c r="M1463" s="53"/>
      <c r="N1463" s="68"/>
      <c r="O1463" s="68"/>
      <c r="P1463" s="165" t="str">
        <f t="shared" ca="1" si="161"/>
        <v/>
      </c>
      <c r="Q1463" s="165" t="str">
        <f t="shared" ca="1" si="162"/>
        <v/>
      </c>
      <c r="R1463" s="162"/>
      <c r="S1463" s="163"/>
      <c r="T1463" s="61">
        <f t="shared" si="163"/>
        <v>0</v>
      </c>
      <c r="U1463" s="61">
        <f t="shared" si="164"/>
        <v>0</v>
      </c>
      <c r="V1463" s="61">
        <f t="shared" si="165"/>
        <v>0</v>
      </c>
      <c r="W1463" s="53"/>
      <c r="X1463" s="53"/>
      <c r="Y1463" s="53"/>
      <c r="Z1463" s="57"/>
      <c r="AA1463" s="66"/>
      <c r="AB1463" s="66"/>
      <c r="AC1463" s="66"/>
      <c r="AD1463" s="66"/>
      <c r="AE1463" s="66"/>
      <c r="AF1463" s="63"/>
      <c r="AG1463" s="64" t="str">
        <f t="shared" si="166"/>
        <v/>
      </c>
    </row>
    <row r="1464" spans="1:33" x14ac:dyDescent="0.25">
      <c r="A1464" s="46" t="str">
        <f>IF(ISBLANK(inbound_data[[#This Row],[Receiving Report ref.'#]]),"",IF(inbound_data[[#This Row],[Ending Quantity]]=0,"ZERO","INV"))</f>
        <v/>
      </c>
      <c r="B1464" s="165" t="str">
        <f t="shared" si="160"/>
        <v/>
      </c>
      <c r="C1464" s="165" t="str">
        <f>IF(ISBLANK(D1464),"",inbound_data[[#This Row],[Pallet_Series]]&amp;inbound_data[[#This Row],[No.]])</f>
        <v/>
      </c>
      <c r="D1464" s="54"/>
      <c r="E1464" s="53"/>
      <c r="F1464" s="56"/>
      <c r="G1464" s="57"/>
      <c r="H1464" s="53"/>
      <c r="I1464" s="53"/>
      <c r="J1464" s="53"/>
      <c r="K1464" s="53"/>
      <c r="L1464" s="67"/>
      <c r="M1464" s="53"/>
      <c r="N1464" s="68"/>
      <c r="O1464" s="68"/>
      <c r="P1464" s="165" t="str">
        <f t="shared" ca="1" si="161"/>
        <v/>
      </c>
      <c r="Q1464" s="165" t="str">
        <f t="shared" ca="1" si="162"/>
        <v/>
      </c>
      <c r="R1464" s="162"/>
      <c r="S1464" s="163"/>
      <c r="T1464" s="61">
        <f t="shared" si="163"/>
        <v>0</v>
      </c>
      <c r="U1464" s="61">
        <f t="shared" si="164"/>
        <v>0</v>
      </c>
      <c r="V1464" s="61">
        <f t="shared" si="165"/>
        <v>0</v>
      </c>
      <c r="W1464" s="53"/>
      <c r="X1464" s="53"/>
      <c r="Y1464" s="53"/>
      <c r="Z1464" s="57"/>
      <c r="AA1464" s="66"/>
      <c r="AB1464" s="66"/>
      <c r="AC1464" s="66"/>
      <c r="AD1464" s="66"/>
      <c r="AE1464" s="66"/>
      <c r="AF1464" s="63"/>
      <c r="AG1464" s="64" t="str">
        <f t="shared" si="166"/>
        <v/>
      </c>
    </row>
    <row r="1465" spans="1:33" x14ac:dyDescent="0.25">
      <c r="A1465" s="46" t="str">
        <f>IF(ISBLANK(inbound_data[[#This Row],[Receiving Report ref.'#]]),"",IF(inbound_data[[#This Row],[Ending Quantity]]=0,"ZERO","INV"))</f>
        <v/>
      </c>
      <c r="B1465" s="165" t="str">
        <f t="shared" si="160"/>
        <v/>
      </c>
      <c r="C1465" s="165" t="str">
        <f>IF(ISBLANK(D1465),"",inbound_data[[#This Row],[Pallet_Series]]&amp;inbound_data[[#This Row],[No.]])</f>
        <v/>
      </c>
      <c r="D1465" s="54"/>
      <c r="E1465" s="53"/>
      <c r="F1465" s="56"/>
      <c r="G1465" s="57"/>
      <c r="H1465" s="53"/>
      <c r="I1465" s="53"/>
      <c r="J1465" s="53"/>
      <c r="K1465" s="53"/>
      <c r="L1465" s="67"/>
      <c r="M1465" s="53"/>
      <c r="N1465" s="68"/>
      <c r="O1465" s="68"/>
      <c r="P1465" s="165" t="str">
        <f t="shared" ca="1" si="161"/>
        <v/>
      </c>
      <c r="Q1465" s="165" t="str">
        <f t="shared" ca="1" si="162"/>
        <v/>
      </c>
      <c r="R1465" s="162"/>
      <c r="S1465" s="163"/>
      <c r="T1465" s="61">
        <f t="shared" si="163"/>
        <v>0</v>
      </c>
      <c r="U1465" s="61">
        <f t="shared" si="164"/>
        <v>0</v>
      </c>
      <c r="V1465" s="61">
        <f t="shared" si="165"/>
        <v>0</v>
      </c>
      <c r="W1465" s="53"/>
      <c r="X1465" s="53"/>
      <c r="Y1465" s="53"/>
      <c r="Z1465" s="57"/>
      <c r="AA1465" s="66"/>
      <c r="AB1465" s="66"/>
      <c r="AC1465" s="66"/>
      <c r="AD1465" s="66"/>
      <c r="AE1465" s="66"/>
      <c r="AF1465" s="63"/>
      <c r="AG1465" s="64" t="str">
        <f t="shared" si="166"/>
        <v/>
      </c>
    </row>
    <row r="1466" spans="1:33" x14ac:dyDescent="0.25">
      <c r="A1466" s="46" t="str">
        <f>IF(ISBLANK(inbound_data[[#This Row],[Receiving Report ref.'#]]),"",IF(inbound_data[[#This Row],[Ending Quantity]]=0,"ZERO","INV"))</f>
        <v/>
      </c>
      <c r="B1466" s="165" t="str">
        <f t="shared" si="160"/>
        <v/>
      </c>
      <c r="C1466" s="165" t="str">
        <f>IF(ISBLANK(D1466),"",inbound_data[[#This Row],[Pallet_Series]]&amp;inbound_data[[#This Row],[No.]])</f>
        <v/>
      </c>
      <c r="D1466" s="54"/>
      <c r="E1466" s="53"/>
      <c r="F1466" s="56"/>
      <c r="G1466" s="57"/>
      <c r="H1466" s="53"/>
      <c r="I1466" s="53"/>
      <c r="J1466" s="53"/>
      <c r="K1466" s="53"/>
      <c r="L1466" s="67"/>
      <c r="M1466" s="53"/>
      <c r="N1466" s="68"/>
      <c r="O1466" s="68"/>
      <c r="P1466" s="165" t="str">
        <f t="shared" ca="1" si="161"/>
        <v/>
      </c>
      <c r="Q1466" s="165" t="str">
        <f t="shared" ca="1" si="162"/>
        <v/>
      </c>
      <c r="R1466" s="162"/>
      <c r="S1466" s="163"/>
      <c r="T1466" s="61">
        <f t="shared" si="163"/>
        <v>0</v>
      </c>
      <c r="U1466" s="61">
        <f t="shared" si="164"/>
        <v>0</v>
      </c>
      <c r="V1466" s="61">
        <f t="shared" si="165"/>
        <v>0</v>
      </c>
      <c r="W1466" s="53"/>
      <c r="X1466" s="53"/>
      <c r="Y1466" s="53"/>
      <c r="Z1466" s="57"/>
      <c r="AA1466" s="66"/>
      <c r="AB1466" s="66"/>
      <c r="AC1466" s="66"/>
      <c r="AD1466" s="66"/>
      <c r="AE1466" s="66"/>
      <c r="AF1466" s="63"/>
      <c r="AG1466" s="64" t="str">
        <f t="shared" si="166"/>
        <v/>
      </c>
    </row>
    <row r="1467" spans="1:33" x14ac:dyDescent="0.25">
      <c r="A1467" s="46" t="str">
        <f>IF(ISBLANK(inbound_data[[#This Row],[Receiving Report ref.'#]]),"",IF(inbound_data[[#This Row],[Ending Quantity]]=0,"ZERO","INV"))</f>
        <v/>
      </c>
      <c r="B1467" s="165" t="str">
        <f t="shared" si="160"/>
        <v/>
      </c>
      <c r="C1467" s="165" t="str">
        <f>IF(ISBLANK(D1467),"",inbound_data[[#This Row],[Pallet_Series]]&amp;inbound_data[[#This Row],[No.]])</f>
        <v/>
      </c>
      <c r="D1467" s="54"/>
      <c r="E1467" s="53"/>
      <c r="F1467" s="56"/>
      <c r="G1467" s="57"/>
      <c r="H1467" s="53"/>
      <c r="I1467" s="53"/>
      <c r="J1467" s="53"/>
      <c r="K1467" s="53"/>
      <c r="L1467" s="67"/>
      <c r="M1467" s="53"/>
      <c r="N1467" s="68"/>
      <c r="O1467" s="68"/>
      <c r="P1467" s="165" t="str">
        <f t="shared" ca="1" si="161"/>
        <v/>
      </c>
      <c r="Q1467" s="165" t="str">
        <f t="shared" ca="1" si="162"/>
        <v/>
      </c>
      <c r="R1467" s="162"/>
      <c r="S1467" s="163"/>
      <c r="T1467" s="61">
        <f t="shared" si="163"/>
        <v>0</v>
      </c>
      <c r="U1467" s="61">
        <f t="shared" si="164"/>
        <v>0</v>
      </c>
      <c r="V1467" s="61">
        <f t="shared" si="165"/>
        <v>0</v>
      </c>
      <c r="W1467" s="53"/>
      <c r="X1467" s="53"/>
      <c r="Y1467" s="53"/>
      <c r="Z1467" s="57"/>
      <c r="AA1467" s="66"/>
      <c r="AB1467" s="66"/>
      <c r="AC1467" s="66"/>
      <c r="AD1467" s="66"/>
      <c r="AE1467" s="66"/>
      <c r="AF1467" s="63"/>
      <c r="AG1467" s="64" t="str">
        <f t="shared" si="166"/>
        <v/>
      </c>
    </row>
    <row r="1468" spans="1:33" x14ac:dyDescent="0.25">
      <c r="A1468" s="46" t="str">
        <f>IF(ISBLANK(inbound_data[[#This Row],[Receiving Report ref.'#]]),"",IF(inbound_data[[#This Row],[Ending Quantity]]=0,"ZERO","INV"))</f>
        <v/>
      </c>
      <c r="B1468" s="165" t="str">
        <f t="shared" si="160"/>
        <v/>
      </c>
      <c r="C1468" s="165" t="str">
        <f>IF(ISBLANK(D1468),"",inbound_data[[#This Row],[Pallet_Series]]&amp;inbound_data[[#This Row],[No.]])</f>
        <v/>
      </c>
      <c r="D1468" s="54"/>
      <c r="E1468" s="53"/>
      <c r="F1468" s="56"/>
      <c r="G1468" s="57"/>
      <c r="H1468" s="53"/>
      <c r="I1468" s="53"/>
      <c r="J1468" s="53"/>
      <c r="K1468" s="53"/>
      <c r="L1468" s="67"/>
      <c r="M1468" s="53"/>
      <c r="N1468" s="68"/>
      <c r="O1468" s="68"/>
      <c r="P1468" s="165" t="str">
        <f t="shared" ca="1" si="161"/>
        <v/>
      </c>
      <c r="Q1468" s="165" t="str">
        <f t="shared" ca="1" si="162"/>
        <v/>
      </c>
      <c r="R1468" s="162"/>
      <c r="S1468" s="163"/>
      <c r="T1468" s="61">
        <f t="shared" si="163"/>
        <v>0</v>
      </c>
      <c r="U1468" s="61">
        <f t="shared" si="164"/>
        <v>0</v>
      </c>
      <c r="V1468" s="61">
        <f t="shared" si="165"/>
        <v>0</v>
      </c>
      <c r="W1468" s="53"/>
      <c r="X1468" s="53"/>
      <c r="Y1468" s="53"/>
      <c r="Z1468" s="57"/>
      <c r="AA1468" s="66"/>
      <c r="AB1468" s="66"/>
      <c r="AC1468" s="66"/>
      <c r="AD1468" s="66"/>
      <c r="AE1468" s="66"/>
      <c r="AF1468" s="63"/>
      <c r="AG1468" s="64" t="str">
        <f t="shared" si="166"/>
        <v/>
      </c>
    </row>
    <row r="1469" spans="1:33" x14ac:dyDescent="0.25">
      <c r="A1469" s="46" t="str">
        <f>IF(ISBLANK(inbound_data[[#This Row],[Receiving Report ref.'#]]),"",IF(inbound_data[[#This Row],[Ending Quantity]]=0,"ZERO","INV"))</f>
        <v/>
      </c>
      <c r="B1469" s="165" t="str">
        <f t="shared" si="160"/>
        <v/>
      </c>
      <c r="C1469" s="165" t="str">
        <f>IF(ISBLANK(D1469),"",inbound_data[[#This Row],[Pallet_Series]]&amp;inbound_data[[#This Row],[No.]])</f>
        <v/>
      </c>
      <c r="D1469" s="54"/>
      <c r="E1469" s="53"/>
      <c r="F1469" s="56"/>
      <c r="G1469" s="57"/>
      <c r="H1469" s="53"/>
      <c r="I1469" s="53"/>
      <c r="J1469" s="53"/>
      <c r="K1469" s="53"/>
      <c r="L1469" s="67"/>
      <c r="M1469" s="53"/>
      <c r="N1469" s="68"/>
      <c r="O1469" s="68"/>
      <c r="P1469" s="165" t="str">
        <f t="shared" ca="1" si="161"/>
        <v/>
      </c>
      <c r="Q1469" s="165" t="str">
        <f t="shared" ca="1" si="162"/>
        <v/>
      </c>
      <c r="R1469" s="162"/>
      <c r="S1469" s="163"/>
      <c r="T1469" s="61">
        <f t="shared" si="163"/>
        <v>0</v>
      </c>
      <c r="U1469" s="61">
        <f t="shared" si="164"/>
        <v>0</v>
      </c>
      <c r="V1469" s="61">
        <f t="shared" si="165"/>
        <v>0</v>
      </c>
      <c r="W1469" s="53"/>
      <c r="X1469" s="53"/>
      <c r="Y1469" s="53"/>
      <c r="Z1469" s="57"/>
      <c r="AA1469" s="66"/>
      <c r="AB1469" s="66"/>
      <c r="AC1469" s="66"/>
      <c r="AD1469" s="66"/>
      <c r="AE1469" s="66"/>
      <c r="AF1469" s="63"/>
      <c r="AG1469" s="64" t="str">
        <f t="shared" si="166"/>
        <v/>
      </c>
    </row>
    <row r="1470" spans="1:33" x14ac:dyDescent="0.25">
      <c r="A1470" s="46" t="str">
        <f>IF(ISBLANK(inbound_data[[#This Row],[Receiving Report ref.'#]]),"",IF(inbound_data[[#This Row],[Ending Quantity]]=0,"ZERO","INV"))</f>
        <v/>
      </c>
      <c r="B1470" s="165" t="str">
        <f t="shared" si="160"/>
        <v/>
      </c>
      <c r="C1470" s="165" t="str">
        <f>IF(ISBLANK(D1470),"",inbound_data[[#This Row],[Pallet_Series]]&amp;inbound_data[[#This Row],[No.]])</f>
        <v/>
      </c>
      <c r="D1470" s="54"/>
      <c r="E1470" s="53"/>
      <c r="F1470" s="56"/>
      <c r="G1470" s="57"/>
      <c r="H1470" s="53"/>
      <c r="I1470" s="53"/>
      <c r="J1470" s="53"/>
      <c r="K1470" s="53"/>
      <c r="L1470" s="67"/>
      <c r="M1470" s="53"/>
      <c r="N1470" s="68"/>
      <c r="O1470" s="68"/>
      <c r="P1470" s="165" t="str">
        <f t="shared" ca="1" si="161"/>
        <v/>
      </c>
      <c r="Q1470" s="165" t="str">
        <f t="shared" ca="1" si="162"/>
        <v/>
      </c>
      <c r="R1470" s="162"/>
      <c r="S1470" s="163"/>
      <c r="T1470" s="61">
        <f t="shared" si="163"/>
        <v>0</v>
      </c>
      <c r="U1470" s="61">
        <f t="shared" si="164"/>
        <v>0</v>
      </c>
      <c r="V1470" s="61">
        <f t="shared" si="165"/>
        <v>0</v>
      </c>
      <c r="W1470" s="53"/>
      <c r="X1470" s="53"/>
      <c r="Y1470" s="53"/>
      <c r="Z1470" s="57"/>
      <c r="AA1470" s="66"/>
      <c r="AB1470" s="66"/>
      <c r="AC1470" s="66"/>
      <c r="AD1470" s="66"/>
      <c r="AE1470" s="66"/>
      <c r="AF1470" s="63"/>
      <c r="AG1470" s="64" t="str">
        <f t="shared" si="166"/>
        <v/>
      </c>
    </row>
    <row r="1471" spans="1:33" x14ac:dyDescent="0.25">
      <c r="A1471" s="46" t="str">
        <f>IF(ISBLANK(inbound_data[[#This Row],[Receiving Report ref.'#]]),"",IF(inbound_data[[#This Row],[Ending Quantity]]=0,"ZERO","INV"))</f>
        <v/>
      </c>
      <c r="B1471" s="165" t="str">
        <f t="shared" si="160"/>
        <v/>
      </c>
      <c r="C1471" s="165" t="str">
        <f>IF(ISBLANK(D1471),"",inbound_data[[#This Row],[Pallet_Series]]&amp;inbound_data[[#This Row],[No.]])</f>
        <v/>
      </c>
      <c r="D1471" s="54"/>
      <c r="E1471" s="53"/>
      <c r="F1471" s="56"/>
      <c r="G1471" s="57"/>
      <c r="H1471" s="53"/>
      <c r="I1471" s="53"/>
      <c r="J1471" s="53"/>
      <c r="K1471" s="53"/>
      <c r="L1471" s="67"/>
      <c r="M1471" s="53"/>
      <c r="N1471" s="68"/>
      <c r="O1471" s="68"/>
      <c r="P1471" s="165" t="str">
        <f t="shared" ca="1" si="161"/>
        <v/>
      </c>
      <c r="Q1471" s="165" t="str">
        <f t="shared" ca="1" si="162"/>
        <v/>
      </c>
      <c r="R1471" s="162"/>
      <c r="S1471" s="163"/>
      <c r="T1471" s="61">
        <f t="shared" si="163"/>
        <v>0</v>
      </c>
      <c r="U1471" s="61">
        <f t="shared" si="164"/>
        <v>0</v>
      </c>
      <c r="V1471" s="61">
        <f t="shared" si="165"/>
        <v>0</v>
      </c>
      <c r="W1471" s="53"/>
      <c r="X1471" s="53"/>
      <c r="Y1471" s="53"/>
      <c r="Z1471" s="57"/>
      <c r="AA1471" s="66"/>
      <c r="AB1471" s="66"/>
      <c r="AC1471" s="66"/>
      <c r="AD1471" s="66"/>
      <c r="AE1471" s="66"/>
      <c r="AF1471" s="63"/>
      <c r="AG1471" s="64" t="str">
        <f t="shared" si="166"/>
        <v/>
      </c>
    </row>
    <row r="1472" spans="1:33" x14ac:dyDescent="0.25">
      <c r="A1472" s="46" t="str">
        <f>IF(ISBLANK(inbound_data[[#This Row],[Receiving Report ref.'#]]),"",IF(inbound_data[[#This Row],[Ending Quantity]]=0,"ZERO","INV"))</f>
        <v/>
      </c>
      <c r="B1472" s="165" t="str">
        <f t="shared" si="160"/>
        <v/>
      </c>
      <c r="C1472" s="165" t="str">
        <f>IF(ISBLANK(D1472),"",inbound_data[[#This Row],[Pallet_Series]]&amp;inbound_data[[#This Row],[No.]])</f>
        <v/>
      </c>
      <c r="D1472" s="54"/>
      <c r="E1472" s="53"/>
      <c r="F1472" s="56"/>
      <c r="G1472" s="57"/>
      <c r="H1472" s="53"/>
      <c r="I1472" s="53"/>
      <c r="J1472" s="53"/>
      <c r="K1472" s="53"/>
      <c r="L1472" s="67"/>
      <c r="M1472" s="53"/>
      <c r="N1472" s="68"/>
      <c r="O1472" s="68"/>
      <c r="P1472" s="165" t="str">
        <f t="shared" ca="1" si="161"/>
        <v/>
      </c>
      <c r="Q1472" s="165" t="str">
        <f t="shared" ca="1" si="162"/>
        <v/>
      </c>
      <c r="R1472" s="162"/>
      <c r="S1472" s="163"/>
      <c r="T1472" s="61">
        <f t="shared" si="163"/>
        <v>0</v>
      </c>
      <c r="U1472" s="61">
        <f t="shared" si="164"/>
        <v>0</v>
      </c>
      <c r="V1472" s="61">
        <f t="shared" si="165"/>
        <v>0</v>
      </c>
      <c r="W1472" s="53"/>
      <c r="X1472" s="53"/>
      <c r="Y1472" s="53"/>
      <c r="Z1472" s="57"/>
      <c r="AA1472" s="66"/>
      <c r="AB1472" s="66"/>
      <c r="AC1472" s="66"/>
      <c r="AD1472" s="66"/>
      <c r="AE1472" s="66"/>
      <c r="AF1472" s="63"/>
      <c r="AG1472" s="64" t="str">
        <f t="shared" si="166"/>
        <v/>
      </c>
    </row>
    <row r="1473" spans="1:33" x14ac:dyDescent="0.25">
      <c r="A1473" s="46" t="str">
        <f>IF(ISBLANK(inbound_data[[#This Row],[Receiving Report ref.'#]]),"",IF(inbound_data[[#This Row],[Ending Quantity]]=0,"ZERO","INV"))</f>
        <v/>
      </c>
      <c r="B1473" s="165" t="str">
        <f t="shared" si="160"/>
        <v/>
      </c>
      <c r="C1473" s="165" t="str">
        <f>IF(ISBLANK(D1473),"",inbound_data[[#This Row],[Pallet_Series]]&amp;inbound_data[[#This Row],[No.]])</f>
        <v/>
      </c>
      <c r="D1473" s="54"/>
      <c r="E1473" s="53"/>
      <c r="F1473" s="56"/>
      <c r="G1473" s="57"/>
      <c r="H1473" s="53"/>
      <c r="I1473" s="53"/>
      <c r="J1473" s="53"/>
      <c r="K1473" s="53"/>
      <c r="L1473" s="67"/>
      <c r="M1473" s="53"/>
      <c r="N1473" s="68"/>
      <c r="O1473" s="68"/>
      <c r="P1473" s="165" t="str">
        <f t="shared" ca="1" si="161"/>
        <v/>
      </c>
      <c r="Q1473" s="165" t="str">
        <f t="shared" ca="1" si="162"/>
        <v/>
      </c>
      <c r="R1473" s="162"/>
      <c r="S1473" s="163"/>
      <c r="T1473" s="61">
        <f t="shared" si="163"/>
        <v>0</v>
      </c>
      <c r="U1473" s="61">
        <f t="shared" si="164"/>
        <v>0</v>
      </c>
      <c r="V1473" s="61">
        <f t="shared" si="165"/>
        <v>0</v>
      </c>
      <c r="W1473" s="53"/>
      <c r="X1473" s="53"/>
      <c r="Y1473" s="53"/>
      <c r="Z1473" s="57"/>
      <c r="AA1473" s="66"/>
      <c r="AB1473" s="66"/>
      <c r="AC1473" s="66"/>
      <c r="AD1473" s="66"/>
      <c r="AE1473" s="66"/>
      <c r="AF1473" s="63"/>
      <c r="AG1473" s="64" t="str">
        <f t="shared" si="166"/>
        <v/>
      </c>
    </row>
    <row r="1474" spans="1:33" x14ac:dyDescent="0.25">
      <c r="A1474" s="46" t="str">
        <f>IF(ISBLANK(inbound_data[[#This Row],[Receiving Report ref.'#]]),"",IF(inbound_data[[#This Row],[Ending Quantity]]=0,"ZERO","INV"))</f>
        <v/>
      </c>
      <c r="B1474" s="165" t="str">
        <f t="shared" si="160"/>
        <v/>
      </c>
      <c r="C1474" s="165" t="str">
        <f>IF(ISBLANK(D1474),"",inbound_data[[#This Row],[Pallet_Series]]&amp;inbound_data[[#This Row],[No.]])</f>
        <v/>
      </c>
      <c r="D1474" s="54"/>
      <c r="E1474" s="53"/>
      <c r="F1474" s="56"/>
      <c r="G1474" s="57"/>
      <c r="H1474" s="53"/>
      <c r="I1474" s="53"/>
      <c r="J1474" s="53"/>
      <c r="K1474" s="53"/>
      <c r="L1474" s="67"/>
      <c r="M1474" s="53"/>
      <c r="N1474" s="68"/>
      <c r="O1474" s="68"/>
      <c r="P1474" s="165" t="str">
        <f t="shared" ca="1" si="161"/>
        <v/>
      </c>
      <c r="Q1474" s="165" t="str">
        <f t="shared" ca="1" si="162"/>
        <v/>
      </c>
      <c r="R1474" s="162"/>
      <c r="S1474" s="163"/>
      <c r="T1474" s="61">
        <f t="shared" si="163"/>
        <v>0</v>
      </c>
      <c r="U1474" s="61">
        <f t="shared" si="164"/>
        <v>0</v>
      </c>
      <c r="V1474" s="61">
        <f t="shared" si="165"/>
        <v>0</v>
      </c>
      <c r="W1474" s="53"/>
      <c r="X1474" s="53"/>
      <c r="Y1474" s="53"/>
      <c r="Z1474" s="57"/>
      <c r="AA1474" s="66"/>
      <c r="AB1474" s="66"/>
      <c r="AC1474" s="66"/>
      <c r="AD1474" s="66"/>
      <c r="AE1474" s="66"/>
      <c r="AF1474" s="63"/>
      <c r="AG1474" s="64" t="str">
        <f t="shared" si="166"/>
        <v/>
      </c>
    </row>
    <row r="1475" spans="1:33" x14ac:dyDescent="0.25">
      <c r="A1475" s="46" t="str">
        <f>IF(ISBLANK(inbound_data[[#This Row],[Receiving Report ref.'#]]),"",IF(inbound_data[[#This Row],[Ending Quantity]]=0,"ZERO","INV"))</f>
        <v/>
      </c>
      <c r="B1475" s="165" t="str">
        <f t="shared" si="160"/>
        <v/>
      </c>
      <c r="C1475" s="165" t="str">
        <f>IF(ISBLANK(D1475),"",inbound_data[[#This Row],[Pallet_Series]]&amp;inbound_data[[#This Row],[No.]])</f>
        <v/>
      </c>
      <c r="D1475" s="54"/>
      <c r="E1475" s="53"/>
      <c r="F1475" s="56"/>
      <c r="G1475" s="57"/>
      <c r="H1475" s="53"/>
      <c r="I1475" s="53"/>
      <c r="J1475" s="53"/>
      <c r="K1475" s="53"/>
      <c r="L1475" s="67"/>
      <c r="M1475" s="53"/>
      <c r="N1475" s="68"/>
      <c r="O1475" s="68"/>
      <c r="P1475" s="165" t="str">
        <f t="shared" ca="1" si="161"/>
        <v/>
      </c>
      <c r="Q1475" s="165" t="str">
        <f t="shared" ca="1" si="162"/>
        <v/>
      </c>
      <c r="R1475" s="162"/>
      <c r="S1475" s="163"/>
      <c r="T1475" s="61">
        <f t="shared" si="163"/>
        <v>0</v>
      </c>
      <c r="U1475" s="61">
        <f t="shared" si="164"/>
        <v>0</v>
      </c>
      <c r="V1475" s="61">
        <f t="shared" si="165"/>
        <v>0</v>
      </c>
      <c r="W1475" s="53"/>
      <c r="X1475" s="53"/>
      <c r="Y1475" s="53"/>
      <c r="Z1475" s="57"/>
      <c r="AA1475" s="66"/>
      <c r="AB1475" s="66"/>
      <c r="AC1475" s="66"/>
      <c r="AD1475" s="66"/>
      <c r="AE1475" s="66"/>
      <c r="AF1475" s="63"/>
      <c r="AG1475" s="64" t="str">
        <f t="shared" si="166"/>
        <v/>
      </c>
    </row>
    <row r="1476" spans="1:33" x14ac:dyDescent="0.25">
      <c r="A1476" s="46" t="str">
        <f>IF(ISBLANK(inbound_data[[#This Row],[Receiving Report ref.'#]]),"",IF(inbound_data[[#This Row],[Ending Quantity]]=0,"ZERO","INV"))</f>
        <v/>
      </c>
      <c r="B1476" s="165" t="str">
        <f t="shared" si="160"/>
        <v/>
      </c>
      <c r="C1476" s="165" t="str">
        <f>IF(ISBLANK(D1476),"",inbound_data[[#This Row],[Pallet_Series]]&amp;inbound_data[[#This Row],[No.]])</f>
        <v/>
      </c>
      <c r="D1476" s="54"/>
      <c r="E1476" s="53"/>
      <c r="F1476" s="56"/>
      <c r="G1476" s="57"/>
      <c r="H1476" s="53"/>
      <c r="I1476" s="53"/>
      <c r="J1476" s="53"/>
      <c r="K1476" s="53"/>
      <c r="L1476" s="67"/>
      <c r="M1476" s="53"/>
      <c r="N1476" s="68"/>
      <c r="O1476" s="68"/>
      <c r="P1476" s="165" t="str">
        <f t="shared" ca="1" si="161"/>
        <v/>
      </c>
      <c r="Q1476" s="165" t="str">
        <f t="shared" ca="1" si="162"/>
        <v/>
      </c>
      <c r="R1476" s="162"/>
      <c r="S1476" s="163"/>
      <c r="T1476" s="61">
        <f t="shared" si="163"/>
        <v>0</v>
      </c>
      <c r="U1476" s="61">
        <f t="shared" si="164"/>
        <v>0</v>
      </c>
      <c r="V1476" s="61">
        <f t="shared" si="165"/>
        <v>0</v>
      </c>
      <c r="W1476" s="53"/>
      <c r="X1476" s="53"/>
      <c r="Y1476" s="53"/>
      <c r="Z1476" s="57"/>
      <c r="AA1476" s="66"/>
      <c r="AB1476" s="66"/>
      <c r="AC1476" s="66"/>
      <c r="AD1476" s="66"/>
      <c r="AE1476" s="66"/>
      <c r="AF1476" s="63"/>
      <c r="AG1476" s="64" t="str">
        <f t="shared" si="166"/>
        <v/>
      </c>
    </row>
    <row r="1477" spans="1:33" x14ac:dyDescent="0.25">
      <c r="A1477" s="46" t="str">
        <f>IF(ISBLANK(inbound_data[[#This Row],[Receiving Report ref.'#]]),"",IF(inbound_data[[#This Row],[Ending Quantity]]=0,"ZERO","INV"))</f>
        <v/>
      </c>
      <c r="B1477" s="165" t="str">
        <f t="shared" si="160"/>
        <v/>
      </c>
      <c r="C1477" s="165" t="str">
        <f>IF(ISBLANK(D1477),"",inbound_data[[#This Row],[Pallet_Series]]&amp;inbound_data[[#This Row],[No.]])</f>
        <v/>
      </c>
      <c r="D1477" s="54"/>
      <c r="E1477" s="53"/>
      <c r="F1477" s="56"/>
      <c r="G1477" s="57"/>
      <c r="H1477" s="53"/>
      <c r="I1477" s="53"/>
      <c r="J1477" s="53"/>
      <c r="K1477" s="53"/>
      <c r="L1477" s="67"/>
      <c r="M1477" s="53"/>
      <c r="N1477" s="68"/>
      <c r="O1477" s="68"/>
      <c r="P1477" s="165" t="str">
        <f t="shared" ca="1" si="161"/>
        <v/>
      </c>
      <c r="Q1477" s="165" t="str">
        <f t="shared" ca="1" si="162"/>
        <v/>
      </c>
      <c r="R1477" s="162"/>
      <c r="S1477" s="163"/>
      <c r="T1477" s="61">
        <f t="shared" si="163"/>
        <v>0</v>
      </c>
      <c r="U1477" s="61">
        <f t="shared" si="164"/>
        <v>0</v>
      </c>
      <c r="V1477" s="61">
        <f t="shared" si="165"/>
        <v>0</v>
      </c>
      <c r="W1477" s="53"/>
      <c r="X1477" s="53"/>
      <c r="Y1477" s="53"/>
      <c r="Z1477" s="57"/>
      <c r="AA1477" s="66"/>
      <c r="AB1477" s="66"/>
      <c r="AC1477" s="66"/>
      <c r="AD1477" s="66"/>
      <c r="AE1477" s="66"/>
      <c r="AF1477" s="63"/>
      <c r="AG1477" s="64" t="str">
        <f t="shared" si="166"/>
        <v/>
      </c>
    </row>
    <row r="1478" spans="1:33" x14ac:dyDescent="0.25">
      <c r="A1478" s="46" t="str">
        <f>IF(ISBLANK(inbound_data[[#This Row],[Receiving Report ref.'#]]),"",IF(inbound_data[[#This Row],[Ending Quantity]]=0,"ZERO","INV"))</f>
        <v/>
      </c>
      <c r="B1478" s="165" t="str">
        <f t="shared" si="160"/>
        <v/>
      </c>
      <c r="C1478" s="165" t="str">
        <f>IF(ISBLANK(D1478),"",inbound_data[[#This Row],[Pallet_Series]]&amp;inbound_data[[#This Row],[No.]])</f>
        <v/>
      </c>
      <c r="D1478" s="54"/>
      <c r="E1478" s="53"/>
      <c r="F1478" s="56"/>
      <c r="G1478" s="57"/>
      <c r="H1478" s="53"/>
      <c r="I1478" s="53"/>
      <c r="J1478" s="53"/>
      <c r="K1478" s="53"/>
      <c r="L1478" s="67"/>
      <c r="M1478" s="53"/>
      <c r="N1478" s="68"/>
      <c r="O1478" s="68"/>
      <c r="P1478" s="165" t="str">
        <f t="shared" ca="1" si="161"/>
        <v/>
      </c>
      <c r="Q1478" s="165" t="str">
        <f t="shared" ca="1" si="162"/>
        <v/>
      </c>
      <c r="R1478" s="162"/>
      <c r="S1478" s="163"/>
      <c r="T1478" s="61">
        <f t="shared" si="163"/>
        <v>0</v>
      </c>
      <c r="U1478" s="61">
        <f t="shared" si="164"/>
        <v>0</v>
      </c>
      <c r="V1478" s="61">
        <f t="shared" si="165"/>
        <v>0</v>
      </c>
      <c r="W1478" s="53"/>
      <c r="X1478" s="53"/>
      <c r="Y1478" s="53"/>
      <c r="Z1478" s="57"/>
      <c r="AA1478" s="66"/>
      <c r="AB1478" s="66"/>
      <c r="AC1478" s="66"/>
      <c r="AD1478" s="66"/>
      <c r="AE1478" s="66"/>
      <c r="AF1478" s="63"/>
      <c r="AG1478" s="64" t="str">
        <f t="shared" si="166"/>
        <v/>
      </c>
    </row>
    <row r="1479" spans="1:33" x14ac:dyDescent="0.25">
      <c r="A1479" s="46" t="str">
        <f>IF(ISBLANK(inbound_data[[#This Row],[Receiving Report ref.'#]]),"",IF(inbound_data[[#This Row],[Ending Quantity]]=0,"ZERO","INV"))</f>
        <v/>
      </c>
      <c r="B1479" s="165" t="str">
        <f t="shared" si="160"/>
        <v/>
      </c>
      <c r="C1479" s="165" t="str">
        <f>IF(ISBLANK(D1479),"",inbound_data[[#This Row],[Pallet_Series]]&amp;inbound_data[[#This Row],[No.]])</f>
        <v/>
      </c>
      <c r="D1479" s="54"/>
      <c r="E1479" s="53"/>
      <c r="F1479" s="56"/>
      <c r="G1479" s="57"/>
      <c r="H1479" s="53"/>
      <c r="I1479" s="53"/>
      <c r="J1479" s="53"/>
      <c r="K1479" s="53"/>
      <c r="L1479" s="67"/>
      <c r="M1479" s="53"/>
      <c r="N1479" s="68"/>
      <c r="O1479" s="68"/>
      <c r="P1479" s="165" t="str">
        <f t="shared" ca="1" si="161"/>
        <v/>
      </c>
      <c r="Q1479" s="165" t="str">
        <f t="shared" ca="1" si="162"/>
        <v/>
      </c>
      <c r="R1479" s="162"/>
      <c r="S1479" s="163"/>
      <c r="T1479" s="61">
        <f t="shared" si="163"/>
        <v>0</v>
      </c>
      <c r="U1479" s="61">
        <f t="shared" si="164"/>
        <v>0</v>
      </c>
      <c r="V1479" s="61">
        <f t="shared" si="165"/>
        <v>0</v>
      </c>
      <c r="W1479" s="53"/>
      <c r="X1479" s="53"/>
      <c r="Y1479" s="53"/>
      <c r="Z1479" s="57"/>
      <c r="AA1479" s="66"/>
      <c r="AB1479" s="66"/>
      <c r="AC1479" s="66"/>
      <c r="AD1479" s="66"/>
      <c r="AE1479" s="66"/>
      <c r="AF1479" s="63"/>
      <c r="AG1479" s="64" t="str">
        <f t="shared" si="166"/>
        <v/>
      </c>
    </row>
    <row r="1480" spans="1:33" x14ac:dyDescent="0.25">
      <c r="A1480" s="46" t="str">
        <f>IF(ISBLANK(inbound_data[[#This Row],[Receiving Report ref.'#]]),"",IF(inbound_data[[#This Row],[Ending Quantity]]=0,"ZERO","INV"))</f>
        <v/>
      </c>
      <c r="B1480" s="165" t="str">
        <f t="shared" si="160"/>
        <v/>
      </c>
      <c r="C1480" s="165" t="str">
        <f>IF(ISBLANK(D1480),"",inbound_data[[#This Row],[Pallet_Series]]&amp;inbound_data[[#This Row],[No.]])</f>
        <v/>
      </c>
      <c r="D1480" s="54"/>
      <c r="E1480" s="53"/>
      <c r="F1480" s="56"/>
      <c r="G1480" s="57"/>
      <c r="H1480" s="53"/>
      <c r="I1480" s="53"/>
      <c r="J1480" s="53"/>
      <c r="K1480" s="53"/>
      <c r="L1480" s="67"/>
      <c r="M1480" s="53"/>
      <c r="N1480" s="68"/>
      <c r="O1480" s="68"/>
      <c r="P1480" s="165" t="str">
        <f t="shared" ca="1" si="161"/>
        <v/>
      </c>
      <c r="Q1480" s="165" t="str">
        <f t="shared" ca="1" si="162"/>
        <v/>
      </c>
      <c r="R1480" s="162"/>
      <c r="S1480" s="163"/>
      <c r="T1480" s="61">
        <f t="shared" si="163"/>
        <v>0</v>
      </c>
      <c r="U1480" s="61">
        <f t="shared" si="164"/>
        <v>0</v>
      </c>
      <c r="V1480" s="61">
        <f t="shared" si="165"/>
        <v>0</v>
      </c>
      <c r="W1480" s="53"/>
      <c r="X1480" s="53"/>
      <c r="Y1480" s="53"/>
      <c r="Z1480" s="57"/>
      <c r="AA1480" s="66"/>
      <c r="AB1480" s="66"/>
      <c r="AC1480" s="66"/>
      <c r="AD1480" s="66"/>
      <c r="AE1480" s="66"/>
      <c r="AF1480" s="63"/>
      <c r="AG1480" s="64" t="str">
        <f t="shared" si="166"/>
        <v/>
      </c>
    </row>
    <row r="1481" spans="1:33" x14ac:dyDescent="0.25">
      <c r="A1481" s="46" t="str">
        <f>IF(ISBLANK(inbound_data[[#This Row],[Receiving Report ref.'#]]),"",IF(inbound_data[[#This Row],[Ending Quantity]]=0,"ZERO","INV"))</f>
        <v/>
      </c>
      <c r="B1481" s="165" t="str">
        <f t="shared" ref="B1481:B1500" si="167">IF(ISBLANK(D1481),"",TEXT(ROW(),"00000"))</f>
        <v/>
      </c>
      <c r="C1481" s="165" t="str">
        <f>IF(ISBLANK(D1481),"",inbound_data[[#This Row],[Pallet_Series]]&amp;inbound_data[[#This Row],[No.]])</f>
        <v/>
      </c>
      <c r="D1481" s="54"/>
      <c r="E1481" s="53"/>
      <c r="F1481" s="56"/>
      <c r="G1481" s="57"/>
      <c r="H1481" s="53"/>
      <c r="I1481" s="53"/>
      <c r="J1481" s="53"/>
      <c r="K1481" s="53"/>
      <c r="L1481" s="67"/>
      <c r="M1481" s="53"/>
      <c r="N1481" s="68"/>
      <c r="O1481" s="68"/>
      <c r="P1481" s="165" t="str">
        <f t="shared" ref="P1481:P1500" ca="1" si="168">IF(A1481="ZERO","",IF(O1481="","",O1481-TODAY()))</f>
        <v/>
      </c>
      <c r="Q1481" s="165" t="str">
        <f t="shared" ref="Q1481:Q1500" ca="1" si="169">IF(A1481="ZERO","",IF(P1481&lt;0,"ALREADY EXPIRED",IF(P1481&lt;60,"NEARLY EXPIRED","")))</f>
        <v/>
      </c>
      <c r="R1481" s="162"/>
      <c r="S1481" s="163"/>
      <c r="T1481" s="61">
        <f t="shared" ref="T1481:T1500" si="170">IF(ISBLANK(R1481),0,R1481-SUMIF(STOCK_CODE_OUT,$C1481,QTY_OUT))</f>
        <v>0</v>
      </c>
      <c r="U1481" s="61">
        <f t="shared" ref="U1481:U1500" si="171">IF(ISBLANK(S1481),0,S1481-SUMIF(STOCK_CODE_OUT,$C1481,KILOS_OUT))</f>
        <v>0</v>
      </c>
      <c r="V1481" s="61">
        <f t="shared" ref="V1481:V1500" si="172">IF(ISBLANK(K1481),0,K1481-SUMIF(STOCK_CODE_OUT,$C1481,PALLET_OUT))</f>
        <v>0</v>
      </c>
      <c r="W1481" s="53"/>
      <c r="X1481" s="53"/>
      <c r="Y1481" s="53"/>
      <c r="Z1481" s="57"/>
      <c r="AA1481" s="66"/>
      <c r="AB1481" s="66"/>
      <c r="AC1481" s="66"/>
      <c r="AD1481" s="66"/>
      <c r="AE1481" s="66"/>
      <c r="AF1481" s="63"/>
      <c r="AG1481" s="64" t="str">
        <f t="shared" si="166"/>
        <v/>
      </c>
    </row>
    <row r="1482" spans="1:33" x14ac:dyDescent="0.25">
      <c r="A1482" s="46" t="str">
        <f>IF(ISBLANK(inbound_data[[#This Row],[Receiving Report ref.'#]]),"",IF(inbound_data[[#This Row],[Ending Quantity]]=0,"ZERO","INV"))</f>
        <v/>
      </c>
      <c r="B1482" s="165" t="str">
        <f t="shared" si="167"/>
        <v/>
      </c>
      <c r="C1482" s="165" t="str">
        <f>IF(ISBLANK(D1482),"",inbound_data[[#This Row],[Pallet_Series]]&amp;inbound_data[[#This Row],[No.]])</f>
        <v/>
      </c>
      <c r="D1482" s="54"/>
      <c r="E1482" s="53"/>
      <c r="F1482" s="56"/>
      <c r="G1482" s="57"/>
      <c r="H1482" s="53"/>
      <c r="I1482" s="53"/>
      <c r="J1482" s="53"/>
      <c r="K1482" s="53"/>
      <c r="L1482" s="67"/>
      <c r="M1482" s="53"/>
      <c r="N1482" s="68"/>
      <c r="O1482" s="68"/>
      <c r="P1482" s="165" t="str">
        <f t="shared" ca="1" si="168"/>
        <v/>
      </c>
      <c r="Q1482" s="165" t="str">
        <f t="shared" ca="1" si="169"/>
        <v/>
      </c>
      <c r="R1482" s="162"/>
      <c r="S1482" s="163"/>
      <c r="T1482" s="61">
        <f t="shared" si="170"/>
        <v>0</v>
      </c>
      <c r="U1482" s="61">
        <f t="shared" si="171"/>
        <v>0</v>
      </c>
      <c r="V1482" s="61">
        <f t="shared" si="172"/>
        <v>0</v>
      </c>
      <c r="W1482" s="53"/>
      <c r="X1482" s="53"/>
      <c r="Y1482" s="53"/>
      <c r="Z1482" s="57"/>
      <c r="AA1482" s="66"/>
      <c r="AB1482" s="66"/>
      <c r="AC1482" s="66"/>
      <c r="AD1482" s="66"/>
      <c r="AE1482" s="66"/>
      <c r="AF1482" s="63"/>
      <c r="AG1482" s="64" t="str">
        <f t="shared" si="166"/>
        <v/>
      </c>
    </row>
    <row r="1483" spans="1:33" x14ac:dyDescent="0.25">
      <c r="A1483" s="46" t="str">
        <f>IF(ISBLANK(inbound_data[[#This Row],[Receiving Report ref.'#]]),"",IF(inbound_data[[#This Row],[Ending Quantity]]=0,"ZERO","INV"))</f>
        <v/>
      </c>
      <c r="B1483" s="165" t="str">
        <f t="shared" si="167"/>
        <v/>
      </c>
      <c r="C1483" s="165" t="str">
        <f>IF(ISBLANK(D1483),"",inbound_data[[#This Row],[Pallet_Series]]&amp;inbound_data[[#This Row],[No.]])</f>
        <v/>
      </c>
      <c r="D1483" s="54"/>
      <c r="E1483" s="53"/>
      <c r="F1483" s="56"/>
      <c r="G1483" s="57"/>
      <c r="H1483" s="53"/>
      <c r="I1483" s="53"/>
      <c r="J1483" s="53"/>
      <c r="K1483" s="53"/>
      <c r="L1483" s="67"/>
      <c r="M1483" s="53"/>
      <c r="N1483" s="68"/>
      <c r="O1483" s="68"/>
      <c r="P1483" s="165" t="str">
        <f t="shared" ca="1" si="168"/>
        <v/>
      </c>
      <c r="Q1483" s="165" t="str">
        <f t="shared" ca="1" si="169"/>
        <v/>
      </c>
      <c r="R1483" s="162"/>
      <c r="S1483" s="163"/>
      <c r="T1483" s="61">
        <f t="shared" si="170"/>
        <v>0</v>
      </c>
      <c r="U1483" s="61">
        <f t="shared" si="171"/>
        <v>0</v>
      </c>
      <c r="V1483" s="61">
        <f t="shared" si="172"/>
        <v>0</v>
      </c>
      <c r="W1483" s="53"/>
      <c r="X1483" s="53"/>
      <c r="Y1483" s="53"/>
      <c r="Z1483" s="57"/>
      <c r="AA1483" s="66"/>
      <c r="AB1483" s="66"/>
      <c r="AC1483" s="66"/>
      <c r="AD1483" s="66"/>
      <c r="AE1483" s="66"/>
      <c r="AF1483" s="63"/>
      <c r="AG1483" s="64" t="str">
        <f t="shared" si="166"/>
        <v/>
      </c>
    </row>
    <row r="1484" spans="1:33" x14ac:dyDescent="0.25">
      <c r="A1484" s="46" t="str">
        <f>IF(ISBLANK(inbound_data[[#This Row],[Receiving Report ref.'#]]),"",IF(inbound_data[[#This Row],[Ending Quantity]]=0,"ZERO","INV"))</f>
        <v/>
      </c>
      <c r="B1484" s="165" t="str">
        <f t="shared" si="167"/>
        <v/>
      </c>
      <c r="C1484" s="165" t="str">
        <f>IF(ISBLANK(D1484),"",inbound_data[[#This Row],[Pallet_Series]]&amp;inbound_data[[#This Row],[No.]])</f>
        <v/>
      </c>
      <c r="D1484" s="54"/>
      <c r="E1484" s="53"/>
      <c r="F1484" s="56"/>
      <c r="G1484" s="57"/>
      <c r="H1484" s="53"/>
      <c r="I1484" s="53"/>
      <c r="J1484" s="53"/>
      <c r="K1484" s="53"/>
      <c r="L1484" s="67"/>
      <c r="M1484" s="53"/>
      <c r="N1484" s="68"/>
      <c r="O1484" s="68"/>
      <c r="P1484" s="165" t="str">
        <f t="shared" ca="1" si="168"/>
        <v/>
      </c>
      <c r="Q1484" s="165" t="str">
        <f t="shared" ca="1" si="169"/>
        <v/>
      </c>
      <c r="R1484" s="162"/>
      <c r="S1484" s="163"/>
      <c r="T1484" s="61">
        <f t="shared" si="170"/>
        <v>0</v>
      </c>
      <c r="U1484" s="61">
        <f t="shared" si="171"/>
        <v>0</v>
      </c>
      <c r="V1484" s="61">
        <f t="shared" si="172"/>
        <v>0</v>
      </c>
      <c r="W1484" s="53"/>
      <c r="X1484" s="53"/>
      <c r="Y1484" s="53"/>
      <c r="Z1484" s="57"/>
      <c r="AA1484" s="66"/>
      <c r="AB1484" s="66"/>
      <c r="AC1484" s="66"/>
      <c r="AD1484" s="66"/>
      <c r="AE1484" s="66"/>
      <c r="AF1484" s="63"/>
      <c r="AG1484" s="64" t="str">
        <f t="shared" si="166"/>
        <v/>
      </c>
    </row>
    <row r="1485" spans="1:33" x14ac:dyDescent="0.25">
      <c r="A1485" s="46" t="str">
        <f>IF(ISBLANK(inbound_data[[#This Row],[Receiving Report ref.'#]]),"",IF(inbound_data[[#This Row],[Ending Quantity]]=0,"ZERO","INV"))</f>
        <v/>
      </c>
      <c r="B1485" s="165" t="str">
        <f t="shared" si="167"/>
        <v/>
      </c>
      <c r="C1485" s="165" t="str">
        <f>IF(ISBLANK(D1485),"",inbound_data[[#This Row],[Pallet_Series]]&amp;inbound_data[[#This Row],[No.]])</f>
        <v/>
      </c>
      <c r="D1485" s="54"/>
      <c r="E1485" s="53"/>
      <c r="F1485" s="56"/>
      <c r="G1485" s="57"/>
      <c r="H1485" s="53"/>
      <c r="I1485" s="53"/>
      <c r="J1485" s="53"/>
      <c r="K1485" s="53"/>
      <c r="L1485" s="67"/>
      <c r="M1485" s="53"/>
      <c r="N1485" s="68"/>
      <c r="O1485" s="68"/>
      <c r="P1485" s="165" t="str">
        <f t="shared" ca="1" si="168"/>
        <v/>
      </c>
      <c r="Q1485" s="165" t="str">
        <f t="shared" ca="1" si="169"/>
        <v/>
      </c>
      <c r="R1485" s="162"/>
      <c r="S1485" s="163"/>
      <c r="T1485" s="61">
        <f t="shared" si="170"/>
        <v>0</v>
      </c>
      <c r="U1485" s="61">
        <f t="shared" si="171"/>
        <v>0</v>
      </c>
      <c r="V1485" s="61">
        <f t="shared" si="172"/>
        <v>0</v>
      </c>
      <c r="W1485" s="53"/>
      <c r="X1485" s="53"/>
      <c r="Y1485" s="53"/>
      <c r="Z1485" s="57"/>
      <c r="AA1485" s="66"/>
      <c r="AB1485" s="66"/>
      <c r="AC1485" s="66"/>
      <c r="AD1485" s="66"/>
      <c r="AE1485" s="66"/>
      <c r="AF1485" s="63"/>
      <c r="AG1485" s="64" t="str">
        <f t="shared" si="166"/>
        <v/>
      </c>
    </row>
    <row r="1486" spans="1:33" x14ac:dyDescent="0.25">
      <c r="A1486" s="46" t="str">
        <f>IF(ISBLANK(inbound_data[[#This Row],[Receiving Report ref.'#]]),"",IF(inbound_data[[#This Row],[Ending Quantity]]=0,"ZERO","INV"))</f>
        <v/>
      </c>
      <c r="B1486" s="165" t="str">
        <f t="shared" si="167"/>
        <v/>
      </c>
      <c r="C1486" s="165" t="str">
        <f>IF(ISBLANK(D1486),"",inbound_data[[#This Row],[Pallet_Series]]&amp;inbound_data[[#This Row],[No.]])</f>
        <v/>
      </c>
      <c r="D1486" s="54"/>
      <c r="E1486" s="53"/>
      <c r="F1486" s="56"/>
      <c r="G1486" s="57"/>
      <c r="H1486" s="53"/>
      <c r="I1486" s="53"/>
      <c r="J1486" s="53"/>
      <c r="K1486" s="53"/>
      <c r="L1486" s="67"/>
      <c r="M1486" s="53"/>
      <c r="N1486" s="68"/>
      <c r="O1486" s="68"/>
      <c r="P1486" s="165" t="str">
        <f t="shared" ca="1" si="168"/>
        <v/>
      </c>
      <c r="Q1486" s="165" t="str">
        <f t="shared" ca="1" si="169"/>
        <v/>
      </c>
      <c r="R1486" s="162"/>
      <c r="S1486" s="163"/>
      <c r="T1486" s="61">
        <f t="shared" si="170"/>
        <v>0</v>
      </c>
      <c r="U1486" s="61">
        <f t="shared" si="171"/>
        <v>0</v>
      </c>
      <c r="V1486" s="61">
        <f t="shared" si="172"/>
        <v>0</v>
      </c>
      <c r="W1486" s="53"/>
      <c r="X1486" s="53"/>
      <c r="Y1486" s="53"/>
      <c r="Z1486" s="57"/>
      <c r="AA1486" s="66"/>
      <c r="AB1486" s="66"/>
      <c r="AC1486" s="66"/>
      <c r="AD1486" s="66"/>
      <c r="AE1486" s="66"/>
      <c r="AF1486" s="63"/>
      <c r="AG1486" s="64" t="str">
        <f t="shared" si="166"/>
        <v/>
      </c>
    </row>
    <row r="1487" spans="1:33" x14ac:dyDescent="0.25">
      <c r="A1487" s="46" t="str">
        <f>IF(ISBLANK(inbound_data[[#This Row],[Receiving Report ref.'#]]),"",IF(inbound_data[[#This Row],[Ending Quantity]]=0,"ZERO","INV"))</f>
        <v/>
      </c>
      <c r="B1487" s="165" t="str">
        <f t="shared" si="167"/>
        <v/>
      </c>
      <c r="C1487" s="165" t="str">
        <f>IF(ISBLANK(D1487),"",inbound_data[[#This Row],[Pallet_Series]]&amp;inbound_data[[#This Row],[No.]])</f>
        <v/>
      </c>
      <c r="D1487" s="54"/>
      <c r="E1487" s="53"/>
      <c r="F1487" s="56"/>
      <c r="G1487" s="57"/>
      <c r="H1487" s="53"/>
      <c r="I1487" s="53"/>
      <c r="J1487" s="53"/>
      <c r="K1487" s="53"/>
      <c r="L1487" s="67"/>
      <c r="M1487" s="53"/>
      <c r="N1487" s="68"/>
      <c r="O1487" s="68"/>
      <c r="P1487" s="165" t="str">
        <f t="shared" ca="1" si="168"/>
        <v/>
      </c>
      <c r="Q1487" s="165" t="str">
        <f t="shared" ca="1" si="169"/>
        <v/>
      </c>
      <c r="R1487" s="162"/>
      <c r="S1487" s="163"/>
      <c r="T1487" s="61">
        <f t="shared" si="170"/>
        <v>0</v>
      </c>
      <c r="U1487" s="61">
        <f t="shared" si="171"/>
        <v>0</v>
      </c>
      <c r="V1487" s="61">
        <f t="shared" si="172"/>
        <v>0</v>
      </c>
      <c r="W1487" s="53"/>
      <c r="X1487" s="53"/>
      <c r="Y1487" s="53"/>
      <c r="Z1487" s="57"/>
      <c r="AA1487" s="66"/>
      <c r="AB1487" s="66"/>
      <c r="AC1487" s="66"/>
      <c r="AD1487" s="66"/>
      <c r="AE1487" s="66"/>
      <c r="AF1487" s="63"/>
      <c r="AG1487" s="64" t="str">
        <f t="shared" si="166"/>
        <v/>
      </c>
    </row>
    <row r="1488" spans="1:33" x14ac:dyDescent="0.25">
      <c r="A1488" s="46" t="str">
        <f>IF(ISBLANK(inbound_data[[#This Row],[Receiving Report ref.'#]]),"",IF(inbound_data[[#This Row],[Ending Quantity]]=0,"ZERO","INV"))</f>
        <v/>
      </c>
      <c r="B1488" s="165" t="str">
        <f t="shared" si="167"/>
        <v/>
      </c>
      <c r="C1488" s="165" t="str">
        <f>IF(ISBLANK(D1488),"",inbound_data[[#This Row],[Pallet_Series]]&amp;inbound_data[[#This Row],[No.]])</f>
        <v/>
      </c>
      <c r="D1488" s="54"/>
      <c r="E1488" s="53"/>
      <c r="F1488" s="56"/>
      <c r="G1488" s="57"/>
      <c r="H1488" s="53"/>
      <c r="I1488" s="53"/>
      <c r="J1488" s="53"/>
      <c r="K1488" s="53"/>
      <c r="L1488" s="67"/>
      <c r="M1488" s="53"/>
      <c r="N1488" s="68"/>
      <c r="O1488" s="68"/>
      <c r="P1488" s="165" t="str">
        <f t="shared" ca="1" si="168"/>
        <v/>
      </c>
      <c r="Q1488" s="165" t="str">
        <f t="shared" ca="1" si="169"/>
        <v/>
      </c>
      <c r="R1488" s="162"/>
      <c r="S1488" s="163"/>
      <c r="T1488" s="61">
        <f t="shared" si="170"/>
        <v>0</v>
      </c>
      <c r="U1488" s="61">
        <f t="shared" si="171"/>
        <v>0</v>
      </c>
      <c r="V1488" s="61">
        <f t="shared" si="172"/>
        <v>0</v>
      </c>
      <c r="W1488" s="53"/>
      <c r="X1488" s="53"/>
      <c r="Y1488" s="53"/>
      <c r="Z1488" s="57"/>
      <c r="AA1488" s="66"/>
      <c r="AB1488" s="66"/>
      <c r="AC1488" s="66"/>
      <c r="AD1488" s="66"/>
      <c r="AE1488" s="66"/>
      <c r="AF1488" s="63"/>
      <c r="AG1488" s="64" t="str">
        <f t="shared" si="166"/>
        <v/>
      </c>
    </row>
    <row r="1489" spans="1:33" x14ac:dyDescent="0.25">
      <c r="A1489" s="46" t="str">
        <f>IF(ISBLANK(inbound_data[[#This Row],[Receiving Report ref.'#]]),"",IF(inbound_data[[#This Row],[Ending Quantity]]=0,"ZERO","INV"))</f>
        <v/>
      </c>
      <c r="B1489" s="165" t="str">
        <f t="shared" si="167"/>
        <v/>
      </c>
      <c r="C1489" s="165" t="str">
        <f>IF(ISBLANK(D1489),"",inbound_data[[#This Row],[Pallet_Series]]&amp;inbound_data[[#This Row],[No.]])</f>
        <v/>
      </c>
      <c r="D1489" s="54"/>
      <c r="E1489" s="53"/>
      <c r="F1489" s="56"/>
      <c r="G1489" s="57"/>
      <c r="H1489" s="53"/>
      <c r="I1489" s="53"/>
      <c r="J1489" s="53"/>
      <c r="K1489" s="53"/>
      <c r="L1489" s="67"/>
      <c r="M1489" s="53"/>
      <c r="N1489" s="68"/>
      <c r="O1489" s="68"/>
      <c r="P1489" s="165" t="str">
        <f t="shared" ca="1" si="168"/>
        <v/>
      </c>
      <c r="Q1489" s="165" t="str">
        <f t="shared" ca="1" si="169"/>
        <v/>
      </c>
      <c r="R1489" s="162"/>
      <c r="S1489" s="163"/>
      <c r="T1489" s="61">
        <f t="shared" si="170"/>
        <v>0</v>
      </c>
      <c r="U1489" s="61">
        <f t="shared" si="171"/>
        <v>0</v>
      </c>
      <c r="V1489" s="61">
        <f t="shared" si="172"/>
        <v>0</v>
      </c>
      <c r="W1489" s="53"/>
      <c r="X1489" s="53"/>
      <c r="Y1489" s="53"/>
      <c r="Z1489" s="57"/>
      <c r="AA1489" s="66"/>
      <c r="AB1489" s="66"/>
      <c r="AC1489" s="66"/>
      <c r="AD1489" s="66"/>
      <c r="AE1489" s="66"/>
      <c r="AF1489" s="63"/>
      <c r="AG1489" s="64" t="str">
        <f t="shared" si="166"/>
        <v/>
      </c>
    </row>
    <row r="1490" spans="1:33" x14ac:dyDescent="0.25">
      <c r="A1490" s="46" t="str">
        <f>IF(ISBLANK(inbound_data[[#This Row],[Receiving Report ref.'#]]),"",IF(inbound_data[[#This Row],[Ending Quantity]]=0,"ZERO","INV"))</f>
        <v/>
      </c>
      <c r="B1490" s="165" t="str">
        <f t="shared" si="167"/>
        <v/>
      </c>
      <c r="C1490" s="165" t="str">
        <f>IF(ISBLANK(D1490),"",inbound_data[[#This Row],[Pallet_Series]]&amp;inbound_data[[#This Row],[No.]])</f>
        <v/>
      </c>
      <c r="D1490" s="54"/>
      <c r="E1490" s="53"/>
      <c r="F1490" s="56"/>
      <c r="G1490" s="57"/>
      <c r="H1490" s="53"/>
      <c r="I1490" s="53"/>
      <c r="J1490" s="53"/>
      <c r="K1490" s="53"/>
      <c r="L1490" s="67"/>
      <c r="M1490" s="53"/>
      <c r="N1490" s="68"/>
      <c r="O1490" s="68"/>
      <c r="P1490" s="165" t="str">
        <f t="shared" ca="1" si="168"/>
        <v/>
      </c>
      <c r="Q1490" s="165" t="str">
        <f t="shared" ca="1" si="169"/>
        <v/>
      </c>
      <c r="R1490" s="162"/>
      <c r="S1490" s="163"/>
      <c r="T1490" s="61">
        <f t="shared" si="170"/>
        <v>0</v>
      </c>
      <c r="U1490" s="61">
        <f t="shared" si="171"/>
        <v>0</v>
      </c>
      <c r="V1490" s="61">
        <f t="shared" si="172"/>
        <v>0</v>
      </c>
      <c r="W1490" s="53"/>
      <c r="X1490" s="53"/>
      <c r="Y1490" s="53"/>
      <c r="Z1490" s="57"/>
      <c r="AA1490" s="66"/>
      <c r="AB1490" s="66"/>
      <c r="AC1490" s="66"/>
      <c r="AD1490" s="66"/>
      <c r="AE1490" s="66"/>
      <c r="AF1490" s="63"/>
      <c r="AG1490" s="64" t="str">
        <f t="shared" ref="AG1490:AG1500" si="173">IF(T1490&gt;0,CONCATENATE(AA1490,AB1490,TEXT(AC1490,"R00"),TEXT(AD1490,"L0."),TEXT(AE1490,"0")),"")</f>
        <v/>
      </c>
    </row>
    <row r="1491" spans="1:33" x14ac:dyDescent="0.25">
      <c r="A1491" s="46" t="str">
        <f>IF(ISBLANK(inbound_data[[#This Row],[Receiving Report ref.'#]]),"",IF(inbound_data[[#This Row],[Ending Quantity]]=0,"ZERO","INV"))</f>
        <v/>
      </c>
      <c r="B1491" s="165" t="str">
        <f t="shared" si="167"/>
        <v/>
      </c>
      <c r="C1491" s="165" t="str">
        <f>IF(ISBLANK(D1491),"",inbound_data[[#This Row],[Pallet_Series]]&amp;inbound_data[[#This Row],[No.]])</f>
        <v/>
      </c>
      <c r="D1491" s="54"/>
      <c r="E1491" s="53"/>
      <c r="F1491" s="56"/>
      <c r="G1491" s="57"/>
      <c r="H1491" s="53"/>
      <c r="I1491" s="53"/>
      <c r="J1491" s="53"/>
      <c r="K1491" s="53"/>
      <c r="L1491" s="67"/>
      <c r="M1491" s="53"/>
      <c r="N1491" s="68"/>
      <c r="O1491" s="68"/>
      <c r="P1491" s="165" t="str">
        <f t="shared" ca="1" si="168"/>
        <v/>
      </c>
      <c r="Q1491" s="165" t="str">
        <f t="shared" ca="1" si="169"/>
        <v/>
      </c>
      <c r="R1491" s="162"/>
      <c r="S1491" s="163"/>
      <c r="T1491" s="61">
        <f t="shared" si="170"/>
        <v>0</v>
      </c>
      <c r="U1491" s="61">
        <f t="shared" si="171"/>
        <v>0</v>
      </c>
      <c r="V1491" s="61">
        <f t="shared" si="172"/>
        <v>0</v>
      </c>
      <c r="W1491" s="53"/>
      <c r="X1491" s="53"/>
      <c r="Y1491" s="53"/>
      <c r="Z1491" s="57"/>
      <c r="AA1491" s="66"/>
      <c r="AB1491" s="66"/>
      <c r="AC1491" s="66"/>
      <c r="AD1491" s="66"/>
      <c r="AE1491" s="66"/>
      <c r="AF1491" s="63"/>
      <c r="AG1491" s="64" t="str">
        <f t="shared" si="173"/>
        <v/>
      </c>
    </row>
    <row r="1492" spans="1:33" x14ac:dyDescent="0.25">
      <c r="A1492" s="46" t="str">
        <f>IF(ISBLANK(inbound_data[[#This Row],[Receiving Report ref.'#]]),"",IF(inbound_data[[#This Row],[Ending Quantity]]=0,"ZERO","INV"))</f>
        <v/>
      </c>
      <c r="B1492" s="165" t="str">
        <f t="shared" si="167"/>
        <v/>
      </c>
      <c r="C1492" s="165" t="str">
        <f>IF(ISBLANK(D1492),"",inbound_data[[#This Row],[Pallet_Series]]&amp;inbound_data[[#This Row],[No.]])</f>
        <v/>
      </c>
      <c r="D1492" s="54"/>
      <c r="E1492" s="53"/>
      <c r="F1492" s="56"/>
      <c r="G1492" s="57"/>
      <c r="H1492" s="53"/>
      <c r="I1492" s="53"/>
      <c r="J1492" s="53"/>
      <c r="K1492" s="53"/>
      <c r="L1492" s="67"/>
      <c r="M1492" s="53"/>
      <c r="N1492" s="68"/>
      <c r="O1492" s="68"/>
      <c r="P1492" s="165" t="str">
        <f t="shared" ca="1" si="168"/>
        <v/>
      </c>
      <c r="Q1492" s="165" t="str">
        <f t="shared" ca="1" si="169"/>
        <v/>
      </c>
      <c r="R1492" s="162"/>
      <c r="S1492" s="163"/>
      <c r="T1492" s="61">
        <f t="shared" si="170"/>
        <v>0</v>
      </c>
      <c r="U1492" s="61">
        <f t="shared" si="171"/>
        <v>0</v>
      </c>
      <c r="V1492" s="61">
        <f t="shared" si="172"/>
        <v>0</v>
      </c>
      <c r="W1492" s="53"/>
      <c r="X1492" s="53"/>
      <c r="Y1492" s="53"/>
      <c r="Z1492" s="57"/>
      <c r="AA1492" s="66"/>
      <c r="AB1492" s="66"/>
      <c r="AC1492" s="66"/>
      <c r="AD1492" s="66"/>
      <c r="AE1492" s="66"/>
      <c r="AF1492" s="63"/>
      <c r="AG1492" s="64" t="str">
        <f t="shared" si="173"/>
        <v/>
      </c>
    </row>
    <row r="1493" spans="1:33" x14ac:dyDescent="0.25">
      <c r="A1493" s="46" t="str">
        <f>IF(ISBLANK(inbound_data[[#This Row],[Receiving Report ref.'#]]),"",IF(inbound_data[[#This Row],[Ending Quantity]]=0,"ZERO","INV"))</f>
        <v/>
      </c>
      <c r="B1493" s="165" t="str">
        <f t="shared" si="167"/>
        <v/>
      </c>
      <c r="C1493" s="165" t="str">
        <f>IF(ISBLANK(D1493),"",inbound_data[[#This Row],[Pallet_Series]]&amp;inbound_data[[#This Row],[No.]])</f>
        <v/>
      </c>
      <c r="D1493" s="54"/>
      <c r="E1493" s="53"/>
      <c r="F1493" s="56"/>
      <c r="G1493" s="57"/>
      <c r="H1493" s="53"/>
      <c r="I1493" s="53"/>
      <c r="J1493" s="53"/>
      <c r="K1493" s="53"/>
      <c r="L1493" s="67"/>
      <c r="M1493" s="53"/>
      <c r="N1493" s="68"/>
      <c r="O1493" s="68"/>
      <c r="P1493" s="165" t="str">
        <f t="shared" ca="1" si="168"/>
        <v/>
      </c>
      <c r="Q1493" s="165" t="str">
        <f t="shared" ca="1" si="169"/>
        <v/>
      </c>
      <c r="R1493" s="162"/>
      <c r="S1493" s="163"/>
      <c r="T1493" s="61">
        <f t="shared" si="170"/>
        <v>0</v>
      </c>
      <c r="U1493" s="61">
        <f t="shared" si="171"/>
        <v>0</v>
      </c>
      <c r="V1493" s="61">
        <f t="shared" si="172"/>
        <v>0</v>
      </c>
      <c r="W1493" s="53"/>
      <c r="X1493" s="53"/>
      <c r="Y1493" s="53"/>
      <c r="Z1493" s="57"/>
      <c r="AA1493" s="66"/>
      <c r="AB1493" s="66"/>
      <c r="AC1493" s="66"/>
      <c r="AD1493" s="66"/>
      <c r="AE1493" s="66"/>
      <c r="AF1493" s="63"/>
      <c r="AG1493" s="64" t="str">
        <f t="shared" si="173"/>
        <v/>
      </c>
    </row>
    <row r="1494" spans="1:33" x14ac:dyDescent="0.25">
      <c r="A1494" s="46" t="str">
        <f>IF(ISBLANK(inbound_data[[#This Row],[Receiving Report ref.'#]]),"",IF(inbound_data[[#This Row],[Ending Quantity]]=0,"ZERO","INV"))</f>
        <v/>
      </c>
      <c r="B1494" s="165" t="str">
        <f t="shared" si="167"/>
        <v/>
      </c>
      <c r="C1494" s="165" t="str">
        <f>IF(ISBLANK(D1494),"",inbound_data[[#This Row],[Pallet_Series]]&amp;inbound_data[[#This Row],[No.]])</f>
        <v/>
      </c>
      <c r="D1494" s="54"/>
      <c r="E1494" s="53"/>
      <c r="F1494" s="56"/>
      <c r="G1494" s="57"/>
      <c r="H1494" s="53"/>
      <c r="I1494" s="53"/>
      <c r="J1494" s="53"/>
      <c r="K1494" s="53"/>
      <c r="L1494" s="67"/>
      <c r="M1494" s="53"/>
      <c r="N1494" s="68"/>
      <c r="O1494" s="68"/>
      <c r="P1494" s="165" t="str">
        <f t="shared" ca="1" si="168"/>
        <v/>
      </c>
      <c r="Q1494" s="165" t="str">
        <f t="shared" ca="1" si="169"/>
        <v/>
      </c>
      <c r="R1494" s="162"/>
      <c r="S1494" s="163"/>
      <c r="T1494" s="61">
        <f t="shared" si="170"/>
        <v>0</v>
      </c>
      <c r="U1494" s="61">
        <f t="shared" si="171"/>
        <v>0</v>
      </c>
      <c r="V1494" s="61">
        <f t="shared" si="172"/>
        <v>0</v>
      </c>
      <c r="W1494" s="53"/>
      <c r="X1494" s="53"/>
      <c r="Y1494" s="53"/>
      <c r="Z1494" s="57"/>
      <c r="AA1494" s="66"/>
      <c r="AB1494" s="66"/>
      <c r="AC1494" s="66"/>
      <c r="AD1494" s="66"/>
      <c r="AE1494" s="66"/>
      <c r="AF1494" s="63"/>
      <c r="AG1494" s="64" t="str">
        <f t="shared" si="173"/>
        <v/>
      </c>
    </row>
    <row r="1495" spans="1:33" x14ac:dyDescent="0.25">
      <c r="A1495" s="46" t="str">
        <f>IF(ISBLANK(inbound_data[[#This Row],[Receiving Report ref.'#]]),"",IF(inbound_data[[#This Row],[Ending Quantity]]=0,"ZERO","INV"))</f>
        <v/>
      </c>
      <c r="B1495" s="165" t="str">
        <f t="shared" si="167"/>
        <v/>
      </c>
      <c r="C1495" s="165" t="str">
        <f>IF(ISBLANK(D1495),"",inbound_data[[#This Row],[Pallet_Series]]&amp;inbound_data[[#This Row],[No.]])</f>
        <v/>
      </c>
      <c r="D1495" s="54"/>
      <c r="E1495" s="53"/>
      <c r="F1495" s="56"/>
      <c r="G1495" s="57"/>
      <c r="H1495" s="53"/>
      <c r="I1495" s="53"/>
      <c r="J1495" s="53"/>
      <c r="K1495" s="53"/>
      <c r="L1495" s="67"/>
      <c r="M1495" s="53"/>
      <c r="N1495" s="68"/>
      <c r="O1495" s="68"/>
      <c r="P1495" s="165" t="str">
        <f t="shared" ca="1" si="168"/>
        <v/>
      </c>
      <c r="Q1495" s="165" t="str">
        <f t="shared" ca="1" si="169"/>
        <v/>
      </c>
      <c r="R1495" s="162"/>
      <c r="S1495" s="163"/>
      <c r="T1495" s="61">
        <f t="shared" si="170"/>
        <v>0</v>
      </c>
      <c r="U1495" s="61">
        <f t="shared" si="171"/>
        <v>0</v>
      </c>
      <c r="V1495" s="61">
        <f t="shared" si="172"/>
        <v>0</v>
      </c>
      <c r="W1495" s="53"/>
      <c r="X1495" s="53"/>
      <c r="Y1495" s="53"/>
      <c r="Z1495" s="57"/>
      <c r="AA1495" s="66"/>
      <c r="AB1495" s="66"/>
      <c r="AC1495" s="66"/>
      <c r="AD1495" s="66"/>
      <c r="AE1495" s="66"/>
      <c r="AF1495" s="63"/>
      <c r="AG1495" s="64" t="str">
        <f t="shared" si="173"/>
        <v/>
      </c>
    </row>
    <row r="1496" spans="1:33" x14ac:dyDescent="0.25">
      <c r="A1496" s="46" t="str">
        <f>IF(ISBLANK(inbound_data[[#This Row],[Receiving Report ref.'#]]),"",IF(inbound_data[[#This Row],[Ending Quantity]]=0,"ZERO","INV"))</f>
        <v/>
      </c>
      <c r="B1496" s="165" t="str">
        <f t="shared" si="167"/>
        <v/>
      </c>
      <c r="C1496" s="165" t="str">
        <f>IF(ISBLANK(D1496),"",inbound_data[[#This Row],[Pallet_Series]]&amp;inbound_data[[#This Row],[No.]])</f>
        <v/>
      </c>
      <c r="D1496" s="54"/>
      <c r="E1496" s="53"/>
      <c r="F1496" s="56"/>
      <c r="G1496" s="57"/>
      <c r="H1496" s="53"/>
      <c r="I1496" s="53"/>
      <c r="J1496" s="53"/>
      <c r="K1496" s="53"/>
      <c r="L1496" s="67"/>
      <c r="M1496" s="53"/>
      <c r="N1496" s="68"/>
      <c r="O1496" s="68"/>
      <c r="P1496" s="165" t="str">
        <f t="shared" ca="1" si="168"/>
        <v/>
      </c>
      <c r="Q1496" s="165" t="str">
        <f t="shared" ca="1" si="169"/>
        <v/>
      </c>
      <c r="R1496" s="162"/>
      <c r="S1496" s="163"/>
      <c r="T1496" s="61">
        <f t="shared" si="170"/>
        <v>0</v>
      </c>
      <c r="U1496" s="61">
        <f t="shared" si="171"/>
        <v>0</v>
      </c>
      <c r="V1496" s="61">
        <f t="shared" si="172"/>
        <v>0</v>
      </c>
      <c r="W1496" s="53"/>
      <c r="X1496" s="53"/>
      <c r="Y1496" s="53"/>
      <c r="Z1496" s="57"/>
      <c r="AA1496" s="66"/>
      <c r="AB1496" s="66"/>
      <c r="AC1496" s="66"/>
      <c r="AD1496" s="66"/>
      <c r="AE1496" s="66"/>
      <c r="AF1496" s="63"/>
      <c r="AG1496" s="64" t="str">
        <f t="shared" si="173"/>
        <v/>
      </c>
    </row>
    <row r="1497" spans="1:33" x14ac:dyDescent="0.25">
      <c r="A1497" s="46" t="str">
        <f>IF(ISBLANK(inbound_data[[#This Row],[Receiving Report ref.'#]]),"",IF(inbound_data[[#This Row],[Ending Quantity]]=0,"ZERO","INV"))</f>
        <v/>
      </c>
      <c r="B1497" s="165" t="str">
        <f t="shared" si="167"/>
        <v/>
      </c>
      <c r="C1497" s="165" t="str">
        <f>IF(ISBLANK(D1497),"",inbound_data[[#This Row],[Pallet_Series]]&amp;inbound_data[[#This Row],[No.]])</f>
        <v/>
      </c>
      <c r="D1497" s="54"/>
      <c r="E1497" s="53"/>
      <c r="F1497" s="56"/>
      <c r="G1497" s="57"/>
      <c r="H1497" s="53"/>
      <c r="I1497" s="53"/>
      <c r="J1497" s="53"/>
      <c r="K1497" s="53"/>
      <c r="L1497" s="67"/>
      <c r="M1497" s="53"/>
      <c r="N1497" s="68"/>
      <c r="O1497" s="68"/>
      <c r="P1497" s="165" t="str">
        <f t="shared" ca="1" si="168"/>
        <v/>
      </c>
      <c r="Q1497" s="165" t="str">
        <f t="shared" ca="1" si="169"/>
        <v/>
      </c>
      <c r="R1497" s="162"/>
      <c r="S1497" s="163"/>
      <c r="T1497" s="61">
        <f t="shared" si="170"/>
        <v>0</v>
      </c>
      <c r="U1497" s="61">
        <f t="shared" si="171"/>
        <v>0</v>
      </c>
      <c r="V1497" s="61">
        <f t="shared" si="172"/>
        <v>0</v>
      </c>
      <c r="W1497" s="53"/>
      <c r="X1497" s="53"/>
      <c r="Y1497" s="53"/>
      <c r="Z1497" s="57"/>
      <c r="AA1497" s="66"/>
      <c r="AB1497" s="66"/>
      <c r="AC1497" s="66"/>
      <c r="AD1497" s="66"/>
      <c r="AE1497" s="66"/>
      <c r="AF1497" s="63"/>
      <c r="AG1497" s="64" t="str">
        <f t="shared" si="173"/>
        <v/>
      </c>
    </row>
    <row r="1498" spans="1:33" x14ac:dyDescent="0.25">
      <c r="A1498" s="46" t="str">
        <f>IF(ISBLANK(inbound_data[[#This Row],[Receiving Report ref.'#]]),"",IF(inbound_data[[#This Row],[Ending Quantity]]=0,"ZERO","INV"))</f>
        <v/>
      </c>
      <c r="B1498" s="165" t="str">
        <f t="shared" si="167"/>
        <v/>
      </c>
      <c r="C1498" s="165" t="str">
        <f>IF(ISBLANK(D1498),"",inbound_data[[#This Row],[Pallet_Series]]&amp;inbound_data[[#This Row],[No.]])</f>
        <v/>
      </c>
      <c r="D1498" s="54"/>
      <c r="E1498" s="53"/>
      <c r="F1498" s="56"/>
      <c r="G1498" s="57"/>
      <c r="H1498" s="53"/>
      <c r="I1498" s="53"/>
      <c r="J1498" s="53"/>
      <c r="K1498" s="53"/>
      <c r="L1498" s="67"/>
      <c r="M1498" s="53"/>
      <c r="N1498" s="68"/>
      <c r="O1498" s="68"/>
      <c r="P1498" s="165" t="str">
        <f t="shared" ca="1" si="168"/>
        <v/>
      </c>
      <c r="Q1498" s="165" t="str">
        <f t="shared" ca="1" si="169"/>
        <v/>
      </c>
      <c r="R1498" s="162"/>
      <c r="S1498" s="163"/>
      <c r="T1498" s="61">
        <f t="shared" si="170"/>
        <v>0</v>
      </c>
      <c r="U1498" s="61">
        <f t="shared" si="171"/>
        <v>0</v>
      </c>
      <c r="V1498" s="61">
        <f t="shared" si="172"/>
        <v>0</v>
      </c>
      <c r="W1498" s="53"/>
      <c r="X1498" s="53"/>
      <c r="Y1498" s="53"/>
      <c r="Z1498" s="57"/>
      <c r="AA1498" s="66"/>
      <c r="AB1498" s="66"/>
      <c r="AC1498" s="66"/>
      <c r="AD1498" s="66"/>
      <c r="AE1498" s="66"/>
      <c r="AF1498" s="63"/>
      <c r="AG1498" s="64" t="str">
        <f t="shared" si="173"/>
        <v/>
      </c>
    </row>
    <row r="1499" spans="1:33" x14ac:dyDescent="0.25">
      <c r="A1499" s="46" t="str">
        <f>IF(ISBLANK(inbound_data[[#This Row],[Receiving Report ref.'#]]),"",IF(inbound_data[[#This Row],[Ending Quantity]]=0,"ZERO","INV"))</f>
        <v/>
      </c>
      <c r="B1499" s="165" t="str">
        <f t="shared" si="167"/>
        <v/>
      </c>
      <c r="C1499" s="165" t="str">
        <f>IF(ISBLANK(D1499),"",inbound_data[[#This Row],[Pallet_Series]]&amp;inbound_data[[#This Row],[No.]])</f>
        <v/>
      </c>
      <c r="D1499" s="54"/>
      <c r="E1499" s="53"/>
      <c r="F1499" s="56"/>
      <c r="G1499" s="57"/>
      <c r="H1499" s="53"/>
      <c r="I1499" s="53"/>
      <c r="J1499" s="53"/>
      <c r="K1499" s="53"/>
      <c r="L1499" s="67"/>
      <c r="M1499" s="53"/>
      <c r="N1499" s="68"/>
      <c r="O1499" s="68"/>
      <c r="P1499" s="165" t="str">
        <f t="shared" ca="1" si="168"/>
        <v/>
      </c>
      <c r="Q1499" s="165" t="str">
        <f t="shared" ca="1" si="169"/>
        <v/>
      </c>
      <c r="R1499" s="162"/>
      <c r="S1499" s="163"/>
      <c r="T1499" s="61">
        <f t="shared" si="170"/>
        <v>0</v>
      </c>
      <c r="U1499" s="61">
        <f t="shared" si="171"/>
        <v>0</v>
      </c>
      <c r="V1499" s="61">
        <f t="shared" si="172"/>
        <v>0</v>
      </c>
      <c r="W1499" s="53"/>
      <c r="X1499" s="53"/>
      <c r="Y1499" s="53"/>
      <c r="Z1499" s="57"/>
      <c r="AA1499" s="66"/>
      <c r="AB1499" s="66"/>
      <c r="AC1499" s="66"/>
      <c r="AD1499" s="66"/>
      <c r="AE1499" s="66"/>
      <c r="AF1499" s="63"/>
      <c r="AG1499" s="64" t="str">
        <f t="shared" si="173"/>
        <v/>
      </c>
    </row>
    <row r="1500" spans="1:33" x14ac:dyDescent="0.25">
      <c r="A1500" s="46" t="str">
        <f>IF(ISBLANK(inbound_data[[#This Row],[Receiving Report ref.'#]]),"",IF(inbound_data[[#This Row],[Ending Quantity]]=0,"ZERO","INV"))</f>
        <v/>
      </c>
      <c r="B1500" s="165" t="str">
        <f t="shared" si="167"/>
        <v/>
      </c>
      <c r="C1500" s="165" t="str">
        <f>IF(ISBLANK(D1500),"",inbound_data[[#This Row],[Pallet_Series]]&amp;inbound_data[[#This Row],[No.]])</f>
        <v/>
      </c>
      <c r="D1500" s="54"/>
      <c r="E1500" s="53"/>
      <c r="F1500" s="56"/>
      <c r="G1500" s="57"/>
      <c r="H1500" s="53"/>
      <c r="I1500" s="53"/>
      <c r="J1500" s="53"/>
      <c r="K1500" s="53"/>
      <c r="L1500" s="67"/>
      <c r="M1500" s="53"/>
      <c r="N1500" s="68"/>
      <c r="O1500" s="68"/>
      <c r="P1500" s="165" t="str">
        <f t="shared" ca="1" si="168"/>
        <v/>
      </c>
      <c r="Q1500" s="165" t="str">
        <f t="shared" ca="1" si="169"/>
        <v/>
      </c>
      <c r="R1500" s="162"/>
      <c r="S1500" s="163"/>
      <c r="T1500" s="61">
        <f t="shared" si="170"/>
        <v>0</v>
      </c>
      <c r="U1500" s="61">
        <f t="shared" si="171"/>
        <v>0</v>
      </c>
      <c r="V1500" s="61">
        <f t="shared" si="172"/>
        <v>0</v>
      </c>
      <c r="W1500" s="53"/>
      <c r="X1500" s="53"/>
      <c r="Y1500" s="53"/>
      <c r="Z1500" s="57"/>
      <c r="AA1500" s="66"/>
      <c r="AB1500" s="66"/>
      <c r="AC1500" s="66"/>
      <c r="AD1500" s="66"/>
      <c r="AE1500" s="66"/>
      <c r="AF1500" s="63"/>
      <c r="AG1500" s="64" t="str">
        <f t="shared" si="173"/>
        <v/>
      </c>
    </row>
  </sheetData>
  <protectedRanges>
    <protectedRange sqref="D9:D1500" name="IA LOCKRANGE"/>
    <protectedRange sqref="E9:E1500" name="IA LOCKRANGE_1"/>
    <protectedRange sqref="F9:F1500" name="IA LOCKRANGE_2"/>
    <protectedRange sqref="G9:G1500" name="IA LOCKRANGE_3"/>
    <protectedRange sqref="H9:I1500" name="IA LOCKRANGE_4"/>
    <protectedRange sqref="Y1296:Y1500 Y9:Y1294" name="IA LOCKRANGE_5"/>
    <protectedRange sqref="J1296:J1500 J9:J1294" name="IA LOCKRANGE_6"/>
    <protectedRange sqref="J1295 K9:K1500" name="IA LOCKRANGE_7"/>
    <protectedRange sqref="L9:L1500" name="IA LOCKRANGE_8"/>
    <protectedRange sqref="M9:O1500" name="IA LOCKRANGE_9"/>
    <protectedRange sqref="W1296:W1500 R9:S1500 W9:W1294" name="IA LOCKRANGE_10"/>
    <protectedRange sqref="X1296:X1500 X9:X1294" name="IA LOCKRANGE_11"/>
    <protectedRange sqref="AA9:AE1169" name="IA LOCKRANGE_12"/>
    <protectedRange sqref="D1" name="IA LOCKRANGE_13"/>
    <protectedRange sqref="D2" name="IA LOCKRANGE_14"/>
    <protectedRange sqref="E5:G7" name="IA LOCKRANGE_15"/>
  </protectedRanges>
  <phoneticPr fontId="62" type="noConversion"/>
  <conditionalFormatting sqref="G5:G7">
    <cfRule type="cellIs" dxfId="55" priority="1" operator="lessThan">
      <formula>0</formula>
    </cfRule>
  </conditionalFormatting>
  <conditionalFormatting sqref="J1:J5 J1296:J1048576 J7:J1294">
    <cfRule type="duplicateValues" dxfId="54" priority="4"/>
  </conditionalFormatting>
  <conditionalFormatting sqref="J8">
    <cfRule type="duplicateValues" dxfId="53" priority="72"/>
    <cfRule type="duplicateValues" dxfId="52" priority="73"/>
    <cfRule type="duplicateValues" dxfId="51" priority="74"/>
    <cfRule type="duplicateValues" dxfId="50" priority="75"/>
    <cfRule type="duplicateValues" dxfId="49" priority="76"/>
    <cfRule type="duplicateValues" dxfId="48" priority="80"/>
    <cfRule type="duplicateValues" dxfId="47" priority="81"/>
    <cfRule type="duplicateValues" dxfId="46" priority="82"/>
    <cfRule type="duplicateValues" dxfId="45" priority="83"/>
    <cfRule type="duplicateValues" dxfId="44" priority="88"/>
  </conditionalFormatting>
  <conditionalFormatting sqref="J1296:J1500 J9:J1294">
    <cfRule type="duplicateValues" dxfId="43" priority="7"/>
    <cfRule type="duplicateValues" dxfId="42" priority="8"/>
    <cfRule type="duplicateValues" dxfId="41" priority="9"/>
    <cfRule type="duplicateValues" dxfId="40" priority="10"/>
    <cfRule type="duplicateValues" dxfId="39" priority="11"/>
  </conditionalFormatting>
  <conditionalFormatting sqref="K1501:K1048576 J1:J2 J7:J8">
    <cfRule type="duplicateValues" dxfId="38" priority="86"/>
    <cfRule type="duplicateValues" dxfId="37" priority="87"/>
  </conditionalFormatting>
  <conditionalFormatting sqref="P9:P1500">
    <cfRule type="cellIs" dxfId="36" priority="70" operator="lessThan">
      <formula>30</formula>
    </cfRule>
  </conditionalFormatting>
  <conditionalFormatting sqref="Q8:Q1500">
    <cfRule type="cellIs" dxfId="35" priority="68" operator="equal">
      <formula>"NEARLY EXPIRED"</formula>
    </cfRule>
    <cfRule type="cellIs" dxfId="34" priority="69" operator="equal">
      <formula>"ALREADY EXPIRED"</formula>
    </cfRule>
  </conditionalFormatting>
  <conditionalFormatting sqref="T9:U1500">
    <cfRule type="cellIs" dxfId="33" priority="78" operator="greaterThan">
      <formula>0</formula>
    </cfRule>
    <cfRule type="cellIs" dxfId="32" priority="79" operator="equal">
      <formula>0</formula>
    </cfRule>
  </conditionalFormatting>
  <conditionalFormatting sqref="V9:V1500">
    <cfRule type="cellIs" dxfId="31" priority="2" operator="greaterThan">
      <formula>0</formula>
    </cfRule>
    <cfRule type="cellIs" dxfId="30" priority="3" operator="equal">
      <formula>0</formula>
    </cfRule>
  </conditionalFormatting>
  <conditionalFormatting sqref="Y7">
    <cfRule type="duplicateValues" dxfId="29" priority="6"/>
  </conditionalFormatting>
  <conditionalFormatting sqref="Z1501:Z1048576 AG1:AG5 AG7:AG1500">
    <cfRule type="duplicateValues" dxfId="28" priority="56"/>
  </conditionalFormatting>
  <conditionalFormatting sqref="AG8">
    <cfRule type="duplicateValues" dxfId="27" priority="71"/>
    <cfRule type="duplicateValues" dxfId="26" priority="77"/>
  </conditionalFormatting>
  <conditionalFormatting sqref="AG9:AG1500">
    <cfRule type="duplicateValues" dxfId="25" priority="91"/>
    <cfRule type="duplicateValues" dxfId="24" priority="92"/>
  </conditionalFormatting>
  <pageMargins left="0.7" right="0.7" top="0.75" bottom="0.75" header="0.3" footer="0.3"/>
  <pageSetup orientation="portrait" horizontalDpi="0" verticalDpi="0"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B4255-646F-4BD9-BFCC-78F498D2CD80}">
  <sheetPr>
    <tabColor theme="3"/>
  </sheetPr>
  <dimension ref="A1:AB181"/>
  <sheetViews>
    <sheetView showGridLines="0" zoomScale="85" zoomScaleNormal="85" workbookViewId="0">
      <pane ySplit="4" topLeftCell="A149" activePane="bottomLeft" state="frozen"/>
      <selection pane="bottomLeft" activeCell="B176" sqref="B176"/>
    </sheetView>
  </sheetViews>
  <sheetFormatPr defaultRowHeight="15" outlineLevelCol="1" x14ac:dyDescent="0.25"/>
  <cols>
    <col min="1" max="1" width="19.28515625" style="15" customWidth="1"/>
    <col min="2" max="2" width="20.85546875" style="3" customWidth="1"/>
    <col min="3" max="3" width="14" style="3" customWidth="1"/>
    <col min="4" max="4" width="14" style="38" customWidth="1"/>
    <col min="5" max="5" width="18.28515625" style="38" customWidth="1"/>
    <col min="6" max="6" width="18.7109375" style="3" customWidth="1"/>
    <col min="7" max="7" width="13.42578125" style="3" customWidth="1"/>
    <col min="8" max="8" width="12.7109375" style="3" customWidth="1"/>
    <col min="9" max="9" width="14.7109375" style="38" customWidth="1" outlineLevel="1"/>
    <col min="10" max="10" width="11.42578125" style="3" customWidth="1" outlineLevel="1"/>
    <col min="11" max="11" width="16" style="38" customWidth="1" outlineLevel="1"/>
    <col min="12" max="12" width="15.140625" style="3" customWidth="1" outlineLevel="1"/>
    <col min="13" max="13" width="14.28515625" style="3" customWidth="1" outlineLevel="1"/>
    <col min="14" max="14" width="13" style="3" customWidth="1" outlineLevel="1"/>
    <col min="15" max="15" width="18.85546875" style="39" customWidth="1"/>
    <col min="16" max="16" width="17.28515625" style="39" customWidth="1"/>
    <col min="17" max="17" width="17.85546875" style="39" customWidth="1"/>
    <col min="18" max="18" width="26.85546875" style="39" customWidth="1"/>
    <col min="19" max="19" width="21.140625" style="3" customWidth="1"/>
    <col min="20" max="20" width="19.7109375" style="39" customWidth="1"/>
    <col min="21" max="21" width="11.5703125" bestFit="1" customWidth="1"/>
    <col min="22" max="22" width="10.28515625" bestFit="1" customWidth="1"/>
    <col min="23" max="23" width="9.28515625" bestFit="1" customWidth="1"/>
    <col min="24" max="24" width="8.42578125" bestFit="1" customWidth="1"/>
    <col min="28" max="28" width="9.42578125" style="40" bestFit="1" customWidth="1"/>
  </cols>
  <sheetData>
    <row r="1" spans="1:21" ht="24.75" thickBot="1" x14ac:dyDescent="0.3">
      <c r="A1" s="124" t="s">
        <v>107</v>
      </c>
      <c r="B1" s="125"/>
      <c r="C1" s="121"/>
      <c r="D1" s="121"/>
      <c r="E1" s="32"/>
      <c r="F1" s="31"/>
      <c r="G1" s="34"/>
      <c r="H1" s="36"/>
      <c r="I1" s="33"/>
      <c r="J1" s="36"/>
      <c r="K1" s="33"/>
      <c r="L1" s="36"/>
      <c r="M1" s="36"/>
      <c r="N1" s="36"/>
      <c r="O1" s="37"/>
      <c r="P1" s="37"/>
      <c r="Q1" s="37"/>
      <c r="R1" s="37"/>
      <c r="S1" s="36"/>
      <c r="T1" s="37"/>
    </row>
    <row r="2" spans="1:21" ht="15.75" thickTop="1" x14ac:dyDescent="0.25">
      <c r="A2" s="123">
        <f ca="1">NOW()</f>
        <v>46111.157060300924</v>
      </c>
      <c r="B2" s="122"/>
      <c r="C2" s="36"/>
      <c r="D2" s="175">
        <f>'Pallet Monitoring'!$D$3-'Inbound data'!$R$7</f>
        <v>0</v>
      </c>
      <c r="E2" s="96">
        <f>'Pallet Monitoring'!$E$3-'Inbound data'!$S$7</f>
        <v>0</v>
      </c>
      <c r="F2" s="96">
        <f>'Pallet Monitoring'!$F$3-'Inbound data'!$J$7</f>
        <v>0</v>
      </c>
      <c r="G2" s="36"/>
      <c r="H2" s="36"/>
      <c r="I2" s="36"/>
      <c r="J2" s="36"/>
      <c r="K2" s="36"/>
      <c r="L2" s="36"/>
      <c r="M2" s="36"/>
      <c r="N2" s="36"/>
      <c r="O2" s="96">
        <f>$I$3-'Outbound data'!$F$2</f>
        <v>0</v>
      </c>
      <c r="P2" s="96">
        <f>$K$3-'Outbound data'!$G$2</f>
        <v>0</v>
      </c>
      <c r="Q2" s="96">
        <f>$M$3-'Outbound data'!$H$2</f>
        <v>0</v>
      </c>
      <c r="R2" s="96"/>
      <c r="S2" s="96"/>
      <c r="T2" s="36"/>
      <c r="U2" s="35"/>
    </row>
    <row r="3" spans="1:21" ht="17.25" x14ac:dyDescent="0.25">
      <c r="A3" s="97"/>
      <c r="B3" s="97"/>
      <c r="C3" s="98"/>
      <c r="D3" s="172">
        <f>SUM(Table2[RR total in],Table2[Return qty])</f>
        <v>5402</v>
      </c>
      <c r="E3" s="172">
        <f>SUM(Table2[RR total weight],Table2[Return weight])</f>
        <v>37134.336000000003</v>
      </c>
      <c r="F3" s="172">
        <f>SUM(Table2[RR total pallet in],Table2[Return pallet])</f>
        <v>137</v>
      </c>
      <c r="G3" s="100"/>
      <c r="H3" s="99"/>
      <c r="I3" s="168">
        <f>SUM(Table2[WR qty out])</f>
        <v>4582</v>
      </c>
      <c r="J3" s="171">
        <f>SUM(Table2[Return qty])</f>
        <v>0</v>
      </c>
      <c r="K3" s="168">
        <f>SUM(Table2[WR weight out])</f>
        <v>35281.184000000001</v>
      </c>
      <c r="L3" s="171">
        <f>SUM(Table2[Return weight])</f>
        <v>0</v>
      </c>
      <c r="M3" s="168">
        <f>SUM(Table2[WR pallet out])</f>
        <v>106</v>
      </c>
      <c r="N3" s="171">
        <f>SUM(Table2[Return pallet])</f>
        <v>0</v>
      </c>
      <c r="O3" s="169">
        <f>SUM(Table2[Net Quantity Out])</f>
        <v>4582</v>
      </c>
      <c r="P3" s="169">
        <f>SUM(Table2[Net Weight Out])</f>
        <v>35281.184000000001</v>
      </c>
      <c r="Q3" s="170">
        <f>SUM(Table2[Total Pallet Out])</f>
        <v>106</v>
      </c>
      <c r="R3" s="99"/>
      <c r="S3" s="99"/>
      <c r="T3" s="101"/>
    </row>
    <row r="4" spans="1:21" ht="30.75" customHeight="1" x14ac:dyDescent="0.25">
      <c r="A4" s="117" t="s">
        <v>83</v>
      </c>
      <c r="B4" s="118" t="s">
        <v>84</v>
      </c>
      <c r="C4" s="118" t="s">
        <v>94</v>
      </c>
      <c r="D4" s="119" t="s">
        <v>95</v>
      </c>
      <c r="E4" s="119" t="s">
        <v>97</v>
      </c>
      <c r="F4" s="118" t="s">
        <v>96</v>
      </c>
      <c r="G4" s="118" t="s">
        <v>82</v>
      </c>
      <c r="H4" s="118" t="s">
        <v>110</v>
      </c>
      <c r="I4" s="119" t="s">
        <v>114</v>
      </c>
      <c r="J4" s="119" t="s">
        <v>111</v>
      </c>
      <c r="K4" s="119" t="s">
        <v>115</v>
      </c>
      <c r="L4" s="119" t="s">
        <v>112</v>
      </c>
      <c r="M4" s="118" t="s">
        <v>116</v>
      </c>
      <c r="N4" s="118" t="s">
        <v>113</v>
      </c>
      <c r="O4" s="120" t="s">
        <v>100</v>
      </c>
      <c r="P4" s="120" t="s">
        <v>101</v>
      </c>
      <c r="Q4" s="120" t="s">
        <v>102</v>
      </c>
      <c r="R4" s="120" t="s">
        <v>98</v>
      </c>
      <c r="S4" s="120" t="s">
        <v>103</v>
      </c>
      <c r="T4" s="120" t="s">
        <v>99</v>
      </c>
    </row>
    <row r="5" spans="1:21" x14ac:dyDescent="0.25">
      <c r="A5" s="103">
        <v>45910</v>
      </c>
      <c r="B5" s="126">
        <v>0</v>
      </c>
      <c r="C5" s="56">
        <v>101784</v>
      </c>
      <c r="D5" s="115">
        <f t="shared" ref="D5:D17" si="0">SUMIF(Receiving_Report_ref.,C5,In_Quantity)</f>
        <v>671</v>
      </c>
      <c r="E5" s="115">
        <f t="shared" ref="E5:E17" si="1">SUMIF(Receiving_Report_ref.,C5,In_Weight)</f>
        <v>2512.2239999999997</v>
      </c>
      <c r="F5" s="116">
        <f t="shared" ref="F5:F17" si="2">SUMIF(Receiving_Report_ref.,C5,Pallet_qty)</f>
        <v>10</v>
      </c>
      <c r="G5" s="102"/>
      <c r="H5" s="161">
        <f>IFERROR(INDEX(inbound_data[],MATCH(G5,Source,0),6),0)</f>
        <v>0</v>
      </c>
      <c r="I5" s="110">
        <f t="shared" ref="I5:I17" si="3">SUMIF(Withdrawal_Report_No.,G5,QTY_OUT)</f>
        <v>0</v>
      </c>
      <c r="J5" s="111">
        <f t="shared" ref="J5:J17" si="4">SUMIF(Receiving_Report_ref.,H5,In_Quantity)</f>
        <v>0</v>
      </c>
      <c r="K5" s="109">
        <f t="shared" ref="K5:K17" si="5">SUMIF(Withdrawal_Report_No.,G5,KILOS_OUT)</f>
        <v>0</v>
      </c>
      <c r="L5" s="112">
        <f t="shared" ref="L5:L17" si="6">SUMIF(Receiving_Report_ref.,H5,In_Weight)</f>
        <v>0</v>
      </c>
      <c r="M5" s="110">
        <f t="shared" ref="M5:M17" si="7">SUMIF(Withdrawal_Report_No.,G5,PALLET_OUT)</f>
        <v>0</v>
      </c>
      <c r="N5" s="111">
        <f t="shared" ref="N5:N17" si="8">SUMIF(Receiving_Report_ref.,H5,Pallet_qty)</f>
        <v>0</v>
      </c>
      <c r="O5" s="113">
        <f>I5-J5</f>
        <v>0</v>
      </c>
      <c r="P5" s="113">
        <f>K5-L5</f>
        <v>0</v>
      </c>
      <c r="Q5" s="114">
        <f>+M5-N5</f>
        <v>0</v>
      </c>
      <c r="R5" s="127">
        <f>B5+F5-Q5</f>
        <v>10</v>
      </c>
      <c r="S5" s="128">
        <f>D5-O5</f>
        <v>671</v>
      </c>
      <c r="T5" s="129">
        <f>+E5-P5</f>
        <v>2512.2239999999997</v>
      </c>
    </row>
    <row r="6" spans="1:21" x14ac:dyDescent="0.25">
      <c r="A6" s="103">
        <v>45911</v>
      </c>
      <c r="B6" s="126">
        <f>R5</f>
        <v>10</v>
      </c>
      <c r="C6" s="102"/>
      <c r="D6" s="115">
        <f t="shared" si="0"/>
        <v>0</v>
      </c>
      <c r="E6" s="115">
        <f t="shared" si="1"/>
        <v>0</v>
      </c>
      <c r="F6" s="116">
        <f t="shared" si="2"/>
        <v>0</v>
      </c>
      <c r="G6" s="102"/>
      <c r="H6" s="161">
        <f>IFERROR(INDEX(inbound_data[],MATCH(G6,Source,0),6),0)</f>
        <v>0</v>
      </c>
      <c r="I6" s="110">
        <f t="shared" si="3"/>
        <v>0</v>
      </c>
      <c r="J6" s="111">
        <f t="shared" si="4"/>
        <v>0</v>
      </c>
      <c r="K6" s="109">
        <f t="shared" si="5"/>
        <v>0</v>
      </c>
      <c r="L6" s="112">
        <f t="shared" si="6"/>
        <v>0</v>
      </c>
      <c r="M6" s="110">
        <f t="shared" si="7"/>
        <v>0</v>
      </c>
      <c r="N6" s="111">
        <f t="shared" si="8"/>
        <v>0</v>
      </c>
      <c r="O6" s="113">
        <f t="shared" ref="O6:O17" si="9">I6-J6</f>
        <v>0</v>
      </c>
      <c r="P6" s="113">
        <f t="shared" ref="P6:P17" si="10">K6-L6</f>
        <v>0</v>
      </c>
      <c r="Q6" s="114">
        <f t="shared" ref="Q6:Q17" si="11">+M6-N6</f>
        <v>0</v>
      </c>
      <c r="R6" s="127">
        <f>B6+F6-Q6</f>
        <v>10</v>
      </c>
      <c r="S6" s="128">
        <f>S5+D6-O6</f>
        <v>671</v>
      </c>
      <c r="T6" s="129">
        <f>T5+E6-P6</f>
        <v>2512.2239999999997</v>
      </c>
    </row>
    <row r="7" spans="1:21" x14ac:dyDescent="0.25">
      <c r="A7" s="103">
        <v>45912</v>
      </c>
      <c r="B7" s="126">
        <f t="shared" ref="B7:B17" si="12">R6</f>
        <v>10</v>
      </c>
      <c r="C7" s="102">
        <v>101841</v>
      </c>
      <c r="D7" s="115">
        <f t="shared" si="0"/>
        <v>280</v>
      </c>
      <c r="E7" s="115">
        <f t="shared" si="1"/>
        <v>1048.3200000000002</v>
      </c>
      <c r="F7" s="116">
        <f t="shared" si="2"/>
        <v>4</v>
      </c>
      <c r="G7" s="102"/>
      <c r="H7" s="161">
        <f>IFERROR(INDEX(inbound_data[],MATCH(G7,Source,0),6),0)</f>
        <v>0</v>
      </c>
      <c r="I7" s="110">
        <f t="shared" si="3"/>
        <v>0</v>
      </c>
      <c r="J7" s="111">
        <f t="shared" si="4"/>
        <v>0</v>
      </c>
      <c r="K7" s="109">
        <f t="shared" si="5"/>
        <v>0</v>
      </c>
      <c r="L7" s="112">
        <f t="shared" si="6"/>
        <v>0</v>
      </c>
      <c r="M7" s="110">
        <f t="shared" si="7"/>
        <v>0</v>
      </c>
      <c r="N7" s="111">
        <f t="shared" si="8"/>
        <v>0</v>
      </c>
      <c r="O7" s="113">
        <f t="shared" si="9"/>
        <v>0</v>
      </c>
      <c r="P7" s="113">
        <f t="shared" si="10"/>
        <v>0</v>
      </c>
      <c r="Q7" s="114">
        <f t="shared" si="11"/>
        <v>0</v>
      </c>
      <c r="R7" s="127">
        <f t="shared" ref="R7:R17" si="13">B7+F7-Q7</f>
        <v>14</v>
      </c>
      <c r="S7" s="128">
        <f t="shared" ref="S7:S17" si="14">S6+D7-O7</f>
        <v>951</v>
      </c>
      <c r="T7" s="129">
        <f t="shared" ref="T7:T17" si="15">T6+E7-P7</f>
        <v>3560.5439999999999</v>
      </c>
    </row>
    <row r="8" spans="1:21" x14ac:dyDescent="0.25">
      <c r="A8" s="103">
        <v>45912</v>
      </c>
      <c r="B8" s="126">
        <f t="shared" si="12"/>
        <v>14</v>
      </c>
      <c r="C8" s="102"/>
      <c r="D8" s="115">
        <f t="shared" si="0"/>
        <v>0</v>
      </c>
      <c r="E8" s="115">
        <f t="shared" si="1"/>
        <v>0</v>
      </c>
      <c r="F8" s="116">
        <f t="shared" si="2"/>
        <v>0</v>
      </c>
      <c r="G8" s="102">
        <v>124175</v>
      </c>
      <c r="H8" s="161">
        <f>IFERROR(INDEX(inbound_data[],MATCH(G8,Source,0),6),0)</f>
        <v>0</v>
      </c>
      <c r="I8" s="110">
        <f t="shared" si="3"/>
        <v>251</v>
      </c>
      <c r="J8" s="111">
        <f t="shared" si="4"/>
        <v>0</v>
      </c>
      <c r="K8" s="109">
        <f t="shared" si="5"/>
        <v>939.74400000000014</v>
      </c>
      <c r="L8" s="112">
        <f t="shared" si="6"/>
        <v>0</v>
      </c>
      <c r="M8" s="110">
        <f t="shared" si="7"/>
        <v>4</v>
      </c>
      <c r="N8" s="111">
        <f t="shared" si="8"/>
        <v>0</v>
      </c>
      <c r="O8" s="113">
        <f t="shared" si="9"/>
        <v>251</v>
      </c>
      <c r="P8" s="113">
        <f t="shared" si="10"/>
        <v>939.74400000000014</v>
      </c>
      <c r="Q8" s="114">
        <f t="shared" si="11"/>
        <v>4</v>
      </c>
      <c r="R8" s="127">
        <f t="shared" si="13"/>
        <v>10</v>
      </c>
      <c r="S8" s="128">
        <f t="shared" si="14"/>
        <v>700</v>
      </c>
      <c r="T8" s="129">
        <f t="shared" si="15"/>
        <v>2620.7999999999997</v>
      </c>
    </row>
    <row r="9" spans="1:21" x14ac:dyDescent="0.25">
      <c r="A9" s="103">
        <v>45913</v>
      </c>
      <c r="B9" s="126">
        <f t="shared" si="12"/>
        <v>10</v>
      </c>
      <c r="C9" s="56"/>
      <c r="D9" s="115">
        <f t="shared" si="0"/>
        <v>0</v>
      </c>
      <c r="E9" s="115">
        <f t="shared" si="1"/>
        <v>0</v>
      </c>
      <c r="F9" s="116">
        <f t="shared" si="2"/>
        <v>0</v>
      </c>
      <c r="G9" s="102">
        <v>126076</v>
      </c>
      <c r="H9" s="161">
        <f>IFERROR(INDEX(inbound_data[],MATCH(G9,Source,0),6),0)</f>
        <v>0</v>
      </c>
      <c r="I9" s="110">
        <f t="shared" si="3"/>
        <v>280</v>
      </c>
      <c r="J9" s="111">
        <f t="shared" si="4"/>
        <v>0</v>
      </c>
      <c r="K9" s="109">
        <f t="shared" si="5"/>
        <v>1048.3200000000002</v>
      </c>
      <c r="L9" s="112">
        <f t="shared" si="6"/>
        <v>0</v>
      </c>
      <c r="M9" s="110">
        <f t="shared" si="7"/>
        <v>4</v>
      </c>
      <c r="N9" s="111">
        <f t="shared" si="8"/>
        <v>0</v>
      </c>
      <c r="O9" s="113">
        <f t="shared" si="9"/>
        <v>280</v>
      </c>
      <c r="P9" s="113">
        <f t="shared" si="10"/>
        <v>1048.3200000000002</v>
      </c>
      <c r="Q9" s="114">
        <f t="shared" si="11"/>
        <v>4</v>
      </c>
      <c r="R9" s="127">
        <f t="shared" si="13"/>
        <v>6</v>
      </c>
      <c r="S9" s="128">
        <f t="shared" si="14"/>
        <v>420</v>
      </c>
      <c r="T9" s="129">
        <f t="shared" si="15"/>
        <v>1572.4799999999996</v>
      </c>
    </row>
    <row r="10" spans="1:21" x14ac:dyDescent="0.25">
      <c r="A10" s="103">
        <v>45914</v>
      </c>
      <c r="B10" s="126">
        <f t="shared" si="12"/>
        <v>6</v>
      </c>
      <c r="C10" s="56"/>
      <c r="D10" s="115">
        <f t="shared" si="0"/>
        <v>0</v>
      </c>
      <c r="E10" s="115">
        <f t="shared" si="1"/>
        <v>0</v>
      </c>
      <c r="F10" s="116">
        <f t="shared" si="2"/>
        <v>0</v>
      </c>
      <c r="G10" s="102"/>
      <c r="H10" s="161">
        <f>IFERROR(INDEX(inbound_data[],MATCH(G10,Source,0),6),0)</f>
        <v>0</v>
      </c>
      <c r="I10" s="110">
        <f t="shared" si="3"/>
        <v>0</v>
      </c>
      <c r="J10" s="111">
        <f t="shared" si="4"/>
        <v>0</v>
      </c>
      <c r="K10" s="109">
        <f t="shared" si="5"/>
        <v>0</v>
      </c>
      <c r="L10" s="112">
        <f t="shared" si="6"/>
        <v>0</v>
      </c>
      <c r="M10" s="110">
        <f t="shared" si="7"/>
        <v>0</v>
      </c>
      <c r="N10" s="111">
        <f t="shared" si="8"/>
        <v>0</v>
      </c>
      <c r="O10" s="113">
        <f t="shared" si="9"/>
        <v>0</v>
      </c>
      <c r="P10" s="113">
        <f t="shared" si="10"/>
        <v>0</v>
      </c>
      <c r="Q10" s="114">
        <f t="shared" si="11"/>
        <v>0</v>
      </c>
      <c r="R10" s="127">
        <f t="shared" si="13"/>
        <v>6</v>
      </c>
      <c r="S10" s="128">
        <f t="shared" si="14"/>
        <v>420</v>
      </c>
      <c r="T10" s="129">
        <f t="shared" si="15"/>
        <v>1572.4799999999996</v>
      </c>
    </row>
    <row r="11" spans="1:21" x14ac:dyDescent="0.25">
      <c r="A11" s="103">
        <v>45915</v>
      </c>
      <c r="B11" s="126">
        <f t="shared" si="12"/>
        <v>6</v>
      </c>
      <c r="C11" s="102"/>
      <c r="D11" s="115">
        <f t="shared" si="0"/>
        <v>0</v>
      </c>
      <c r="E11" s="115">
        <f t="shared" si="1"/>
        <v>0</v>
      </c>
      <c r="F11" s="116">
        <f t="shared" si="2"/>
        <v>0</v>
      </c>
      <c r="G11" s="56"/>
      <c r="H11" s="161">
        <f>IFERROR(INDEX(inbound_data[],MATCH(G11,Source,0),6),0)</f>
        <v>0</v>
      </c>
      <c r="I11" s="110">
        <f t="shared" si="3"/>
        <v>0</v>
      </c>
      <c r="J11" s="111">
        <f t="shared" si="4"/>
        <v>0</v>
      </c>
      <c r="K11" s="109">
        <f t="shared" si="5"/>
        <v>0</v>
      </c>
      <c r="L11" s="112">
        <f t="shared" si="6"/>
        <v>0</v>
      </c>
      <c r="M11" s="110">
        <f t="shared" si="7"/>
        <v>0</v>
      </c>
      <c r="N11" s="111">
        <f t="shared" si="8"/>
        <v>0</v>
      </c>
      <c r="O11" s="113">
        <f t="shared" si="9"/>
        <v>0</v>
      </c>
      <c r="P11" s="113">
        <f t="shared" si="10"/>
        <v>0</v>
      </c>
      <c r="Q11" s="114">
        <f t="shared" si="11"/>
        <v>0</v>
      </c>
      <c r="R11" s="127">
        <f t="shared" si="13"/>
        <v>6</v>
      </c>
      <c r="S11" s="128">
        <f t="shared" si="14"/>
        <v>420</v>
      </c>
      <c r="T11" s="129">
        <f t="shared" si="15"/>
        <v>1572.4799999999996</v>
      </c>
    </row>
    <row r="12" spans="1:21" x14ac:dyDescent="0.25">
      <c r="A12" s="103">
        <v>45916</v>
      </c>
      <c r="B12" s="126">
        <f t="shared" si="12"/>
        <v>6</v>
      </c>
      <c r="C12" s="102"/>
      <c r="D12" s="115">
        <f t="shared" si="0"/>
        <v>0</v>
      </c>
      <c r="E12" s="115">
        <f t="shared" si="1"/>
        <v>0</v>
      </c>
      <c r="F12" s="116">
        <f t="shared" si="2"/>
        <v>0</v>
      </c>
      <c r="G12" s="56"/>
      <c r="H12" s="161">
        <f>IFERROR(INDEX(inbound_data[],MATCH(G12,Source,0),6),0)</f>
        <v>0</v>
      </c>
      <c r="I12" s="110">
        <f t="shared" si="3"/>
        <v>0</v>
      </c>
      <c r="J12" s="111">
        <f t="shared" si="4"/>
        <v>0</v>
      </c>
      <c r="K12" s="109">
        <f t="shared" si="5"/>
        <v>0</v>
      </c>
      <c r="L12" s="112">
        <f t="shared" si="6"/>
        <v>0</v>
      </c>
      <c r="M12" s="110">
        <f t="shared" si="7"/>
        <v>0</v>
      </c>
      <c r="N12" s="111">
        <f t="shared" si="8"/>
        <v>0</v>
      </c>
      <c r="O12" s="113">
        <f t="shared" si="9"/>
        <v>0</v>
      </c>
      <c r="P12" s="113">
        <f t="shared" si="10"/>
        <v>0</v>
      </c>
      <c r="Q12" s="114">
        <f t="shared" si="11"/>
        <v>0</v>
      </c>
      <c r="R12" s="127">
        <f t="shared" si="13"/>
        <v>6</v>
      </c>
      <c r="S12" s="128">
        <f t="shared" si="14"/>
        <v>420</v>
      </c>
      <c r="T12" s="129">
        <f t="shared" si="15"/>
        <v>1572.4799999999996</v>
      </c>
    </row>
    <row r="13" spans="1:21" x14ac:dyDescent="0.25">
      <c r="A13" s="103">
        <v>45917</v>
      </c>
      <c r="B13" s="126">
        <f t="shared" si="12"/>
        <v>6</v>
      </c>
      <c r="C13" s="102"/>
      <c r="D13" s="115">
        <f t="shared" si="0"/>
        <v>0</v>
      </c>
      <c r="E13" s="115">
        <f t="shared" si="1"/>
        <v>0</v>
      </c>
      <c r="F13" s="116">
        <f t="shared" si="2"/>
        <v>0</v>
      </c>
      <c r="G13" s="56"/>
      <c r="H13" s="161">
        <f>IFERROR(INDEX(inbound_data[],MATCH(G13,Source,0),6),0)</f>
        <v>0</v>
      </c>
      <c r="I13" s="110">
        <f t="shared" si="3"/>
        <v>0</v>
      </c>
      <c r="J13" s="111">
        <f t="shared" si="4"/>
        <v>0</v>
      </c>
      <c r="K13" s="109">
        <f t="shared" si="5"/>
        <v>0</v>
      </c>
      <c r="L13" s="112">
        <f t="shared" si="6"/>
        <v>0</v>
      </c>
      <c r="M13" s="110">
        <f t="shared" si="7"/>
        <v>0</v>
      </c>
      <c r="N13" s="111">
        <f t="shared" si="8"/>
        <v>0</v>
      </c>
      <c r="O13" s="113">
        <f t="shared" si="9"/>
        <v>0</v>
      </c>
      <c r="P13" s="113">
        <f t="shared" si="10"/>
        <v>0</v>
      </c>
      <c r="Q13" s="114">
        <f t="shared" si="11"/>
        <v>0</v>
      </c>
      <c r="R13" s="127">
        <f t="shared" si="13"/>
        <v>6</v>
      </c>
      <c r="S13" s="128">
        <f t="shared" si="14"/>
        <v>420</v>
      </c>
      <c r="T13" s="129">
        <f t="shared" si="15"/>
        <v>1572.4799999999996</v>
      </c>
    </row>
    <row r="14" spans="1:21" x14ac:dyDescent="0.25">
      <c r="A14" s="103">
        <v>45918</v>
      </c>
      <c r="B14" s="126">
        <f t="shared" si="12"/>
        <v>6</v>
      </c>
      <c r="C14" s="102">
        <v>102348</v>
      </c>
      <c r="D14" s="115">
        <f t="shared" si="0"/>
        <v>210</v>
      </c>
      <c r="E14" s="115">
        <f t="shared" si="1"/>
        <v>2184</v>
      </c>
      <c r="F14" s="116">
        <f t="shared" si="2"/>
        <v>7</v>
      </c>
      <c r="G14" s="56"/>
      <c r="H14" s="161">
        <f>IFERROR(INDEX(inbound_data[],MATCH(G14,Source,0),6),0)</f>
        <v>0</v>
      </c>
      <c r="I14" s="110">
        <f t="shared" si="3"/>
        <v>0</v>
      </c>
      <c r="J14" s="111">
        <f t="shared" si="4"/>
        <v>0</v>
      </c>
      <c r="K14" s="109">
        <f t="shared" si="5"/>
        <v>0</v>
      </c>
      <c r="L14" s="112">
        <f t="shared" si="6"/>
        <v>0</v>
      </c>
      <c r="M14" s="110">
        <f t="shared" si="7"/>
        <v>0</v>
      </c>
      <c r="N14" s="111">
        <f t="shared" si="8"/>
        <v>0</v>
      </c>
      <c r="O14" s="113">
        <f t="shared" si="9"/>
        <v>0</v>
      </c>
      <c r="P14" s="113">
        <f t="shared" si="10"/>
        <v>0</v>
      </c>
      <c r="Q14" s="114">
        <f t="shared" si="11"/>
        <v>0</v>
      </c>
      <c r="R14" s="127">
        <f t="shared" si="13"/>
        <v>13</v>
      </c>
      <c r="S14" s="128">
        <f t="shared" si="14"/>
        <v>630</v>
      </c>
      <c r="T14" s="129">
        <f t="shared" si="15"/>
        <v>3756.4799999999996</v>
      </c>
    </row>
    <row r="15" spans="1:21" x14ac:dyDescent="0.25">
      <c r="A15" s="103">
        <v>45918</v>
      </c>
      <c r="B15" s="126">
        <f t="shared" si="12"/>
        <v>13</v>
      </c>
      <c r="C15" s="102"/>
      <c r="D15" s="115">
        <f t="shared" si="0"/>
        <v>0</v>
      </c>
      <c r="E15" s="115">
        <f t="shared" si="1"/>
        <v>0</v>
      </c>
      <c r="F15" s="116">
        <f t="shared" si="2"/>
        <v>0</v>
      </c>
      <c r="G15" s="56">
        <v>126677</v>
      </c>
      <c r="H15" s="161">
        <f>IFERROR(INDEX(inbound_data[],MATCH(G15,Source,0),6),0)</f>
        <v>0</v>
      </c>
      <c r="I15" s="110">
        <f t="shared" si="3"/>
        <v>420</v>
      </c>
      <c r="J15" s="111">
        <f t="shared" si="4"/>
        <v>0</v>
      </c>
      <c r="K15" s="109">
        <f t="shared" si="5"/>
        <v>1572.48</v>
      </c>
      <c r="L15" s="112">
        <f t="shared" si="6"/>
        <v>0</v>
      </c>
      <c r="M15" s="110">
        <f t="shared" si="7"/>
        <v>6</v>
      </c>
      <c r="N15" s="111">
        <f t="shared" si="8"/>
        <v>0</v>
      </c>
      <c r="O15" s="113">
        <f t="shared" si="9"/>
        <v>420</v>
      </c>
      <c r="P15" s="113">
        <f t="shared" si="10"/>
        <v>1572.48</v>
      </c>
      <c r="Q15" s="114">
        <f t="shared" si="11"/>
        <v>6</v>
      </c>
      <c r="R15" s="127">
        <f t="shared" si="13"/>
        <v>7</v>
      </c>
      <c r="S15" s="128">
        <f t="shared" si="14"/>
        <v>210</v>
      </c>
      <c r="T15" s="129">
        <f t="shared" si="15"/>
        <v>2183.9999999999995</v>
      </c>
    </row>
    <row r="16" spans="1:21" x14ac:dyDescent="0.25">
      <c r="A16" s="103">
        <v>45919</v>
      </c>
      <c r="B16" s="126">
        <f t="shared" si="12"/>
        <v>7</v>
      </c>
      <c r="C16" s="102"/>
      <c r="D16" s="115">
        <f t="shared" si="0"/>
        <v>0</v>
      </c>
      <c r="E16" s="115">
        <f t="shared" si="1"/>
        <v>0</v>
      </c>
      <c r="F16" s="116">
        <f t="shared" si="2"/>
        <v>0</v>
      </c>
      <c r="G16" s="56"/>
      <c r="H16" s="161">
        <f>IFERROR(INDEX(inbound_data[],MATCH(G16,Source,0),6),0)</f>
        <v>0</v>
      </c>
      <c r="I16" s="110">
        <f t="shared" si="3"/>
        <v>0</v>
      </c>
      <c r="J16" s="111">
        <f t="shared" si="4"/>
        <v>0</v>
      </c>
      <c r="K16" s="109">
        <f t="shared" si="5"/>
        <v>0</v>
      </c>
      <c r="L16" s="112">
        <f t="shared" si="6"/>
        <v>0</v>
      </c>
      <c r="M16" s="110">
        <f t="shared" si="7"/>
        <v>0</v>
      </c>
      <c r="N16" s="111">
        <f t="shared" si="8"/>
        <v>0</v>
      </c>
      <c r="O16" s="113">
        <f t="shared" si="9"/>
        <v>0</v>
      </c>
      <c r="P16" s="113">
        <f t="shared" si="10"/>
        <v>0</v>
      </c>
      <c r="Q16" s="114">
        <f t="shared" si="11"/>
        <v>0</v>
      </c>
      <c r="R16" s="127">
        <f t="shared" si="13"/>
        <v>7</v>
      </c>
      <c r="S16" s="128">
        <f t="shared" si="14"/>
        <v>210</v>
      </c>
      <c r="T16" s="129">
        <f t="shared" si="15"/>
        <v>2183.9999999999995</v>
      </c>
    </row>
    <row r="17" spans="1:20" x14ac:dyDescent="0.25">
      <c r="A17" s="103">
        <v>45920</v>
      </c>
      <c r="B17" s="126">
        <f t="shared" si="12"/>
        <v>7</v>
      </c>
      <c r="C17" s="102"/>
      <c r="D17" s="115">
        <f t="shared" si="0"/>
        <v>0</v>
      </c>
      <c r="E17" s="115">
        <f t="shared" si="1"/>
        <v>0</v>
      </c>
      <c r="F17" s="116">
        <f t="shared" si="2"/>
        <v>0</v>
      </c>
      <c r="G17" s="56">
        <v>126714</v>
      </c>
      <c r="H17" s="161">
        <f>IFERROR(INDEX(inbound_data[],MATCH(G17,Source,0),6),0)</f>
        <v>0</v>
      </c>
      <c r="I17" s="110">
        <f t="shared" si="3"/>
        <v>150</v>
      </c>
      <c r="J17" s="111">
        <f t="shared" si="4"/>
        <v>0</v>
      </c>
      <c r="K17" s="109">
        <f t="shared" si="5"/>
        <v>1560</v>
      </c>
      <c r="L17" s="112">
        <f t="shared" si="6"/>
        <v>0</v>
      </c>
      <c r="M17" s="110">
        <f t="shared" si="7"/>
        <v>5</v>
      </c>
      <c r="N17" s="111">
        <f t="shared" si="8"/>
        <v>0</v>
      </c>
      <c r="O17" s="113">
        <f t="shared" si="9"/>
        <v>150</v>
      </c>
      <c r="P17" s="113">
        <f t="shared" si="10"/>
        <v>1560</v>
      </c>
      <c r="Q17" s="114">
        <f t="shared" si="11"/>
        <v>5</v>
      </c>
      <c r="R17" s="127">
        <f t="shared" si="13"/>
        <v>2</v>
      </c>
      <c r="S17" s="128">
        <f t="shared" si="14"/>
        <v>60</v>
      </c>
      <c r="T17" s="129">
        <f t="shared" si="15"/>
        <v>623.99999999999955</v>
      </c>
    </row>
    <row r="18" spans="1:20" x14ac:dyDescent="0.25">
      <c r="A18" s="103">
        <v>45921</v>
      </c>
      <c r="B18" s="126">
        <f t="shared" ref="B18:B59" si="16">R17</f>
        <v>2</v>
      </c>
      <c r="C18" s="102"/>
      <c r="D18" s="115">
        <f t="shared" ref="D18:D59" si="17">SUMIF(Receiving_Report_ref.,C18,In_Quantity)</f>
        <v>0</v>
      </c>
      <c r="E18" s="115">
        <f t="shared" ref="E18:E59" si="18">SUMIF(Receiving_Report_ref.,C18,In_Weight)</f>
        <v>0</v>
      </c>
      <c r="F18" s="116">
        <f t="shared" ref="F18:F59" si="19">SUMIF(Receiving_Report_ref.,C18,Pallet_qty)</f>
        <v>0</v>
      </c>
      <c r="G18" s="56"/>
      <c r="H18" s="161">
        <f>IFERROR(INDEX(inbound_data[],MATCH(G18,Source,0),6),0)</f>
        <v>0</v>
      </c>
      <c r="I18" s="110">
        <f t="shared" ref="I18:I59" si="20">SUMIF(Withdrawal_Report_No.,G18,QTY_OUT)</f>
        <v>0</v>
      </c>
      <c r="J18" s="111">
        <f t="shared" ref="J18:J59" si="21">SUMIF(Receiving_Report_ref.,H18,In_Quantity)</f>
        <v>0</v>
      </c>
      <c r="K18" s="109">
        <f t="shared" ref="K18:K59" si="22">SUMIF(Withdrawal_Report_No.,G18,KILOS_OUT)</f>
        <v>0</v>
      </c>
      <c r="L18" s="112">
        <f t="shared" ref="L18:L59" si="23">SUMIF(Receiving_Report_ref.,H18,In_Weight)</f>
        <v>0</v>
      </c>
      <c r="M18" s="110">
        <f t="shared" ref="M18:M59" si="24">SUMIF(Withdrawal_Report_No.,G18,PALLET_OUT)</f>
        <v>0</v>
      </c>
      <c r="N18" s="111">
        <f t="shared" ref="N18:N59" si="25">SUMIF(Receiving_Report_ref.,H18,Pallet_qty)</f>
        <v>0</v>
      </c>
      <c r="O18" s="113">
        <f t="shared" ref="O18:O59" si="26">I18-J18</f>
        <v>0</v>
      </c>
      <c r="P18" s="113">
        <f t="shared" ref="P18:P59" si="27">K18-L18</f>
        <v>0</v>
      </c>
      <c r="Q18" s="114">
        <f t="shared" ref="Q18:Q59" si="28">+M18-N18</f>
        <v>0</v>
      </c>
      <c r="R18" s="127">
        <f t="shared" ref="R18:R59" si="29">B18+F18-Q18</f>
        <v>2</v>
      </c>
      <c r="S18" s="128">
        <f t="shared" ref="S18:T22" si="30">S17+D18-O18</f>
        <v>60</v>
      </c>
      <c r="T18" s="129">
        <f t="shared" si="30"/>
        <v>623.99999999999955</v>
      </c>
    </row>
    <row r="19" spans="1:20" x14ac:dyDescent="0.25">
      <c r="A19" s="103">
        <v>45922</v>
      </c>
      <c r="B19" s="126">
        <f t="shared" si="16"/>
        <v>2</v>
      </c>
      <c r="C19" s="102"/>
      <c r="D19" s="115">
        <f t="shared" si="17"/>
        <v>0</v>
      </c>
      <c r="E19" s="115">
        <f t="shared" si="18"/>
        <v>0</v>
      </c>
      <c r="F19" s="116">
        <f t="shared" si="19"/>
        <v>0</v>
      </c>
      <c r="G19" s="56"/>
      <c r="H19" s="161">
        <f>IFERROR(INDEX(inbound_data[],MATCH(G19,Source,0),6),0)</f>
        <v>0</v>
      </c>
      <c r="I19" s="110">
        <f t="shared" si="20"/>
        <v>0</v>
      </c>
      <c r="J19" s="111">
        <f t="shared" si="21"/>
        <v>0</v>
      </c>
      <c r="K19" s="109">
        <f t="shared" si="22"/>
        <v>0</v>
      </c>
      <c r="L19" s="112">
        <f t="shared" si="23"/>
        <v>0</v>
      </c>
      <c r="M19" s="110">
        <f t="shared" si="24"/>
        <v>0</v>
      </c>
      <c r="N19" s="111">
        <f t="shared" si="25"/>
        <v>0</v>
      </c>
      <c r="O19" s="113">
        <f t="shared" si="26"/>
        <v>0</v>
      </c>
      <c r="P19" s="113">
        <f t="shared" si="27"/>
        <v>0</v>
      </c>
      <c r="Q19" s="114">
        <f t="shared" si="28"/>
        <v>0</v>
      </c>
      <c r="R19" s="127">
        <f t="shared" si="29"/>
        <v>2</v>
      </c>
      <c r="S19" s="128">
        <f t="shared" si="30"/>
        <v>60</v>
      </c>
      <c r="T19" s="129">
        <f t="shared" si="30"/>
        <v>623.99999999999955</v>
      </c>
    </row>
    <row r="20" spans="1:20" x14ac:dyDescent="0.25">
      <c r="A20" s="103">
        <v>45923</v>
      </c>
      <c r="B20" s="126">
        <f t="shared" si="16"/>
        <v>2</v>
      </c>
      <c r="C20" s="102"/>
      <c r="D20" s="115">
        <f t="shared" si="17"/>
        <v>0</v>
      </c>
      <c r="E20" s="115">
        <f t="shared" si="18"/>
        <v>0</v>
      </c>
      <c r="F20" s="116">
        <f t="shared" si="19"/>
        <v>0</v>
      </c>
      <c r="G20" s="56"/>
      <c r="H20" s="161">
        <f>IFERROR(INDEX(inbound_data[],MATCH(G20,Source,0),6),0)</f>
        <v>0</v>
      </c>
      <c r="I20" s="110">
        <f t="shared" si="20"/>
        <v>0</v>
      </c>
      <c r="J20" s="111">
        <f t="shared" si="21"/>
        <v>0</v>
      </c>
      <c r="K20" s="109">
        <f t="shared" si="22"/>
        <v>0</v>
      </c>
      <c r="L20" s="112">
        <f t="shared" si="23"/>
        <v>0</v>
      </c>
      <c r="M20" s="110">
        <f t="shared" si="24"/>
        <v>0</v>
      </c>
      <c r="N20" s="111">
        <f t="shared" si="25"/>
        <v>0</v>
      </c>
      <c r="O20" s="113">
        <f t="shared" si="26"/>
        <v>0</v>
      </c>
      <c r="P20" s="113">
        <f t="shared" si="27"/>
        <v>0</v>
      </c>
      <c r="Q20" s="114">
        <f t="shared" si="28"/>
        <v>0</v>
      </c>
      <c r="R20" s="127">
        <f t="shared" si="29"/>
        <v>2</v>
      </c>
      <c r="S20" s="128">
        <f t="shared" si="30"/>
        <v>60</v>
      </c>
      <c r="T20" s="129">
        <f t="shared" si="30"/>
        <v>623.99999999999955</v>
      </c>
    </row>
    <row r="21" spans="1:20" x14ac:dyDescent="0.25">
      <c r="A21" s="103">
        <v>45924</v>
      </c>
      <c r="B21" s="126">
        <f t="shared" si="16"/>
        <v>2</v>
      </c>
      <c r="C21" s="102"/>
      <c r="D21" s="115">
        <f t="shared" si="17"/>
        <v>0</v>
      </c>
      <c r="E21" s="115">
        <f t="shared" si="18"/>
        <v>0</v>
      </c>
      <c r="F21" s="116">
        <f t="shared" si="19"/>
        <v>0</v>
      </c>
      <c r="G21" s="56">
        <v>127031</v>
      </c>
      <c r="H21" s="161">
        <f>IFERROR(INDEX(inbound_data[],MATCH(G21,Source,0),6),0)</f>
        <v>0</v>
      </c>
      <c r="I21" s="110">
        <f t="shared" si="20"/>
        <v>60</v>
      </c>
      <c r="J21" s="111">
        <f t="shared" si="21"/>
        <v>0</v>
      </c>
      <c r="K21" s="109">
        <f t="shared" si="22"/>
        <v>624</v>
      </c>
      <c r="L21" s="112">
        <f t="shared" si="23"/>
        <v>0</v>
      </c>
      <c r="M21" s="110">
        <f t="shared" si="24"/>
        <v>2</v>
      </c>
      <c r="N21" s="111">
        <f t="shared" si="25"/>
        <v>0</v>
      </c>
      <c r="O21" s="113">
        <f t="shared" si="26"/>
        <v>60</v>
      </c>
      <c r="P21" s="113">
        <f t="shared" si="27"/>
        <v>624</v>
      </c>
      <c r="Q21" s="114">
        <f t="shared" si="28"/>
        <v>2</v>
      </c>
      <c r="R21" s="127">
        <f t="shared" si="29"/>
        <v>0</v>
      </c>
      <c r="S21" s="128">
        <f t="shared" si="30"/>
        <v>0</v>
      </c>
      <c r="T21" s="129">
        <f t="shared" si="30"/>
        <v>0</v>
      </c>
    </row>
    <row r="22" spans="1:20" x14ac:dyDescent="0.25">
      <c r="A22" s="103">
        <v>45925</v>
      </c>
      <c r="B22" s="126">
        <f t="shared" si="16"/>
        <v>0</v>
      </c>
      <c r="C22" s="102"/>
      <c r="D22" s="115">
        <f t="shared" si="17"/>
        <v>0</v>
      </c>
      <c r="E22" s="115">
        <f t="shared" si="18"/>
        <v>0</v>
      </c>
      <c r="F22" s="116">
        <f t="shared" si="19"/>
        <v>0</v>
      </c>
      <c r="G22" s="56"/>
      <c r="H22" s="161">
        <f>IFERROR(INDEX(inbound_data[],MATCH(G22,Source,0),6),0)</f>
        <v>0</v>
      </c>
      <c r="I22" s="110">
        <f t="shared" si="20"/>
        <v>0</v>
      </c>
      <c r="J22" s="111">
        <f t="shared" si="21"/>
        <v>0</v>
      </c>
      <c r="K22" s="109">
        <f t="shared" si="22"/>
        <v>0</v>
      </c>
      <c r="L22" s="112">
        <f t="shared" si="23"/>
        <v>0</v>
      </c>
      <c r="M22" s="110">
        <f t="shared" si="24"/>
        <v>0</v>
      </c>
      <c r="N22" s="111">
        <f t="shared" si="25"/>
        <v>0</v>
      </c>
      <c r="O22" s="113">
        <f t="shared" si="26"/>
        <v>0</v>
      </c>
      <c r="P22" s="113">
        <f t="shared" si="27"/>
        <v>0</v>
      </c>
      <c r="Q22" s="114">
        <f t="shared" si="28"/>
        <v>0</v>
      </c>
      <c r="R22" s="127">
        <f t="shared" si="29"/>
        <v>0</v>
      </c>
      <c r="S22" s="128">
        <f t="shared" si="30"/>
        <v>0</v>
      </c>
      <c r="T22" s="129">
        <f t="shared" si="30"/>
        <v>0</v>
      </c>
    </row>
    <row r="23" spans="1:20" x14ac:dyDescent="0.25">
      <c r="A23" s="103">
        <v>45926</v>
      </c>
      <c r="B23" s="126">
        <f t="shared" si="16"/>
        <v>0</v>
      </c>
      <c r="C23" s="102"/>
      <c r="D23" s="115">
        <f t="shared" si="17"/>
        <v>0</v>
      </c>
      <c r="E23" s="115">
        <f t="shared" si="18"/>
        <v>0</v>
      </c>
      <c r="F23" s="116">
        <f t="shared" si="19"/>
        <v>0</v>
      </c>
      <c r="G23" s="56"/>
      <c r="H23" s="161">
        <f>IFERROR(INDEX(inbound_data[],MATCH(G23,Source,0),6),0)</f>
        <v>0</v>
      </c>
      <c r="I23" s="110">
        <f t="shared" si="20"/>
        <v>0</v>
      </c>
      <c r="J23" s="111">
        <f t="shared" si="21"/>
        <v>0</v>
      </c>
      <c r="K23" s="109">
        <f t="shared" si="22"/>
        <v>0</v>
      </c>
      <c r="L23" s="112">
        <f t="shared" si="23"/>
        <v>0</v>
      </c>
      <c r="M23" s="110">
        <f t="shared" si="24"/>
        <v>0</v>
      </c>
      <c r="N23" s="111">
        <f t="shared" si="25"/>
        <v>0</v>
      </c>
      <c r="O23" s="113">
        <f t="shared" si="26"/>
        <v>0</v>
      </c>
      <c r="P23" s="113">
        <f t="shared" si="27"/>
        <v>0</v>
      </c>
      <c r="Q23" s="114">
        <f t="shared" si="28"/>
        <v>0</v>
      </c>
      <c r="R23" s="127">
        <f t="shared" si="29"/>
        <v>0</v>
      </c>
      <c r="S23" s="128">
        <f t="shared" ref="S23:S59" si="31">S22+D23-O23</f>
        <v>0</v>
      </c>
      <c r="T23" s="129">
        <f t="shared" ref="T23:T59" si="32">T22+E23-P23</f>
        <v>0</v>
      </c>
    </row>
    <row r="24" spans="1:20" x14ac:dyDescent="0.25">
      <c r="A24" s="103">
        <v>45927</v>
      </c>
      <c r="B24" s="126">
        <f t="shared" si="16"/>
        <v>0</v>
      </c>
      <c r="C24" s="102"/>
      <c r="D24" s="115">
        <f t="shared" si="17"/>
        <v>0</v>
      </c>
      <c r="E24" s="115">
        <f t="shared" si="18"/>
        <v>0</v>
      </c>
      <c r="F24" s="116">
        <f t="shared" si="19"/>
        <v>0</v>
      </c>
      <c r="G24" s="56"/>
      <c r="H24" s="161">
        <f>IFERROR(INDEX(inbound_data[],MATCH(G24,Source,0),6),0)</f>
        <v>0</v>
      </c>
      <c r="I24" s="110">
        <f t="shared" si="20"/>
        <v>0</v>
      </c>
      <c r="J24" s="111">
        <f t="shared" si="21"/>
        <v>0</v>
      </c>
      <c r="K24" s="109">
        <f t="shared" si="22"/>
        <v>0</v>
      </c>
      <c r="L24" s="112">
        <f t="shared" si="23"/>
        <v>0</v>
      </c>
      <c r="M24" s="110">
        <f t="shared" si="24"/>
        <v>0</v>
      </c>
      <c r="N24" s="111">
        <f t="shared" si="25"/>
        <v>0</v>
      </c>
      <c r="O24" s="113">
        <f t="shared" si="26"/>
        <v>0</v>
      </c>
      <c r="P24" s="113">
        <f t="shared" si="27"/>
        <v>0</v>
      </c>
      <c r="Q24" s="114">
        <f t="shared" si="28"/>
        <v>0</v>
      </c>
      <c r="R24" s="127">
        <f t="shared" si="29"/>
        <v>0</v>
      </c>
      <c r="S24" s="128">
        <f t="shared" si="31"/>
        <v>0</v>
      </c>
      <c r="T24" s="129">
        <f t="shared" si="32"/>
        <v>0</v>
      </c>
    </row>
    <row r="25" spans="1:20" x14ac:dyDescent="0.25">
      <c r="A25" s="103">
        <v>45928</v>
      </c>
      <c r="B25" s="126">
        <f t="shared" si="16"/>
        <v>0</v>
      </c>
      <c r="C25" s="102"/>
      <c r="D25" s="115">
        <f t="shared" si="17"/>
        <v>0</v>
      </c>
      <c r="E25" s="115">
        <f t="shared" si="18"/>
        <v>0</v>
      </c>
      <c r="F25" s="116">
        <f t="shared" si="19"/>
        <v>0</v>
      </c>
      <c r="G25" s="56"/>
      <c r="H25" s="161">
        <f>IFERROR(INDEX(inbound_data[],MATCH(G25,Source,0),6),0)</f>
        <v>0</v>
      </c>
      <c r="I25" s="110">
        <f t="shared" si="20"/>
        <v>0</v>
      </c>
      <c r="J25" s="111">
        <f t="shared" si="21"/>
        <v>0</v>
      </c>
      <c r="K25" s="109">
        <f t="shared" si="22"/>
        <v>0</v>
      </c>
      <c r="L25" s="112">
        <f t="shared" si="23"/>
        <v>0</v>
      </c>
      <c r="M25" s="110">
        <f t="shared" si="24"/>
        <v>0</v>
      </c>
      <c r="N25" s="111">
        <f t="shared" si="25"/>
        <v>0</v>
      </c>
      <c r="O25" s="113">
        <f t="shared" si="26"/>
        <v>0</v>
      </c>
      <c r="P25" s="113">
        <f t="shared" si="27"/>
        <v>0</v>
      </c>
      <c r="Q25" s="114">
        <f t="shared" si="28"/>
        <v>0</v>
      </c>
      <c r="R25" s="127">
        <f t="shared" si="29"/>
        <v>0</v>
      </c>
      <c r="S25" s="128">
        <f t="shared" si="31"/>
        <v>0</v>
      </c>
      <c r="T25" s="129">
        <f t="shared" si="32"/>
        <v>0</v>
      </c>
    </row>
    <row r="26" spans="1:20" x14ac:dyDescent="0.25">
      <c r="A26" s="103">
        <v>45929</v>
      </c>
      <c r="B26" s="126">
        <f t="shared" si="16"/>
        <v>0</v>
      </c>
      <c r="C26" s="102"/>
      <c r="D26" s="115">
        <f t="shared" si="17"/>
        <v>0</v>
      </c>
      <c r="E26" s="115">
        <f t="shared" si="18"/>
        <v>0</v>
      </c>
      <c r="F26" s="116">
        <f t="shared" si="19"/>
        <v>0</v>
      </c>
      <c r="G26" s="56"/>
      <c r="H26" s="161">
        <f>IFERROR(INDEX(inbound_data[],MATCH(G26,Source,0),6),0)</f>
        <v>0</v>
      </c>
      <c r="I26" s="110">
        <f t="shared" si="20"/>
        <v>0</v>
      </c>
      <c r="J26" s="111">
        <f t="shared" si="21"/>
        <v>0</v>
      </c>
      <c r="K26" s="109">
        <f t="shared" si="22"/>
        <v>0</v>
      </c>
      <c r="L26" s="112">
        <f t="shared" si="23"/>
        <v>0</v>
      </c>
      <c r="M26" s="110">
        <f t="shared" si="24"/>
        <v>0</v>
      </c>
      <c r="N26" s="111">
        <f t="shared" si="25"/>
        <v>0</v>
      </c>
      <c r="O26" s="113">
        <f t="shared" si="26"/>
        <v>0</v>
      </c>
      <c r="P26" s="113">
        <f t="shared" si="27"/>
        <v>0</v>
      </c>
      <c r="Q26" s="114">
        <f t="shared" si="28"/>
        <v>0</v>
      </c>
      <c r="R26" s="127">
        <f t="shared" si="29"/>
        <v>0</v>
      </c>
      <c r="S26" s="128">
        <f t="shared" si="31"/>
        <v>0</v>
      </c>
      <c r="T26" s="129">
        <f t="shared" si="32"/>
        <v>0</v>
      </c>
    </row>
    <row r="27" spans="1:20" x14ac:dyDescent="0.25">
      <c r="A27" s="103">
        <v>45930</v>
      </c>
      <c r="B27" s="126">
        <f t="shared" si="16"/>
        <v>0</v>
      </c>
      <c r="C27" s="102"/>
      <c r="D27" s="115">
        <f t="shared" si="17"/>
        <v>0</v>
      </c>
      <c r="E27" s="115">
        <f t="shared" si="18"/>
        <v>0</v>
      </c>
      <c r="F27" s="116">
        <f t="shared" si="19"/>
        <v>0</v>
      </c>
      <c r="G27" s="56"/>
      <c r="H27" s="161">
        <f>IFERROR(INDEX(inbound_data[],MATCH(G27,Source,0),6),0)</f>
        <v>0</v>
      </c>
      <c r="I27" s="110">
        <f t="shared" si="20"/>
        <v>0</v>
      </c>
      <c r="J27" s="111">
        <f t="shared" si="21"/>
        <v>0</v>
      </c>
      <c r="K27" s="109">
        <f t="shared" si="22"/>
        <v>0</v>
      </c>
      <c r="L27" s="112">
        <f t="shared" si="23"/>
        <v>0</v>
      </c>
      <c r="M27" s="110">
        <f t="shared" si="24"/>
        <v>0</v>
      </c>
      <c r="N27" s="111">
        <f t="shared" si="25"/>
        <v>0</v>
      </c>
      <c r="O27" s="113">
        <f t="shared" si="26"/>
        <v>0</v>
      </c>
      <c r="P27" s="113">
        <f t="shared" si="27"/>
        <v>0</v>
      </c>
      <c r="Q27" s="114">
        <f t="shared" si="28"/>
        <v>0</v>
      </c>
      <c r="R27" s="127">
        <f t="shared" si="29"/>
        <v>0</v>
      </c>
      <c r="S27" s="128">
        <f t="shared" si="31"/>
        <v>0</v>
      </c>
      <c r="T27" s="129">
        <f t="shared" si="32"/>
        <v>0</v>
      </c>
    </row>
    <row r="28" spans="1:20" x14ac:dyDescent="0.25">
      <c r="A28" s="103">
        <v>45931</v>
      </c>
      <c r="B28" s="126">
        <f t="shared" si="16"/>
        <v>0</v>
      </c>
      <c r="C28" s="102"/>
      <c r="D28" s="115">
        <f t="shared" si="17"/>
        <v>0</v>
      </c>
      <c r="E28" s="115">
        <f t="shared" si="18"/>
        <v>0</v>
      </c>
      <c r="F28" s="116">
        <f t="shared" si="19"/>
        <v>0</v>
      </c>
      <c r="G28" s="56"/>
      <c r="H28" s="161">
        <f>IFERROR(INDEX(inbound_data[],MATCH(G28,Source,0),6),0)</f>
        <v>0</v>
      </c>
      <c r="I28" s="110">
        <f t="shared" si="20"/>
        <v>0</v>
      </c>
      <c r="J28" s="111">
        <f t="shared" si="21"/>
        <v>0</v>
      </c>
      <c r="K28" s="109">
        <f t="shared" si="22"/>
        <v>0</v>
      </c>
      <c r="L28" s="112">
        <f t="shared" si="23"/>
        <v>0</v>
      </c>
      <c r="M28" s="110">
        <f t="shared" si="24"/>
        <v>0</v>
      </c>
      <c r="N28" s="111">
        <f t="shared" si="25"/>
        <v>0</v>
      </c>
      <c r="O28" s="113">
        <f t="shared" si="26"/>
        <v>0</v>
      </c>
      <c r="P28" s="113">
        <f t="shared" si="27"/>
        <v>0</v>
      </c>
      <c r="Q28" s="114">
        <f t="shared" si="28"/>
        <v>0</v>
      </c>
      <c r="R28" s="127">
        <f t="shared" si="29"/>
        <v>0</v>
      </c>
      <c r="S28" s="128">
        <f t="shared" si="31"/>
        <v>0</v>
      </c>
      <c r="T28" s="129">
        <f t="shared" si="32"/>
        <v>0</v>
      </c>
    </row>
    <row r="29" spans="1:20" x14ac:dyDescent="0.25">
      <c r="A29" s="103">
        <v>45932</v>
      </c>
      <c r="B29" s="126">
        <f t="shared" si="16"/>
        <v>0</v>
      </c>
      <c r="C29" s="102"/>
      <c r="D29" s="115">
        <f t="shared" si="17"/>
        <v>0</v>
      </c>
      <c r="E29" s="115">
        <f t="shared" si="18"/>
        <v>0</v>
      </c>
      <c r="F29" s="116">
        <f t="shared" si="19"/>
        <v>0</v>
      </c>
      <c r="G29" s="56"/>
      <c r="H29" s="161">
        <f>IFERROR(INDEX(inbound_data[],MATCH(G29,Source,0),6),0)</f>
        <v>0</v>
      </c>
      <c r="I29" s="110">
        <f t="shared" si="20"/>
        <v>0</v>
      </c>
      <c r="J29" s="111">
        <f t="shared" si="21"/>
        <v>0</v>
      </c>
      <c r="K29" s="109">
        <f t="shared" si="22"/>
        <v>0</v>
      </c>
      <c r="L29" s="112">
        <f t="shared" si="23"/>
        <v>0</v>
      </c>
      <c r="M29" s="110">
        <f t="shared" si="24"/>
        <v>0</v>
      </c>
      <c r="N29" s="111">
        <f t="shared" si="25"/>
        <v>0</v>
      </c>
      <c r="O29" s="113">
        <f t="shared" si="26"/>
        <v>0</v>
      </c>
      <c r="P29" s="113">
        <f t="shared" si="27"/>
        <v>0</v>
      </c>
      <c r="Q29" s="114">
        <f t="shared" si="28"/>
        <v>0</v>
      </c>
      <c r="R29" s="127">
        <f t="shared" si="29"/>
        <v>0</v>
      </c>
      <c r="S29" s="128">
        <f t="shared" si="31"/>
        <v>0</v>
      </c>
      <c r="T29" s="129">
        <f t="shared" si="32"/>
        <v>0</v>
      </c>
    </row>
    <row r="30" spans="1:20" x14ac:dyDescent="0.25">
      <c r="A30" s="103">
        <v>45933</v>
      </c>
      <c r="B30" s="126">
        <f t="shared" si="16"/>
        <v>0</v>
      </c>
      <c r="C30" s="102"/>
      <c r="D30" s="115">
        <f t="shared" si="17"/>
        <v>0</v>
      </c>
      <c r="E30" s="115">
        <f t="shared" si="18"/>
        <v>0</v>
      </c>
      <c r="F30" s="116">
        <f t="shared" si="19"/>
        <v>0</v>
      </c>
      <c r="G30" s="56"/>
      <c r="H30" s="161">
        <f>IFERROR(INDEX(inbound_data[],MATCH(G30,Source,0),6),0)</f>
        <v>0</v>
      </c>
      <c r="I30" s="110">
        <f t="shared" si="20"/>
        <v>0</v>
      </c>
      <c r="J30" s="111">
        <f t="shared" si="21"/>
        <v>0</v>
      </c>
      <c r="K30" s="109">
        <f t="shared" si="22"/>
        <v>0</v>
      </c>
      <c r="L30" s="112">
        <f t="shared" si="23"/>
        <v>0</v>
      </c>
      <c r="M30" s="110">
        <f t="shared" si="24"/>
        <v>0</v>
      </c>
      <c r="N30" s="111">
        <f t="shared" si="25"/>
        <v>0</v>
      </c>
      <c r="O30" s="113">
        <f t="shared" si="26"/>
        <v>0</v>
      </c>
      <c r="P30" s="113">
        <f t="shared" si="27"/>
        <v>0</v>
      </c>
      <c r="Q30" s="114">
        <f t="shared" si="28"/>
        <v>0</v>
      </c>
      <c r="R30" s="127">
        <f t="shared" si="29"/>
        <v>0</v>
      </c>
      <c r="S30" s="128">
        <f t="shared" si="31"/>
        <v>0</v>
      </c>
      <c r="T30" s="129">
        <f t="shared" si="32"/>
        <v>0</v>
      </c>
    </row>
    <row r="31" spans="1:20" x14ac:dyDescent="0.25">
      <c r="A31" s="103">
        <v>45934</v>
      </c>
      <c r="B31" s="126">
        <f t="shared" si="16"/>
        <v>0</v>
      </c>
      <c r="C31" s="102"/>
      <c r="D31" s="115">
        <f t="shared" si="17"/>
        <v>0</v>
      </c>
      <c r="E31" s="115">
        <f t="shared" si="18"/>
        <v>0</v>
      </c>
      <c r="F31" s="116">
        <f t="shared" si="19"/>
        <v>0</v>
      </c>
      <c r="G31" s="56"/>
      <c r="H31" s="161">
        <f>IFERROR(INDEX(inbound_data[],MATCH(G31,Source,0),6),0)</f>
        <v>0</v>
      </c>
      <c r="I31" s="110">
        <f t="shared" si="20"/>
        <v>0</v>
      </c>
      <c r="J31" s="111">
        <f t="shared" si="21"/>
        <v>0</v>
      </c>
      <c r="K31" s="109">
        <f t="shared" si="22"/>
        <v>0</v>
      </c>
      <c r="L31" s="112">
        <f t="shared" si="23"/>
        <v>0</v>
      </c>
      <c r="M31" s="110">
        <f t="shared" si="24"/>
        <v>0</v>
      </c>
      <c r="N31" s="111">
        <f t="shared" si="25"/>
        <v>0</v>
      </c>
      <c r="O31" s="113">
        <f t="shared" si="26"/>
        <v>0</v>
      </c>
      <c r="P31" s="113">
        <f t="shared" si="27"/>
        <v>0</v>
      </c>
      <c r="Q31" s="114">
        <f t="shared" si="28"/>
        <v>0</v>
      </c>
      <c r="R31" s="127">
        <f t="shared" si="29"/>
        <v>0</v>
      </c>
      <c r="S31" s="128">
        <f t="shared" si="31"/>
        <v>0</v>
      </c>
      <c r="T31" s="129">
        <f t="shared" si="32"/>
        <v>0</v>
      </c>
    </row>
    <row r="32" spans="1:20" x14ac:dyDescent="0.25">
      <c r="A32" s="103">
        <v>45935</v>
      </c>
      <c r="B32" s="126">
        <f t="shared" si="16"/>
        <v>0</v>
      </c>
      <c r="C32" s="102"/>
      <c r="D32" s="115">
        <f t="shared" si="17"/>
        <v>0</v>
      </c>
      <c r="E32" s="115">
        <f t="shared" si="18"/>
        <v>0</v>
      </c>
      <c r="F32" s="116">
        <f t="shared" si="19"/>
        <v>0</v>
      </c>
      <c r="G32" s="56"/>
      <c r="H32" s="161">
        <f>IFERROR(INDEX(inbound_data[],MATCH(G32,Source,0),6),0)</f>
        <v>0</v>
      </c>
      <c r="I32" s="110">
        <f t="shared" si="20"/>
        <v>0</v>
      </c>
      <c r="J32" s="111">
        <f t="shared" si="21"/>
        <v>0</v>
      </c>
      <c r="K32" s="109">
        <f t="shared" si="22"/>
        <v>0</v>
      </c>
      <c r="L32" s="112">
        <f t="shared" si="23"/>
        <v>0</v>
      </c>
      <c r="M32" s="110">
        <f t="shared" si="24"/>
        <v>0</v>
      </c>
      <c r="N32" s="111">
        <f t="shared" si="25"/>
        <v>0</v>
      </c>
      <c r="O32" s="113">
        <f t="shared" si="26"/>
        <v>0</v>
      </c>
      <c r="P32" s="113">
        <f t="shared" si="27"/>
        <v>0</v>
      </c>
      <c r="Q32" s="114">
        <f t="shared" si="28"/>
        <v>0</v>
      </c>
      <c r="R32" s="127">
        <f t="shared" si="29"/>
        <v>0</v>
      </c>
      <c r="S32" s="128">
        <f t="shared" si="31"/>
        <v>0</v>
      </c>
      <c r="T32" s="129">
        <f t="shared" si="32"/>
        <v>0</v>
      </c>
    </row>
    <row r="33" spans="1:20" x14ac:dyDescent="0.25">
      <c r="A33" s="103">
        <v>45936</v>
      </c>
      <c r="B33" s="126">
        <f t="shared" si="16"/>
        <v>0</v>
      </c>
      <c r="C33" s="102"/>
      <c r="D33" s="115">
        <f t="shared" si="17"/>
        <v>0</v>
      </c>
      <c r="E33" s="115">
        <f t="shared" si="18"/>
        <v>0</v>
      </c>
      <c r="F33" s="116">
        <f t="shared" si="19"/>
        <v>0</v>
      </c>
      <c r="G33" s="56"/>
      <c r="H33" s="161">
        <f>IFERROR(INDEX(inbound_data[],MATCH(G33,Source,0),6),0)</f>
        <v>0</v>
      </c>
      <c r="I33" s="110">
        <f t="shared" si="20"/>
        <v>0</v>
      </c>
      <c r="J33" s="111">
        <f t="shared" si="21"/>
        <v>0</v>
      </c>
      <c r="K33" s="109">
        <f t="shared" si="22"/>
        <v>0</v>
      </c>
      <c r="L33" s="112">
        <f t="shared" si="23"/>
        <v>0</v>
      </c>
      <c r="M33" s="110">
        <f t="shared" si="24"/>
        <v>0</v>
      </c>
      <c r="N33" s="111">
        <f t="shared" si="25"/>
        <v>0</v>
      </c>
      <c r="O33" s="113">
        <f t="shared" si="26"/>
        <v>0</v>
      </c>
      <c r="P33" s="113">
        <f t="shared" si="27"/>
        <v>0</v>
      </c>
      <c r="Q33" s="114">
        <f t="shared" si="28"/>
        <v>0</v>
      </c>
      <c r="R33" s="127">
        <f t="shared" si="29"/>
        <v>0</v>
      </c>
      <c r="S33" s="128">
        <f t="shared" si="31"/>
        <v>0</v>
      </c>
      <c r="T33" s="129">
        <f t="shared" si="32"/>
        <v>0</v>
      </c>
    </row>
    <row r="34" spans="1:20" x14ac:dyDescent="0.25">
      <c r="A34" s="103">
        <v>45937</v>
      </c>
      <c r="B34" s="126">
        <f t="shared" si="16"/>
        <v>0</v>
      </c>
      <c r="C34" s="102"/>
      <c r="D34" s="115">
        <f t="shared" si="17"/>
        <v>0</v>
      </c>
      <c r="E34" s="115">
        <f t="shared" si="18"/>
        <v>0</v>
      </c>
      <c r="F34" s="116">
        <f t="shared" si="19"/>
        <v>0</v>
      </c>
      <c r="G34" s="56"/>
      <c r="H34" s="161">
        <f>IFERROR(INDEX(inbound_data[],MATCH(G34,Source,0),6),0)</f>
        <v>0</v>
      </c>
      <c r="I34" s="110">
        <f t="shared" si="20"/>
        <v>0</v>
      </c>
      <c r="J34" s="111">
        <f t="shared" si="21"/>
        <v>0</v>
      </c>
      <c r="K34" s="109">
        <f t="shared" si="22"/>
        <v>0</v>
      </c>
      <c r="L34" s="112">
        <f t="shared" si="23"/>
        <v>0</v>
      </c>
      <c r="M34" s="110">
        <f t="shared" si="24"/>
        <v>0</v>
      </c>
      <c r="N34" s="111">
        <f t="shared" si="25"/>
        <v>0</v>
      </c>
      <c r="O34" s="113">
        <f t="shared" si="26"/>
        <v>0</v>
      </c>
      <c r="P34" s="113">
        <f t="shared" si="27"/>
        <v>0</v>
      </c>
      <c r="Q34" s="114">
        <f t="shared" si="28"/>
        <v>0</v>
      </c>
      <c r="R34" s="127">
        <f t="shared" si="29"/>
        <v>0</v>
      </c>
      <c r="S34" s="128">
        <f t="shared" si="31"/>
        <v>0</v>
      </c>
      <c r="T34" s="129">
        <f t="shared" si="32"/>
        <v>0</v>
      </c>
    </row>
    <row r="35" spans="1:20" x14ac:dyDescent="0.25">
      <c r="A35" s="103">
        <v>45938</v>
      </c>
      <c r="B35" s="126">
        <f t="shared" si="16"/>
        <v>0</v>
      </c>
      <c r="C35" s="102"/>
      <c r="D35" s="115">
        <f t="shared" si="17"/>
        <v>0</v>
      </c>
      <c r="E35" s="115">
        <f t="shared" si="18"/>
        <v>0</v>
      </c>
      <c r="F35" s="116">
        <f t="shared" si="19"/>
        <v>0</v>
      </c>
      <c r="G35" s="56"/>
      <c r="H35" s="161">
        <f>IFERROR(INDEX(inbound_data[],MATCH(G35,Source,0),6),0)</f>
        <v>0</v>
      </c>
      <c r="I35" s="110">
        <f t="shared" si="20"/>
        <v>0</v>
      </c>
      <c r="J35" s="111">
        <f t="shared" si="21"/>
        <v>0</v>
      </c>
      <c r="K35" s="109">
        <f t="shared" si="22"/>
        <v>0</v>
      </c>
      <c r="L35" s="112">
        <f t="shared" si="23"/>
        <v>0</v>
      </c>
      <c r="M35" s="110">
        <f t="shared" si="24"/>
        <v>0</v>
      </c>
      <c r="N35" s="111">
        <f t="shared" si="25"/>
        <v>0</v>
      </c>
      <c r="O35" s="113">
        <f t="shared" si="26"/>
        <v>0</v>
      </c>
      <c r="P35" s="113">
        <f t="shared" si="27"/>
        <v>0</v>
      </c>
      <c r="Q35" s="114">
        <f t="shared" si="28"/>
        <v>0</v>
      </c>
      <c r="R35" s="127">
        <f t="shared" si="29"/>
        <v>0</v>
      </c>
      <c r="S35" s="128">
        <f t="shared" si="31"/>
        <v>0</v>
      </c>
      <c r="T35" s="129">
        <f t="shared" si="32"/>
        <v>0</v>
      </c>
    </row>
    <row r="36" spans="1:20" x14ac:dyDescent="0.25">
      <c r="A36" s="103">
        <v>45939</v>
      </c>
      <c r="B36" s="126">
        <f t="shared" si="16"/>
        <v>0</v>
      </c>
      <c r="C36" s="102"/>
      <c r="D36" s="115">
        <f t="shared" si="17"/>
        <v>0</v>
      </c>
      <c r="E36" s="115">
        <f t="shared" si="18"/>
        <v>0</v>
      </c>
      <c r="F36" s="116">
        <f t="shared" si="19"/>
        <v>0</v>
      </c>
      <c r="G36" s="56"/>
      <c r="H36" s="161">
        <f>IFERROR(INDEX(inbound_data[],MATCH(G36,Source,0),6),0)</f>
        <v>0</v>
      </c>
      <c r="I36" s="110">
        <f t="shared" si="20"/>
        <v>0</v>
      </c>
      <c r="J36" s="111">
        <f t="shared" si="21"/>
        <v>0</v>
      </c>
      <c r="K36" s="109">
        <f t="shared" si="22"/>
        <v>0</v>
      </c>
      <c r="L36" s="112">
        <f t="shared" si="23"/>
        <v>0</v>
      </c>
      <c r="M36" s="110">
        <f t="shared" si="24"/>
        <v>0</v>
      </c>
      <c r="N36" s="111">
        <f t="shared" si="25"/>
        <v>0</v>
      </c>
      <c r="O36" s="113">
        <f t="shared" si="26"/>
        <v>0</v>
      </c>
      <c r="P36" s="113">
        <f t="shared" si="27"/>
        <v>0</v>
      </c>
      <c r="Q36" s="114">
        <f t="shared" si="28"/>
        <v>0</v>
      </c>
      <c r="R36" s="127">
        <f t="shared" si="29"/>
        <v>0</v>
      </c>
      <c r="S36" s="128">
        <f t="shared" si="31"/>
        <v>0</v>
      </c>
      <c r="T36" s="129">
        <f t="shared" si="32"/>
        <v>0</v>
      </c>
    </row>
    <row r="37" spans="1:20" x14ac:dyDescent="0.25">
      <c r="A37" s="103">
        <v>45940</v>
      </c>
      <c r="B37" s="126">
        <f t="shared" si="16"/>
        <v>0</v>
      </c>
      <c r="C37" s="102"/>
      <c r="D37" s="115">
        <f t="shared" si="17"/>
        <v>0</v>
      </c>
      <c r="E37" s="115">
        <f t="shared" si="18"/>
        <v>0</v>
      </c>
      <c r="F37" s="116">
        <f t="shared" si="19"/>
        <v>0</v>
      </c>
      <c r="G37" s="56"/>
      <c r="H37" s="161">
        <f>IFERROR(INDEX(inbound_data[],MATCH(G37,Source,0),6),0)</f>
        <v>0</v>
      </c>
      <c r="I37" s="110">
        <f t="shared" si="20"/>
        <v>0</v>
      </c>
      <c r="J37" s="111">
        <f t="shared" si="21"/>
        <v>0</v>
      </c>
      <c r="K37" s="109">
        <f t="shared" si="22"/>
        <v>0</v>
      </c>
      <c r="L37" s="112">
        <f t="shared" si="23"/>
        <v>0</v>
      </c>
      <c r="M37" s="110">
        <f t="shared" si="24"/>
        <v>0</v>
      </c>
      <c r="N37" s="111">
        <f t="shared" si="25"/>
        <v>0</v>
      </c>
      <c r="O37" s="113">
        <f t="shared" si="26"/>
        <v>0</v>
      </c>
      <c r="P37" s="113">
        <f t="shared" si="27"/>
        <v>0</v>
      </c>
      <c r="Q37" s="114">
        <f t="shared" si="28"/>
        <v>0</v>
      </c>
      <c r="R37" s="127">
        <f t="shared" si="29"/>
        <v>0</v>
      </c>
      <c r="S37" s="128">
        <f t="shared" si="31"/>
        <v>0</v>
      </c>
      <c r="T37" s="129">
        <f t="shared" si="32"/>
        <v>0</v>
      </c>
    </row>
    <row r="38" spans="1:20" x14ac:dyDescent="0.25">
      <c r="A38" s="103">
        <v>45941</v>
      </c>
      <c r="B38" s="126">
        <f t="shared" si="16"/>
        <v>0</v>
      </c>
      <c r="C38" s="102"/>
      <c r="D38" s="115">
        <f t="shared" si="17"/>
        <v>0</v>
      </c>
      <c r="E38" s="115">
        <f t="shared" si="18"/>
        <v>0</v>
      </c>
      <c r="F38" s="116">
        <f t="shared" si="19"/>
        <v>0</v>
      </c>
      <c r="G38" s="56"/>
      <c r="H38" s="161">
        <f>IFERROR(INDEX(inbound_data[],MATCH(G38,Source,0),6),0)</f>
        <v>0</v>
      </c>
      <c r="I38" s="110">
        <f t="shared" si="20"/>
        <v>0</v>
      </c>
      <c r="J38" s="111">
        <f t="shared" si="21"/>
        <v>0</v>
      </c>
      <c r="K38" s="109">
        <f t="shared" si="22"/>
        <v>0</v>
      </c>
      <c r="L38" s="112">
        <f t="shared" si="23"/>
        <v>0</v>
      </c>
      <c r="M38" s="110">
        <f t="shared" si="24"/>
        <v>0</v>
      </c>
      <c r="N38" s="111">
        <f t="shared" si="25"/>
        <v>0</v>
      </c>
      <c r="O38" s="113">
        <f t="shared" si="26"/>
        <v>0</v>
      </c>
      <c r="P38" s="113">
        <f t="shared" si="27"/>
        <v>0</v>
      </c>
      <c r="Q38" s="114">
        <f t="shared" si="28"/>
        <v>0</v>
      </c>
      <c r="R38" s="127">
        <f t="shared" si="29"/>
        <v>0</v>
      </c>
      <c r="S38" s="128">
        <f t="shared" si="31"/>
        <v>0</v>
      </c>
      <c r="T38" s="129">
        <f t="shared" si="32"/>
        <v>0</v>
      </c>
    </row>
    <row r="39" spans="1:20" x14ac:dyDescent="0.25">
      <c r="A39" s="103">
        <v>45942</v>
      </c>
      <c r="B39" s="126">
        <f t="shared" si="16"/>
        <v>0</v>
      </c>
      <c r="C39" s="102"/>
      <c r="D39" s="115">
        <f t="shared" si="17"/>
        <v>0</v>
      </c>
      <c r="E39" s="115">
        <f t="shared" si="18"/>
        <v>0</v>
      </c>
      <c r="F39" s="116">
        <f t="shared" si="19"/>
        <v>0</v>
      </c>
      <c r="G39" s="56"/>
      <c r="H39" s="161">
        <f>IFERROR(INDEX(inbound_data[],MATCH(G39,Source,0),6),0)</f>
        <v>0</v>
      </c>
      <c r="I39" s="110">
        <f t="shared" si="20"/>
        <v>0</v>
      </c>
      <c r="J39" s="111">
        <f t="shared" si="21"/>
        <v>0</v>
      </c>
      <c r="K39" s="109">
        <f t="shared" si="22"/>
        <v>0</v>
      </c>
      <c r="L39" s="112">
        <f t="shared" si="23"/>
        <v>0</v>
      </c>
      <c r="M39" s="110">
        <f t="shared" si="24"/>
        <v>0</v>
      </c>
      <c r="N39" s="111">
        <f t="shared" si="25"/>
        <v>0</v>
      </c>
      <c r="O39" s="113">
        <f t="shared" si="26"/>
        <v>0</v>
      </c>
      <c r="P39" s="113">
        <f t="shared" si="27"/>
        <v>0</v>
      </c>
      <c r="Q39" s="114">
        <f t="shared" si="28"/>
        <v>0</v>
      </c>
      <c r="R39" s="127">
        <f t="shared" si="29"/>
        <v>0</v>
      </c>
      <c r="S39" s="128">
        <f t="shared" si="31"/>
        <v>0</v>
      </c>
      <c r="T39" s="129">
        <f t="shared" si="32"/>
        <v>0</v>
      </c>
    </row>
    <row r="40" spans="1:20" x14ac:dyDescent="0.25">
      <c r="A40" s="103">
        <v>45943</v>
      </c>
      <c r="B40" s="126">
        <f t="shared" si="16"/>
        <v>0</v>
      </c>
      <c r="C40" s="102"/>
      <c r="D40" s="115">
        <f t="shared" si="17"/>
        <v>0</v>
      </c>
      <c r="E40" s="115">
        <f t="shared" si="18"/>
        <v>0</v>
      </c>
      <c r="F40" s="116">
        <f t="shared" si="19"/>
        <v>0</v>
      </c>
      <c r="G40" s="56"/>
      <c r="H40" s="161">
        <f>IFERROR(INDEX(inbound_data[],MATCH(G40,Source,0),6),0)</f>
        <v>0</v>
      </c>
      <c r="I40" s="110">
        <f t="shared" si="20"/>
        <v>0</v>
      </c>
      <c r="J40" s="111">
        <f t="shared" si="21"/>
        <v>0</v>
      </c>
      <c r="K40" s="109">
        <f t="shared" si="22"/>
        <v>0</v>
      </c>
      <c r="L40" s="112">
        <f t="shared" si="23"/>
        <v>0</v>
      </c>
      <c r="M40" s="110">
        <f t="shared" si="24"/>
        <v>0</v>
      </c>
      <c r="N40" s="111">
        <f t="shared" si="25"/>
        <v>0</v>
      </c>
      <c r="O40" s="113">
        <f t="shared" si="26"/>
        <v>0</v>
      </c>
      <c r="P40" s="113">
        <f t="shared" si="27"/>
        <v>0</v>
      </c>
      <c r="Q40" s="114">
        <f t="shared" si="28"/>
        <v>0</v>
      </c>
      <c r="R40" s="127">
        <f t="shared" si="29"/>
        <v>0</v>
      </c>
      <c r="S40" s="128">
        <f t="shared" si="31"/>
        <v>0</v>
      </c>
      <c r="T40" s="129">
        <f t="shared" si="32"/>
        <v>0</v>
      </c>
    </row>
    <row r="41" spans="1:20" x14ac:dyDescent="0.25">
      <c r="A41" s="103">
        <v>45944</v>
      </c>
      <c r="B41" s="126">
        <f t="shared" si="16"/>
        <v>0</v>
      </c>
      <c r="C41" s="102">
        <v>105131</v>
      </c>
      <c r="D41" s="115">
        <f t="shared" si="17"/>
        <v>327</v>
      </c>
      <c r="E41" s="115">
        <f t="shared" si="18"/>
        <v>3540</v>
      </c>
      <c r="F41" s="116">
        <f t="shared" si="19"/>
        <v>10</v>
      </c>
      <c r="G41" s="56"/>
      <c r="H41" s="161">
        <f>IFERROR(INDEX(inbound_data[],MATCH(G41,Source,0),6),0)</f>
        <v>0</v>
      </c>
      <c r="I41" s="110">
        <f t="shared" si="20"/>
        <v>0</v>
      </c>
      <c r="J41" s="111">
        <f t="shared" si="21"/>
        <v>0</v>
      </c>
      <c r="K41" s="109">
        <f t="shared" si="22"/>
        <v>0</v>
      </c>
      <c r="L41" s="112">
        <f t="shared" si="23"/>
        <v>0</v>
      </c>
      <c r="M41" s="110">
        <f t="shared" si="24"/>
        <v>0</v>
      </c>
      <c r="N41" s="111">
        <f t="shared" si="25"/>
        <v>0</v>
      </c>
      <c r="O41" s="113">
        <f t="shared" si="26"/>
        <v>0</v>
      </c>
      <c r="P41" s="113">
        <f t="shared" si="27"/>
        <v>0</v>
      </c>
      <c r="Q41" s="114">
        <f t="shared" si="28"/>
        <v>0</v>
      </c>
      <c r="R41" s="127">
        <f t="shared" si="29"/>
        <v>10</v>
      </c>
      <c r="S41" s="128">
        <f t="shared" si="31"/>
        <v>327</v>
      </c>
      <c r="T41" s="129">
        <f t="shared" si="32"/>
        <v>3540</v>
      </c>
    </row>
    <row r="42" spans="1:20" x14ac:dyDescent="0.25">
      <c r="A42" s="103">
        <v>45945</v>
      </c>
      <c r="B42" s="126">
        <f t="shared" si="16"/>
        <v>10</v>
      </c>
      <c r="C42" s="102">
        <v>105317</v>
      </c>
      <c r="D42" s="115">
        <f t="shared" si="17"/>
        <v>211</v>
      </c>
      <c r="E42" s="115">
        <f t="shared" si="18"/>
        <v>2340</v>
      </c>
      <c r="F42" s="116">
        <f t="shared" si="19"/>
        <v>6</v>
      </c>
      <c r="G42" s="56"/>
      <c r="H42" s="161">
        <f>IFERROR(INDEX(inbound_data[],MATCH(G42,Source,0),6),0)</f>
        <v>0</v>
      </c>
      <c r="I42" s="110">
        <f t="shared" si="20"/>
        <v>0</v>
      </c>
      <c r="J42" s="111">
        <f t="shared" si="21"/>
        <v>0</v>
      </c>
      <c r="K42" s="109">
        <f t="shared" si="22"/>
        <v>0</v>
      </c>
      <c r="L42" s="112">
        <f t="shared" si="23"/>
        <v>0</v>
      </c>
      <c r="M42" s="110">
        <f t="shared" si="24"/>
        <v>0</v>
      </c>
      <c r="N42" s="111">
        <f t="shared" si="25"/>
        <v>0</v>
      </c>
      <c r="O42" s="113">
        <f t="shared" si="26"/>
        <v>0</v>
      </c>
      <c r="P42" s="113">
        <f t="shared" si="27"/>
        <v>0</v>
      </c>
      <c r="Q42" s="114">
        <f t="shared" si="28"/>
        <v>0</v>
      </c>
      <c r="R42" s="127">
        <f t="shared" si="29"/>
        <v>16</v>
      </c>
      <c r="S42" s="128">
        <f t="shared" si="31"/>
        <v>538</v>
      </c>
      <c r="T42" s="129">
        <f t="shared" si="32"/>
        <v>5880</v>
      </c>
    </row>
    <row r="43" spans="1:20" x14ac:dyDescent="0.25">
      <c r="A43" s="103">
        <v>45945</v>
      </c>
      <c r="B43" s="126">
        <f t="shared" si="16"/>
        <v>16</v>
      </c>
      <c r="C43" s="102"/>
      <c r="D43" s="115">
        <f t="shared" si="17"/>
        <v>0</v>
      </c>
      <c r="E43" s="115">
        <f t="shared" si="18"/>
        <v>0</v>
      </c>
      <c r="F43" s="116">
        <f t="shared" si="19"/>
        <v>0</v>
      </c>
      <c r="G43" s="56">
        <v>129499</v>
      </c>
      <c r="H43" s="161">
        <f>IFERROR(INDEX(inbound_data[],MATCH(G43,Source,0),6),0)</f>
        <v>0</v>
      </c>
      <c r="I43" s="110">
        <f t="shared" si="20"/>
        <v>177</v>
      </c>
      <c r="J43" s="111">
        <f t="shared" si="21"/>
        <v>0</v>
      </c>
      <c r="K43" s="109">
        <f t="shared" si="22"/>
        <v>1980</v>
      </c>
      <c r="L43" s="112">
        <f t="shared" si="23"/>
        <v>0</v>
      </c>
      <c r="M43" s="110">
        <f t="shared" si="24"/>
        <v>5</v>
      </c>
      <c r="N43" s="111">
        <f t="shared" si="25"/>
        <v>0</v>
      </c>
      <c r="O43" s="113">
        <f t="shared" si="26"/>
        <v>177</v>
      </c>
      <c r="P43" s="113">
        <f t="shared" si="27"/>
        <v>1980</v>
      </c>
      <c r="Q43" s="114">
        <f t="shared" si="28"/>
        <v>5</v>
      </c>
      <c r="R43" s="127">
        <f t="shared" si="29"/>
        <v>11</v>
      </c>
      <c r="S43" s="128">
        <f t="shared" si="31"/>
        <v>361</v>
      </c>
      <c r="T43" s="129">
        <f t="shared" si="32"/>
        <v>3900</v>
      </c>
    </row>
    <row r="44" spans="1:20" x14ac:dyDescent="0.25">
      <c r="A44" s="103">
        <v>45946</v>
      </c>
      <c r="B44" s="126">
        <f t="shared" si="16"/>
        <v>11</v>
      </c>
      <c r="C44" s="102">
        <v>105330</v>
      </c>
      <c r="D44" s="115">
        <f t="shared" si="17"/>
        <v>85</v>
      </c>
      <c r="E44" s="115">
        <f t="shared" si="18"/>
        <v>932</v>
      </c>
      <c r="F44" s="116">
        <f t="shared" si="19"/>
        <v>3</v>
      </c>
      <c r="G44" s="56"/>
      <c r="H44" s="161">
        <f>IFERROR(INDEX(inbound_data[],MATCH(G44,Source,0),6),0)</f>
        <v>0</v>
      </c>
      <c r="I44" s="110">
        <f t="shared" si="20"/>
        <v>0</v>
      </c>
      <c r="J44" s="111">
        <f t="shared" si="21"/>
        <v>0</v>
      </c>
      <c r="K44" s="109">
        <f t="shared" si="22"/>
        <v>0</v>
      </c>
      <c r="L44" s="112">
        <f t="shared" si="23"/>
        <v>0</v>
      </c>
      <c r="M44" s="110">
        <f t="shared" si="24"/>
        <v>0</v>
      </c>
      <c r="N44" s="111">
        <f t="shared" si="25"/>
        <v>0</v>
      </c>
      <c r="O44" s="113">
        <f t="shared" si="26"/>
        <v>0</v>
      </c>
      <c r="P44" s="113">
        <f t="shared" si="27"/>
        <v>0</v>
      </c>
      <c r="Q44" s="114">
        <f t="shared" si="28"/>
        <v>0</v>
      </c>
      <c r="R44" s="127">
        <f t="shared" si="29"/>
        <v>14</v>
      </c>
      <c r="S44" s="128">
        <f t="shared" si="31"/>
        <v>446</v>
      </c>
      <c r="T44" s="129">
        <f t="shared" si="32"/>
        <v>4832</v>
      </c>
    </row>
    <row r="45" spans="1:20" x14ac:dyDescent="0.25">
      <c r="A45" s="103">
        <v>45946</v>
      </c>
      <c r="B45" s="126">
        <f t="shared" si="16"/>
        <v>14</v>
      </c>
      <c r="C45" s="102"/>
      <c r="D45" s="115">
        <f t="shared" si="17"/>
        <v>0</v>
      </c>
      <c r="E45" s="115">
        <f t="shared" si="18"/>
        <v>0</v>
      </c>
      <c r="F45" s="116">
        <f t="shared" si="19"/>
        <v>0</v>
      </c>
      <c r="G45" s="56">
        <v>129565</v>
      </c>
      <c r="H45" s="161">
        <f>IFERROR(INDEX(inbound_data[],MATCH(G45,Source,0),6),0)</f>
        <v>0</v>
      </c>
      <c r="I45" s="110">
        <f t="shared" si="20"/>
        <v>361</v>
      </c>
      <c r="J45" s="111">
        <f t="shared" si="21"/>
        <v>0</v>
      </c>
      <c r="K45" s="109">
        <f t="shared" si="22"/>
        <v>3900</v>
      </c>
      <c r="L45" s="112">
        <f t="shared" si="23"/>
        <v>0</v>
      </c>
      <c r="M45" s="110">
        <f t="shared" si="24"/>
        <v>11</v>
      </c>
      <c r="N45" s="111">
        <f t="shared" si="25"/>
        <v>0</v>
      </c>
      <c r="O45" s="113">
        <f t="shared" si="26"/>
        <v>361</v>
      </c>
      <c r="P45" s="113">
        <f t="shared" si="27"/>
        <v>3900</v>
      </c>
      <c r="Q45" s="114">
        <f t="shared" si="28"/>
        <v>11</v>
      </c>
      <c r="R45" s="127">
        <f t="shared" si="29"/>
        <v>3</v>
      </c>
      <c r="S45" s="128">
        <f t="shared" si="31"/>
        <v>85</v>
      </c>
      <c r="T45" s="129">
        <f t="shared" si="32"/>
        <v>932</v>
      </c>
    </row>
    <row r="46" spans="1:20" x14ac:dyDescent="0.25">
      <c r="A46" s="103">
        <v>45947</v>
      </c>
      <c r="B46" s="126">
        <f t="shared" si="16"/>
        <v>3</v>
      </c>
      <c r="C46" s="102"/>
      <c r="D46" s="115">
        <f t="shared" si="17"/>
        <v>0</v>
      </c>
      <c r="E46" s="115">
        <f t="shared" si="18"/>
        <v>0</v>
      </c>
      <c r="F46" s="116">
        <f t="shared" si="19"/>
        <v>0</v>
      </c>
      <c r="G46" s="56"/>
      <c r="H46" s="161">
        <f>IFERROR(INDEX(inbound_data[],MATCH(G46,Source,0),6),0)</f>
        <v>0</v>
      </c>
      <c r="I46" s="110">
        <f t="shared" si="20"/>
        <v>0</v>
      </c>
      <c r="J46" s="111">
        <f t="shared" si="21"/>
        <v>0</v>
      </c>
      <c r="K46" s="109">
        <f t="shared" si="22"/>
        <v>0</v>
      </c>
      <c r="L46" s="112">
        <f t="shared" si="23"/>
        <v>0</v>
      </c>
      <c r="M46" s="110">
        <f t="shared" si="24"/>
        <v>0</v>
      </c>
      <c r="N46" s="111">
        <f t="shared" si="25"/>
        <v>0</v>
      </c>
      <c r="O46" s="113">
        <f t="shared" si="26"/>
        <v>0</v>
      </c>
      <c r="P46" s="113">
        <f t="shared" si="27"/>
        <v>0</v>
      </c>
      <c r="Q46" s="114">
        <f t="shared" si="28"/>
        <v>0</v>
      </c>
      <c r="R46" s="127">
        <f t="shared" si="29"/>
        <v>3</v>
      </c>
      <c r="S46" s="128">
        <f t="shared" si="31"/>
        <v>85</v>
      </c>
      <c r="T46" s="129">
        <f t="shared" si="32"/>
        <v>932</v>
      </c>
    </row>
    <row r="47" spans="1:20" x14ac:dyDescent="0.25">
      <c r="A47" s="103">
        <v>45948</v>
      </c>
      <c r="B47" s="126">
        <f t="shared" si="16"/>
        <v>3</v>
      </c>
      <c r="C47" s="102"/>
      <c r="D47" s="115">
        <f t="shared" si="17"/>
        <v>0</v>
      </c>
      <c r="E47" s="115">
        <f t="shared" si="18"/>
        <v>0</v>
      </c>
      <c r="F47" s="116">
        <f t="shared" si="19"/>
        <v>0</v>
      </c>
      <c r="G47" s="56"/>
      <c r="H47" s="161">
        <f>IFERROR(INDEX(inbound_data[],MATCH(G47,Source,0),6),0)</f>
        <v>0</v>
      </c>
      <c r="I47" s="110">
        <f t="shared" si="20"/>
        <v>0</v>
      </c>
      <c r="J47" s="111">
        <f t="shared" si="21"/>
        <v>0</v>
      </c>
      <c r="K47" s="109">
        <f t="shared" si="22"/>
        <v>0</v>
      </c>
      <c r="L47" s="112">
        <f t="shared" si="23"/>
        <v>0</v>
      </c>
      <c r="M47" s="110">
        <f t="shared" si="24"/>
        <v>0</v>
      </c>
      <c r="N47" s="111">
        <f t="shared" si="25"/>
        <v>0</v>
      </c>
      <c r="O47" s="113">
        <f t="shared" si="26"/>
        <v>0</v>
      </c>
      <c r="P47" s="113">
        <f t="shared" si="27"/>
        <v>0</v>
      </c>
      <c r="Q47" s="114">
        <f t="shared" si="28"/>
        <v>0</v>
      </c>
      <c r="R47" s="127">
        <f t="shared" si="29"/>
        <v>3</v>
      </c>
      <c r="S47" s="128">
        <f t="shared" si="31"/>
        <v>85</v>
      </c>
      <c r="T47" s="129">
        <f t="shared" si="32"/>
        <v>932</v>
      </c>
    </row>
    <row r="48" spans="1:20" x14ac:dyDescent="0.25">
      <c r="A48" s="103">
        <v>45949</v>
      </c>
      <c r="B48" s="126">
        <f t="shared" si="16"/>
        <v>3</v>
      </c>
      <c r="C48" s="102"/>
      <c r="D48" s="115">
        <f t="shared" si="17"/>
        <v>0</v>
      </c>
      <c r="E48" s="115">
        <f t="shared" si="18"/>
        <v>0</v>
      </c>
      <c r="F48" s="116">
        <f t="shared" si="19"/>
        <v>0</v>
      </c>
      <c r="G48" s="56"/>
      <c r="H48" s="161">
        <f>IFERROR(INDEX(inbound_data[],MATCH(G48,Source,0),6),0)</f>
        <v>0</v>
      </c>
      <c r="I48" s="110">
        <f t="shared" si="20"/>
        <v>0</v>
      </c>
      <c r="J48" s="111">
        <f t="shared" si="21"/>
        <v>0</v>
      </c>
      <c r="K48" s="109">
        <f t="shared" si="22"/>
        <v>0</v>
      </c>
      <c r="L48" s="112">
        <f t="shared" si="23"/>
        <v>0</v>
      </c>
      <c r="M48" s="110">
        <f t="shared" si="24"/>
        <v>0</v>
      </c>
      <c r="N48" s="111">
        <f t="shared" si="25"/>
        <v>0</v>
      </c>
      <c r="O48" s="113">
        <f t="shared" si="26"/>
        <v>0</v>
      </c>
      <c r="P48" s="113">
        <f t="shared" si="27"/>
        <v>0</v>
      </c>
      <c r="Q48" s="114">
        <f t="shared" si="28"/>
        <v>0</v>
      </c>
      <c r="R48" s="127">
        <f t="shared" si="29"/>
        <v>3</v>
      </c>
      <c r="S48" s="128">
        <f t="shared" si="31"/>
        <v>85</v>
      </c>
      <c r="T48" s="129">
        <f t="shared" si="32"/>
        <v>932</v>
      </c>
    </row>
    <row r="49" spans="1:28" x14ac:dyDescent="0.25">
      <c r="A49" s="103">
        <v>45950</v>
      </c>
      <c r="B49" s="126">
        <f t="shared" si="16"/>
        <v>3</v>
      </c>
      <c r="C49" s="102"/>
      <c r="D49" s="115">
        <f t="shared" si="17"/>
        <v>0</v>
      </c>
      <c r="E49" s="115">
        <f t="shared" si="18"/>
        <v>0</v>
      </c>
      <c r="F49" s="116">
        <f t="shared" si="19"/>
        <v>0</v>
      </c>
      <c r="G49" s="56"/>
      <c r="H49" s="161">
        <f>IFERROR(INDEX(inbound_data[],MATCH(G49,Source,0),6),0)</f>
        <v>0</v>
      </c>
      <c r="I49" s="110">
        <f t="shared" si="20"/>
        <v>0</v>
      </c>
      <c r="J49" s="111">
        <f t="shared" si="21"/>
        <v>0</v>
      </c>
      <c r="K49" s="109">
        <f t="shared" si="22"/>
        <v>0</v>
      </c>
      <c r="L49" s="112">
        <f t="shared" si="23"/>
        <v>0</v>
      </c>
      <c r="M49" s="110">
        <f t="shared" si="24"/>
        <v>0</v>
      </c>
      <c r="N49" s="111">
        <f t="shared" si="25"/>
        <v>0</v>
      </c>
      <c r="O49" s="113">
        <f t="shared" si="26"/>
        <v>0</v>
      </c>
      <c r="P49" s="113">
        <f t="shared" si="27"/>
        <v>0</v>
      </c>
      <c r="Q49" s="114">
        <f t="shared" si="28"/>
        <v>0</v>
      </c>
      <c r="R49" s="127">
        <f t="shared" si="29"/>
        <v>3</v>
      </c>
      <c r="S49" s="128">
        <f t="shared" si="31"/>
        <v>85</v>
      </c>
      <c r="T49" s="129">
        <f t="shared" si="32"/>
        <v>932</v>
      </c>
    </row>
    <row r="50" spans="1:28" x14ac:dyDescent="0.25">
      <c r="A50" s="103">
        <v>45951</v>
      </c>
      <c r="B50" s="126">
        <f t="shared" si="16"/>
        <v>3</v>
      </c>
      <c r="C50" s="102"/>
      <c r="D50" s="115">
        <f t="shared" si="17"/>
        <v>0</v>
      </c>
      <c r="E50" s="115">
        <f t="shared" si="18"/>
        <v>0</v>
      </c>
      <c r="F50" s="116">
        <f t="shared" si="19"/>
        <v>0</v>
      </c>
      <c r="G50" s="56">
        <v>130022</v>
      </c>
      <c r="H50" s="161">
        <f>IFERROR(INDEX(inbound_data[],MATCH(G50,Source,0),6),0)</f>
        <v>0</v>
      </c>
      <c r="I50" s="110">
        <f t="shared" si="20"/>
        <v>85</v>
      </c>
      <c r="J50" s="111">
        <f t="shared" si="21"/>
        <v>0</v>
      </c>
      <c r="K50" s="109">
        <f t="shared" si="22"/>
        <v>932</v>
      </c>
      <c r="L50" s="112">
        <f t="shared" si="23"/>
        <v>0</v>
      </c>
      <c r="M50" s="110">
        <f t="shared" si="24"/>
        <v>3</v>
      </c>
      <c r="N50" s="111">
        <f t="shared" si="25"/>
        <v>0</v>
      </c>
      <c r="O50" s="113">
        <f t="shared" si="26"/>
        <v>85</v>
      </c>
      <c r="P50" s="113">
        <f t="shared" si="27"/>
        <v>932</v>
      </c>
      <c r="Q50" s="114">
        <f t="shared" si="28"/>
        <v>3</v>
      </c>
      <c r="R50" s="127">
        <f t="shared" si="29"/>
        <v>0</v>
      </c>
      <c r="S50" s="128">
        <f t="shared" si="31"/>
        <v>0</v>
      </c>
      <c r="T50" s="129">
        <f t="shared" si="32"/>
        <v>0</v>
      </c>
    </row>
    <row r="51" spans="1:28" x14ac:dyDescent="0.25">
      <c r="A51" s="103">
        <v>45952</v>
      </c>
      <c r="B51" s="126">
        <f t="shared" si="16"/>
        <v>0</v>
      </c>
      <c r="C51" s="102"/>
      <c r="D51" s="115"/>
      <c r="E51" s="115"/>
      <c r="F51" s="116"/>
      <c r="G51" s="56"/>
      <c r="H51" s="161">
        <f>IFERROR(INDEX(inbound_data[],MATCH(G51,Source,0),6),0)</f>
        <v>0</v>
      </c>
      <c r="I51" s="110">
        <f t="shared" si="20"/>
        <v>0</v>
      </c>
      <c r="J51" s="111">
        <f t="shared" si="21"/>
        <v>0</v>
      </c>
      <c r="K51" s="109">
        <f t="shared" si="22"/>
        <v>0</v>
      </c>
      <c r="L51" s="112">
        <f t="shared" si="23"/>
        <v>0</v>
      </c>
      <c r="M51" s="110">
        <f t="shared" si="24"/>
        <v>0</v>
      </c>
      <c r="N51" s="111">
        <f t="shared" si="25"/>
        <v>0</v>
      </c>
      <c r="O51" s="113">
        <f t="shared" si="26"/>
        <v>0</v>
      </c>
      <c r="P51" s="113">
        <f t="shared" si="27"/>
        <v>0</v>
      </c>
      <c r="Q51" s="114">
        <f t="shared" si="28"/>
        <v>0</v>
      </c>
      <c r="R51" s="127">
        <f t="shared" si="29"/>
        <v>0</v>
      </c>
      <c r="S51" s="128">
        <f t="shared" si="31"/>
        <v>0</v>
      </c>
      <c r="T51" s="129">
        <f t="shared" si="32"/>
        <v>0</v>
      </c>
    </row>
    <row r="52" spans="1:28" x14ac:dyDescent="0.25">
      <c r="A52" s="103">
        <v>45953</v>
      </c>
      <c r="B52" s="126">
        <f t="shared" si="16"/>
        <v>0</v>
      </c>
      <c r="C52" s="102"/>
      <c r="D52" s="115">
        <f t="shared" si="17"/>
        <v>0</v>
      </c>
      <c r="E52" s="115">
        <f t="shared" si="18"/>
        <v>0</v>
      </c>
      <c r="F52" s="116">
        <f t="shared" si="19"/>
        <v>0</v>
      </c>
      <c r="G52" s="56"/>
      <c r="H52" s="161">
        <f>IFERROR(INDEX(inbound_data[],MATCH(G52,Source,0),6),0)</f>
        <v>0</v>
      </c>
      <c r="I52" s="110">
        <f t="shared" si="20"/>
        <v>0</v>
      </c>
      <c r="J52" s="111">
        <f t="shared" si="21"/>
        <v>0</v>
      </c>
      <c r="K52" s="109">
        <f t="shared" si="22"/>
        <v>0</v>
      </c>
      <c r="L52" s="112">
        <f t="shared" si="23"/>
        <v>0</v>
      </c>
      <c r="M52" s="110">
        <f t="shared" si="24"/>
        <v>0</v>
      </c>
      <c r="N52" s="111">
        <f t="shared" si="25"/>
        <v>0</v>
      </c>
      <c r="O52" s="113">
        <f t="shared" si="26"/>
        <v>0</v>
      </c>
      <c r="P52" s="113">
        <f t="shared" si="27"/>
        <v>0</v>
      </c>
      <c r="Q52" s="114">
        <f t="shared" si="28"/>
        <v>0</v>
      </c>
      <c r="R52" s="127">
        <f t="shared" si="29"/>
        <v>0</v>
      </c>
      <c r="S52" s="128">
        <f t="shared" si="31"/>
        <v>0</v>
      </c>
      <c r="T52" s="129">
        <f t="shared" si="32"/>
        <v>0</v>
      </c>
    </row>
    <row r="53" spans="1:28" x14ac:dyDescent="0.25">
      <c r="A53" s="103">
        <v>45954</v>
      </c>
      <c r="B53" s="126">
        <f t="shared" si="16"/>
        <v>0</v>
      </c>
      <c r="C53" s="102"/>
      <c r="D53" s="115">
        <f t="shared" si="17"/>
        <v>0</v>
      </c>
      <c r="E53" s="115">
        <f t="shared" si="18"/>
        <v>0</v>
      </c>
      <c r="F53" s="116">
        <f t="shared" si="19"/>
        <v>0</v>
      </c>
      <c r="G53" s="56"/>
      <c r="H53" s="161">
        <f>IFERROR(INDEX(inbound_data[],MATCH(G53,Source,0),6),0)</f>
        <v>0</v>
      </c>
      <c r="I53" s="110">
        <f t="shared" si="20"/>
        <v>0</v>
      </c>
      <c r="J53" s="111">
        <f t="shared" si="21"/>
        <v>0</v>
      </c>
      <c r="K53" s="109">
        <f t="shared" si="22"/>
        <v>0</v>
      </c>
      <c r="L53" s="112">
        <f t="shared" si="23"/>
        <v>0</v>
      </c>
      <c r="M53" s="110">
        <f t="shared" si="24"/>
        <v>0</v>
      </c>
      <c r="N53" s="111">
        <f t="shared" si="25"/>
        <v>0</v>
      </c>
      <c r="O53" s="113">
        <f t="shared" si="26"/>
        <v>0</v>
      </c>
      <c r="P53" s="113">
        <f t="shared" si="27"/>
        <v>0</v>
      </c>
      <c r="Q53" s="114">
        <f t="shared" si="28"/>
        <v>0</v>
      </c>
      <c r="R53" s="127">
        <f t="shared" si="29"/>
        <v>0</v>
      </c>
      <c r="S53" s="128">
        <f t="shared" si="31"/>
        <v>0</v>
      </c>
      <c r="T53" s="129">
        <f t="shared" si="32"/>
        <v>0</v>
      </c>
    </row>
    <row r="54" spans="1:28" x14ac:dyDescent="0.25">
      <c r="A54" s="103">
        <v>45955</v>
      </c>
      <c r="B54" s="126">
        <f t="shared" si="16"/>
        <v>0</v>
      </c>
      <c r="C54" s="102"/>
      <c r="D54" s="115">
        <f t="shared" si="17"/>
        <v>0</v>
      </c>
      <c r="E54" s="115">
        <f t="shared" si="18"/>
        <v>0</v>
      </c>
      <c r="F54" s="116">
        <f t="shared" si="19"/>
        <v>0</v>
      </c>
      <c r="G54" s="56"/>
      <c r="H54" s="161">
        <f>IFERROR(INDEX(inbound_data[],MATCH(G54,Source,0),6),0)</f>
        <v>0</v>
      </c>
      <c r="I54" s="110">
        <f t="shared" si="20"/>
        <v>0</v>
      </c>
      <c r="J54" s="111">
        <f t="shared" si="21"/>
        <v>0</v>
      </c>
      <c r="K54" s="109">
        <f t="shared" si="22"/>
        <v>0</v>
      </c>
      <c r="L54" s="112">
        <f t="shared" si="23"/>
        <v>0</v>
      </c>
      <c r="M54" s="110">
        <f t="shared" si="24"/>
        <v>0</v>
      </c>
      <c r="N54" s="111">
        <f t="shared" si="25"/>
        <v>0</v>
      </c>
      <c r="O54" s="113">
        <f t="shared" si="26"/>
        <v>0</v>
      </c>
      <c r="P54" s="113">
        <f t="shared" si="27"/>
        <v>0</v>
      </c>
      <c r="Q54" s="114">
        <f t="shared" si="28"/>
        <v>0</v>
      </c>
      <c r="R54" s="127">
        <f t="shared" si="29"/>
        <v>0</v>
      </c>
      <c r="S54" s="128">
        <f t="shared" si="31"/>
        <v>0</v>
      </c>
      <c r="T54" s="129">
        <f t="shared" si="32"/>
        <v>0</v>
      </c>
    </row>
    <row r="55" spans="1:28" x14ac:dyDescent="0.25">
      <c r="A55" s="103">
        <v>45956</v>
      </c>
      <c r="B55" s="126">
        <f t="shared" si="16"/>
        <v>0</v>
      </c>
      <c r="C55" s="102"/>
      <c r="D55" s="115">
        <f t="shared" si="17"/>
        <v>0</v>
      </c>
      <c r="E55" s="115">
        <f t="shared" si="18"/>
        <v>0</v>
      </c>
      <c r="F55" s="116">
        <f t="shared" si="19"/>
        <v>0</v>
      </c>
      <c r="G55" s="56"/>
      <c r="H55" s="161">
        <f>IFERROR(INDEX(inbound_data[],MATCH(G55,Source,0),6),0)</f>
        <v>0</v>
      </c>
      <c r="I55" s="110">
        <f t="shared" si="20"/>
        <v>0</v>
      </c>
      <c r="J55" s="111">
        <f t="shared" si="21"/>
        <v>0</v>
      </c>
      <c r="K55" s="109">
        <f t="shared" si="22"/>
        <v>0</v>
      </c>
      <c r="L55" s="112">
        <f t="shared" si="23"/>
        <v>0</v>
      </c>
      <c r="M55" s="110">
        <f t="shared" si="24"/>
        <v>0</v>
      </c>
      <c r="N55" s="111">
        <f t="shared" si="25"/>
        <v>0</v>
      </c>
      <c r="O55" s="113">
        <f t="shared" si="26"/>
        <v>0</v>
      </c>
      <c r="P55" s="113">
        <f t="shared" si="27"/>
        <v>0</v>
      </c>
      <c r="Q55" s="114">
        <f t="shared" si="28"/>
        <v>0</v>
      </c>
      <c r="R55" s="127">
        <f t="shared" si="29"/>
        <v>0</v>
      </c>
      <c r="S55" s="128">
        <f t="shared" si="31"/>
        <v>0</v>
      </c>
      <c r="T55" s="129">
        <f t="shared" si="32"/>
        <v>0</v>
      </c>
    </row>
    <row r="56" spans="1:28" s="203" customFormat="1" x14ac:dyDescent="0.25">
      <c r="A56" s="191">
        <v>46353</v>
      </c>
      <c r="B56" s="192">
        <f t="shared" si="16"/>
        <v>0</v>
      </c>
      <c r="C56" s="193">
        <v>109569</v>
      </c>
      <c r="D56" s="194">
        <f t="shared" ref="D56" si="33">SUMIF(Receiving_Report_ref.,C56,In_Quantity)</f>
        <v>340</v>
      </c>
      <c r="E56" s="194">
        <f t="shared" ref="E56" si="34">SUMIF(Receiving_Report_ref.,C56,In_Weight)</f>
        <v>3696</v>
      </c>
      <c r="F56" s="195">
        <f t="shared" ref="F56" si="35">SUMIF(Receiving_Report_ref.,C56,Pallet_qty)</f>
        <v>10</v>
      </c>
      <c r="G56" s="196"/>
      <c r="H56" s="197">
        <f>IFERROR(INDEX(inbound_data[],MATCH(G56,Source,0),6),0)</f>
        <v>0</v>
      </c>
      <c r="I56" s="198">
        <f t="shared" si="20"/>
        <v>0</v>
      </c>
      <c r="J56" s="195">
        <f t="shared" si="21"/>
        <v>0</v>
      </c>
      <c r="K56" s="199">
        <f t="shared" si="22"/>
        <v>0</v>
      </c>
      <c r="L56" s="194">
        <f t="shared" si="23"/>
        <v>0</v>
      </c>
      <c r="M56" s="198">
        <f t="shared" si="24"/>
        <v>0</v>
      </c>
      <c r="N56" s="195">
        <f t="shared" si="25"/>
        <v>0</v>
      </c>
      <c r="O56" s="199">
        <f t="shared" si="26"/>
        <v>0</v>
      </c>
      <c r="P56" s="199">
        <f t="shared" si="27"/>
        <v>0</v>
      </c>
      <c r="Q56" s="198">
        <f t="shared" si="28"/>
        <v>0</v>
      </c>
      <c r="R56" s="200">
        <f t="shared" si="29"/>
        <v>10</v>
      </c>
      <c r="S56" s="201">
        <f t="shared" si="31"/>
        <v>340</v>
      </c>
      <c r="T56" s="202">
        <f t="shared" si="32"/>
        <v>3696</v>
      </c>
      <c r="AB56" s="204"/>
    </row>
    <row r="57" spans="1:28" x14ac:dyDescent="0.25">
      <c r="A57" s="103">
        <v>46354</v>
      </c>
      <c r="B57" s="126">
        <f t="shared" si="16"/>
        <v>10</v>
      </c>
      <c r="C57" s="102"/>
      <c r="D57" s="115">
        <f t="shared" si="17"/>
        <v>0</v>
      </c>
      <c r="E57" s="115">
        <f t="shared" si="18"/>
        <v>0</v>
      </c>
      <c r="F57" s="116">
        <f t="shared" si="19"/>
        <v>0</v>
      </c>
      <c r="G57" s="56"/>
      <c r="H57" s="161">
        <f>IFERROR(INDEX(inbound_data[],MATCH(G57,Source,0),6),0)</f>
        <v>0</v>
      </c>
      <c r="I57" s="110">
        <f t="shared" si="20"/>
        <v>0</v>
      </c>
      <c r="J57" s="111">
        <f t="shared" si="21"/>
        <v>0</v>
      </c>
      <c r="K57" s="109">
        <f t="shared" si="22"/>
        <v>0</v>
      </c>
      <c r="L57" s="112">
        <f t="shared" si="23"/>
        <v>0</v>
      </c>
      <c r="M57" s="110">
        <f t="shared" si="24"/>
        <v>0</v>
      </c>
      <c r="N57" s="111">
        <f t="shared" si="25"/>
        <v>0</v>
      </c>
      <c r="O57" s="113">
        <f t="shared" si="26"/>
        <v>0</v>
      </c>
      <c r="P57" s="113">
        <f t="shared" si="27"/>
        <v>0</v>
      </c>
      <c r="Q57" s="114">
        <f t="shared" si="28"/>
        <v>0</v>
      </c>
      <c r="R57" s="127">
        <f t="shared" si="29"/>
        <v>10</v>
      </c>
      <c r="S57" s="128">
        <f t="shared" si="31"/>
        <v>340</v>
      </c>
      <c r="T57" s="129">
        <f t="shared" si="32"/>
        <v>3696</v>
      </c>
    </row>
    <row r="58" spans="1:28" x14ac:dyDescent="0.25">
      <c r="A58" s="103">
        <v>46355</v>
      </c>
      <c r="B58" s="126">
        <f t="shared" si="16"/>
        <v>10</v>
      </c>
      <c r="C58" s="102"/>
      <c r="D58" s="115">
        <f t="shared" si="17"/>
        <v>0</v>
      </c>
      <c r="E58" s="115">
        <f t="shared" si="18"/>
        <v>0</v>
      </c>
      <c r="F58" s="116">
        <f t="shared" si="19"/>
        <v>0</v>
      </c>
      <c r="G58" s="56">
        <v>134652</v>
      </c>
      <c r="H58" s="161">
        <f>IFERROR(INDEX(inbound_data[],MATCH(G58,Source,0),6),0)</f>
        <v>0</v>
      </c>
      <c r="I58" s="110">
        <f t="shared" si="20"/>
        <v>160</v>
      </c>
      <c r="J58" s="111">
        <f t="shared" si="21"/>
        <v>0</v>
      </c>
      <c r="K58" s="109">
        <f t="shared" si="22"/>
        <v>1824</v>
      </c>
      <c r="L58" s="112">
        <f t="shared" si="23"/>
        <v>0</v>
      </c>
      <c r="M58" s="110">
        <f t="shared" si="24"/>
        <v>4</v>
      </c>
      <c r="N58" s="111">
        <f t="shared" si="25"/>
        <v>0</v>
      </c>
      <c r="O58" s="113">
        <f t="shared" si="26"/>
        <v>160</v>
      </c>
      <c r="P58" s="113">
        <f t="shared" si="27"/>
        <v>1824</v>
      </c>
      <c r="Q58" s="114">
        <f t="shared" si="28"/>
        <v>4</v>
      </c>
      <c r="R58" s="127">
        <f t="shared" si="29"/>
        <v>6</v>
      </c>
      <c r="S58" s="128">
        <f t="shared" si="31"/>
        <v>180</v>
      </c>
      <c r="T58" s="129">
        <f t="shared" si="32"/>
        <v>1872</v>
      </c>
    </row>
    <row r="59" spans="1:28" s="203" customFormat="1" x14ac:dyDescent="0.25">
      <c r="A59" s="191">
        <v>46356</v>
      </c>
      <c r="B59" s="192">
        <f t="shared" si="16"/>
        <v>6</v>
      </c>
      <c r="C59" s="193"/>
      <c r="D59" s="194">
        <f t="shared" si="17"/>
        <v>0</v>
      </c>
      <c r="E59" s="194">
        <f t="shared" si="18"/>
        <v>0</v>
      </c>
      <c r="F59" s="195">
        <f t="shared" si="19"/>
        <v>0</v>
      </c>
      <c r="G59" s="196"/>
      <c r="H59" s="197">
        <f>IFERROR(INDEX(inbound_data[],MATCH(G59,Source,0),6),0)</f>
        <v>0</v>
      </c>
      <c r="I59" s="198">
        <f t="shared" si="20"/>
        <v>0</v>
      </c>
      <c r="J59" s="195">
        <f t="shared" si="21"/>
        <v>0</v>
      </c>
      <c r="K59" s="199">
        <f t="shared" si="22"/>
        <v>0</v>
      </c>
      <c r="L59" s="194">
        <f t="shared" si="23"/>
        <v>0</v>
      </c>
      <c r="M59" s="198">
        <f t="shared" si="24"/>
        <v>0</v>
      </c>
      <c r="N59" s="195">
        <f t="shared" si="25"/>
        <v>0</v>
      </c>
      <c r="O59" s="199">
        <f t="shared" si="26"/>
        <v>0</v>
      </c>
      <c r="P59" s="199">
        <f t="shared" si="27"/>
        <v>0</v>
      </c>
      <c r="Q59" s="198">
        <f t="shared" si="28"/>
        <v>0</v>
      </c>
      <c r="R59" s="200">
        <f t="shared" si="29"/>
        <v>6</v>
      </c>
      <c r="S59" s="201">
        <f t="shared" si="31"/>
        <v>180</v>
      </c>
      <c r="T59" s="202">
        <f t="shared" si="32"/>
        <v>1872</v>
      </c>
      <c r="AB59" s="204"/>
    </row>
    <row r="60" spans="1:28" x14ac:dyDescent="0.25">
      <c r="A60" s="103">
        <v>45992</v>
      </c>
      <c r="B60" s="126">
        <f t="shared" ref="B60:B84" si="36">R59</f>
        <v>6</v>
      </c>
      <c r="C60" s="102"/>
      <c r="D60" s="115">
        <f t="shared" ref="D60:D84" si="37">SUMIF(Receiving_Report_ref.,C60,In_Quantity)</f>
        <v>0</v>
      </c>
      <c r="E60" s="115">
        <f t="shared" ref="E60:E84" si="38">SUMIF(Receiving_Report_ref.,C60,In_Weight)</f>
        <v>0</v>
      </c>
      <c r="F60" s="180">
        <f t="shared" ref="F60:F84" si="39">SUMIF(Receiving_Report_ref.,C60,Pallet_qty)</f>
        <v>0</v>
      </c>
      <c r="G60" s="102"/>
      <c r="H60" s="181">
        <f>IFERROR(INDEX(inbound_data[],MATCH(G60,Source,0),6),0)</f>
        <v>0</v>
      </c>
      <c r="I60" s="110">
        <f t="shared" ref="I60:I84" si="40">SUMIF(Withdrawal_Report_No.,G60,QTY_OUT)</f>
        <v>0</v>
      </c>
      <c r="J60" s="183">
        <f t="shared" ref="J60:J84" si="41">SUMIF(Receiving_Report_ref.,H60,In_Quantity)</f>
        <v>0</v>
      </c>
      <c r="K60" s="109">
        <f t="shared" ref="K60:K84" si="42">SUMIF(Withdrawal_Report_No.,G60,KILOS_OUT)</f>
        <v>0</v>
      </c>
      <c r="L60" s="185">
        <f t="shared" ref="L60:L84" si="43">SUMIF(Receiving_Report_ref.,H60,In_Weight)</f>
        <v>0</v>
      </c>
      <c r="M60" s="182">
        <f t="shared" ref="M60:M84" si="44">SUMIF(Withdrawal_Report_No.,G60,PALLET_OUT)</f>
        <v>0</v>
      </c>
      <c r="N60" s="183">
        <f t="shared" ref="N60:N84" si="45">SUMIF(Receiving_Report_ref.,H60,Pallet_qty)</f>
        <v>0</v>
      </c>
      <c r="O60" s="113">
        <f t="shared" ref="O60:O84" si="46">I60-J60</f>
        <v>0</v>
      </c>
      <c r="P60" s="113">
        <f t="shared" ref="P60:P84" si="47">K60-L60</f>
        <v>0</v>
      </c>
      <c r="Q60" s="114">
        <f t="shared" ref="Q60:Q84" si="48">+M60-N60</f>
        <v>0</v>
      </c>
      <c r="R60" s="127">
        <f t="shared" ref="R60:R84" si="49">B60+F60-Q60</f>
        <v>6</v>
      </c>
      <c r="S60" s="189">
        <f t="shared" ref="S60:S84" si="50">S59+D60-O60</f>
        <v>180</v>
      </c>
      <c r="T60" s="129">
        <f t="shared" ref="T60:T84" si="51">T59+E60-P60</f>
        <v>1872</v>
      </c>
    </row>
    <row r="61" spans="1:28" x14ac:dyDescent="0.25">
      <c r="A61" s="103">
        <v>45993</v>
      </c>
      <c r="B61" s="126">
        <f t="shared" si="36"/>
        <v>6</v>
      </c>
      <c r="C61" s="102"/>
      <c r="D61" s="115">
        <f t="shared" si="37"/>
        <v>0</v>
      </c>
      <c r="E61" s="115">
        <f t="shared" si="38"/>
        <v>0</v>
      </c>
      <c r="F61" s="180">
        <f t="shared" si="39"/>
        <v>0</v>
      </c>
      <c r="G61" s="102">
        <v>134818</v>
      </c>
      <c r="H61" s="181">
        <f>IFERROR(INDEX(inbound_data[],MATCH(G61,Source,0),6),0)</f>
        <v>0</v>
      </c>
      <c r="I61" s="110">
        <f t="shared" si="40"/>
        <v>180</v>
      </c>
      <c r="J61" s="183">
        <f t="shared" si="41"/>
        <v>0</v>
      </c>
      <c r="K61" s="109">
        <f t="shared" si="42"/>
        <v>1872</v>
      </c>
      <c r="L61" s="185">
        <f t="shared" si="43"/>
        <v>0</v>
      </c>
      <c r="M61" s="182">
        <f t="shared" si="44"/>
        <v>6</v>
      </c>
      <c r="N61" s="183">
        <f t="shared" si="45"/>
        <v>0</v>
      </c>
      <c r="O61" s="113">
        <f t="shared" si="46"/>
        <v>180</v>
      </c>
      <c r="P61" s="113">
        <f t="shared" si="47"/>
        <v>1872</v>
      </c>
      <c r="Q61" s="114">
        <f t="shared" si="48"/>
        <v>6</v>
      </c>
      <c r="R61" s="127">
        <f t="shared" si="49"/>
        <v>0</v>
      </c>
      <c r="S61" s="189">
        <f t="shared" si="50"/>
        <v>0</v>
      </c>
      <c r="T61" s="129">
        <f t="shared" si="51"/>
        <v>0</v>
      </c>
    </row>
    <row r="62" spans="1:28" x14ac:dyDescent="0.25">
      <c r="A62" s="103">
        <v>45994</v>
      </c>
      <c r="B62" s="126">
        <f t="shared" si="36"/>
        <v>0</v>
      </c>
      <c r="C62" s="102"/>
      <c r="D62" s="115">
        <f t="shared" si="37"/>
        <v>0</v>
      </c>
      <c r="E62" s="115">
        <f t="shared" si="38"/>
        <v>0</v>
      </c>
      <c r="F62" s="180">
        <f t="shared" si="39"/>
        <v>0</v>
      </c>
      <c r="G62" s="102"/>
      <c r="H62" s="181">
        <f>IFERROR(INDEX(inbound_data[],MATCH(G62,Source,0),6),0)</f>
        <v>0</v>
      </c>
      <c r="I62" s="110">
        <f t="shared" si="40"/>
        <v>0</v>
      </c>
      <c r="J62" s="183">
        <f t="shared" si="41"/>
        <v>0</v>
      </c>
      <c r="K62" s="109">
        <f t="shared" si="42"/>
        <v>0</v>
      </c>
      <c r="L62" s="185">
        <f t="shared" si="43"/>
        <v>0</v>
      </c>
      <c r="M62" s="182">
        <f t="shared" si="44"/>
        <v>0</v>
      </c>
      <c r="N62" s="183">
        <f t="shared" si="45"/>
        <v>0</v>
      </c>
      <c r="O62" s="113">
        <f t="shared" si="46"/>
        <v>0</v>
      </c>
      <c r="P62" s="113">
        <f t="shared" si="47"/>
        <v>0</v>
      </c>
      <c r="Q62" s="114">
        <f t="shared" si="48"/>
        <v>0</v>
      </c>
      <c r="R62" s="127">
        <f t="shared" si="49"/>
        <v>0</v>
      </c>
      <c r="S62" s="189">
        <f t="shared" si="50"/>
        <v>0</v>
      </c>
      <c r="T62" s="129">
        <f t="shared" si="51"/>
        <v>0</v>
      </c>
    </row>
    <row r="63" spans="1:28" x14ac:dyDescent="0.25">
      <c r="A63" s="103">
        <v>45995</v>
      </c>
      <c r="B63" s="126">
        <f t="shared" si="36"/>
        <v>0</v>
      </c>
      <c r="C63" s="102"/>
      <c r="D63" s="115">
        <f t="shared" si="37"/>
        <v>0</v>
      </c>
      <c r="E63" s="115">
        <f t="shared" si="38"/>
        <v>0</v>
      </c>
      <c r="F63" s="180">
        <f t="shared" si="39"/>
        <v>0</v>
      </c>
      <c r="G63" s="102"/>
      <c r="H63" s="181">
        <f>IFERROR(INDEX(inbound_data[],MATCH(G63,Source,0),6),0)</f>
        <v>0</v>
      </c>
      <c r="I63" s="110">
        <f t="shared" si="40"/>
        <v>0</v>
      </c>
      <c r="J63" s="183">
        <f t="shared" si="41"/>
        <v>0</v>
      </c>
      <c r="K63" s="109">
        <f t="shared" si="42"/>
        <v>0</v>
      </c>
      <c r="L63" s="185">
        <f t="shared" si="43"/>
        <v>0</v>
      </c>
      <c r="M63" s="182">
        <f t="shared" si="44"/>
        <v>0</v>
      </c>
      <c r="N63" s="183">
        <f t="shared" si="45"/>
        <v>0</v>
      </c>
      <c r="O63" s="113">
        <f t="shared" si="46"/>
        <v>0</v>
      </c>
      <c r="P63" s="113">
        <f t="shared" si="47"/>
        <v>0</v>
      </c>
      <c r="Q63" s="114">
        <f t="shared" si="48"/>
        <v>0</v>
      </c>
      <c r="R63" s="127">
        <f t="shared" si="49"/>
        <v>0</v>
      </c>
      <c r="S63" s="189">
        <f t="shared" si="50"/>
        <v>0</v>
      </c>
      <c r="T63" s="129">
        <f t="shared" si="51"/>
        <v>0</v>
      </c>
    </row>
    <row r="64" spans="1:28" x14ac:dyDescent="0.25">
      <c r="A64" s="103">
        <v>45996</v>
      </c>
      <c r="B64" s="126">
        <f t="shared" si="36"/>
        <v>0</v>
      </c>
      <c r="C64" s="102"/>
      <c r="D64" s="115">
        <f t="shared" si="37"/>
        <v>0</v>
      </c>
      <c r="E64" s="115">
        <f t="shared" si="38"/>
        <v>0</v>
      </c>
      <c r="F64" s="180">
        <f t="shared" si="39"/>
        <v>0</v>
      </c>
      <c r="G64" s="102"/>
      <c r="H64" s="181">
        <f>IFERROR(INDEX(inbound_data[],MATCH(G64,Source,0),6),0)</f>
        <v>0</v>
      </c>
      <c r="I64" s="110">
        <f t="shared" si="40"/>
        <v>0</v>
      </c>
      <c r="J64" s="183">
        <f t="shared" si="41"/>
        <v>0</v>
      </c>
      <c r="K64" s="109">
        <f t="shared" si="42"/>
        <v>0</v>
      </c>
      <c r="L64" s="185">
        <f t="shared" si="43"/>
        <v>0</v>
      </c>
      <c r="M64" s="182">
        <f t="shared" si="44"/>
        <v>0</v>
      </c>
      <c r="N64" s="183">
        <f t="shared" si="45"/>
        <v>0</v>
      </c>
      <c r="O64" s="113">
        <f t="shared" si="46"/>
        <v>0</v>
      </c>
      <c r="P64" s="113">
        <f t="shared" si="47"/>
        <v>0</v>
      </c>
      <c r="Q64" s="114">
        <f t="shared" si="48"/>
        <v>0</v>
      </c>
      <c r="R64" s="127">
        <f t="shared" si="49"/>
        <v>0</v>
      </c>
      <c r="S64" s="189">
        <f t="shared" si="50"/>
        <v>0</v>
      </c>
      <c r="T64" s="129">
        <f t="shared" si="51"/>
        <v>0</v>
      </c>
    </row>
    <row r="65" spans="1:28" x14ac:dyDescent="0.25">
      <c r="A65" s="103">
        <v>45997</v>
      </c>
      <c r="B65" s="126">
        <f t="shared" si="36"/>
        <v>0</v>
      </c>
      <c r="C65" s="102"/>
      <c r="D65" s="179">
        <f t="shared" si="37"/>
        <v>0</v>
      </c>
      <c r="E65" s="179">
        <f t="shared" si="38"/>
        <v>0</v>
      </c>
      <c r="F65" s="180">
        <f t="shared" si="39"/>
        <v>0</v>
      </c>
      <c r="G65" s="102"/>
      <c r="H65" s="181">
        <f>IFERROR(INDEX(inbound_data[],MATCH(G65,Source,0),6),0)</f>
        <v>0</v>
      </c>
      <c r="I65" s="182">
        <f t="shared" si="40"/>
        <v>0</v>
      </c>
      <c r="J65" s="183">
        <f t="shared" si="41"/>
        <v>0</v>
      </c>
      <c r="K65" s="184">
        <f t="shared" si="42"/>
        <v>0</v>
      </c>
      <c r="L65" s="185">
        <f t="shared" si="43"/>
        <v>0</v>
      </c>
      <c r="M65" s="182">
        <f t="shared" si="44"/>
        <v>0</v>
      </c>
      <c r="N65" s="183">
        <f t="shared" si="45"/>
        <v>0</v>
      </c>
      <c r="O65" s="186">
        <f t="shared" si="46"/>
        <v>0</v>
      </c>
      <c r="P65" s="186">
        <f t="shared" si="47"/>
        <v>0</v>
      </c>
      <c r="Q65" s="187">
        <f t="shared" si="48"/>
        <v>0</v>
      </c>
      <c r="R65" s="188">
        <f t="shared" si="49"/>
        <v>0</v>
      </c>
      <c r="S65" s="189">
        <f t="shared" si="50"/>
        <v>0</v>
      </c>
      <c r="T65" s="190">
        <f t="shared" si="51"/>
        <v>0</v>
      </c>
    </row>
    <row r="66" spans="1:28" x14ac:dyDescent="0.25">
      <c r="A66" s="103">
        <v>45998</v>
      </c>
      <c r="B66" s="126">
        <f t="shared" si="36"/>
        <v>0</v>
      </c>
      <c r="C66" s="102"/>
      <c r="D66" s="179">
        <f t="shared" si="37"/>
        <v>0</v>
      </c>
      <c r="E66" s="179">
        <f t="shared" si="38"/>
        <v>0</v>
      </c>
      <c r="F66" s="180">
        <f t="shared" si="39"/>
        <v>0</v>
      </c>
      <c r="G66" s="102"/>
      <c r="H66" s="181">
        <f>IFERROR(INDEX(inbound_data[],MATCH(G66,Source,0),6),0)</f>
        <v>0</v>
      </c>
      <c r="I66" s="182">
        <f t="shared" si="40"/>
        <v>0</v>
      </c>
      <c r="J66" s="183">
        <f t="shared" si="41"/>
        <v>0</v>
      </c>
      <c r="K66" s="184">
        <f t="shared" si="42"/>
        <v>0</v>
      </c>
      <c r="L66" s="185">
        <f t="shared" si="43"/>
        <v>0</v>
      </c>
      <c r="M66" s="182">
        <f t="shared" si="44"/>
        <v>0</v>
      </c>
      <c r="N66" s="183">
        <f t="shared" si="45"/>
        <v>0</v>
      </c>
      <c r="O66" s="186">
        <f t="shared" si="46"/>
        <v>0</v>
      </c>
      <c r="P66" s="186">
        <f t="shared" si="47"/>
        <v>0</v>
      </c>
      <c r="Q66" s="187">
        <f t="shared" si="48"/>
        <v>0</v>
      </c>
      <c r="R66" s="188">
        <f t="shared" si="49"/>
        <v>0</v>
      </c>
      <c r="S66" s="189">
        <f t="shared" si="50"/>
        <v>0</v>
      </c>
      <c r="T66" s="190">
        <f t="shared" si="51"/>
        <v>0</v>
      </c>
    </row>
    <row r="67" spans="1:28" x14ac:dyDescent="0.25">
      <c r="A67" s="103">
        <v>45999</v>
      </c>
      <c r="B67" s="126">
        <f t="shared" si="36"/>
        <v>0</v>
      </c>
      <c r="C67" s="102"/>
      <c r="D67" s="179">
        <f t="shared" si="37"/>
        <v>0</v>
      </c>
      <c r="E67" s="179">
        <f t="shared" si="38"/>
        <v>0</v>
      </c>
      <c r="F67" s="180">
        <f t="shared" si="39"/>
        <v>0</v>
      </c>
      <c r="G67" s="102"/>
      <c r="H67" s="181">
        <f>IFERROR(INDEX(inbound_data[],MATCH(G67,Source,0),6),0)</f>
        <v>0</v>
      </c>
      <c r="I67" s="182">
        <f t="shared" si="40"/>
        <v>0</v>
      </c>
      <c r="J67" s="183">
        <f t="shared" si="41"/>
        <v>0</v>
      </c>
      <c r="K67" s="184">
        <f t="shared" si="42"/>
        <v>0</v>
      </c>
      <c r="L67" s="185">
        <f t="shared" si="43"/>
        <v>0</v>
      </c>
      <c r="M67" s="182">
        <f t="shared" si="44"/>
        <v>0</v>
      </c>
      <c r="N67" s="183">
        <f t="shared" si="45"/>
        <v>0</v>
      </c>
      <c r="O67" s="186">
        <f t="shared" si="46"/>
        <v>0</v>
      </c>
      <c r="P67" s="186">
        <f t="shared" si="47"/>
        <v>0</v>
      </c>
      <c r="Q67" s="187">
        <f t="shared" si="48"/>
        <v>0</v>
      </c>
      <c r="R67" s="188">
        <f t="shared" si="49"/>
        <v>0</v>
      </c>
      <c r="S67" s="189">
        <f t="shared" si="50"/>
        <v>0</v>
      </c>
      <c r="T67" s="190">
        <f t="shared" si="51"/>
        <v>0</v>
      </c>
    </row>
    <row r="68" spans="1:28" x14ac:dyDescent="0.25">
      <c r="A68" s="103">
        <v>46000</v>
      </c>
      <c r="B68" s="126">
        <f t="shared" si="36"/>
        <v>0</v>
      </c>
      <c r="C68" s="102">
        <v>110866</v>
      </c>
      <c r="D68" s="179">
        <f t="shared" si="37"/>
        <v>180</v>
      </c>
      <c r="E68" s="179">
        <f t="shared" si="38"/>
        <v>1872</v>
      </c>
      <c r="F68" s="180">
        <f t="shared" si="39"/>
        <v>6</v>
      </c>
      <c r="G68" s="102"/>
      <c r="H68" s="181">
        <f>IFERROR(INDEX(inbound_data[],MATCH(G68,Source,0),6),0)</f>
        <v>0</v>
      </c>
      <c r="I68" s="182">
        <f t="shared" si="40"/>
        <v>0</v>
      </c>
      <c r="J68" s="183">
        <f t="shared" si="41"/>
        <v>0</v>
      </c>
      <c r="K68" s="184">
        <f t="shared" si="42"/>
        <v>0</v>
      </c>
      <c r="L68" s="185">
        <f t="shared" si="43"/>
        <v>0</v>
      </c>
      <c r="M68" s="182">
        <f t="shared" si="44"/>
        <v>0</v>
      </c>
      <c r="N68" s="183">
        <f t="shared" si="45"/>
        <v>0</v>
      </c>
      <c r="O68" s="186">
        <f t="shared" si="46"/>
        <v>0</v>
      </c>
      <c r="P68" s="186">
        <f t="shared" si="47"/>
        <v>0</v>
      </c>
      <c r="Q68" s="187">
        <f t="shared" si="48"/>
        <v>0</v>
      </c>
      <c r="R68" s="188">
        <f t="shared" si="49"/>
        <v>6</v>
      </c>
      <c r="S68" s="189">
        <f t="shared" si="50"/>
        <v>180</v>
      </c>
      <c r="T68" s="190">
        <f t="shared" si="51"/>
        <v>1872</v>
      </c>
    </row>
    <row r="69" spans="1:28" x14ac:dyDescent="0.25">
      <c r="A69" s="103">
        <v>46001</v>
      </c>
      <c r="B69" s="126">
        <f t="shared" si="36"/>
        <v>6</v>
      </c>
      <c r="C69" s="102"/>
      <c r="D69" s="179">
        <f t="shared" si="37"/>
        <v>0</v>
      </c>
      <c r="E69" s="179">
        <f t="shared" si="38"/>
        <v>0</v>
      </c>
      <c r="F69" s="180">
        <f t="shared" si="39"/>
        <v>0</v>
      </c>
      <c r="G69" s="102"/>
      <c r="H69" s="181">
        <f>IFERROR(INDEX(inbound_data[],MATCH(G69,Source,0),6),0)</f>
        <v>0</v>
      </c>
      <c r="I69" s="182">
        <f t="shared" si="40"/>
        <v>0</v>
      </c>
      <c r="J69" s="183">
        <f t="shared" si="41"/>
        <v>0</v>
      </c>
      <c r="K69" s="184">
        <f t="shared" si="42"/>
        <v>0</v>
      </c>
      <c r="L69" s="185">
        <f t="shared" si="43"/>
        <v>0</v>
      </c>
      <c r="M69" s="182">
        <f t="shared" si="44"/>
        <v>0</v>
      </c>
      <c r="N69" s="183">
        <f t="shared" si="45"/>
        <v>0</v>
      </c>
      <c r="O69" s="186">
        <f t="shared" si="46"/>
        <v>0</v>
      </c>
      <c r="P69" s="186">
        <f t="shared" si="47"/>
        <v>0</v>
      </c>
      <c r="Q69" s="187">
        <f t="shared" si="48"/>
        <v>0</v>
      </c>
      <c r="R69" s="188">
        <f t="shared" si="49"/>
        <v>6</v>
      </c>
      <c r="S69" s="189">
        <f t="shared" si="50"/>
        <v>180</v>
      </c>
      <c r="T69" s="190">
        <f t="shared" si="51"/>
        <v>1872</v>
      </c>
    </row>
    <row r="70" spans="1:28" x14ac:dyDescent="0.25">
      <c r="A70" s="103">
        <v>46002</v>
      </c>
      <c r="B70" s="126">
        <f t="shared" si="36"/>
        <v>6</v>
      </c>
      <c r="C70" s="102"/>
      <c r="D70" s="179">
        <f t="shared" si="37"/>
        <v>0</v>
      </c>
      <c r="E70" s="179">
        <f t="shared" si="38"/>
        <v>0</v>
      </c>
      <c r="F70" s="180">
        <f t="shared" si="39"/>
        <v>0</v>
      </c>
      <c r="G70" s="102">
        <v>136422</v>
      </c>
      <c r="H70" s="181">
        <f>IFERROR(INDEX(inbound_data[],MATCH(G70,Source,0),6),0)</f>
        <v>0</v>
      </c>
      <c r="I70" s="182">
        <f>SUMIF(Withdrawal_Report_No.,G70,QTY_OUT)</f>
        <v>180</v>
      </c>
      <c r="J70" s="183">
        <f t="shared" si="41"/>
        <v>0</v>
      </c>
      <c r="K70" s="184">
        <f>SUMIF(Withdrawal_Report_No.,G70,KILOS_OUT)</f>
        <v>1872</v>
      </c>
      <c r="L70" s="185">
        <f t="shared" si="43"/>
        <v>0</v>
      </c>
      <c r="M70" s="182">
        <f>SUMIF(Withdrawal_Report_No.,G70,PALLET_OUT)</f>
        <v>6</v>
      </c>
      <c r="N70" s="183">
        <f t="shared" si="45"/>
        <v>0</v>
      </c>
      <c r="O70" s="186">
        <f t="shared" si="46"/>
        <v>180</v>
      </c>
      <c r="P70" s="186">
        <f t="shared" si="47"/>
        <v>1872</v>
      </c>
      <c r="Q70" s="187">
        <f t="shared" si="48"/>
        <v>6</v>
      </c>
      <c r="R70" s="188">
        <f t="shared" si="49"/>
        <v>0</v>
      </c>
      <c r="S70" s="189">
        <f t="shared" si="50"/>
        <v>0</v>
      </c>
      <c r="T70" s="190">
        <f t="shared" si="51"/>
        <v>0</v>
      </c>
    </row>
    <row r="71" spans="1:28" x14ac:dyDescent="0.25">
      <c r="A71" s="103">
        <v>46002</v>
      </c>
      <c r="B71" s="126">
        <f t="shared" si="36"/>
        <v>0</v>
      </c>
      <c r="C71" s="102">
        <v>111906</v>
      </c>
      <c r="D71" s="179">
        <f t="shared" si="37"/>
        <v>355</v>
      </c>
      <c r="E71" s="179">
        <f t="shared" si="38"/>
        <v>3692</v>
      </c>
      <c r="F71" s="180">
        <f t="shared" si="39"/>
        <v>12</v>
      </c>
      <c r="G71" s="102"/>
      <c r="H71" s="181">
        <f>IFERROR(INDEX(inbound_data[],MATCH(G71,Source,0),6),0)</f>
        <v>0</v>
      </c>
      <c r="I71" s="182">
        <f>SUMIF(Withdrawal_Report_No.,G71,QTY_OUT)</f>
        <v>0</v>
      </c>
      <c r="J71" s="183">
        <f t="shared" si="41"/>
        <v>0</v>
      </c>
      <c r="K71" s="184">
        <f>SUMIF(Withdrawal_Report_No.,G71,KILOS_OUT)</f>
        <v>0</v>
      </c>
      <c r="L71" s="185">
        <f t="shared" si="43"/>
        <v>0</v>
      </c>
      <c r="M71" s="182">
        <f>SUMIF(Withdrawal_Report_No.,G71,PALLET_OUT)</f>
        <v>0</v>
      </c>
      <c r="N71" s="183">
        <f t="shared" si="45"/>
        <v>0</v>
      </c>
      <c r="O71" s="186">
        <f t="shared" si="46"/>
        <v>0</v>
      </c>
      <c r="P71" s="186">
        <f t="shared" si="47"/>
        <v>0</v>
      </c>
      <c r="Q71" s="187">
        <f t="shared" si="48"/>
        <v>0</v>
      </c>
      <c r="R71" s="188">
        <f t="shared" si="49"/>
        <v>12</v>
      </c>
      <c r="S71" s="189">
        <f t="shared" si="50"/>
        <v>355</v>
      </c>
      <c r="T71" s="190">
        <f t="shared" si="51"/>
        <v>3692</v>
      </c>
    </row>
    <row r="72" spans="1:28" x14ac:dyDescent="0.25">
      <c r="A72" s="103">
        <v>46003</v>
      </c>
      <c r="B72" s="126">
        <f t="shared" si="36"/>
        <v>12</v>
      </c>
      <c r="C72" s="102"/>
      <c r="D72" s="179">
        <f t="shared" si="37"/>
        <v>0</v>
      </c>
      <c r="E72" s="179">
        <f t="shared" si="38"/>
        <v>0</v>
      </c>
      <c r="F72" s="180">
        <f t="shared" si="39"/>
        <v>0</v>
      </c>
      <c r="G72" s="102">
        <v>136450</v>
      </c>
      <c r="H72" s="181">
        <f>IFERROR(INDEX(inbound_data[],MATCH(G72,Source,0),6),0)</f>
        <v>0</v>
      </c>
      <c r="I72" s="182">
        <f t="shared" si="40"/>
        <v>355</v>
      </c>
      <c r="J72" s="183">
        <f t="shared" si="41"/>
        <v>0</v>
      </c>
      <c r="K72" s="184">
        <f t="shared" si="42"/>
        <v>3692</v>
      </c>
      <c r="L72" s="185">
        <f t="shared" si="43"/>
        <v>0</v>
      </c>
      <c r="M72" s="182">
        <f t="shared" si="44"/>
        <v>12</v>
      </c>
      <c r="N72" s="183">
        <f t="shared" si="45"/>
        <v>0</v>
      </c>
      <c r="O72" s="186">
        <f t="shared" si="46"/>
        <v>355</v>
      </c>
      <c r="P72" s="186">
        <f t="shared" si="47"/>
        <v>3692</v>
      </c>
      <c r="Q72" s="187">
        <f t="shared" si="48"/>
        <v>12</v>
      </c>
      <c r="R72" s="188">
        <f t="shared" si="49"/>
        <v>0</v>
      </c>
      <c r="S72" s="189">
        <f t="shared" si="50"/>
        <v>0</v>
      </c>
      <c r="T72" s="190">
        <f t="shared" si="51"/>
        <v>0</v>
      </c>
    </row>
    <row r="73" spans="1:28" x14ac:dyDescent="0.25">
      <c r="A73" s="103">
        <v>46004</v>
      </c>
      <c r="B73" s="126">
        <f t="shared" si="36"/>
        <v>0</v>
      </c>
      <c r="C73" s="102"/>
      <c r="D73" s="179">
        <f t="shared" si="37"/>
        <v>0</v>
      </c>
      <c r="E73" s="179">
        <f t="shared" si="38"/>
        <v>0</v>
      </c>
      <c r="F73" s="180">
        <f t="shared" si="39"/>
        <v>0</v>
      </c>
      <c r="G73" s="102"/>
      <c r="H73" s="181">
        <f>IFERROR(INDEX(inbound_data[],MATCH(G73,Source,0),6),0)</f>
        <v>0</v>
      </c>
      <c r="I73" s="182">
        <f t="shared" si="40"/>
        <v>0</v>
      </c>
      <c r="J73" s="183">
        <f t="shared" si="41"/>
        <v>0</v>
      </c>
      <c r="K73" s="184">
        <f t="shared" si="42"/>
        <v>0</v>
      </c>
      <c r="L73" s="185">
        <f t="shared" si="43"/>
        <v>0</v>
      </c>
      <c r="M73" s="182">
        <f t="shared" si="44"/>
        <v>0</v>
      </c>
      <c r="N73" s="183">
        <f t="shared" si="45"/>
        <v>0</v>
      </c>
      <c r="O73" s="186">
        <f t="shared" si="46"/>
        <v>0</v>
      </c>
      <c r="P73" s="186">
        <f t="shared" si="47"/>
        <v>0</v>
      </c>
      <c r="Q73" s="187">
        <f t="shared" si="48"/>
        <v>0</v>
      </c>
      <c r="R73" s="188">
        <f t="shared" si="49"/>
        <v>0</v>
      </c>
      <c r="S73" s="189">
        <f t="shared" si="50"/>
        <v>0</v>
      </c>
      <c r="T73" s="190">
        <f t="shared" si="51"/>
        <v>0</v>
      </c>
    </row>
    <row r="74" spans="1:28" x14ac:dyDescent="0.25">
      <c r="A74" s="103">
        <v>46005</v>
      </c>
      <c r="B74" s="126">
        <f t="shared" si="36"/>
        <v>0</v>
      </c>
      <c r="C74" s="102"/>
      <c r="D74" s="179">
        <f t="shared" si="37"/>
        <v>0</v>
      </c>
      <c r="E74" s="179">
        <f t="shared" si="38"/>
        <v>0</v>
      </c>
      <c r="F74" s="180">
        <f t="shared" si="39"/>
        <v>0</v>
      </c>
      <c r="G74" s="102"/>
      <c r="H74" s="181">
        <f>IFERROR(INDEX(inbound_data[],MATCH(G74,Source,0),6),0)</f>
        <v>0</v>
      </c>
      <c r="I74" s="182">
        <f t="shared" si="40"/>
        <v>0</v>
      </c>
      <c r="J74" s="183">
        <f t="shared" si="41"/>
        <v>0</v>
      </c>
      <c r="K74" s="184">
        <f t="shared" si="42"/>
        <v>0</v>
      </c>
      <c r="L74" s="185">
        <f t="shared" si="43"/>
        <v>0</v>
      </c>
      <c r="M74" s="182">
        <f t="shared" si="44"/>
        <v>0</v>
      </c>
      <c r="N74" s="183">
        <f t="shared" si="45"/>
        <v>0</v>
      </c>
      <c r="O74" s="186">
        <f t="shared" si="46"/>
        <v>0</v>
      </c>
      <c r="P74" s="186">
        <f t="shared" si="47"/>
        <v>0</v>
      </c>
      <c r="Q74" s="187">
        <f t="shared" si="48"/>
        <v>0</v>
      </c>
      <c r="R74" s="188">
        <f t="shared" si="49"/>
        <v>0</v>
      </c>
      <c r="S74" s="189">
        <f t="shared" si="50"/>
        <v>0</v>
      </c>
      <c r="T74" s="190">
        <f t="shared" si="51"/>
        <v>0</v>
      </c>
    </row>
    <row r="75" spans="1:28" s="203" customFormat="1" x14ac:dyDescent="0.25">
      <c r="A75" s="191">
        <v>46006</v>
      </c>
      <c r="B75" s="192">
        <f t="shared" si="36"/>
        <v>0</v>
      </c>
      <c r="C75" s="193"/>
      <c r="D75" s="205">
        <f t="shared" si="37"/>
        <v>0</v>
      </c>
      <c r="E75" s="205">
        <f t="shared" si="38"/>
        <v>0</v>
      </c>
      <c r="F75" s="206">
        <f t="shared" si="39"/>
        <v>0</v>
      </c>
      <c r="G75" s="193"/>
      <c r="H75" s="207">
        <f>IFERROR(INDEX(inbound_data[],MATCH(G75,Source,0),6),0)</f>
        <v>0</v>
      </c>
      <c r="I75" s="208">
        <f t="shared" si="40"/>
        <v>0</v>
      </c>
      <c r="J75" s="206">
        <f t="shared" si="41"/>
        <v>0</v>
      </c>
      <c r="K75" s="209">
        <f t="shared" si="42"/>
        <v>0</v>
      </c>
      <c r="L75" s="205">
        <f t="shared" si="43"/>
        <v>0</v>
      </c>
      <c r="M75" s="208">
        <f t="shared" si="44"/>
        <v>0</v>
      </c>
      <c r="N75" s="206">
        <f t="shared" si="45"/>
        <v>0</v>
      </c>
      <c r="O75" s="209">
        <f t="shared" si="46"/>
        <v>0</v>
      </c>
      <c r="P75" s="209">
        <f t="shared" si="47"/>
        <v>0</v>
      </c>
      <c r="Q75" s="208">
        <f t="shared" si="48"/>
        <v>0</v>
      </c>
      <c r="R75" s="210">
        <f t="shared" si="49"/>
        <v>0</v>
      </c>
      <c r="S75" s="211">
        <f t="shared" si="50"/>
        <v>0</v>
      </c>
      <c r="T75" s="212">
        <f t="shared" si="51"/>
        <v>0</v>
      </c>
      <c r="AB75" s="204"/>
    </row>
    <row r="76" spans="1:28" x14ac:dyDescent="0.25">
      <c r="A76" s="103">
        <v>46007</v>
      </c>
      <c r="B76" s="126">
        <f t="shared" si="36"/>
        <v>0</v>
      </c>
      <c r="C76" s="102"/>
      <c r="D76" s="179">
        <f t="shared" si="37"/>
        <v>0</v>
      </c>
      <c r="E76" s="179">
        <f t="shared" si="38"/>
        <v>0</v>
      </c>
      <c r="F76" s="180">
        <f t="shared" si="39"/>
        <v>0</v>
      </c>
      <c r="G76" s="102"/>
      <c r="H76" s="181">
        <f>IFERROR(INDEX(inbound_data[],MATCH(G76,Source,0),6),0)</f>
        <v>0</v>
      </c>
      <c r="I76" s="182">
        <f t="shared" si="40"/>
        <v>0</v>
      </c>
      <c r="J76" s="183">
        <f t="shared" si="41"/>
        <v>0</v>
      </c>
      <c r="K76" s="184">
        <f t="shared" si="42"/>
        <v>0</v>
      </c>
      <c r="L76" s="185">
        <f t="shared" si="43"/>
        <v>0</v>
      </c>
      <c r="M76" s="182">
        <f t="shared" si="44"/>
        <v>0</v>
      </c>
      <c r="N76" s="183">
        <f t="shared" si="45"/>
        <v>0</v>
      </c>
      <c r="O76" s="186">
        <f t="shared" si="46"/>
        <v>0</v>
      </c>
      <c r="P76" s="186">
        <f t="shared" si="47"/>
        <v>0</v>
      </c>
      <c r="Q76" s="187">
        <f t="shared" si="48"/>
        <v>0</v>
      </c>
      <c r="R76" s="188">
        <f t="shared" si="49"/>
        <v>0</v>
      </c>
      <c r="S76" s="189">
        <f t="shared" si="50"/>
        <v>0</v>
      </c>
      <c r="T76" s="190">
        <f t="shared" si="51"/>
        <v>0</v>
      </c>
    </row>
    <row r="77" spans="1:28" x14ac:dyDescent="0.25">
      <c r="A77" s="103">
        <v>46008</v>
      </c>
      <c r="B77" s="126">
        <f t="shared" si="36"/>
        <v>0</v>
      </c>
      <c r="C77" s="102"/>
      <c r="D77" s="179">
        <f t="shared" si="37"/>
        <v>0</v>
      </c>
      <c r="E77" s="179">
        <f t="shared" si="38"/>
        <v>0</v>
      </c>
      <c r="F77" s="180">
        <f t="shared" si="39"/>
        <v>0</v>
      </c>
      <c r="G77" s="102"/>
      <c r="H77" s="181">
        <f>IFERROR(INDEX(inbound_data[],MATCH(G77,Source,0),6),0)</f>
        <v>0</v>
      </c>
      <c r="I77" s="182">
        <f t="shared" si="40"/>
        <v>0</v>
      </c>
      <c r="J77" s="183">
        <f t="shared" si="41"/>
        <v>0</v>
      </c>
      <c r="K77" s="184">
        <f t="shared" si="42"/>
        <v>0</v>
      </c>
      <c r="L77" s="185">
        <f t="shared" si="43"/>
        <v>0</v>
      </c>
      <c r="M77" s="182">
        <f t="shared" si="44"/>
        <v>0</v>
      </c>
      <c r="N77" s="183">
        <f t="shared" si="45"/>
        <v>0</v>
      </c>
      <c r="O77" s="186">
        <f t="shared" si="46"/>
        <v>0</v>
      </c>
      <c r="P77" s="186">
        <f t="shared" si="47"/>
        <v>0</v>
      </c>
      <c r="Q77" s="187">
        <f t="shared" si="48"/>
        <v>0</v>
      </c>
      <c r="R77" s="188">
        <f t="shared" si="49"/>
        <v>0</v>
      </c>
      <c r="S77" s="189">
        <f t="shared" si="50"/>
        <v>0</v>
      </c>
      <c r="T77" s="190">
        <f t="shared" si="51"/>
        <v>0</v>
      </c>
    </row>
    <row r="78" spans="1:28" x14ac:dyDescent="0.25">
      <c r="A78" s="103">
        <v>46009</v>
      </c>
      <c r="B78" s="126">
        <f t="shared" si="36"/>
        <v>0</v>
      </c>
      <c r="C78" s="102"/>
      <c r="D78" s="179">
        <f t="shared" si="37"/>
        <v>0</v>
      </c>
      <c r="E78" s="179">
        <f t="shared" si="38"/>
        <v>0</v>
      </c>
      <c r="F78" s="180">
        <f t="shared" si="39"/>
        <v>0</v>
      </c>
      <c r="G78" s="102"/>
      <c r="H78" s="181">
        <f>IFERROR(INDEX(inbound_data[],MATCH(G78,Source,0),6),0)</f>
        <v>0</v>
      </c>
      <c r="I78" s="182">
        <f t="shared" si="40"/>
        <v>0</v>
      </c>
      <c r="J78" s="183">
        <f t="shared" si="41"/>
        <v>0</v>
      </c>
      <c r="K78" s="184">
        <f t="shared" si="42"/>
        <v>0</v>
      </c>
      <c r="L78" s="185">
        <f t="shared" si="43"/>
        <v>0</v>
      </c>
      <c r="M78" s="182">
        <f t="shared" si="44"/>
        <v>0</v>
      </c>
      <c r="N78" s="183">
        <f t="shared" si="45"/>
        <v>0</v>
      </c>
      <c r="O78" s="186">
        <f t="shared" si="46"/>
        <v>0</v>
      </c>
      <c r="P78" s="186">
        <f t="shared" si="47"/>
        <v>0</v>
      </c>
      <c r="Q78" s="187">
        <f t="shared" si="48"/>
        <v>0</v>
      </c>
      <c r="R78" s="188">
        <f t="shared" si="49"/>
        <v>0</v>
      </c>
      <c r="S78" s="189">
        <f t="shared" si="50"/>
        <v>0</v>
      </c>
      <c r="T78" s="190">
        <f t="shared" si="51"/>
        <v>0</v>
      </c>
    </row>
    <row r="79" spans="1:28" x14ac:dyDescent="0.25">
      <c r="A79" s="103">
        <v>46010</v>
      </c>
      <c r="B79" s="126">
        <f t="shared" si="36"/>
        <v>0</v>
      </c>
      <c r="C79" s="102"/>
      <c r="D79" s="179">
        <f t="shared" si="37"/>
        <v>0</v>
      </c>
      <c r="E79" s="179">
        <f t="shared" si="38"/>
        <v>0</v>
      </c>
      <c r="F79" s="180">
        <f t="shared" si="39"/>
        <v>0</v>
      </c>
      <c r="G79" s="102"/>
      <c r="H79" s="181">
        <f>IFERROR(INDEX(inbound_data[],MATCH(G79,Source,0),6),0)</f>
        <v>0</v>
      </c>
      <c r="I79" s="182">
        <f t="shared" si="40"/>
        <v>0</v>
      </c>
      <c r="J79" s="183">
        <f t="shared" si="41"/>
        <v>0</v>
      </c>
      <c r="K79" s="184">
        <f t="shared" si="42"/>
        <v>0</v>
      </c>
      <c r="L79" s="185">
        <f t="shared" si="43"/>
        <v>0</v>
      </c>
      <c r="M79" s="182">
        <f t="shared" si="44"/>
        <v>0</v>
      </c>
      <c r="N79" s="183">
        <f t="shared" si="45"/>
        <v>0</v>
      </c>
      <c r="O79" s="186">
        <f t="shared" si="46"/>
        <v>0</v>
      </c>
      <c r="P79" s="186">
        <f t="shared" si="47"/>
        <v>0</v>
      </c>
      <c r="Q79" s="187">
        <f t="shared" si="48"/>
        <v>0</v>
      </c>
      <c r="R79" s="188">
        <f t="shared" si="49"/>
        <v>0</v>
      </c>
      <c r="S79" s="189">
        <f t="shared" si="50"/>
        <v>0</v>
      </c>
      <c r="T79" s="190">
        <f t="shared" si="51"/>
        <v>0</v>
      </c>
    </row>
    <row r="80" spans="1:28" x14ac:dyDescent="0.25">
      <c r="A80" s="103">
        <v>46011</v>
      </c>
      <c r="B80" s="126">
        <f t="shared" si="36"/>
        <v>0</v>
      </c>
      <c r="C80" s="102"/>
      <c r="D80" s="179">
        <f t="shared" si="37"/>
        <v>0</v>
      </c>
      <c r="E80" s="179">
        <f t="shared" si="38"/>
        <v>0</v>
      </c>
      <c r="F80" s="180">
        <f t="shared" si="39"/>
        <v>0</v>
      </c>
      <c r="G80" s="102"/>
      <c r="H80" s="181">
        <f>IFERROR(INDEX(inbound_data[],MATCH(G80,Source,0),6),0)</f>
        <v>0</v>
      </c>
      <c r="I80" s="182">
        <f t="shared" si="40"/>
        <v>0</v>
      </c>
      <c r="J80" s="183">
        <f t="shared" si="41"/>
        <v>0</v>
      </c>
      <c r="K80" s="184">
        <f t="shared" si="42"/>
        <v>0</v>
      </c>
      <c r="L80" s="185">
        <f t="shared" si="43"/>
        <v>0</v>
      </c>
      <c r="M80" s="182">
        <f t="shared" si="44"/>
        <v>0</v>
      </c>
      <c r="N80" s="183">
        <f t="shared" si="45"/>
        <v>0</v>
      </c>
      <c r="O80" s="186">
        <f t="shared" si="46"/>
        <v>0</v>
      </c>
      <c r="P80" s="186">
        <f t="shared" si="47"/>
        <v>0</v>
      </c>
      <c r="Q80" s="187">
        <f t="shared" si="48"/>
        <v>0</v>
      </c>
      <c r="R80" s="188">
        <f t="shared" si="49"/>
        <v>0</v>
      </c>
      <c r="S80" s="189">
        <f t="shared" si="50"/>
        <v>0</v>
      </c>
      <c r="T80" s="190">
        <f t="shared" si="51"/>
        <v>0</v>
      </c>
    </row>
    <row r="81" spans="1:28" x14ac:dyDescent="0.25">
      <c r="A81" s="103">
        <v>46012</v>
      </c>
      <c r="B81" s="126">
        <f t="shared" si="36"/>
        <v>0</v>
      </c>
      <c r="C81" s="102"/>
      <c r="D81" s="179">
        <f t="shared" si="37"/>
        <v>0</v>
      </c>
      <c r="E81" s="179">
        <f t="shared" si="38"/>
        <v>0</v>
      </c>
      <c r="F81" s="180">
        <f t="shared" si="39"/>
        <v>0</v>
      </c>
      <c r="G81" s="102"/>
      <c r="H81" s="181">
        <f>IFERROR(INDEX(inbound_data[],MATCH(G81,Source,0),6),0)</f>
        <v>0</v>
      </c>
      <c r="I81" s="182">
        <f t="shared" si="40"/>
        <v>0</v>
      </c>
      <c r="J81" s="183">
        <f t="shared" si="41"/>
        <v>0</v>
      </c>
      <c r="K81" s="184">
        <f t="shared" si="42"/>
        <v>0</v>
      </c>
      <c r="L81" s="185">
        <f t="shared" si="43"/>
        <v>0</v>
      </c>
      <c r="M81" s="182">
        <f t="shared" si="44"/>
        <v>0</v>
      </c>
      <c r="N81" s="183">
        <f t="shared" si="45"/>
        <v>0</v>
      </c>
      <c r="O81" s="186">
        <f t="shared" si="46"/>
        <v>0</v>
      </c>
      <c r="P81" s="186">
        <f t="shared" si="47"/>
        <v>0</v>
      </c>
      <c r="Q81" s="187">
        <f t="shared" si="48"/>
        <v>0</v>
      </c>
      <c r="R81" s="188">
        <f t="shared" si="49"/>
        <v>0</v>
      </c>
      <c r="S81" s="189">
        <f t="shared" si="50"/>
        <v>0</v>
      </c>
      <c r="T81" s="190">
        <f t="shared" si="51"/>
        <v>0</v>
      </c>
    </row>
    <row r="82" spans="1:28" x14ac:dyDescent="0.25">
      <c r="A82" s="103">
        <v>46013</v>
      </c>
      <c r="B82" s="126">
        <f t="shared" si="36"/>
        <v>0</v>
      </c>
      <c r="C82" s="102"/>
      <c r="D82" s="179">
        <f t="shared" si="37"/>
        <v>0</v>
      </c>
      <c r="E82" s="179">
        <f t="shared" si="38"/>
        <v>0</v>
      </c>
      <c r="F82" s="180">
        <f t="shared" si="39"/>
        <v>0</v>
      </c>
      <c r="G82" s="102"/>
      <c r="H82" s="181">
        <f>IFERROR(INDEX(inbound_data[],MATCH(G82,Source,0),6),0)</f>
        <v>0</v>
      </c>
      <c r="I82" s="182">
        <f t="shared" si="40"/>
        <v>0</v>
      </c>
      <c r="J82" s="183">
        <f t="shared" si="41"/>
        <v>0</v>
      </c>
      <c r="K82" s="184">
        <f t="shared" si="42"/>
        <v>0</v>
      </c>
      <c r="L82" s="185">
        <f t="shared" si="43"/>
        <v>0</v>
      </c>
      <c r="M82" s="182">
        <f t="shared" si="44"/>
        <v>0</v>
      </c>
      <c r="N82" s="183">
        <f t="shared" si="45"/>
        <v>0</v>
      </c>
      <c r="O82" s="186">
        <f t="shared" si="46"/>
        <v>0</v>
      </c>
      <c r="P82" s="186">
        <f t="shared" si="47"/>
        <v>0</v>
      </c>
      <c r="Q82" s="187">
        <f t="shared" si="48"/>
        <v>0</v>
      </c>
      <c r="R82" s="188">
        <f t="shared" si="49"/>
        <v>0</v>
      </c>
      <c r="S82" s="189">
        <f t="shared" si="50"/>
        <v>0</v>
      </c>
      <c r="T82" s="190">
        <f t="shared" si="51"/>
        <v>0</v>
      </c>
    </row>
    <row r="83" spans="1:28" x14ac:dyDescent="0.25">
      <c r="A83" s="103">
        <v>46014</v>
      </c>
      <c r="B83" s="126">
        <f t="shared" si="36"/>
        <v>0</v>
      </c>
      <c r="C83" s="102">
        <v>112725</v>
      </c>
      <c r="D83" s="179">
        <f t="shared" si="37"/>
        <v>649</v>
      </c>
      <c r="E83" s="179">
        <f t="shared" si="38"/>
        <v>3894</v>
      </c>
      <c r="F83" s="180">
        <f t="shared" si="39"/>
        <v>10</v>
      </c>
      <c r="G83" s="102"/>
      <c r="H83" s="181">
        <f>IFERROR(INDEX(inbound_data[],MATCH(G83,Source,0),6),0)</f>
        <v>0</v>
      </c>
      <c r="I83" s="182">
        <f t="shared" si="40"/>
        <v>0</v>
      </c>
      <c r="J83" s="183">
        <f t="shared" si="41"/>
        <v>0</v>
      </c>
      <c r="K83" s="184">
        <f t="shared" si="42"/>
        <v>0</v>
      </c>
      <c r="L83" s="185">
        <f t="shared" si="43"/>
        <v>0</v>
      </c>
      <c r="M83" s="182">
        <f t="shared" si="44"/>
        <v>0</v>
      </c>
      <c r="N83" s="183">
        <f t="shared" si="45"/>
        <v>0</v>
      </c>
      <c r="O83" s="186">
        <f t="shared" si="46"/>
        <v>0</v>
      </c>
      <c r="P83" s="186">
        <f t="shared" si="47"/>
        <v>0</v>
      </c>
      <c r="Q83" s="187">
        <f t="shared" si="48"/>
        <v>0</v>
      </c>
      <c r="R83" s="188">
        <f t="shared" si="49"/>
        <v>10</v>
      </c>
      <c r="S83" s="189">
        <f t="shared" si="50"/>
        <v>649</v>
      </c>
      <c r="T83" s="190">
        <f t="shared" si="51"/>
        <v>3894</v>
      </c>
    </row>
    <row r="84" spans="1:28" x14ac:dyDescent="0.25">
      <c r="A84" s="103">
        <v>46015</v>
      </c>
      <c r="B84" s="126">
        <f t="shared" si="36"/>
        <v>10</v>
      </c>
      <c r="C84" s="102"/>
      <c r="D84" s="179">
        <f t="shared" si="37"/>
        <v>0</v>
      </c>
      <c r="E84" s="179">
        <f t="shared" si="38"/>
        <v>0</v>
      </c>
      <c r="F84" s="180">
        <f t="shared" si="39"/>
        <v>0</v>
      </c>
      <c r="G84" s="102"/>
      <c r="H84" s="181">
        <f>IFERROR(INDEX(inbound_data[],MATCH(G84,Source,0),6),0)</f>
        <v>0</v>
      </c>
      <c r="I84" s="182">
        <f t="shared" si="40"/>
        <v>0</v>
      </c>
      <c r="J84" s="183">
        <f t="shared" si="41"/>
        <v>0</v>
      </c>
      <c r="K84" s="184">
        <f t="shared" si="42"/>
        <v>0</v>
      </c>
      <c r="L84" s="185">
        <f t="shared" si="43"/>
        <v>0</v>
      </c>
      <c r="M84" s="182">
        <f t="shared" si="44"/>
        <v>0</v>
      </c>
      <c r="N84" s="183">
        <f t="shared" si="45"/>
        <v>0</v>
      </c>
      <c r="O84" s="186">
        <f t="shared" si="46"/>
        <v>0</v>
      </c>
      <c r="P84" s="186">
        <f t="shared" si="47"/>
        <v>0</v>
      </c>
      <c r="Q84" s="187">
        <f t="shared" si="48"/>
        <v>0</v>
      </c>
      <c r="R84" s="188">
        <f t="shared" si="49"/>
        <v>10</v>
      </c>
      <c r="S84" s="189">
        <f t="shared" si="50"/>
        <v>649</v>
      </c>
      <c r="T84" s="190">
        <f t="shared" si="51"/>
        <v>3894</v>
      </c>
    </row>
    <row r="85" spans="1:28" x14ac:dyDescent="0.25">
      <c r="A85" s="103">
        <v>46016</v>
      </c>
      <c r="B85" s="126">
        <f t="shared" ref="B85:B88" si="52">R84</f>
        <v>10</v>
      </c>
      <c r="C85" s="102"/>
      <c r="D85" s="179">
        <f t="shared" ref="D85:D94" si="53">SUMIF(Receiving_Report_ref.,C85,In_Quantity)</f>
        <v>0</v>
      </c>
      <c r="E85" s="179">
        <f t="shared" ref="E85:E94" si="54">SUMIF(Receiving_Report_ref.,C85,In_Weight)</f>
        <v>0</v>
      </c>
      <c r="F85" s="180">
        <f t="shared" ref="F85:F94" si="55">SUMIF(Receiving_Report_ref.,C85,Pallet_qty)</f>
        <v>0</v>
      </c>
      <c r="G85" s="102"/>
      <c r="H85" s="181">
        <f>IFERROR(INDEX(inbound_data[],MATCH(G85,Source,0),6),0)</f>
        <v>0</v>
      </c>
      <c r="I85" s="182">
        <f t="shared" ref="I85:I94" si="56">SUMIF(Withdrawal_Report_No.,G85,QTY_OUT)</f>
        <v>0</v>
      </c>
      <c r="J85" s="183">
        <f t="shared" ref="J85:J94" si="57">SUMIF(Receiving_Report_ref.,H85,In_Quantity)</f>
        <v>0</v>
      </c>
      <c r="K85" s="184">
        <f t="shared" ref="K85:K94" si="58">SUMIF(Withdrawal_Report_No.,G85,KILOS_OUT)</f>
        <v>0</v>
      </c>
      <c r="L85" s="185">
        <f t="shared" ref="L85:L94" si="59">SUMIF(Receiving_Report_ref.,H85,In_Weight)</f>
        <v>0</v>
      </c>
      <c r="M85" s="182">
        <f t="shared" ref="M85:M94" si="60">SUMIF(Withdrawal_Report_No.,G85,PALLET_OUT)</f>
        <v>0</v>
      </c>
      <c r="N85" s="183">
        <f t="shared" ref="N85:N94" si="61">SUMIF(Receiving_Report_ref.,H85,Pallet_qty)</f>
        <v>0</v>
      </c>
      <c r="O85" s="186">
        <f t="shared" ref="O85:O88" si="62">I85-J85</f>
        <v>0</v>
      </c>
      <c r="P85" s="186">
        <f t="shared" ref="P85:P88" si="63">K85-L85</f>
        <v>0</v>
      </c>
      <c r="Q85" s="187">
        <f t="shared" ref="Q85:Q88" si="64">+M85-N85</f>
        <v>0</v>
      </c>
      <c r="R85" s="188">
        <f t="shared" ref="R85:R88" si="65">B85+F85-Q85</f>
        <v>10</v>
      </c>
      <c r="S85" s="189">
        <f t="shared" ref="S85:S88" si="66">S84+D85-O85</f>
        <v>649</v>
      </c>
      <c r="T85" s="190">
        <f t="shared" ref="T85:T88" si="67">T84+E85-P85</f>
        <v>3894</v>
      </c>
    </row>
    <row r="86" spans="1:28" x14ac:dyDescent="0.25">
      <c r="A86" s="103">
        <v>46017</v>
      </c>
      <c r="B86" s="126">
        <f t="shared" si="52"/>
        <v>10</v>
      </c>
      <c r="C86" s="102"/>
      <c r="D86" s="179">
        <f t="shared" si="53"/>
        <v>0</v>
      </c>
      <c r="E86" s="179">
        <f t="shared" si="54"/>
        <v>0</v>
      </c>
      <c r="F86" s="180">
        <f t="shared" si="55"/>
        <v>0</v>
      </c>
      <c r="G86" s="102"/>
      <c r="H86" s="181">
        <f>IFERROR(INDEX(inbound_data[],MATCH(G86,Source,0),6),0)</f>
        <v>0</v>
      </c>
      <c r="I86" s="182">
        <f t="shared" si="56"/>
        <v>0</v>
      </c>
      <c r="J86" s="183">
        <f t="shared" si="57"/>
        <v>0</v>
      </c>
      <c r="K86" s="184">
        <f t="shared" si="58"/>
        <v>0</v>
      </c>
      <c r="L86" s="185">
        <f t="shared" si="59"/>
        <v>0</v>
      </c>
      <c r="M86" s="182">
        <f t="shared" si="60"/>
        <v>0</v>
      </c>
      <c r="N86" s="183">
        <f t="shared" si="61"/>
        <v>0</v>
      </c>
      <c r="O86" s="186">
        <f t="shared" si="62"/>
        <v>0</v>
      </c>
      <c r="P86" s="186">
        <f t="shared" si="63"/>
        <v>0</v>
      </c>
      <c r="Q86" s="187">
        <f t="shared" si="64"/>
        <v>0</v>
      </c>
      <c r="R86" s="188">
        <f t="shared" si="65"/>
        <v>10</v>
      </c>
      <c r="S86" s="189">
        <f t="shared" si="66"/>
        <v>649</v>
      </c>
      <c r="T86" s="190">
        <f t="shared" si="67"/>
        <v>3894</v>
      </c>
    </row>
    <row r="87" spans="1:28" x14ac:dyDescent="0.25">
      <c r="A87" s="103">
        <v>46018</v>
      </c>
      <c r="B87" s="126">
        <f t="shared" si="52"/>
        <v>10</v>
      </c>
      <c r="C87" s="102"/>
      <c r="D87" s="179">
        <f t="shared" si="53"/>
        <v>0</v>
      </c>
      <c r="E87" s="179">
        <f t="shared" si="54"/>
        <v>0</v>
      </c>
      <c r="F87" s="180">
        <f t="shared" si="55"/>
        <v>0</v>
      </c>
      <c r="G87" s="102"/>
      <c r="H87" s="181">
        <f>IFERROR(INDEX(inbound_data[],MATCH(G87,Source,0),6),0)</f>
        <v>0</v>
      </c>
      <c r="I87" s="182">
        <f t="shared" si="56"/>
        <v>0</v>
      </c>
      <c r="J87" s="183">
        <f t="shared" si="57"/>
        <v>0</v>
      </c>
      <c r="K87" s="184">
        <f t="shared" si="58"/>
        <v>0</v>
      </c>
      <c r="L87" s="185">
        <f t="shared" si="59"/>
        <v>0</v>
      </c>
      <c r="M87" s="182">
        <f t="shared" si="60"/>
        <v>0</v>
      </c>
      <c r="N87" s="183">
        <f t="shared" si="61"/>
        <v>0</v>
      </c>
      <c r="O87" s="186">
        <f t="shared" si="62"/>
        <v>0</v>
      </c>
      <c r="P87" s="186">
        <f t="shared" si="63"/>
        <v>0</v>
      </c>
      <c r="Q87" s="187">
        <f t="shared" si="64"/>
        <v>0</v>
      </c>
      <c r="R87" s="188">
        <f t="shared" si="65"/>
        <v>10</v>
      </c>
      <c r="S87" s="189">
        <f t="shared" si="66"/>
        <v>649</v>
      </c>
      <c r="T87" s="190">
        <f t="shared" si="67"/>
        <v>3894</v>
      </c>
    </row>
    <row r="88" spans="1:28" x14ac:dyDescent="0.25">
      <c r="A88" s="103">
        <v>46019</v>
      </c>
      <c r="B88" s="126">
        <f t="shared" si="52"/>
        <v>10</v>
      </c>
      <c r="C88" s="102">
        <v>112763</v>
      </c>
      <c r="D88" s="179">
        <f t="shared" si="53"/>
        <v>401</v>
      </c>
      <c r="E88" s="179">
        <f t="shared" si="54"/>
        <v>2406</v>
      </c>
      <c r="F88" s="180">
        <f t="shared" si="55"/>
        <v>6</v>
      </c>
      <c r="G88" s="102"/>
      <c r="H88" s="181">
        <f>IFERROR(INDEX(inbound_data[],MATCH(G88,Source,0),6),0)</f>
        <v>0</v>
      </c>
      <c r="I88" s="182">
        <f t="shared" si="56"/>
        <v>0</v>
      </c>
      <c r="J88" s="183">
        <f t="shared" si="57"/>
        <v>0</v>
      </c>
      <c r="K88" s="184">
        <f t="shared" si="58"/>
        <v>0</v>
      </c>
      <c r="L88" s="185">
        <f t="shared" si="59"/>
        <v>0</v>
      </c>
      <c r="M88" s="182">
        <f t="shared" si="60"/>
        <v>0</v>
      </c>
      <c r="N88" s="183">
        <f t="shared" si="61"/>
        <v>0</v>
      </c>
      <c r="O88" s="186">
        <f t="shared" si="62"/>
        <v>0</v>
      </c>
      <c r="P88" s="186">
        <f t="shared" si="63"/>
        <v>0</v>
      </c>
      <c r="Q88" s="187">
        <f t="shared" si="64"/>
        <v>0</v>
      </c>
      <c r="R88" s="188">
        <f t="shared" si="65"/>
        <v>16</v>
      </c>
      <c r="S88" s="189">
        <f t="shared" si="66"/>
        <v>1050</v>
      </c>
      <c r="T88" s="190">
        <f t="shared" si="67"/>
        <v>6300</v>
      </c>
    </row>
    <row r="89" spans="1:28" x14ac:dyDescent="0.25">
      <c r="A89" s="103">
        <v>46020</v>
      </c>
      <c r="B89" s="126">
        <f t="shared" ref="B89:B93" si="68">R88</f>
        <v>16</v>
      </c>
      <c r="C89" s="102"/>
      <c r="D89" s="179">
        <f t="shared" si="53"/>
        <v>0</v>
      </c>
      <c r="E89" s="179">
        <f t="shared" si="54"/>
        <v>0</v>
      </c>
      <c r="F89" s="180">
        <f t="shared" si="55"/>
        <v>0</v>
      </c>
      <c r="G89" s="102"/>
      <c r="H89" s="181">
        <f>IFERROR(INDEX(inbound_data[],MATCH(G89,Source,0),6),0)</f>
        <v>0</v>
      </c>
      <c r="I89" s="182">
        <f t="shared" si="56"/>
        <v>0</v>
      </c>
      <c r="J89" s="183">
        <f t="shared" si="57"/>
        <v>0</v>
      </c>
      <c r="K89" s="184">
        <f t="shared" si="58"/>
        <v>0</v>
      </c>
      <c r="L89" s="185">
        <f t="shared" si="59"/>
        <v>0</v>
      </c>
      <c r="M89" s="182">
        <f t="shared" si="60"/>
        <v>0</v>
      </c>
      <c r="N89" s="183">
        <f t="shared" si="61"/>
        <v>0</v>
      </c>
      <c r="O89" s="186">
        <f t="shared" ref="O89:O93" si="69">I89-J89</f>
        <v>0</v>
      </c>
      <c r="P89" s="186">
        <f t="shared" ref="P89:P93" si="70">K89-L89</f>
        <v>0</v>
      </c>
      <c r="Q89" s="187">
        <f t="shared" ref="Q89:Q93" si="71">+M89-N89</f>
        <v>0</v>
      </c>
      <c r="R89" s="188">
        <f t="shared" ref="R89:R93" si="72">B89+F89-Q89</f>
        <v>16</v>
      </c>
      <c r="S89" s="189">
        <f t="shared" ref="S89:S93" si="73">S88+D89-O89</f>
        <v>1050</v>
      </c>
      <c r="T89" s="190">
        <f t="shared" ref="T89:T93" si="74">T88+E89-P89</f>
        <v>6300</v>
      </c>
    </row>
    <row r="90" spans="1:28" x14ac:dyDescent="0.25">
      <c r="A90" s="103">
        <v>46021</v>
      </c>
      <c r="B90" s="126">
        <f t="shared" si="68"/>
        <v>16</v>
      </c>
      <c r="C90" s="102"/>
      <c r="D90" s="179">
        <f t="shared" si="53"/>
        <v>0</v>
      </c>
      <c r="E90" s="179">
        <f t="shared" si="54"/>
        <v>0</v>
      </c>
      <c r="F90" s="180">
        <f t="shared" si="55"/>
        <v>0</v>
      </c>
      <c r="G90" s="102"/>
      <c r="H90" s="181">
        <f>IFERROR(INDEX(inbound_data[],MATCH(G90,Source,0),6),0)</f>
        <v>0</v>
      </c>
      <c r="I90" s="182">
        <f t="shared" si="56"/>
        <v>0</v>
      </c>
      <c r="J90" s="183">
        <f t="shared" si="57"/>
        <v>0</v>
      </c>
      <c r="K90" s="184">
        <f t="shared" si="58"/>
        <v>0</v>
      </c>
      <c r="L90" s="185">
        <f t="shared" si="59"/>
        <v>0</v>
      </c>
      <c r="M90" s="182">
        <f t="shared" si="60"/>
        <v>0</v>
      </c>
      <c r="N90" s="183">
        <f t="shared" si="61"/>
        <v>0</v>
      </c>
      <c r="O90" s="186">
        <f t="shared" si="69"/>
        <v>0</v>
      </c>
      <c r="P90" s="186">
        <f t="shared" si="70"/>
        <v>0</v>
      </c>
      <c r="Q90" s="187">
        <f t="shared" si="71"/>
        <v>0</v>
      </c>
      <c r="R90" s="188">
        <f t="shared" si="72"/>
        <v>16</v>
      </c>
      <c r="S90" s="189">
        <f t="shared" si="73"/>
        <v>1050</v>
      </c>
      <c r="T90" s="190">
        <f t="shared" si="74"/>
        <v>6300</v>
      </c>
    </row>
    <row r="91" spans="1:28" s="203" customFormat="1" x14ac:dyDescent="0.25">
      <c r="A91" s="191">
        <v>46022</v>
      </c>
      <c r="B91" s="192">
        <f t="shared" si="68"/>
        <v>16</v>
      </c>
      <c r="C91" s="193"/>
      <c r="D91" s="205">
        <f t="shared" si="53"/>
        <v>0</v>
      </c>
      <c r="E91" s="205">
        <f t="shared" si="54"/>
        <v>0</v>
      </c>
      <c r="F91" s="206">
        <f t="shared" si="55"/>
        <v>0</v>
      </c>
      <c r="G91" s="193"/>
      <c r="H91" s="207">
        <f>IFERROR(INDEX(inbound_data[],MATCH(G91,Source,0),6),0)</f>
        <v>0</v>
      </c>
      <c r="I91" s="208">
        <f t="shared" si="56"/>
        <v>0</v>
      </c>
      <c r="J91" s="206">
        <f t="shared" si="57"/>
        <v>0</v>
      </c>
      <c r="K91" s="209">
        <f t="shared" si="58"/>
        <v>0</v>
      </c>
      <c r="L91" s="205">
        <f t="shared" si="59"/>
        <v>0</v>
      </c>
      <c r="M91" s="208">
        <f t="shared" si="60"/>
        <v>0</v>
      </c>
      <c r="N91" s="206">
        <f t="shared" si="61"/>
        <v>0</v>
      </c>
      <c r="O91" s="209">
        <f t="shared" si="69"/>
        <v>0</v>
      </c>
      <c r="P91" s="209">
        <f t="shared" si="70"/>
        <v>0</v>
      </c>
      <c r="Q91" s="208">
        <f t="shared" si="71"/>
        <v>0</v>
      </c>
      <c r="R91" s="210">
        <f t="shared" si="72"/>
        <v>16</v>
      </c>
      <c r="S91" s="211">
        <f t="shared" si="73"/>
        <v>1050</v>
      </c>
      <c r="T91" s="212">
        <f t="shared" si="74"/>
        <v>6300</v>
      </c>
      <c r="AB91" s="204"/>
    </row>
    <row r="92" spans="1:28" x14ac:dyDescent="0.25">
      <c r="A92" s="103">
        <v>46023</v>
      </c>
      <c r="B92" s="126">
        <f t="shared" si="68"/>
        <v>16</v>
      </c>
      <c r="C92" s="102"/>
      <c r="D92" s="179">
        <f t="shared" si="53"/>
        <v>0</v>
      </c>
      <c r="E92" s="179">
        <f t="shared" si="54"/>
        <v>0</v>
      </c>
      <c r="F92" s="180">
        <f t="shared" si="55"/>
        <v>0</v>
      </c>
      <c r="G92" s="102"/>
      <c r="H92" s="181">
        <f>IFERROR(INDEX(inbound_data[],MATCH(G92,Source,0),6),0)</f>
        <v>0</v>
      </c>
      <c r="I92" s="182">
        <f t="shared" si="56"/>
        <v>0</v>
      </c>
      <c r="J92" s="183">
        <f t="shared" si="57"/>
        <v>0</v>
      </c>
      <c r="K92" s="184">
        <f t="shared" si="58"/>
        <v>0</v>
      </c>
      <c r="L92" s="185">
        <f t="shared" si="59"/>
        <v>0</v>
      </c>
      <c r="M92" s="182">
        <f t="shared" si="60"/>
        <v>0</v>
      </c>
      <c r="N92" s="183">
        <f t="shared" si="61"/>
        <v>0</v>
      </c>
      <c r="O92" s="186">
        <f t="shared" si="69"/>
        <v>0</v>
      </c>
      <c r="P92" s="186">
        <f t="shared" si="70"/>
        <v>0</v>
      </c>
      <c r="Q92" s="187">
        <f t="shared" si="71"/>
        <v>0</v>
      </c>
      <c r="R92" s="188">
        <f t="shared" si="72"/>
        <v>16</v>
      </c>
      <c r="S92" s="189">
        <f t="shared" si="73"/>
        <v>1050</v>
      </c>
      <c r="T92" s="190">
        <f t="shared" si="74"/>
        <v>6300</v>
      </c>
    </row>
    <row r="93" spans="1:28" x14ac:dyDescent="0.25">
      <c r="A93" s="103">
        <v>46024</v>
      </c>
      <c r="B93" s="126">
        <f t="shared" si="68"/>
        <v>16</v>
      </c>
      <c r="C93" s="102"/>
      <c r="D93" s="179">
        <f t="shared" si="53"/>
        <v>0</v>
      </c>
      <c r="E93" s="179">
        <f t="shared" si="54"/>
        <v>0</v>
      </c>
      <c r="F93" s="180">
        <f t="shared" si="55"/>
        <v>0</v>
      </c>
      <c r="G93" s="102"/>
      <c r="H93" s="181">
        <f>IFERROR(INDEX(inbound_data[],MATCH(G93,Source,0),6),0)</f>
        <v>0</v>
      </c>
      <c r="I93" s="182">
        <f t="shared" si="56"/>
        <v>0</v>
      </c>
      <c r="J93" s="183">
        <f t="shared" si="57"/>
        <v>0</v>
      </c>
      <c r="K93" s="184">
        <f t="shared" si="58"/>
        <v>0</v>
      </c>
      <c r="L93" s="185">
        <f t="shared" si="59"/>
        <v>0</v>
      </c>
      <c r="M93" s="182">
        <f t="shared" si="60"/>
        <v>0</v>
      </c>
      <c r="N93" s="183">
        <f t="shared" si="61"/>
        <v>0</v>
      </c>
      <c r="O93" s="186">
        <f t="shared" si="69"/>
        <v>0</v>
      </c>
      <c r="P93" s="186">
        <f t="shared" si="70"/>
        <v>0</v>
      </c>
      <c r="Q93" s="187">
        <f t="shared" si="71"/>
        <v>0</v>
      </c>
      <c r="R93" s="188">
        <f t="shared" si="72"/>
        <v>16</v>
      </c>
      <c r="S93" s="189">
        <f t="shared" si="73"/>
        <v>1050</v>
      </c>
      <c r="T93" s="190">
        <f t="shared" si="74"/>
        <v>6300</v>
      </c>
    </row>
    <row r="94" spans="1:28" x14ac:dyDescent="0.25">
      <c r="A94" s="103">
        <v>46025</v>
      </c>
      <c r="B94" s="126">
        <f>R93</f>
        <v>16</v>
      </c>
      <c r="C94" s="102"/>
      <c r="D94" s="179">
        <f t="shared" si="53"/>
        <v>0</v>
      </c>
      <c r="E94" s="179">
        <f t="shared" si="54"/>
        <v>0</v>
      </c>
      <c r="F94" s="180">
        <f t="shared" si="55"/>
        <v>0</v>
      </c>
      <c r="G94" s="102">
        <v>138958</v>
      </c>
      <c r="H94" s="181">
        <f>IFERROR(INDEX(inbound_data[],MATCH(G94,Source,0),6),0)</f>
        <v>0</v>
      </c>
      <c r="I94" s="182">
        <f t="shared" si="56"/>
        <v>1050</v>
      </c>
      <c r="J94" s="183">
        <f t="shared" si="57"/>
        <v>0</v>
      </c>
      <c r="K94" s="184">
        <f t="shared" si="58"/>
        <v>6300</v>
      </c>
      <c r="L94" s="185">
        <f t="shared" si="59"/>
        <v>0</v>
      </c>
      <c r="M94" s="182">
        <f t="shared" si="60"/>
        <v>16</v>
      </c>
      <c r="N94" s="183">
        <f t="shared" si="61"/>
        <v>0</v>
      </c>
      <c r="O94" s="186">
        <f>I94-J94</f>
        <v>1050</v>
      </c>
      <c r="P94" s="186">
        <f>K94-L94</f>
        <v>6300</v>
      </c>
      <c r="Q94" s="187">
        <f>+M94-N94</f>
        <v>16</v>
      </c>
      <c r="R94" s="188">
        <f>B94+F94-Q94</f>
        <v>0</v>
      </c>
      <c r="S94" s="189">
        <f>S93+D94-O94</f>
        <v>0</v>
      </c>
      <c r="T94" s="190">
        <f>T93+E94-P94</f>
        <v>0</v>
      </c>
    </row>
    <row r="95" spans="1:28" x14ac:dyDescent="0.25">
      <c r="A95" s="103">
        <v>46026</v>
      </c>
      <c r="B95" s="126">
        <f>R94</f>
        <v>0</v>
      </c>
      <c r="C95" s="102"/>
      <c r="D95" s="179">
        <f t="shared" ref="D95:D127" si="75">SUMIF(Receiving_Report_ref.,C95,In_Quantity)</f>
        <v>0</v>
      </c>
      <c r="E95" s="179">
        <f t="shared" ref="E95:E127" si="76">SUMIF(Receiving_Report_ref.,C95,In_Weight)</f>
        <v>0</v>
      </c>
      <c r="F95" s="180">
        <f t="shared" ref="F95:F127" si="77">SUMIF(Receiving_Report_ref.,C95,Pallet_qty)</f>
        <v>0</v>
      </c>
      <c r="G95" s="102"/>
      <c r="H95" s="181">
        <f>IFERROR(INDEX(inbound_data[],MATCH(G95,Source,0),6),0)</f>
        <v>0</v>
      </c>
      <c r="I95" s="182">
        <f t="shared" ref="I95:I127" si="78">SUMIF(Withdrawal_Report_No.,G95,QTY_OUT)</f>
        <v>0</v>
      </c>
      <c r="J95" s="183">
        <f t="shared" ref="J95:J127" si="79">SUMIF(Receiving_Report_ref.,H95,In_Quantity)</f>
        <v>0</v>
      </c>
      <c r="K95" s="184">
        <f t="shared" ref="K95:K127" si="80">SUMIF(Withdrawal_Report_No.,G95,KILOS_OUT)</f>
        <v>0</v>
      </c>
      <c r="L95" s="185">
        <f t="shared" ref="L95:L127" si="81">SUMIF(Receiving_Report_ref.,H95,In_Weight)</f>
        <v>0</v>
      </c>
      <c r="M95" s="182">
        <f t="shared" ref="M95:M127" si="82">SUMIF(Withdrawal_Report_No.,G95,PALLET_OUT)</f>
        <v>0</v>
      </c>
      <c r="N95" s="183">
        <f t="shared" ref="N95:N127" si="83">SUMIF(Receiving_Report_ref.,H95,Pallet_qty)</f>
        <v>0</v>
      </c>
      <c r="O95" s="186">
        <f>I95-J95</f>
        <v>0</v>
      </c>
      <c r="P95" s="186">
        <f>K95-L95</f>
        <v>0</v>
      </c>
      <c r="Q95" s="187">
        <f>+M95-N95</f>
        <v>0</v>
      </c>
      <c r="R95" s="188">
        <f>B95+F95-Q95</f>
        <v>0</v>
      </c>
      <c r="S95" s="189">
        <f>S94+D95-O95</f>
        <v>0</v>
      </c>
      <c r="T95" s="190">
        <f>T94+E95-P95</f>
        <v>0</v>
      </c>
    </row>
    <row r="96" spans="1:28" x14ac:dyDescent="0.25">
      <c r="A96" s="103">
        <v>46027</v>
      </c>
      <c r="B96" s="126">
        <f t="shared" ref="B96:B127" si="84">R95</f>
        <v>0</v>
      </c>
      <c r="C96" s="102"/>
      <c r="D96" s="179">
        <f t="shared" si="75"/>
        <v>0</v>
      </c>
      <c r="E96" s="179">
        <f t="shared" si="76"/>
        <v>0</v>
      </c>
      <c r="F96" s="180">
        <f t="shared" si="77"/>
        <v>0</v>
      </c>
      <c r="G96" s="102"/>
      <c r="H96" s="181">
        <f>IFERROR(INDEX(inbound_data[],MATCH(G96,Source,0),6),0)</f>
        <v>0</v>
      </c>
      <c r="I96" s="182">
        <f t="shared" si="78"/>
        <v>0</v>
      </c>
      <c r="J96" s="183">
        <f t="shared" si="79"/>
        <v>0</v>
      </c>
      <c r="K96" s="184">
        <f t="shared" si="80"/>
        <v>0</v>
      </c>
      <c r="L96" s="185">
        <f t="shared" si="81"/>
        <v>0</v>
      </c>
      <c r="M96" s="182">
        <f t="shared" si="82"/>
        <v>0</v>
      </c>
      <c r="N96" s="183">
        <f t="shared" si="83"/>
        <v>0</v>
      </c>
      <c r="O96" s="186">
        <f t="shared" ref="O96:O127" si="85">I96-J96</f>
        <v>0</v>
      </c>
      <c r="P96" s="186">
        <f t="shared" ref="P96:P127" si="86">K96-L96</f>
        <v>0</v>
      </c>
      <c r="Q96" s="187">
        <f t="shared" ref="Q96:Q127" si="87">+M96-N96</f>
        <v>0</v>
      </c>
      <c r="R96" s="188">
        <f t="shared" ref="R96:R127" si="88">B96+F96-Q96</f>
        <v>0</v>
      </c>
      <c r="S96" s="189">
        <f t="shared" ref="S96:S127" si="89">S95+D96-O96</f>
        <v>0</v>
      </c>
      <c r="T96" s="190">
        <f t="shared" ref="T96:T127" si="90">T95+E96-P96</f>
        <v>0</v>
      </c>
    </row>
    <row r="97" spans="1:20" x14ac:dyDescent="0.25">
      <c r="A97" s="103">
        <v>46028</v>
      </c>
      <c r="B97" s="126">
        <f t="shared" si="84"/>
        <v>0</v>
      </c>
      <c r="C97" s="102"/>
      <c r="D97" s="179">
        <f t="shared" si="75"/>
        <v>0</v>
      </c>
      <c r="E97" s="179">
        <f t="shared" si="76"/>
        <v>0</v>
      </c>
      <c r="F97" s="180">
        <f t="shared" si="77"/>
        <v>0</v>
      </c>
      <c r="G97" s="102"/>
      <c r="H97" s="181">
        <f>IFERROR(INDEX(inbound_data[],MATCH(G97,Source,0),6),0)</f>
        <v>0</v>
      </c>
      <c r="I97" s="182">
        <f t="shared" si="78"/>
        <v>0</v>
      </c>
      <c r="J97" s="183">
        <f t="shared" si="79"/>
        <v>0</v>
      </c>
      <c r="K97" s="184">
        <f t="shared" si="80"/>
        <v>0</v>
      </c>
      <c r="L97" s="185">
        <f t="shared" si="81"/>
        <v>0</v>
      </c>
      <c r="M97" s="182">
        <f t="shared" si="82"/>
        <v>0</v>
      </c>
      <c r="N97" s="183">
        <f t="shared" si="83"/>
        <v>0</v>
      </c>
      <c r="O97" s="186">
        <f t="shared" si="85"/>
        <v>0</v>
      </c>
      <c r="P97" s="186">
        <f t="shared" si="86"/>
        <v>0</v>
      </c>
      <c r="Q97" s="187">
        <f t="shared" si="87"/>
        <v>0</v>
      </c>
      <c r="R97" s="188">
        <f t="shared" si="88"/>
        <v>0</v>
      </c>
      <c r="S97" s="189">
        <f t="shared" si="89"/>
        <v>0</v>
      </c>
      <c r="T97" s="190">
        <f t="shared" si="90"/>
        <v>0</v>
      </c>
    </row>
    <row r="98" spans="1:20" x14ac:dyDescent="0.25">
      <c r="A98" s="103">
        <v>46029</v>
      </c>
      <c r="B98" s="126">
        <f t="shared" si="84"/>
        <v>0</v>
      </c>
      <c r="C98" s="102"/>
      <c r="D98" s="179">
        <f t="shared" si="75"/>
        <v>0</v>
      </c>
      <c r="E98" s="179">
        <f t="shared" si="76"/>
        <v>0</v>
      </c>
      <c r="F98" s="180">
        <f t="shared" si="77"/>
        <v>0</v>
      </c>
      <c r="G98" s="102"/>
      <c r="H98" s="181">
        <f>IFERROR(INDEX(inbound_data[],MATCH(G98,Source,0),6),0)</f>
        <v>0</v>
      </c>
      <c r="I98" s="182">
        <f t="shared" si="78"/>
        <v>0</v>
      </c>
      <c r="J98" s="183">
        <f t="shared" si="79"/>
        <v>0</v>
      </c>
      <c r="K98" s="184">
        <f t="shared" si="80"/>
        <v>0</v>
      </c>
      <c r="L98" s="185">
        <f t="shared" si="81"/>
        <v>0</v>
      </c>
      <c r="M98" s="182">
        <f t="shared" si="82"/>
        <v>0</v>
      </c>
      <c r="N98" s="183">
        <f t="shared" si="83"/>
        <v>0</v>
      </c>
      <c r="O98" s="186">
        <f t="shared" si="85"/>
        <v>0</v>
      </c>
      <c r="P98" s="186">
        <f t="shared" si="86"/>
        <v>0</v>
      </c>
      <c r="Q98" s="187">
        <f t="shared" si="87"/>
        <v>0</v>
      </c>
      <c r="R98" s="188">
        <f t="shared" si="88"/>
        <v>0</v>
      </c>
      <c r="S98" s="189">
        <f t="shared" si="89"/>
        <v>0</v>
      </c>
      <c r="T98" s="190">
        <f t="shared" si="90"/>
        <v>0</v>
      </c>
    </row>
    <row r="99" spans="1:20" x14ac:dyDescent="0.25">
      <c r="A99" s="103">
        <v>46030</v>
      </c>
      <c r="B99" s="126">
        <f t="shared" si="84"/>
        <v>0</v>
      </c>
      <c r="C99" s="102"/>
      <c r="D99" s="179">
        <f t="shared" si="75"/>
        <v>0</v>
      </c>
      <c r="E99" s="179">
        <f t="shared" si="76"/>
        <v>0</v>
      </c>
      <c r="F99" s="180">
        <f t="shared" si="77"/>
        <v>0</v>
      </c>
      <c r="G99" s="102"/>
      <c r="H99" s="181">
        <f>IFERROR(INDEX(inbound_data[],MATCH(G99,Source,0),6),0)</f>
        <v>0</v>
      </c>
      <c r="I99" s="182">
        <f t="shared" si="78"/>
        <v>0</v>
      </c>
      <c r="J99" s="183">
        <f t="shared" si="79"/>
        <v>0</v>
      </c>
      <c r="K99" s="184">
        <f t="shared" si="80"/>
        <v>0</v>
      </c>
      <c r="L99" s="185">
        <f t="shared" si="81"/>
        <v>0</v>
      </c>
      <c r="M99" s="182">
        <f t="shared" si="82"/>
        <v>0</v>
      </c>
      <c r="N99" s="183">
        <f t="shared" si="83"/>
        <v>0</v>
      </c>
      <c r="O99" s="186">
        <f t="shared" si="85"/>
        <v>0</v>
      </c>
      <c r="P99" s="186">
        <f t="shared" si="86"/>
        <v>0</v>
      </c>
      <c r="Q99" s="187">
        <f t="shared" si="87"/>
        <v>0</v>
      </c>
      <c r="R99" s="188">
        <f t="shared" si="88"/>
        <v>0</v>
      </c>
      <c r="S99" s="189">
        <f t="shared" si="89"/>
        <v>0</v>
      </c>
      <c r="T99" s="190">
        <f t="shared" si="90"/>
        <v>0</v>
      </c>
    </row>
    <row r="100" spans="1:20" x14ac:dyDescent="0.25">
      <c r="A100" s="103">
        <v>46031</v>
      </c>
      <c r="B100" s="126">
        <f t="shared" si="84"/>
        <v>0</v>
      </c>
      <c r="C100" s="102"/>
      <c r="D100" s="179">
        <f t="shared" si="75"/>
        <v>0</v>
      </c>
      <c r="E100" s="179">
        <f t="shared" si="76"/>
        <v>0</v>
      </c>
      <c r="F100" s="180">
        <f t="shared" si="77"/>
        <v>0</v>
      </c>
      <c r="G100" s="102"/>
      <c r="H100" s="181">
        <f>IFERROR(INDEX(inbound_data[],MATCH(G100,Source,0),6),0)</f>
        <v>0</v>
      </c>
      <c r="I100" s="182">
        <f t="shared" si="78"/>
        <v>0</v>
      </c>
      <c r="J100" s="183">
        <f t="shared" si="79"/>
        <v>0</v>
      </c>
      <c r="K100" s="184">
        <f t="shared" si="80"/>
        <v>0</v>
      </c>
      <c r="L100" s="185">
        <f t="shared" si="81"/>
        <v>0</v>
      </c>
      <c r="M100" s="182">
        <f t="shared" si="82"/>
        <v>0</v>
      </c>
      <c r="N100" s="183">
        <f t="shared" si="83"/>
        <v>0</v>
      </c>
      <c r="O100" s="186">
        <f t="shared" si="85"/>
        <v>0</v>
      </c>
      <c r="P100" s="186">
        <f t="shared" si="86"/>
        <v>0</v>
      </c>
      <c r="Q100" s="187">
        <f t="shared" si="87"/>
        <v>0</v>
      </c>
      <c r="R100" s="188">
        <f t="shared" si="88"/>
        <v>0</v>
      </c>
      <c r="S100" s="189">
        <f t="shared" si="89"/>
        <v>0</v>
      </c>
      <c r="T100" s="190">
        <f t="shared" si="90"/>
        <v>0</v>
      </c>
    </row>
    <row r="101" spans="1:20" x14ac:dyDescent="0.25">
      <c r="A101" s="103">
        <v>46032</v>
      </c>
      <c r="B101" s="126">
        <f t="shared" si="84"/>
        <v>0</v>
      </c>
      <c r="C101" s="102"/>
      <c r="D101" s="179">
        <f t="shared" si="75"/>
        <v>0</v>
      </c>
      <c r="E101" s="179">
        <f t="shared" si="76"/>
        <v>0</v>
      </c>
      <c r="F101" s="180">
        <f t="shared" si="77"/>
        <v>0</v>
      </c>
      <c r="G101" s="102"/>
      <c r="H101" s="181">
        <f>IFERROR(INDEX(inbound_data[],MATCH(G101,Source,0),6),0)</f>
        <v>0</v>
      </c>
      <c r="I101" s="182">
        <f t="shared" si="78"/>
        <v>0</v>
      </c>
      <c r="J101" s="183">
        <f t="shared" si="79"/>
        <v>0</v>
      </c>
      <c r="K101" s="184">
        <f t="shared" si="80"/>
        <v>0</v>
      </c>
      <c r="L101" s="185">
        <f t="shared" si="81"/>
        <v>0</v>
      </c>
      <c r="M101" s="182">
        <f t="shared" si="82"/>
        <v>0</v>
      </c>
      <c r="N101" s="183">
        <f t="shared" si="83"/>
        <v>0</v>
      </c>
      <c r="O101" s="186">
        <f t="shared" si="85"/>
        <v>0</v>
      </c>
      <c r="P101" s="186">
        <f t="shared" si="86"/>
        <v>0</v>
      </c>
      <c r="Q101" s="187">
        <f t="shared" si="87"/>
        <v>0</v>
      </c>
      <c r="R101" s="188">
        <f t="shared" si="88"/>
        <v>0</v>
      </c>
      <c r="S101" s="189">
        <f t="shared" si="89"/>
        <v>0</v>
      </c>
      <c r="T101" s="190">
        <f t="shared" si="90"/>
        <v>0</v>
      </c>
    </row>
    <row r="102" spans="1:20" x14ac:dyDescent="0.25">
      <c r="A102" s="103">
        <v>46033</v>
      </c>
      <c r="B102" s="126">
        <f t="shared" si="84"/>
        <v>0</v>
      </c>
      <c r="C102" s="102"/>
      <c r="D102" s="179">
        <f t="shared" si="75"/>
        <v>0</v>
      </c>
      <c r="E102" s="179">
        <f t="shared" si="76"/>
        <v>0</v>
      </c>
      <c r="F102" s="180">
        <f t="shared" si="77"/>
        <v>0</v>
      </c>
      <c r="G102" s="102"/>
      <c r="H102" s="181">
        <f>IFERROR(INDEX(inbound_data[],MATCH(G102,Source,0),6),0)</f>
        <v>0</v>
      </c>
      <c r="I102" s="182">
        <f t="shared" si="78"/>
        <v>0</v>
      </c>
      <c r="J102" s="183">
        <f t="shared" si="79"/>
        <v>0</v>
      </c>
      <c r="K102" s="184">
        <f t="shared" si="80"/>
        <v>0</v>
      </c>
      <c r="L102" s="185">
        <f t="shared" si="81"/>
        <v>0</v>
      </c>
      <c r="M102" s="182">
        <f t="shared" si="82"/>
        <v>0</v>
      </c>
      <c r="N102" s="183">
        <f t="shared" si="83"/>
        <v>0</v>
      </c>
      <c r="O102" s="186">
        <f t="shared" si="85"/>
        <v>0</v>
      </c>
      <c r="P102" s="186">
        <f t="shared" si="86"/>
        <v>0</v>
      </c>
      <c r="Q102" s="187">
        <f t="shared" si="87"/>
        <v>0</v>
      </c>
      <c r="R102" s="188">
        <f t="shared" si="88"/>
        <v>0</v>
      </c>
      <c r="S102" s="189">
        <f t="shared" si="89"/>
        <v>0</v>
      </c>
      <c r="T102" s="190">
        <f t="shared" si="90"/>
        <v>0</v>
      </c>
    </row>
    <row r="103" spans="1:20" x14ac:dyDescent="0.25">
      <c r="A103" s="103">
        <v>46034</v>
      </c>
      <c r="B103" s="126">
        <f t="shared" si="84"/>
        <v>0</v>
      </c>
      <c r="C103" s="102"/>
      <c r="D103" s="179">
        <f t="shared" si="75"/>
        <v>0</v>
      </c>
      <c r="E103" s="179">
        <f t="shared" si="76"/>
        <v>0</v>
      </c>
      <c r="F103" s="180">
        <f t="shared" si="77"/>
        <v>0</v>
      </c>
      <c r="G103" s="102"/>
      <c r="H103" s="181">
        <f>IFERROR(INDEX(inbound_data[],MATCH(G103,Source,0),6),0)</f>
        <v>0</v>
      </c>
      <c r="I103" s="182">
        <f t="shared" si="78"/>
        <v>0</v>
      </c>
      <c r="J103" s="183">
        <f t="shared" si="79"/>
        <v>0</v>
      </c>
      <c r="K103" s="184">
        <f t="shared" si="80"/>
        <v>0</v>
      </c>
      <c r="L103" s="185">
        <f t="shared" si="81"/>
        <v>0</v>
      </c>
      <c r="M103" s="182">
        <f t="shared" si="82"/>
        <v>0</v>
      </c>
      <c r="N103" s="183">
        <f t="shared" si="83"/>
        <v>0</v>
      </c>
      <c r="O103" s="186">
        <f t="shared" si="85"/>
        <v>0</v>
      </c>
      <c r="P103" s="186">
        <f t="shared" si="86"/>
        <v>0</v>
      </c>
      <c r="Q103" s="187">
        <f t="shared" si="87"/>
        <v>0</v>
      </c>
      <c r="R103" s="188">
        <f t="shared" si="88"/>
        <v>0</v>
      </c>
      <c r="S103" s="189">
        <f t="shared" si="89"/>
        <v>0</v>
      </c>
      <c r="T103" s="190">
        <f t="shared" si="90"/>
        <v>0</v>
      </c>
    </row>
    <row r="104" spans="1:20" x14ac:dyDescent="0.25">
      <c r="A104" s="103">
        <v>46035</v>
      </c>
      <c r="B104" s="126">
        <f t="shared" si="84"/>
        <v>0</v>
      </c>
      <c r="C104" s="102"/>
      <c r="D104" s="179">
        <f t="shared" si="75"/>
        <v>0</v>
      </c>
      <c r="E104" s="179">
        <f t="shared" si="76"/>
        <v>0</v>
      </c>
      <c r="F104" s="180">
        <f t="shared" si="77"/>
        <v>0</v>
      </c>
      <c r="G104" s="102"/>
      <c r="H104" s="181">
        <f>IFERROR(INDEX(inbound_data[],MATCH(G104,Source,0),6),0)</f>
        <v>0</v>
      </c>
      <c r="I104" s="182">
        <f t="shared" si="78"/>
        <v>0</v>
      </c>
      <c r="J104" s="183">
        <f t="shared" si="79"/>
        <v>0</v>
      </c>
      <c r="K104" s="184">
        <f t="shared" si="80"/>
        <v>0</v>
      </c>
      <c r="L104" s="185">
        <f t="shared" si="81"/>
        <v>0</v>
      </c>
      <c r="M104" s="182">
        <f t="shared" si="82"/>
        <v>0</v>
      </c>
      <c r="N104" s="183">
        <f t="shared" si="83"/>
        <v>0</v>
      </c>
      <c r="O104" s="186">
        <f t="shared" si="85"/>
        <v>0</v>
      </c>
      <c r="P104" s="186">
        <f t="shared" si="86"/>
        <v>0</v>
      </c>
      <c r="Q104" s="187">
        <f t="shared" si="87"/>
        <v>0</v>
      </c>
      <c r="R104" s="188">
        <f t="shared" si="88"/>
        <v>0</v>
      </c>
      <c r="S104" s="189">
        <f t="shared" si="89"/>
        <v>0</v>
      </c>
      <c r="T104" s="190">
        <f t="shared" si="90"/>
        <v>0</v>
      </c>
    </row>
    <row r="105" spans="1:20" x14ac:dyDescent="0.25">
      <c r="A105" s="103">
        <v>46036</v>
      </c>
      <c r="B105" s="126">
        <f t="shared" si="84"/>
        <v>0</v>
      </c>
      <c r="C105" s="102"/>
      <c r="D105" s="179">
        <f t="shared" si="75"/>
        <v>0</v>
      </c>
      <c r="E105" s="179">
        <f t="shared" si="76"/>
        <v>0</v>
      </c>
      <c r="F105" s="180">
        <f t="shared" si="77"/>
        <v>0</v>
      </c>
      <c r="G105" s="102"/>
      <c r="H105" s="181">
        <f>IFERROR(INDEX(inbound_data[],MATCH(G105,Source,0),6),0)</f>
        <v>0</v>
      </c>
      <c r="I105" s="182">
        <f t="shared" si="78"/>
        <v>0</v>
      </c>
      <c r="J105" s="183">
        <f t="shared" si="79"/>
        <v>0</v>
      </c>
      <c r="K105" s="184">
        <f t="shared" si="80"/>
        <v>0</v>
      </c>
      <c r="L105" s="185">
        <f t="shared" si="81"/>
        <v>0</v>
      </c>
      <c r="M105" s="182">
        <f t="shared" si="82"/>
        <v>0</v>
      </c>
      <c r="N105" s="183">
        <f t="shared" si="83"/>
        <v>0</v>
      </c>
      <c r="O105" s="186">
        <f t="shared" si="85"/>
        <v>0</v>
      </c>
      <c r="P105" s="186">
        <f t="shared" si="86"/>
        <v>0</v>
      </c>
      <c r="Q105" s="187">
        <f t="shared" si="87"/>
        <v>0</v>
      </c>
      <c r="R105" s="188">
        <f t="shared" si="88"/>
        <v>0</v>
      </c>
      <c r="S105" s="189">
        <f t="shared" si="89"/>
        <v>0</v>
      </c>
      <c r="T105" s="190">
        <f t="shared" si="90"/>
        <v>0</v>
      </c>
    </row>
    <row r="106" spans="1:20" x14ac:dyDescent="0.25">
      <c r="A106" s="103">
        <v>46037</v>
      </c>
      <c r="B106" s="126">
        <f t="shared" si="84"/>
        <v>0</v>
      </c>
      <c r="C106" s="102"/>
      <c r="D106" s="179">
        <f t="shared" si="75"/>
        <v>0</v>
      </c>
      <c r="E106" s="179">
        <f t="shared" si="76"/>
        <v>0</v>
      </c>
      <c r="F106" s="180">
        <f t="shared" si="77"/>
        <v>0</v>
      </c>
      <c r="G106" s="102"/>
      <c r="H106" s="181">
        <f>IFERROR(INDEX(inbound_data[],MATCH(G106,Source,0),6),0)</f>
        <v>0</v>
      </c>
      <c r="I106" s="182">
        <f t="shared" si="78"/>
        <v>0</v>
      </c>
      <c r="J106" s="183">
        <f t="shared" si="79"/>
        <v>0</v>
      </c>
      <c r="K106" s="184">
        <f t="shared" si="80"/>
        <v>0</v>
      </c>
      <c r="L106" s="185">
        <f t="shared" si="81"/>
        <v>0</v>
      </c>
      <c r="M106" s="182">
        <f t="shared" si="82"/>
        <v>0</v>
      </c>
      <c r="N106" s="183">
        <f t="shared" si="83"/>
        <v>0</v>
      </c>
      <c r="O106" s="186">
        <f t="shared" si="85"/>
        <v>0</v>
      </c>
      <c r="P106" s="186">
        <f t="shared" si="86"/>
        <v>0</v>
      </c>
      <c r="Q106" s="187">
        <f t="shared" si="87"/>
        <v>0</v>
      </c>
      <c r="R106" s="188">
        <f t="shared" si="88"/>
        <v>0</v>
      </c>
      <c r="S106" s="189">
        <f t="shared" si="89"/>
        <v>0</v>
      </c>
      <c r="T106" s="190">
        <f t="shared" si="90"/>
        <v>0</v>
      </c>
    </row>
    <row r="107" spans="1:20" x14ac:dyDescent="0.25">
      <c r="A107" s="103">
        <v>46038</v>
      </c>
      <c r="B107" s="126">
        <f t="shared" si="84"/>
        <v>0</v>
      </c>
      <c r="C107" s="102"/>
      <c r="D107" s="179">
        <f t="shared" si="75"/>
        <v>0</v>
      </c>
      <c r="E107" s="179">
        <f t="shared" si="76"/>
        <v>0</v>
      </c>
      <c r="F107" s="180">
        <f t="shared" si="77"/>
        <v>0</v>
      </c>
      <c r="G107" s="102"/>
      <c r="H107" s="181">
        <f>IFERROR(INDEX(inbound_data[],MATCH(G107,Source,0),6),0)</f>
        <v>0</v>
      </c>
      <c r="I107" s="182">
        <f t="shared" si="78"/>
        <v>0</v>
      </c>
      <c r="J107" s="183">
        <f t="shared" si="79"/>
        <v>0</v>
      </c>
      <c r="K107" s="184">
        <f t="shared" si="80"/>
        <v>0</v>
      </c>
      <c r="L107" s="185">
        <f t="shared" si="81"/>
        <v>0</v>
      </c>
      <c r="M107" s="182">
        <f t="shared" si="82"/>
        <v>0</v>
      </c>
      <c r="N107" s="183">
        <f t="shared" si="83"/>
        <v>0</v>
      </c>
      <c r="O107" s="186">
        <f t="shared" si="85"/>
        <v>0</v>
      </c>
      <c r="P107" s="186">
        <f t="shared" si="86"/>
        <v>0</v>
      </c>
      <c r="Q107" s="187">
        <f t="shared" si="87"/>
        <v>0</v>
      </c>
      <c r="R107" s="188">
        <f t="shared" si="88"/>
        <v>0</v>
      </c>
      <c r="S107" s="189">
        <f t="shared" si="89"/>
        <v>0</v>
      </c>
      <c r="T107" s="190">
        <f t="shared" si="90"/>
        <v>0</v>
      </c>
    </row>
    <row r="108" spans="1:20" x14ac:dyDescent="0.25">
      <c r="A108" s="103">
        <v>46039</v>
      </c>
      <c r="B108" s="126">
        <f t="shared" si="84"/>
        <v>0</v>
      </c>
      <c r="C108" s="102"/>
      <c r="D108" s="179">
        <f t="shared" si="75"/>
        <v>0</v>
      </c>
      <c r="E108" s="179">
        <f t="shared" si="76"/>
        <v>0</v>
      </c>
      <c r="F108" s="180">
        <f t="shared" si="77"/>
        <v>0</v>
      </c>
      <c r="G108" s="102"/>
      <c r="H108" s="181">
        <f>IFERROR(INDEX(inbound_data[],MATCH(G108,Source,0),6),0)</f>
        <v>0</v>
      </c>
      <c r="I108" s="182">
        <f t="shared" si="78"/>
        <v>0</v>
      </c>
      <c r="J108" s="183">
        <f t="shared" si="79"/>
        <v>0</v>
      </c>
      <c r="K108" s="184">
        <f t="shared" si="80"/>
        <v>0</v>
      </c>
      <c r="L108" s="185">
        <f t="shared" si="81"/>
        <v>0</v>
      </c>
      <c r="M108" s="182">
        <f t="shared" si="82"/>
        <v>0</v>
      </c>
      <c r="N108" s="183">
        <f t="shared" si="83"/>
        <v>0</v>
      </c>
      <c r="O108" s="186">
        <f t="shared" si="85"/>
        <v>0</v>
      </c>
      <c r="P108" s="186">
        <f t="shared" si="86"/>
        <v>0</v>
      </c>
      <c r="Q108" s="187">
        <f t="shared" si="87"/>
        <v>0</v>
      </c>
      <c r="R108" s="188">
        <f t="shared" si="88"/>
        <v>0</v>
      </c>
      <c r="S108" s="189">
        <f t="shared" si="89"/>
        <v>0</v>
      </c>
      <c r="T108" s="190">
        <f t="shared" si="90"/>
        <v>0</v>
      </c>
    </row>
    <row r="109" spans="1:20" x14ac:dyDescent="0.25">
      <c r="A109" s="103">
        <v>46040</v>
      </c>
      <c r="B109" s="126">
        <f t="shared" si="84"/>
        <v>0</v>
      </c>
      <c r="C109" s="102"/>
      <c r="D109" s="179">
        <f t="shared" si="75"/>
        <v>0</v>
      </c>
      <c r="E109" s="179">
        <f t="shared" si="76"/>
        <v>0</v>
      </c>
      <c r="F109" s="180">
        <f t="shared" si="77"/>
        <v>0</v>
      </c>
      <c r="G109" s="102"/>
      <c r="H109" s="181">
        <f>IFERROR(INDEX(inbound_data[],MATCH(G109,Source,0),6),0)</f>
        <v>0</v>
      </c>
      <c r="I109" s="182">
        <f t="shared" si="78"/>
        <v>0</v>
      </c>
      <c r="J109" s="183">
        <f t="shared" si="79"/>
        <v>0</v>
      </c>
      <c r="K109" s="184">
        <f t="shared" si="80"/>
        <v>0</v>
      </c>
      <c r="L109" s="185">
        <f t="shared" si="81"/>
        <v>0</v>
      </c>
      <c r="M109" s="182">
        <f t="shared" si="82"/>
        <v>0</v>
      </c>
      <c r="N109" s="183">
        <f t="shared" si="83"/>
        <v>0</v>
      </c>
      <c r="O109" s="186">
        <f t="shared" si="85"/>
        <v>0</v>
      </c>
      <c r="P109" s="186">
        <f t="shared" si="86"/>
        <v>0</v>
      </c>
      <c r="Q109" s="187">
        <f t="shared" si="87"/>
        <v>0</v>
      </c>
      <c r="R109" s="188">
        <f t="shared" si="88"/>
        <v>0</v>
      </c>
      <c r="S109" s="189">
        <f t="shared" si="89"/>
        <v>0</v>
      </c>
      <c r="T109" s="190">
        <f t="shared" si="90"/>
        <v>0</v>
      </c>
    </row>
    <row r="110" spans="1:20" x14ac:dyDescent="0.25">
      <c r="A110" s="103">
        <v>46041</v>
      </c>
      <c r="B110" s="126">
        <f t="shared" si="84"/>
        <v>0</v>
      </c>
      <c r="C110" s="102"/>
      <c r="D110" s="179">
        <f t="shared" si="75"/>
        <v>0</v>
      </c>
      <c r="E110" s="179">
        <f t="shared" si="76"/>
        <v>0</v>
      </c>
      <c r="F110" s="180">
        <f t="shared" si="77"/>
        <v>0</v>
      </c>
      <c r="G110" s="102"/>
      <c r="H110" s="181">
        <f>IFERROR(INDEX(inbound_data[],MATCH(G110,Source,0),6),0)</f>
        <v>0</v>
      </c>
      <c r="I110" s="182">
        <f t="shared" si="78"/>
        <v>0</v>
      </c>
      <c r="J110" s="183">
        <f t="shared" si="79"/>
        <v>0</v>
      </c>
      <c r="K110" s="184">
        <f t="shared" si="80"/>
        <v>0</v>
      </c>
      <c r="L110" s="185">
        <f t="shared" si="81"/>
        <v>0</v>
      </c>
      <c r="M110" s="182">
        <f t="shared" si="82"/>
        <v>0</v>
      </c>
      <c r="N110" s="183">
        <f t="shared" si="83"/>
        <v>0</v>
      </c>
      <c r="O110" s="186">
        <f t="shared" si="85"/>
        <v>0</v>
      </c>
      <c r="P110" s="186">
        <f t="shared" si="86"/>
        <v>0</v>
      </c>
      <c r="Q110" s="187">
        <f t="shared" si="87"/>
        <v>0</v>
      </c>
      <c r="R110" s="188">
        <f t="shared" si="88"/>
        <v>0</v>
      </c>
      <c r="S110" s="189">
        <f t="shared" si="89"/>
        <v>0</v>
      </c>
      <c r="T110" s="190">
        <f t="shared" si="90"/>
        <v>0</v>
      </c>
    </row>
    <row r="111" spans="1:20" x14ac:dyDescent="0.25">
      <c r="A111" s="103">
        <v>46042</v>
      </c>
      <c r="B111" s="126">
        <f t="shared" si="84"/>
        <v>0</v>
      </c>
      <c r="C111" s="102"/>
      <c r="D111" s="179">
        <f t="shared" si="75"/>
        <v>0</v>
      </c>
      <c r="E111" s="179">
        <f t="shared" si="76"/>
        <v>0</v>
      </c>
      <c r="F111" s="180">
        <f t="shared" si="77"/>
        <v>0</v>
      </c>
      <c r="G111" s="102"/>
      <c r="H111" s="181">
        <f>IFERROR(INDEX(inbound_data[],MATCH(G111,Source,0),6),0)</f>
        <v>0</v>
      </c>
      <c r="I111" s="182">
        <f t="shared" si="78"/>
        <v>0</v>
      </c>
      <c r="J111" s="183">
        <f t="shared" si="79"/>
        <v>0</v>
      </c>
      <c r="K111" s="184">
        <f t="shared" si="80"/>
        <v>0</v>
      </c>
      <c r="L111" s="185">
        <f t="shared" si="81"/>
        <v>0</v>
      </c>
      <c r="M111" s="182">
        <f t="shared" si="82"/>
        <v>0</v>
      </c>
      <c r="N111" s="183">
        <f t="shared" si="83"/>
        <v>0</v>
      </c>
      <c r="O111" s="186">
        <f t="shared" si="85"/>
        <v>0</v>
      </c>
      <c r="P111" s="186">
        <f t="shared" si="86"/>
        <v>0</v>
      </c>
      <c r="Q111" s="187">
        <f t="shared" si="87"/>
        <v>0</v>
      </c>
      <c r="R111" s="188">
        <f t="shared" si="88"/>
        <v>0</v>
      </c>
      <c r="S111" s="189">
        <f t="shared" si="89"/>
        <v>0</v>
      </c>
      <c r="T111" s="190">
        <f t="shared" si="90"/>
        <v>0</v>
      </c>
    </row>
    <row r="112" spans="1:20" x14ac:dyDescent="0.25">
      <c r="A112" s="103">
        <v>46043</v>
      </c>
      <c r="B112" s="126">
        <f t="shared" si="84"/>
        <v>0</v>
      </c>
      <c r="C112" s="102"/>
      <c r="D112" s="179">
        <f t="shared" si="75"/>
        <v>0</v>
      </c>
      <c r="E112" s="179">
        <f t="shared" si="76"/>
        <v>0</v>
      </c>
      <c r="F112" s="180">
        <f t="shared" si="77"/>
        <v>0</v>
      </c>
      <c r="G112" s="102"/>
      <c r="H112" s="181">
        <f>IFERROR(INDEX(inbound_data[],MATCH(G112,Source,0),6),0)</f>
        <v>0</v>
      </c>
      <c r="I112" s="182">
        <f t="shared" si="78"/>
        <v>0</v>
      </c>
      <c r="J112" s="183">
        <f t="shared" si="79"/>
        <v>0</v>
      </c>
      <c r="K112" s="184">
        <f t="shared" si="80"/>
        <v>0</v>
      </c>
      <c r="L112" s="185">
        <f t="shared" si="81"/>
        <v>0</v>
      </c>
      <c r="M112" s="182">
        <f t="shared" si="82"/>
        <v>0</v>
      </c>
      <c r="N112" s="183">
        <f t="shared" si="83"/>
        <v>0</v>
      </c>
      <c r="O112" s="186">
        <f t="shared" si="85"/>
        <v>0</v>
      </c>
      <c r="P112" s="186">
        <f t="shared" si="86"/>
        <v>0</v>
      </c>
      <c r="Q112" s="187">
        <f t="shared" si="87"/>
        <v>0</v>
      </c>
      <c r="R112" s="188">
        <f t="shared" si="88"/>
        <v>0</v>
      </c>
      <c r="S112" s="189">
        <f t="shared" si="89"/>
        <v>0</v>
      </c>
      <c r="T112" s="190">
        <f t="shared" si="90"/>
        <v>0</v>
      </c>
    </row>
    <row r="113" spans="1:20" x14ac:dyDescent="0.25">
      <c r="A113" s="103">
        <v>46044</v>
      </c>
      <c r="B113" s="126">
        <f t="shared" si="84"/>
        <v>0</v>
      </c>
      <c r="C113" s="102"/>
      <c r="D113" s="179">
        <f t="shared" si="75"/>
        <v>0</v>
      </c>
      <c r="E113" s="179">
        <f t="shared" si="76"/>
        <v>0</v>
      </c>
      <c r="F113" s="180">
        <f t="shared" si="77"/>
        <v>0</v>
      </c>
      <c r="G113" s="102"/>
      <c r="H113" s="181">
        <f>IFERROR(INDEX(inbound_data[],MATCH(G113,Source,0),6),0)</f>
        <v>0</v>
      </c>
      <c r="I113" s="182">
        <f t="shared" si="78"/>
        <v>0</v>
      </c>
      <c r="J113" s="183">
        <f t="shared" si="79"/>
        <v>0</v>
      </c>
      <c r="K113" s="184">
        <f t="shared" si="80"/>
        <v>0</v>
      </c>
      <c r="L113" s="185">
        <f t="shared" si="81"/>
        <v>0</v>
      </c>
      <c r="M113" s="182">
        <f t="shared" si="82"/>
        <v>0</v>
      </c>
      <c r="N113" s="183">
        <f t="shared" si="83"/>
        <v>0</v>
      </c>
      <c r="O113" s="186">
        <f t="shared" si="85"/>
        <v>0</v>
      </c>
      <c r="P113" s="186">
        <f t="shared" si="86"/>
        <v>0</v>
      </c>
      <c r="Q113" s="187">
        <f t="shared" si="87"/>
        <v>0</v>
      </c>
      <c r="R113" s="188">
        <f t="shared" si="88"/>
        <v>0</v>
      </c>
      <c r="S113" s="189">
        <f t="shared" si="89"/>
        <v>0</v>
      </c>
      <c r="T113" s="190">
        <f t="shared" si="90"/>
        <v>0</v>
      </c>
    </row>
    <row r="114" spans="1:20" x14ac:dyDescent="0.25">
      <c r="A114" s="103">
        <v>46045</v>
      </c>
      <c r="B114" s="126">
        <f t="shared" si="84"/>
        <v>0</v>
      </c>
      <c r="C114" s="102"/>
      <c r="D114" s="179">
        <f t="shared" si="75"/>
        <v>0</v>
      </c>
      <c r="E114" s="179">
        <f t="shared" si="76"/>
        <v>0</v>
      </c>
      <c r="F114" s="180">
        <f t="shared" si="77"/>
        <v>0</v>
      </c>
      <c r="G114" s="102"/>
      <c r="H114" s="181">
        <f>IFERROR(INDEX(inbound_data[],MATCH(G114,Source,0),6),0)</f>
        <v>0</v>
      </c>
      <c r="I114" s="182">
        <f t="shared" si="78"/>
        <v>0</v>
      </c>
      <c r="J114" s="183">
        <f t="shared" si="79"/>
        <v>0</v>
      </c>
      <c r="K114" s="184">
        <f t="shared" si="80"/>
        <v>0</v>
      </c>
      <c r="L114" s="185">
        <f t="shared" si="81"/>
        <v>0</v>
      </c>
      <c r="M114" s="182">
        <f t="shared" si="82"/>
        <v>0</v>
      </c>
      <c r="N114" s="183">
        <f t="shared" si="83"/>
        <v>0</v>
      </c>
      <c r="O114" s="186">
        <f t="shared" si="85"/>
        <v>0</v>
      </c>
      <c r="P114" s="186">
        <f t="shared" si="86"/>
        <v>0</v>
      </c>
      <c r="Q114" s="187">
        <f t="shared" si="87"/>
        <v>0</v>
      </c>
      <c r="R114" s="188">
        <f t="shared" si="88"/>
        <v>0</v>
      </c>
      <c r="S114" s="189">
        <f t="shared" si="89"/>
        <v>0</v>
      </c>
      <c r="T114" s="190">
        <f t="shared" si="90"/>
        <v>0</v>
      </c>
    </row>
    <row r="115" spans="1:20" x14ac:dyDescent="0.25">
      <c r="A115" s="103">
        <v>46046</v>
      </c>
      <c r="B115" s="126">
        <f t="shared" si="84"/>
        <v>0</v>
      </c>
      <c r="C115" s="102"/>
      <c r="D115" s="179">
        <f t="shared" si="75"/>
        <v>0</v>
      </c>
      <c r="E115" s="179">
        <f t="shared" si="76"/>
        <v>0</v>
      </c>
      <c r="F115" s="180">
        <f t="shared" si="77"/>
        <v>0</v>
      </c>
      <c r="G115" s="102"/>
      <c r="H115" s="181">
        <f>IFERROR(INDEX(inbound_data[],MATCH(G115,Source,0),6),0)</f>
        <v>0</v>
      </c>
      <c r="I115" s="182">
        <f t="shared" si="78"/>
        <v>0</v>
      </c>
      <c r="J115" s="183">
        <f t="shared" si="79"/>
        <v>0</v>
      </c>
      <c r="K115" s="184">
        <f t="shared" si="80"/>
        <v>0</v>
      </c>
      <c r="L115" s="185">
        <f t="shared" si="81"/>
        <v>0</v>
      </c>
      <c r="M115" s="182">
        <f t="shared" si="82"/>
        <v>0</v>
      </c>
      <c r="N115" s="183">
        <f t="shared" si="83"/>
        <v>0</v>
      </c>
      <c r="O115" s="186">
        <f t="shared" si="85"/>
        <v>0</v>
      </c>
      <c r="P115" s="186">
        <f t="shared" si="86"/>
        <v>0</v>
      </c>
      <c r="Q115" s="187">
        <f t="shared" si="87"/>
        <v>0</v>
      </c>
      <c r="R115" s="188">
        <f t="shared" si="88"/>
        <v>0</v>
      </c>
      <c r="S115" s="189">
        <f t="shared" si="89"/>
        <v>0</v>
      </c>
      <c r="T115" s="190">
        <f t="shared" si="90"/>
        <v>0</v>
      </c>
    </row>
    <row r="116" spans="1:20" x14ac:dyDescent="0.25">
      <c r="A116" s="103">
        <v>46047</v>
      </c>
      <c r="B116" s="126">
        <f t="shared" si="84"/>
        <v>0</v>
      </c>
      <c r="C116" s="102">
        <v>115077</v>
      </c>
      <c r="D116" s="179">
        <f t="shared" si="75"/>
        <v>683</v>
      </c>
      <c r="E116" s="179">
        <f t="shared" si="76"/>
        <v>5076.6400000000003</v>
      </c>
      <c r="F116" s="180">
        <f t="shared" si="77"/>
        <v>18</v>
      </c>
      <c r="G116" s="102"/>
      <c r="H116" s="181">
        <f>IFERROR(INDEX(inbound_data[],MATCH(G116,Source,0),6),0)</f>
        <v>0</v>
      </c>
      <c r="I116" s="182">
        <f t="shared" si="78"/>
        <v>0</v>
      </c>
      <c r="J116" s="183">
        <f t="shared" si="79"/>
        <v>0</v>
      </c>
      <c r="K116" s="184">
        <f t="shared" si="80"/>
        <v>0</v>
      </c>
      <c r="L116" s="185">
        <f t="shared" si="81"/>
        <v>0</v>
      </c>
      <c r="M116" s="182">
        <f t="shared" si="82"/>
        <v>0</v>
      </c>
      <c r="N116" s="183">
        <f t="shared" si="83"/>
        <v>0</v>
      </c>
      <c r="O116" s="186">
        <f t="shared" si="85"/>
        <v>0</v>
      </c>
      <c r="P116" s="186">
        <f t="shared" si="86"/>
        <v>0</v>
      </c>
      <c r="Q116" s="187">
        <f t="shared" si="87"/>
        <v>0</v>
      </c>
      <c r="R116" s="188">
        <f t="shared" si="88"/>
        <v>18</v>
      </c>
      <c r="S116" s="189">
        <f t="shared" si="89"/>
        <v>683</v>
      </c>
      <c r="T116" s="190">
        <f t="shared" si="90"/>
        <v>5076.6400000000003</v>
      </c>
    </row>
    <row r="117" spans="1:20" x14ac:dyDescent="0.25">
      <c r="A117" s="103">
        <v>46048</v>
      </c>
      <c r="B117" s="126">
        <f t="shared" si="84"/>
        <v>18</v>
      </c>
      <c r="C117" s="102"/>
      <c r="D117" s="179">
        <f t="shared" si="75"/>
        <v>0</v>
      </c>
      <c r="E117" s="179">
        <f t="shared" si="76"/>
        <v>0</v>
      </c>
      <c r="F117" s="180">
        <f t="shared" si="77"/>
        <v>0</v>
      </c>
      <c r="G117" s="102"/>
      <c r="H117" s="181">
        <f>IFERROR(INDEX(inbound_data[],MATCH(G117,Source,0),6),0)</f>
        <v>0</v>
      </c>
      <c r="I117" s="182">
        <f t="shared" si="78"/>
        <v>0</v>
      </c>
      <c r="J117" s="183">
        <f t="shared" si="79"/>
        <v>0</v>
      </c>
      <c r="K117" s="184">
        <f t="shared" si="80"/>
        <v>0</v>
      </c>
      <c r="L117" s="185">
        <f t="shared" si="81"/>
        <v>0</v>
      </c>
      <c r="M117" s="182">
        <f t="shared" si="82"/>
        <v>0</v>
      </c>
      <c r="N117" s="183">
        <f t="shared" si="83"/>
        <v>0</v>
      </c>
      <c r="O117" s="186">
        <f t="shared" si="85"/>
        <v>0</v>
      </c>
      <c r="P117" s="186">
        <f t="shared" si="86"/>
        <v>0</v>
      </c>
      <c r="Q117" s="187">
        <f t="shared" si="87"/>
        <v>0</v>
      </c>
      <c r="R117" s="188">
        <f t="shared" si="88"/>
        <v>18</v>
      </c>
      <c r="S117" s="189">
        <f t="shared" si="89"/>
        <v>683</v>
      </c>
      <c r="T117" s="190">
        <f t="shared" si="90"/>
        <v>5076.6400000000003</v>
      </c>
    </row>
    <row r="118" spans="1:20" x14ac:dyDescent="0.25">
      <c r="A118" s="103">
        <v>46049</v>
      </c>
      <c r="B118" s="126">
        <f t="shared" si="84"/>
        <v>18</v>
      </c>
      <c r="C118" s="102"/>
      <c r="D118" s="179">
        <f t="shared" si="75"/>
        <v>0</v>
      </c>
      <c r="E118" s="179">
        <f t="shared" si="76"/>
        <v>0</v>
      </c>
      <c r="F118" s="180">
        <f t="shared" si="77"/>
        <v>0</v>
      </c>
      <c r="G118" s="102">
        <v>141691</v>
      </c>
      <c r="H118" s="181">
        <f>IFERROR(INDEX(inbound_data[],MATCH(G118,Source,0),6),0)</f>
        <v>0</v>
      </c>
      <c r="I118" s="182">
        <f t="shared" si="78"/>
        <v>683</v>
      </c>
      <c r="J118" s="183">
        <f t="shared" si="79"/>
        <v>0</v>
      </c>
      <c r="K118" s="184">
        <f t="shared" si="80"/>
        <v>5076.6400000000003</v>
      </c>
      <c r="L118" s="185">
        <f t="shared" si="81"/>
        <v>0</v>
      </c>
      <c r="M118" s="182">
        <f t="shared" si="82"/>
        <v>18</v>
      </c>
      <c r="N118" s="183">
        <f t="shared" si="83"/>
        <v>0</v>
      </c>
      <c r="O118" s="186">
        <f t="shared" si="85"/>
        <v>683</v>
      </c>
      <c r="P118" s="186">
        <f t="shared" si="86"/>
        <v>5076.6400000000003</v>
      </c>
      <c r="Q118" s="187">
        <f t="shared" si="87"/>
        <v>18</v>
      </c>
      <c r="R118" s="188">
        <f t="shared" si="88"/>
        <v>0</v>
      </c>
      <c r="S118" s="189">
        <f t="shared" si="89"/>
        <v>0</v>
      </c>
      <c r="T118" s="190">
        <f t="shared" si="90"/>
        <v>0</v>
      </c>
    </row>
    <row r="119" spans="1:20" x14ac:dyDescent="0.25">
      <c r="A119" s="103">
        <v>46050</v>
      </c>
      <c r="B119" s="126">
        <f t="shared" si="84"/>
        <v>0</v>
      </c>
      <c r="C119" s="102"/>
      <c r="D119" s="179">
        <f t="shared" si="75"/>
        <v>0</v>
      </c>
      <c r="E119" s="179">
        <f t="shared" si="76"/>
        <v>0</v>
      </c>
      <c r="F119" s="180">
        <f t="shared" si="77"/>
        <v>0</v>
      </c>
      <c r="G119" s="102"/>
      <c r="H119" s="181">
        <f>IFERROR(INDEX(inbound_data[],MATCH(G119,Source,0),6),0)</f>
        <v>0</v>
      </c>
      <c r="I119" s="182">
        <f t="shared" si="78"/>
        <v>0</v>
      </c>
      <c r="J119" s="183">
        <f t="shared" si="79"/>
        <v>0</v>
      </c>
      <c r="K119" s="184">
        <f t="shared" si="80"/>
        <v>0</v>
      </c>
      <c r="L119" s="185">
        <f t="shared" si="81"/>
        <v>0</v>
      </c>
      <c r="M119" s="182">
        <f t="shared" si="82"/>
        <v>0</v>
      </c>
      <c r="N119" s="183">
        <f t="shared" si="83"/>
        <v>0</v>
      </c>
      <c r="O119" s="186">
        <f t="shared" si="85"/>
        <v>0</v>
      </c>
      <c r="P119" s="186">
        <f t="shared" si="86"/>
        <v>0</v>
      </c>
      <c r="Q119" s="187">
        <f t="shared" si="87"/>
        <v>0</v>
      </c>
      <c r="R119" s="188">
        <f t="shared" si="88"/>
        <v>0</v>
      </c>
      <c r="S119" s="189">
        <f t="shared" si="89"/>
        <v>0</v>
      </c>
      <c r="T119" s="190">
        <f t="shared" si="90"/>
        <v>0</v>
      </c>
    </row>
    <row r="120" spans="1:20" x14ac:dyDescent="0.25">
      <c r="A120" s="103">
        <v>46051</v>
      </c>
      <c r="B120" s="126">
        <f t="shared" si="84"/>
        <v>0</v>
      </c>
      <c r="C120" s="102"/>
      <c r="D120" s="179">
        <f t="shared" si="75"/>
        <v>0</v>
      </c>
      <c r="E120" s="179">
        <f t="shared" si="76"/>
        <v>0</v>
      </c>
      <c r="F120" s="180">
        <f t="shared" si="77"/>
        <v>0</v>
      </c>
      <c r="G120" s="102"/>
      <c r="H120" s="181">
        <f>IFERROR(INDEX(inbound_data[],MATCH(G120,Source,0),6),0)</f>
        <v>0</v>
      </c>
      <c r="I120" s="182">
        <f t="shared" si="78"/>
        <v>0</v>
      </c>
      <c r="J120" s="183">
        <f t="shared" si="79"/>
        <v>0</v>
      </c>
      <c r="K120" s="184">
        <f t="shared" si="80"/>
        <v>0</v>
      </c>
      <c r="L120" s="185">
        <f t="shared" si="81"/>
        <v>0</v>
      </c>
      <c r="M120" s="182">
        <f t="shared" si="82"/>
        <v>0</v>
      </c>
      <c r="N120" s="183">
        <f t="shared" si="83"/>
        <v>0</v>
      </c>
      <c r="O120" s="186">
        <f t="shared" si="85"/>
        <v>0</v>
      </c>
      <c r="P120" s="186">
        <f t="shared" si="86"/>
        <v>0</v>
      </c>
      <c r="Q120" s="187">
        <f t="shared" si="87"/>
        <v>0</v>
      </c>
      <c r="R120" s="188">
        <f t="shared" si="88"/>
        <v>0</v>
      </c>
      <c r="S120" s="189">
        <f t="shared" si="89"/>
        <v>0</v>
      </c>
      <c r="T120" s="190">
        <f t="shared" si="90"/>
        <v>0</v>
      </c>
    </row>
    <row r="121" spans="1:20" x14ac:dyDescent="0.25">
      <c r="A121" s="103">
        <v>46052</v>
      </c>
      <c r="B121" s="126">
        <f t="shared" si="84"/>
        <v>0</v>
      </c>
      <c r="C121" s="102"/>
      <c r="D121" s="179">
        <f t="shared" si="75"/>
        <v>0</v>
      </c>
      <c r="E121" s="179">
        <f t="shared" si="76"/>
        <v>0</v>
      </c>
      <c r="F121" s="180">
        <f t="shared" si="77"/>
        <v>0</v>
      </c>
      <c r="G121" s="102"/>
      <c r="H121" s="181">
        <f>IFERROR(INDEX(inbound_data[],MATCH(G121,Source,0),6),0)</f>
        <v>0</v>
      </c>
      <c r="I121" s="182">
        <f t="shared" si="78"/>
        <v>0</v>
      </c>
      <c r="J121" s="183">
        <f t="shared" si="79"/>
        <v>0</v>
      </c>
      <c r="K121" s="184">
        <f t="shared" si="80"/>
        <v>0</v>
      </c>
      <c r="L121" s="185">
        <f t="shared" si="81"/>
        <v>0</v>
      </c>
      <c r="M121" s="182">
        <f t="shared" si="82"/>
        <v>0</v>
      </c>
      <c r="N121" s="183">
        <f t="shared" si="83"/>
        <v>0</v>
      </c>
      <c r="O121" s="186">
        <f t="shared" si="85"/>
        <v>0</v>
      </c>
      <c r="P121" s="186">
        <f t="shared" si="86"/>
        <v>0</v>
      </c>
      <c r="Q121" s="187">
        <f t="shared" si="87"/>
        <v>0</v>
      </c>
      <c r="R121" s="188">
        <f t="shared" si="88"/>
        <v>0</v>
      </c>
      <c r="S121" s="189">
        <f t="shared" si="89"/>
        <v>0</v>
      </c>
      <c r="T121" s="190">
        <f t="shared" si="90"/>
        <v>0</v>
      </c>
    </row>
    <row r="122" spans="1:20" x14ac:dyDescent="0.25">
      <c r="A122" s="103">
        <v>46053</v>
      </c>
      <c r="B122" s="126">
        <f t="shared" si="84"/>
        <v>0</v>
      </c>
      <c r="C122" s="102"/>
      <c r="D122" s="179">
        <f t="shared" si="75"/>
        <v>0</v>
      </c>
      <c r="E122" s="179">
        <f t="shared" si="76"/>
        <v>0</v>
      </c>
      <c r="F122" s="180">
        <f t="shared" si="77"/>
        <v>0</v>
      </c>
      <c r="G122" s="102"/>
      <c r="H122" s="181">
        <f>IFERROR(INDEX(inbound_data[],MATCH(G122,Source,0),6),0)</f>
        <v>0</v>
      </c>
      <c r="I122" s="182">
        <f t="shared" si="78"/>
        <v>0</v>
      </c>
      <c r="J122" s="183">
        <f t="shared" si="79"/>
        <v>0</v>
      </c>
      <c r="K122" s="184">
        <f t="shared" si="80"/>
        <v>0</v>
      </c>
      <c r="L122" s="185">
        <f t="shared" si="81"/>
        <v>0</v>
      </c>
      <c r="M122" s="182">
        <f t="shared" si="82"/>
        <v>0</v>
      </c>
      <c r="N122" s="183">
        <f t="shared" si="83"/>
        <v>0</v>
      </c>
      <c r="O122" s="186">
        <f t="shared" si="85"/>
        <v>0</v>
      </c>
      <c r="P122" s="186">
        <f t="shared" si="86"/>
        <v>0</v>
      </c>
      <c r="Q122" s="187">
        <f t="shared" si="87"/>
        <v>0</v>
      </c>
      <c r="R122" s="188">
        <f t="shared" si="88"/>
        <v>0</v>
      </c>
      <c r="S122" s="189">
        <f t="shared" si="89"/>
        <v>0</v>
      </c>
      <c r="T122" s="190">
        <f t="shared" si="90"/>
        <v>0</v>
      </c>
    </row>
    <row r="123" spans="1:20" x14ac:dyDescent="0.25">
      <c r="A123" s="103">
        <v>46054</v>
      </c>
      <c r="B123" s="126">
        <f t="shared" si="84"/>
        <v>0</v>
      </c>
      <c r="C123" s="102"/>
      <c r="D123" s="179">
        <f t="shared" si="75"/>
        <v>0</v>
      </c>
      <c r="E123" s="179">
        <f t="shared" si="76"/>
        <v>0</v>
      </c>
      <c r="F123" s="180">
        <f t="shared" si="77"/>
        <v>0</v>
      </c>
      <c r="G123" s="102"/>
      <c r="H123" s="181">
        <f>IFERROR(INDEX(inbound_data[],MATCH(G123,Source,0),6),0)</f>
        <v>0</v>
      </c>
      <c r="I123" s="182">
        <f t="shared" si="78"/>
        <v>0</v>
      </c>
      <c r="J123" s="183">
        <f t="shared" si="79"/>
        <v>0</v>
      </c>
      <c r="K123" s="184">
        <f t="shared" si="80"/>
        <v>0</v>
      </c>
      <c r="L123" s="185">
        <f t="shared" si="81"/>
        <v>0</v>
      </c>
      <c r="M123" s="182">
        <f t="shared" si="82"/>
        <v>0</v>
      </c>
      <c r="N123" s="183">
        <f t="shared" si="83"/>
        <v>0</v>
      </c>
      <c r="O123" s="186">
        <f t="shared" si="85"/>
        <v>0</v>
      </c>
      <c r="P123" s="186">
        <f t="shared" si="86"/>
        <v>0</v>
      </c>
      <c r="Q123" s="187">
        <f t="shared" si="87"/>
        <v>0</v>
      </c>
      <c r="R123" s="188">
        <f t="shared" si="88"/>
        <v>0</v>
      </c>
      <c r="S123" s="189">
        <f t="shared" si="89"/>
        <v>0</v>
      </c>
      <c r="T123" s="190">
        <f t="shared" si="90"/>
        <v>0</v>
      </c>
    </row>
    <row r="124" spans="1:20" x14ac:dyDescent="0.25">
      <c r="A124" s="103">
        <v>46055</v>
      </c>
      <c r="B124" s="126">
        <f t="shared" si="84"/>
        <v>0</v>
      </c>
      <c r="C124" s="102"/>
      <c r="D124" s="179">
        <f t="shared" si="75"/>
        <v>0</v>
      </c>
      <c r="E124" s="179">
        <f t="shared" si="76"/>
        <v>0</v>
      </c>
      <c r="F124" s="180">
        <f t="shared" si="77"/>
        <v>0</v>
      </c>
      <c r="G124" s="102"/>
      <c r="H124" s="181">
        <f>IFERROR(INDEX(inbound_data[],MATCH(G124,Source,0),6),0)</f>
        <v>0</v>
      </c>
      <c r="I124" s="182">
        <f t="shared" si="78"/>
        <v>0</v>
      </c>
      <c r="J124" s="183">
        <f t="shared" si="79"/>
        <v>0</v>
      </c>
      <c r="K124" s="184">
        <f t="shared" si="80"/>
        <v>0</v>
      </c>
      <c r="L124" s="185">
        <f t="shared" si="81"/>
        <v>0</v>
      </c>
      <c r="M124" s="182">
        <f t="shared" si="82"/>
        <v>0</v>
      </c>
      <c r="N124" s="183">
        <f t="shared" si="83"/>
        <v>0</v>
      </c>
      <c r="O124" s="186">
        <f t="shared" si="85"/>
        <v>0</v>
      </c>
      <c r="P124" s="186">
        <f t="shared" si="86"/>
        <v>0</v>
      </c>
      <c r="Q124" s="187">
        <f t="shared" si="87"/>
        <v>0</v>
      </c>
      <c r="R124" s="188">
        <f t="shared" si="88"/>
        <v>0</v>
      </c>
      <c r="S124" s="189">
        <f t="shared" si="89"/>
        <v>0</v>
      </c>
      <c r="T124" s="190">
        <f t="shared" si="90"/>
        <v>0</v>
      </c>
    </row>
    <row r="125" spans="1:20" x14ac:dyDescent="0.25">
      <c r="A125" s="103">
        <v>46056</v>
      </c>
      <c r="B125" s="126">
        <f t="shared" si="84"/>
        <v>0</v>
      </c>
      <c r="C125" s="102"/>
      <c r="D125" s="179">
        <f t="shared" si="75"/>
        <v>0</v>
      </c>
      <c r="E125" s="179">
        <f t="shared" si="76"/>
        <v>0</v>
      </c>
      <c r="F125" s="180">
        <f t="shared" si="77"/>
        <v>0</v>
      </c>
      <c r="G125" s="102"/>
      <c r="H125" s="181">
        <f>IFERROR(INDEX(inbound_data[],MATCH(G125,Source,0),6),0)</f>
        <v>0</v>
      </c>
      <c r="I125" s="182">
        <f t="shared" si="78"/>
        <v>0</v>
      </c>
      <c r="J125" s="183">
        <f t="shared" si="79"/>
        <v>0</v>
      </c>
      <c r="K125" s="184">
        <f t="shared" si="80"/>
        <v>0</v>
      </c>
      <c r="L125" s="185">
        <f t="shared" si="81"/>
        <v>0</v>
      </c>
      <c r="M125" s="182">
        <f t="shared" si="82"/>
        <v>0</v>
      </c>
      <c r="N125" s="183">
        <f t="shared" si="83"/>
        <v>0</v>
      </c>
      <c r="O125" s="186">
        <f t="shared" si="85"/>
        <v>0</v>
      </c>
      <c r="P125" s="186">
        <f t="shared" si="86"/>
        <v>0</v>
      </c>
      <c r="Q125" s="187">
        <f t="shared" si="87"/>
        <v>0</v>
      </c>
      <c r="R125" s="188">
        <f t="shared" si="88"/>
        <v>0</v>
      </c>
      <c r="S125" s="189">
        <f t="shared" si="89"/>
        <v>0</v>
      </c>
      <c r="T125" s="190">
        <f t="shared" si="90"/>
        <v>0</v>
      </c>
    </row>
    <row r="126" spans="1:20" x14ac:dyDescent="0.25">
      <c r="A126" s="103">
        <v>46057</v>
      </c>
      <c r="B126" s="126">
        <f t="shared" si="84"/>
        <v>0</v>
      </c>
      <c r="C126" s="102"/>
      <c r="D126" s="179">
        <f t="shared" si="75"/>
        <v>0</v>
      </c>
      <c r="E126" s="179">
        <f t="shared" si="76"/>
        <v>0</v>
      </c>
      <c r="F126" s="180">
        <f t="shared" si="77"/>
        <v>0</v>
      </c>
      <c r="G126" s="102"/>
      <c r="H126" s="181">
        <f>IFERROR(INDEX(inbound_data[],MATCH(G126,Source,0),6),0)</f>
        <v>0</v>
      </c>
      <c r="I126" s="182">
        <f t="shared" si="78"/>
        <v>0</v>
      </c>
      <c r="J126" s="183">
        <f t="shared" si="79"/>
        <v>0</v>
      </c>
      <c r="K126" s="184">
        <f t="shared" si="80"/>
        <v>0</v>
      </c>
      <c r="L126" s="185">
        <f t="shared" si="81"/>
        <v>0</v>
      </c>
      <c r="M126" s="182">
        <f t="shared" si="82"/>
        <v>0</v>
      </c>
      <c r="N126" s="183">
        <f t="shared" si="83"/>
        <v>0</v>
      </c>
      <c r="O126" s="186">
        <f t="shared" si="85"/>
        <v>0</v>
      </c>
      <c r="P126" s="186">
        <f t="shared" si="86"/>
        <v>0</v>
      </c>
      <c r="Q126" s="187">
        <f t="shared" si="87"/>
        <v>0</v>
      </c>
      <c r="R126" s="188">
        <f t="shared" si="88"/>
        <v>0</v>
      </c>
      <c r="S126" s="189">
        <f t="shared" si="89"/>
        <v>0</v>
      </c>
      <c r="T126" s="190">
        <f t="shared" si="90"/>
        <v>0</v>
      </c>
    </row>
    <row r="127" spans="1:20" x14ac:dyDescent="0.25">
      <c r="A127" s="103">
        <v>46058</v>
      </c>
      <c r="B127" s="126">
        <f t="shared" si="84"/>
        <v>0</v>
      </c>
      <c r="C127" s="102"/>
      <c r="D127" s="179">
        <f t="shared" si="75"/>
        <v>0</v>
      </c>
      <c r="E127" s="179">
        <f t="shared" si="76"/>
        <v>0</v>
      </c>
      <c r="F127" s="180">
        <f t="shared" si="77"/>
        <v>0</v>
      </c>
      <c r="G127" s="102"/>
      <c r="H127" s="181">
        <f>IFERROR(INDEX(inbound_data[],MATCH(G127,Source,0),6),0)</f>
        <v>0</v>
      </c>
      <c r="I127" s="182">
        <f t="shared" si="78"/>
        <v>0</v>
      </c>
      <c r="J127" s="183">
        <f t="shared" si="79"/>
        <v>0</v>
      </c>
      <c r="K127" s="184">
        <f t="shared" si="80"/>
        <v>0</v>
      </c>
      <c r="L127" s="185">
        <f t="shared" si="81"/>
        <v>0</v>
      </c>
      <c r="M127" s="182">
        <f t="shared" si="82"/>
        <v>0</v>
      </c>
      <c r="N127" s="183">
        <f t="shared" si="83"/>
        <v>0</v>
      </c>
      <c r="O127" s="186">
        <f t="shared" si="85"/>
        <v>0</v>
      </c>
      <c r="P127" s="186">
        <f t="shared" si="86"/>
        <v>0</v>
      </c>
      <c r="Q127" s="187">
        <f t="shared" si="87"/>
        <v>0</v>
      </c>
      <c r="R127" s="188">
        <f t="shared" si="88"/>
        <v>0</v>
      </c>
      <c r="S127" s="189">
        <f t="shared" si="89"/>
        <v>0</v>
      </c>
      <c r="T127" s="190">
        <f t="shared" si="90"/>
        <v>0</v>
      </c>
    </row>
    <row r="128" spans="1:20" x14ac:dyDescent="0.25">
      <c r="A128" s="103">
        <v>46059</v>
      </c>
      <c r="B128" s="126">
        <f t="shared" ref="B128:B158" si="91">R127</f>
        <v>0</v>
      </c>
      <c r="C128" s="102"/>
      <c r="D128" s="179">
        <f t="shared" ref="D128:D158" si="92">SUMIF(Receiving_Report_ref.,C128,In_Quantity)</f>
        <v>0</v>
      </c>
      <c r="E128" s="179">
        <f t="shared" ref="E128:E158" si="93">SUMIF(Receiving_Report_ref.,C128,In_Weight)</f>
        <v>0</v>
      </c>
      <c r="F128" s="180">
        <f t="shared" ref="F128:F158" si="94">SUMIF(Receiving_Report_ref.,C128,Pallet_qty)</f>
        <v>0</v>
      </c>
      <c r="G128" s="102"/>
      <c r="H128" s="181">
        <f>IFERROR(INDEX(inbound_data[],MATCH(G128,Source,0),6),0)</f>
        <v>0</v>
      </c>
      <c r="I128" s="182">
        <f t="shared" ref="I128:I158" si="95">SUMIF(Withdrawal_Report_No.,G128,QTY_OUT)</f>
        <v>0</v>
      </c>
      <c r="J128" s="183">
        <f t="shared" ref="J128:J158" si="96">SUMIF(Receiving_Report_ref.,H128,In_Quantity)</f>
        <v>0</v>
      </c>
      <c r="K128" s="184">
        <f t="shared" ref="K128:K158" si="97">SUMIF(Withdrawal_Report_No.,G128,KILOS_OUT)</f>
        <v>0</v>
      </c>
      <c r="L128" s="185">
        <f t="shared" ref="L128:L158" si="98">SUMIF(Receiving_Report_ref.,H128,In_Weight)</f>
        <v>0</v>
      </c>
      <c r="M128" s="182">
        <f t="shared" ref="M128:M158" si="99">SUMIF(Withdrawal_Report_No.,G128,PALLET_OUT)</f>
        <v>0</v>
      </c>
      <c r="N128" s="183">
        <f t="shared" ref="N128:N158" si="100">SUMIF(Receiving_Report_ref.,H128,Pallet_qty)</f>
        <v>0</v>
      </c>
      <c r="O128" s="186">
        <f t="shared" ref="O128:O158" si="101">I128-J128</f>
        <v>0</v>
      </c>
      <c r="P128" s="186">
        <f t="shared" ref="P128:P158" si="102">K128-L128</f>
        <v>0</v>
      </c>
      <c r="Q128" s="187">
        <f t="shared" ref="Q128:Q158" si="103">+M128-N128</f>
        <v>0</v>
      </c>
      <c r="R128" s="188">
        <f t="shared" ref="R128:R158" si="104">B128+F128-Q128</f>
        <v>0</v>
      </c>
      <c r="S128" s="189">
        <f t="shared" ref="S128:S158" si="105">S127+D128-O128</f>
        <v>0</v>
      </c>
      <c r="T128" s="190">
        <f t="shared" ref="T128:T158" si="106">T127+E128-P128</f>
        <v>0</v>
      </c>
    </row>
    <row r="129" spans="1:20" x14ac:dyDescent="0.25">
      <c r="A129" s="103">
        <v>46060</v>
      </c>
      <c r="B129" s="126">
        <f t="shared" si="91"/>
        <v>0</v>
      </c>
      <c r="C129" s="102"/>
      <c r="D129" s="179">
        <f t="shared" si="92"/>
        <v>0</v>
      </c>
      <c r="E129" s="179">
        <f t="shared" si="93"/>
        <v>0</v>
      </c>
      <c r="F129" s="180">
        <f t="shared" si="94"/>
        <v>0</v>
      </c>
      <c r="G129" s="102"/>
      <c r="H129" s="181">
        <f>IFERROR(INDEX(inbound_data[],MATCH(G129,Source,0),6),0)</f>
        <v>0</v>
      </c>
      <c r="I129" s="182">
        <f t="shared" si="95"/>
        <v>0</v>
      </c>
      <c r="J129" s="183">
        <f t="shared" si="96"/>
        <v>0</v>
      </c>
      <c r="K129" s="184">
        <f t="shared" si="97"/>
        <v>0</v>
      </c>
      <c r="L129" s="185">
        <f t="shared" si="98"/>
        <v>0</v>
      </c>
      <c r="M129" s="182">
        <f t="shared" si="99"/>
        <v>0</v>
      </c>
      <c r="N129" s="183">
        <f t="shared" si="100"/>
        <v>0</v>
      </c>
      <c r="O129" s="186">
        <f t="shared" si="101"/>
        <v>0</v>
      </c>
      <c r="P129" s="186">
        <f t="shared" si="102"/>
        <v>0</v>
      </c>
      <c r="Q129" s="187">
        <f t="shared" si="103"/>
        <v>0</v>
      </c>
      <c r="R129" s="188">
        <f t="shared" si="104"/>
        <v>0</v>
      </c>
      <c r="S129" s="189">
        <f t="shared" si="105"/>
        <v>0</v>
      </c>
      <c r="T129" s="190">
        <f t="shared" si="106"/>
        <v>0</v>
      </c>
    </row>
    <row r="130" spans="1:20" x14ac:dyDescent="0.25">
      <c r="A130" s="103">
        <v>46061</v>
      </c>
      <c r="B130" s="126">
        <f t="shared" si="91"/>
        <v>0</v>
      </c>
      <c r="C130" s="102"/>
      <c r="D130" s="179">
        <f t="shared" si="92"/>
        <v>0</v>
      </c>
      <c r="E130" s="179">
        <f t="shared" si="93"/>
        <v>0</v>
      </c>
      <c r="F130" s="180">
        <f t="shared" si="94"/>
        <v>0</v>
      </c>
      <c r="G130" s="102"/>
      <c r="H130" s="181">
        <f>IFERROR(INDEX(inbound_data[],MATCH(G130,Source,0),6),0)</f>
        <v>0</v>
      </c>
      <c r="I130" s="182">
        <f t="shared" si="95"/>
        <v>0</v>
      </c>
      <c r="J130" s="183">
        <f t="shared" si="96"/>
        <v>0</v>
      </c>
      <c r="K130" s="184">
        <f t="shared" si="97"/>
        <v>0</v>
      </c>
      <c r="L130" s="185">
        <f t="shared" si="98"/>
        <v>0</v>
      </c>
      <c r="M130" s="182">
        <f t="shared" si="99"/>
        <v>0</v>
      </c>
      <c r="N130" s="183">
        <f t="shared" si="100"/>
        <v>0</v>
      </c>
      <c r="O130" s="186">
        <f t="shared" si="101"/>
        <v>0</v>
      </c>
      <c r="P130" s="186">
        <f t="shared" si="102"/>
        <v>0</v>
      </c>
      <c r="Q130" s="187">
        <f t="shared" si="103"/>
        <v>0</v>
      </c>
      <c r="R130" s="188">
        <f t="shared" si="104"/>
        <v>0</v>
      </c>
      <c r="S130" s="189">
        <f t="shared" si="105"/>
        <v>0</v>
      </c>
      <c r="T130" s="190">
        <f t="shared" si="106"/>
        <v>0</v>
      </c>
    </row>
    <row r="131" spans="1:20" x14ac:dyDescent="0.25">
      <c r="A131" s="103">
        <v>46062</v>
      </c>
      <c r="B131" s="126">
        <f t="shared" si="91"/>
        <v>0</v>
      </c>
      <c r="C131" s="102"/>
      <c r="D131" s="179">
        <f t="shared" si="92"/>
        <v>0</v>
      </c>
      <c r="E131" s="179">
        <f t="shared" si="93"/>
        <v>0</v>
      </c>
      <c r="F131" s="180">
        <f t="shared" si="94"/>
        <v>0</v>
      </c>
      <c r="G131" s="102"/>
      <c r="H131" s="181">
        <f>IFERROR(INDEX(inbound_data[],MATCH(G131,Source,0),6),0)</f>
        <v>0</v>
      </c>
      <c r="I131" s="182">
        <f t="shared" si="95"/>
        <v>0</v>
      </c>
      <c r="J131" s="183">
        <f t="shared" si="96"/>
        <v>0</v>
      </c>
      <c r="K131" s="184">
        <f t="shared" si="97"/>
        <v>0</v>
      </c>
      <c r="L131" s="185">
        <f t="shared" si="98"/>
        <v>0</v>
      </c>
      <c r="M131" s="182">
        <f t="shared" si="99"/>
        <v>0</v>
      </c>
      <c r="N131" s="183">
        <f t="shared" si="100"/>
        <v>0</v>
      </c>
      <c r="O131" s="186">
        <f t="shared" si="101"/>
        <v>0</v>
      </c>
      <c r="P131" s="186">
        <f t="shared" si="102"/>
        <v>0</v>
      </c>
      <c r="Q131" s="187">
        <f t="shared" si="103"/>
        <v>0</v>
      </c>
      <c r="R131" s="188">
        <f t="shared" si="104"/>
        <v>0</v>
      </c>
      <c r="S131" s="189">
        <f t="shared" si="105"/>
        <v>0</v>
      </c>
      <c r="T131" s="190">
        <f t="shared" si="106"/>
        <v>0</v>
      </c>
    </row>
    <row r="132" spans="1:20" x14ac:dyDescent="0.25">
      <c r="A132" s="103">
        <v>46063</v>
      </c>
      <c r="B132" s="126">
        <f t="shared" si="91"/>
        <v>0</v>
      </c>
      <c r="C132" s="102"/>
      <c r="D132" s="179">
        <f t="shared" si="92"/>
        <v>0</v>
      </c>
      <c r="E132" s="179">
        <f t="shared" si="93"/>
        <v>0</v>
      </c>
      <c r="F132" s="180">
        <f t="shared" si="94"/>
        <v>0</v>
      </c>
      <c r="G132" s="102"/>
      <c r="H132" s="181">
        <f>IFERROR(INDEX(inbound_data[],MATCH(G132,Source,0),6),0)</f>
        <v>0</v>
      </c>
      <c r="I132" s="182">
        <f t="shared" si="95"/>
        <v>0</v>
      </c>
      <c r="J132" s="183">
        <f t="shared" si="96"/>
        <v>0</v>
      </c>
      <c r="K132" s="184">
        <f t="shared" si="97"/>
        <v>0</v>
      </c>
      <c r="L132" s="185">
        <f t="shared" si="98"/>
        <v>0</v>
      </c>
      <c r="M132" s="182">
        <f t="shared" si="99"/>
        <v>0</v>
      </c>
      <c r="N132" s="183">
        <f t="shared" si="100"/>
        <v>0</v>
      </c>
      <c r="O132" s="186">
        <f t="shared" si="101"/>
        <v>0</v>
      </c>
      <c r="P132" s="186">
        <f t="shared" si="102"/>
        <v>0</v>
      </c>
      <c r="Q132" s="187">
        <f t="shared" si="103"/>
        <v>0</v>
      </c>
      <c r="R132" s="188">
        <f t="shared" si="104"/>
        <v>0</v>
      </c>
      <c r="S132" s="189">
        <f t="shared" si="105"/>
        <v>0</v>
      </c>
      <c r="T132" s="190">
        <f t="shared" si="106"/>
        <v>0</v>
      </c>
    </row>
    <row r="133" spans="1:20" x14ac:dyDescent="0.25">
      <c r="A133" s="103">
        <v>46064</v>
      </c>
      <c r="B133" s="126">
        <f t="shared" si="91"/>
        <v>0</v>
      </c>
      <c r="C133" s="102"/>
      <c r="D133" s="179">
        <f t="shared" si="92"/>
        <v>0</v>
      </c>
      <c r="E133" s="179">
        <f t="shared" si="93"/>
        <v>0</v>
      </c>
      <c r="F133" s="180">
        <f t="shared" si="94"/>
        <v>0</v>
      </c>
      <c r="G133" s="102"/>
      <c r="H133" s="181">
        <f>IFERROR(INDEX(inbound_data[],MATCH(G133,Source,0),6),0)</f>
        <v>0</v>
      </c>
      <c r="I133" s="182">
        <f t="shared" si="95"/>
        <v>0</v>
      </c>
      <c r="J133" s="183">
        <f t="shared" si="96"/>
        <v>0</v>
      </c>
      <c r="K133" s="184">
        <f t="shared" si="97"/>
        <v>0</v>
      </c>
      <c r="L133" s="185">
        <f t="shared" si="98"/>
        <v>0</v>
      </c>
      <c r="M133" s="182">
        <f t="shared" si="99"/>
        <v>0</v>
      </c>
      <c r="N133" s="183">
        <f t="shared" si="100"/>
        <v>0</v>
      </c>
      <c r="O133" s="186">
        <f t="shared" si="101"/>
        <v>0</v>
      </c>
      <c r="P133" s="186">
        <f t="shared" si="102"/>
        <v>0</v>
      </c>
      <c r="Q133" s="187">
        <f t="shared" si="103"/>
        <v>0</v>
      </c>
      <c r="R133" s="188">
        <f t="shared" si="104"/>
        <v>0</v>
      </c>
      <c r="S133" s="189">
        <f t="shared" si="105"/>
        <v>0</v>
      </c>
      <c r="T133" s="190">
        <f t="shared" si="106"/>
        <v>0</v>
      </c>
    </row>
    <row r="134" spans="1:20" x14ac:dyDescent="0.25">
      <c r="A134" s="103">
        <v>46065</v>
      </c>
      <c r="B134" s="126">
        <f t="shared" si="91"/>
        <v>0</v>
      </c>
      <c r="C134" s="102"/>
      <c r="D134" s="179">
        <f t="shared" si="92"/>
        <v>0</v>
      </c>
      <c r="E134" s="179">
        <f t="shared" si="93"/>
        <v>0</v>
      </c>
      <c r="F134" s="180">
        <f t="shared" si="94"/>
        <v>0</v>
      </c>
      <c r="G134" s="102"/>
      <c r="H134" s="181">
        <f>IFERROR(INDEX(inbound_data[],MATCH(G134,Source,0),6),0)</f>
        <v>0</v>
      </c>
      <c r="I134" s="182">
        <f t="shared" si="95"/>
        <v>0</v>
      </c>
      <c r="J134" s="183">
        <f t="shared" si="96"/>
        <v>0</v>
      </c>
      <c r="K134" s="184">
        <f t="shared" si="97"/>
        <v>0</v>
      </c>
      <c r="L134" s="185">
        <f t="shared" si="98"/>
        <v>0</v>
      </c>
      <c r="M134" s="182">
        <f t="shared" si="99"/>
        <v>0</v>
      </c>
      <c r="N134" s="183">
        <f t="shared" si="100"/>
        <v>0</v>
      </c>
      <c r="O134" s="186">
        <f t="shared" si="101"/>
        <v>0</v>
      </c>
      <c r="P134" s="186">
        <f t="shared" si="102"/>
        <v>0</v>
      </c>
      <c r="Q134" s="187">
        <f t="shared" si="103"/>
        <v>0</v>
      </c>
      <c r="R134" s="188">
        <f t="shared" si="104"/>
        <v>0</v>
      </c>
      <c r="S134" s="189">
        <f t="shared" si="105"/>
        <v>0</v>
      </c>
      <c r="T134" s="190">
        <f t="shared" si="106"/>
        <v>0</v>
      </c>
    </row>
    <row r="135" spans="1:20" x14ac:dyDescent="0.25">
      <c r="A135" s="103">
        <v>46066</v>
      </c>
      <c r="B135" s="126">
        <f t="shared" si="91"/>
        <v>0</v>
      </c>
      <c r="C135" s="102"/>
      <c r="D135" s="179">
        <f t="shared" si="92"/>
        <v>0</v>
      </c>
      <c r="E135" s="179">
        <f t="shared" si="93"/>
        <v>0</v>
      </c>
      <c r="F135" s="180">
        <f t="shared" si="94"/>
        <v>0</v>
      </c>
      <c r="G135" s="102"/>
      <c r="H135" s="181">
        <f>IFERROR(INDEX(inbound_data[],MATCH(G135,Source,0),6),0)</f>
        <v>0</v>
      </c>
      <c r="I135" s="182">
        <f t="shared" si="95"/>
        <v>0</v>
      </c>
      <c r="J135" s="183">
        <f t="shared" si="96"/>
        <v>0</v>
      </c>
      <c r="K135" s="184">
        <f t="shared" si="97"/>
        <v>0</v>
      </c>
      <c r="L135" s="185">
        <f t="shared" si="98"/>
        <v>0</v>
      </c>
      <c r="M135" s="182">
        <f t="shared" si="99"/>
        <v>0</v>
      </c>
      <c r="N135" s="183">
        <f t="shared" si="100"/>
        <v>0</v>
      </c>
      <c r="O135" s="186">
        <f t="shared" si="101"/>
        <v>0</v>
      </c>
      <c r="P135" s="186">
        <f t="shared" si="102"/>
        <v>0</v>
      </c>
      <c r="Q135" s="187">
        <f t="shared" si="103"/>
        <v>0</v>
      </c>
      <c r="R135" s="188">
        <f t="shared" si="104"/>
        <v>0</v>
      </c>
      <c r="S135" s="189">
        <f t="shared" si="105"/>
        <v>0</v>
      </c>
      <c r="T135" s="190">
        <f t="shared" si="106"/>
        <v>0</v>
      </c>
    </row>
    <row r="136" spans="1:20" x14ac:dyDescent="0.25">
      <c r="A136" s="103">
        <v>46067</v>
      </c>
      <c r="B136" s="126">
        <f t="shared" si="91"/>
        <v>0</v>
      </c>
      <c r="C136" s="102"/>
      <c r="D136" s="179">
        <f t="shared" si="92"/>
        <v>0</v>
      </c>
      <c r="E136" s="179">
        <f t="shared" si="93"/>
        <v>0</v>
      </c>
      <c r="F136" s="180">
        <f t="shared" si="94"/>
        <v>0</v>
      </c>
      <c r="G136" s="102"/>
      <c r="H136" s="181">
        <f>IFERROR(INDEX(inbound_data[],MATCH(G136,Source,0),6),0)</f>
        <v>0</v>
      </c>
      <c r="I136" s="182">
        <f t="shared" si="95"/>
        <v>0</v>
      </c>
      <c r="J136" s="183">
        <f t="shared" si="96"/>
        <v>0</v>
      </c>
      <c r="K136" s="184">
        <f t="shared" si="97"/>
        <v>0</v>
      </c>
      <c r="L136" s="185">
        <f t="shared" si="98"/>
        <v>0</v>
      </c>
      <c r="M136" s="182">
        <f t="shared" si="99"/>
        <v>0</v>
      </c>
      <c r="N136" s="183">
        <f t="shared" si="100"/>
        <v>0</v>
      </c>
      <c r="O136" s="186">
        <f t="shared" si="101"/>
        <v>0</v>
      </c>
      <c r="P136" s="186">
        <f t="shared" si="102"/>
        <v>0</v>
      </c>
      <c r="Q136" s="187">
        <f t="shared" si="103"/>
        <v>0</v>
      </c>
      <c r="R136" s="188">
        <f t="shared" si="104"/>
        <v>0</v>
      </c>
      <c r="S136" s="189">
        <f t="shared" si="105"/>
        <v>0</v>
      </c>
      <c r="T136" s="190">
        <f t="shared" si="106"/>
        <v>0</v>
      </c>
    </row>
    <row r="137" spans="1:20" x14ac:dyDescent="0.25">
      <c r="A137" s="103">
        <v>46068</v>
      </c>
      <c r="B137" s="126">
        <f t="shared" si="91"/>
        <v>0</v>
      </c>
      <c r="C137" s="102"/>
      <c r="D137" s="179">
        <f t="shared" si="92"/>
        <v>0</v>
      </c>
      <c r="E137" s="179">
        <f t="shared" si="93"/>
        <v>0</v>
      </c>
      <c r="F137" s="180">
        <f t="shared" si="94"/>
        <v>0</v>
      </c>
      <c r="G137" s="102"/>
      <c r="H137" s="181">
        <f>IFERROR(INDEX(inbound_data[],MATCH(G137,Source,0),6),0)</f>
        <v>0</v>
      </c>
      <c r="I137" s="182">
        <f t="shared" si="95"/>
        <v>0</v>
      </c>
      <c r="J137" s="183">
        <f t="shared" si="96"/>
        <v>0</v>
      </c>
      <c r="K137" s="184">
        <f t="shared" si="97"/>
        <v>0</v>
      </c>
      <c r="L137" s="185">
        <f t="shared" si="98"/>
        <v>0</v>
      </c>
      <c r="M137" s="182">
        <f t="shared" si="99"/>
        <v>0</v>
      </c>
      <c r="N137" s="183">
        <f t="shared" si="100"/>
        <v>0</v>
      </c>
      <c r="O137" s="186">
        <f t="shared" si="101"/>
        <v>0</v>
      </c>
      <c r="P137" s="186">
        <f t="shared" si="102"/>
        <v>0</v>
      </c>
      <c r="Q137" s="187">
        <f t="shared" si="103"/>
        <v>0</v>
      </c>
      <c r="R137" s="188">
        <f t="shared" si="104"/>
        <v>0</v>
      </c>
      <c r="S137" s="189">
        <f t="shared" si="105"/>
        <v>0</v>
      </c>
      <c r="T137" s="190">
        <f t="shared" si="106"/>
        <v>0</v>
      </c>
    </row>
    <row r="138" spans="1:20" x14ac:dyDescent="0.25">
      <c r="A138" s="103">
        <v>46069</v>
      </c>
      <c r="B138" s="126">
        <f t="shared" si="91"/>
        <v>0</v>
      </c>
      <c r="C138" s="102"/>
      <c r="D138" s="179">
        <f t="shared" si="92"/>
        <v>0</v>
      </c>
      <c r="E138" s="179">
        <f t="shared" si="93"/>
        <v>0</v>
      </c>
      <c r="F138" s="180">
        <f t="shared" si="94"/>
        <v>0</v>
      </c>
      <c r="G138" s="102"/>
      <c r="H138" s="181">
        <f>IFERROR(INDEX(inbound_data[],MATCH(G138,Source,0),6),0)</f>
        <v>0</v>
      </c>
      <c r="I138" s="182">
        <f t="shared" si="95"/>
        <v>0</v>
      </c>
      <c r="J138" s="183">
        <f t="shared" si="96"/>
        <v>0</v>
      </c>
      <c r="K138" s="184">
        <f t="shared" si="97"/>
        <v>0</v>
      </c>
      <c r="L138" s="185">
        <f t="shared" si="98"/>
        <v>0</v>
      </c>
      <c r="M138" s="182">
        <f t="shared" si="99"/>
        <v>0</v>
      </c>
      <c r="N138" s="183">
        <f t="shared" si="100"/>
        <v>0</v>
      </c>
      <c r="O138" s="186">
        <f t="shared" si="101"/>
        <v>0</v>
      </c>
      <c r="P138" s="186">
        <f t="shared" si="102"/>
        <v>0</v>
      </c>
      <c r="Q138" s="187">
        <f t="shared" si="103"/>
        <v>0</v>
      </c>
      <c r="R138" s="188">
        <f t="shared" si="104"/>
        <v>0</v>
      </c>
      <c r="S138" s="189">
        <f t="shared" si="105"/>
        <v>0</v>
      </c>
      <c r="T138" s="190">
        <f t="shared" si="106"/>
        <v>0</v>
      </c>
    </row>
    <row r="139" spans="1:20" x14ac:dyDescent="0.25">
      <c r="A139" s="103">
        <v>46070</v>
      </c>
      <c r="B139" s="126">
        <f t="shared" si="91"/>
        <v>0</v>
      </c>
      <c r="C139" s="102"/>
      <c r="D139" s="179">
        <f t="shared" si="92"/>
        <v>0</v>
      </c>
      <c r="E139" s="179">
        <f t="shared" si="93"/>
        <v>0</v>
      </c>
      <c r="F139" s="180">
        <f t="shared" si="94"/>
        <v>0</v>
      </c>
      <c r="G139" s="102"/>
      <c r="H139" s="181">
        <f>IFERROR(INDEX(inbound_data[],MATCH(G139,Source,0),6),0)</f>
        <v>0</v>
      </c>
      <c r="I139" s="182">
        <f t="shared" si="95"/>
        <v>0</v>
      </c>
      <c r="J139" s="183">
        <f t="shared" si="96"/>
        <v>0</v>
      </c>
      <c r="K139" s="184">
        <f t="shared" si="97"/>
        <v>0</v>
      </c>
      <c r="L139" s="185">
        <f t="shared" si="98"/>
        <v>0</v>
      </c>
      <c r="M139" s="182">
        <f t="shared" si="99"/>
        <v>0</v>
      </c>
      <c r="N139" s="183">
        <f t="shared" si="100"/>
        <v>0</v>
      </c>
      <c r="O139" s="186">
        <f t="shared" si="101"/>
        <v>0</v>
      </c>
      <c r="P139" s="186">
        <f t="shared" si="102"/>
        <v>0</v>
      </c>
      <c r="Q139" s="187">
        <f t="shared" si="103"/>
        <v>0</v>
      </c>
      <c r="R139" s="188">
        <f t="shared" si="104"/>
        <v>0</v>
      </c>
      <c r="S139" s="189">
        <f t="shared" si="105"/>
        <v>0</v>
      </c>
      <c r="T139" s="190">
        <f t="shared" si="106"/>
        <v>0</v>
      </c>
    </row>
    <row r="140" spans="1:20" x14ac:dyDescent="0.25">
      <c r="A140" s="103">
        <v>46071</v>
      </c>
      <c r="B140" s="126">
        <f t="shared" si="91"/>
        <v>0</v>
      </c>
      <c r="C140" s="102"/>
      <c r="D140" s="179">
        <f t="shared" si="92"/>
        <v>0</v>
      </c>
      <c r="E140" s="179">
        <f t="shared" si="93"/>
        <v>0</v>
      </c>
      <c r="F140" s="180">
        <f t="shared" si="94"/>
        <v>0</v>
      </c>
      <c r="G140" s="102"/>
      <c r="H140" s="181">
        <f>IFERROR(INDEX(inbound_data[],MATCH(G140,Source,0),6),0)</f>
        <v>0</v>
      </c>
      <c r="I140" s="182">
        <f t="shared" si="95"/>
        <v>0</v>
      </c>
      <c r="J140" s="183">
        <f t="shared" si="96"/>
        <v>0</v>
      </c>
      <c r="K140" s="184">
        <f t="shared" si="97"/>
        <v>0</v>
      </c>
      <c r="L140" s="185">
        <f t="shared" si="98"/>
        <v>0</v>
      </c>
      <c r="M140" s="182">
        <f t="shared" si="99"/>
        <v>0</v>
      </c>
      <c r="N140" s="183">
        <f t="shared" si="100"/>
        <v>0</v>
      </c>
      <c r="O140" s="186">
        <f t="shared" si="101"/>
        <v>0</v>
      </c>
      <c r="P140" s="186">
        <f t="shared" si="102"/>
        <v>0</v>
      </c>
      <c r="Q140" s="187">
        <f t="shared" si="103"/>
        <v>0</v>
      </c>
      <c r="R140" s="188">
        <f t="shared" si="104"/>
        <v>0</v>
      </c>
      <c r="S140" s="189">
        <f t="shared" si="105"/>
        <v>0</v>
      </c>
      <c r="T140" s="190">
        <f t="shared" si="106"/>
        <v>0</v>
      </c>
    </row>
    <row r="141" spans="1:20" x14ac:dyDescent="0.25">
      <c r="A141" s="103">
        <v>46072</v>
      </c>
      <c r="B141" s="126">
        <f t="shared" si="91"/>
        <v>0</v>
      </c>
      <c r="C141" s="102"/>
      <c r="D141" s="179">
        <f t="shared" si="92"/>
        <v>0</v>
      </c>
      <c r="E141" s="179">
        <f t="shared" si="93"/>
        <v>0</v>
      </c>
      <c r="F141" s="180">
        <f t="shared" si="94"/>
        <v>0</v>
      </c>
      <c r="G141" s="102"/>
      <c r="H141" s="181">
        <f>IFERROR(INDEX(inbound_data[],MATCH(G141,Source,0),6),0)</f>
        <v>0</v>
      </c>
      <c r="I141" s="182">
        <f t="shared" si="95"/>
        <v>0</v>
      </c>
      <c r="J141" s="183">
        <f t="shared" si="96"/>
        <v>0</v>
      </c>
      <c r="K141" s="184">
        <f t="shared" si="97"/>
        <v>0</v>
      </c>
      <c r="L141" s="185">
        <f t="shared" si="98"/>
        <v>0</v>
      </c>
      <c r="M141" s="182">
        <f t="shared" si="99"/>
        <v>0</v>
      </c>
      <c r="N141" s="183">
        <f t="shared" si="100"/>
        <v>0</v>
      </c>
      <c r="O141" s="186">
        <f t="shared" si="101"/>
        <v>0</v>
      </c>
      <c r="P141" s="186">
        <f t="shared" si="102"/>
        <v>0</v>
      </c>
      <c r="Q141" s="187">
        <f t="shared" si="103"/>
        <v>0</v>
      </c>
      <c r="R141" s="188">
        <f t="shared" si="104"/>
        <v>0</v>
      </c>
      <c r="S141" s="189">
        <f t="shared" si="105"/>
        <v>0</v>
      </c>
      <c r="T141" s="190">
        <f t="shared" si="106"/>
        <v>0</v>
      </c>
    </row>
    <row r="142" spans="1:20" x14ac:dyDescent="0.25">
      <c r="A142" s="103">
        <v>46073</v>
      </c>
      <c r="B142" s="126">
        <f t="shared" si="91"/>
        <v>0</v>
      </c>
      <c r="C142" s="102"/>
      <c r="D142" s="179">
        <f t="shared" si="92"/>
        <v>0</v>
      </c>
      <c r="E142" s="179">
        <f t="shared" si="93"/>
        <v>0</v>
      </c>
      <c r="F142" s="180">
        <f t="shared" si="94"/>
        <v>0</v>
      </c>
      <c r="G142" s="102"/>
      <c r="H142" s="181">
        <f>IFERROR(INDEX(inbound_data[],MATCH(G142,Source,0),6),0)</f>
        <v>0</v>
      </c>
      <c r="I142" s="182">
        <f t="shared" si="95"/>
        <v>0</v>
      </c>
      <c r="J142" s="183">
        <f t="shared" si="96"/>
        <v>0</v>
      </c>
      <c r="K142" s="184">
        <f t="shared" si="97"/>
        <v>0</v>
      </c>
      <c r="L142" s="185">
        <f t="shared" si="98"/>
        <v>0</v>
      </c>
      <c r="M142" s="182">
        <f t="shared" si="99"/>
        <v>0</v>
      </c>
      <c r="N142" s="183">
        <f t="shared" si="100"/>
        <v>0</v>
      </c>
      <c r="O142" s="186">
        <f t="shared" si="101"/>
        <v>0</v>
      </c>
      <c r="P142" s="186">
        <f t="shared" si="102"/>
        <v>0</v>
      </c>
      <c r="Q142" s="187">
        <f t="shared" si="103"/>
        <v>0</v>
      </c>
      <c r="R142" s="188">
        <f t="shared" si="104"/>
        <v>0</v>
      </c>
      <c r="S142" s="189">
        <f t="shared" si="105"/>
        <v>0</v>
      </c>
      <c r="T142" s="190">
        <f t="shared" si="106"/>
        <v>0</v>
      </c>
    </row>
    <row r="143" spans="1:20" x14ac:dyDescent="0.25">
      <c r="A143" s="103">
        <v>46074</v>
      </c>
      <c r="B143" s="126">
        <f t="shared" si="91"/>
        <v>0</v>
      </c>
      <c r="C143" s="102"/>
      <c r="D143" s="179">
        <f t="shared" si="92"/>
        <v>0</v>
      </c>
      <c r="E143" s="179">
        <f t="shared" si="93"/>
        <v>0</v>
      </c>
      <c r="F143" s="180">
        <f t="shared" si="94"/>
        <v>0</v>
      </c>
      <c r="G143" s="102"/>
      <c r="H143" s="181">
        <f>IFERROR(INDEX(inbound_data[],MATCH(G143,Source,0),6),0)</f>
        <v>0</v>
      </c>
      <c r="I143" s="182">
        <f t="shared" si="95"/>
        <v>0</v>
      </c>
      <c r="J143" s="183">
        <f t="shared" si="96"/>
        <v>0</v>
      </c>
      <c r="K143" s="184">
        <f t="shared" si="97"/>
        <v>0</v>
      </c>
      <c r="L143" s="185">
        <f t="shared" si="98"/>
        <v>0</v>
      </c>
      <c r="M143" s="182">
        <f t="shared" si="99"/>
        <v>0</v>
      </c>
      <c r="N143" s="183">
        <f t="shared" si="100"/>
        <v>0</v>
      </c>
      <c r="O143" s="186">
        <f t="shared" si="101"/>
        <v>0</v>
      </c>
      <c r="P143" s="186">
        <f t="shared" si="102"/>
        <v>0</v>
      </c>
      <c r="Q143" s="187">
        <f t="shared" si="103"/>
        <v>0</v>
      </c>
      <c r="R143" s="188">
        <f t="shared" si="104"/>
        <v>0</v>
      </c>
      <c r="S143" s="189">
        <f t="shared" si="105"/>
        <v>0</v>
      </c>
      <c r="T143" s="190">
        <f t="shared" si="106"/>
        <v>0</v>
      </c>
    </row>
    <row r="144" spans="1:20" x14ac:dyDescent="0.25">
      <c r="A144" s="103">
        <v>46075</v>
      </c>
      <c r="B144" s="126">
        <f t="shared" si="91"/>
        <v>0</v>
      </c>
      <c r="C144" s="102"/>
      <c r="D144" s="179">
        <f t="shared" si="92"/>
        <v>0</v>
      </c>
      <c r="E144" s="179">
        <f t="shared" si="93"/>
        <v>0</v>
      </c>
      <c r="F144" s="180">
        <f t="shared" si="94"/>
        <v>0</v>
      </c>
      <c r="G144" s="102"/>
      <c r="H144" s="181">
        <f>IFERROR(INDEX(inbound_data[],MATCH(G144,Source,0),6),0)</f>
        <v>0</v>
      </c>
      <c r="I144" s="182">
        <f t="shared" si="95"/>
        <v>0</v>
      </c>
      <c r="J144" s="183">
        <f t="shared" si="96"/>
        <v>0</v>
      </c>
      <c r="K144" s="184">
        <f t="shared" si="97"/>
        <v>0</v>
      </c>
      <c r="L144" s="185">
        <f t="shared" si="98"/>
        <v>0</v>
      </c>
      <c r="M144" s="182">
        <f t="shared" si="99"/>
        <v>0</v>
      </c>
      <c r="N144" s="183">
        <f t="shared" si="100"/>
        <v>0</v>
      </c>
      <c r="O144" s="186">
        <f t="shared" si="101"/>
        <v>0</v>
      </c>
      <c r="P144" s="186">
        <f t="shared" si="102"/>
        <v>0</v>
      </c>
      <c r="Q144" s="187">
        <f t="shared" si="103"/>
        <v>0</v>
      </c>
      <c r="R144" s="188">
        <f t="shared" si="104"/>
        <v>0</v>
      </c>
      <c r="S144" s="189">
        <f t="shared" si="105"/>
        <v>0</v>
      </c>
      <c r="T144" s="190">
        <f t="shared" si="106"/>
        <v>0</v>
      </c>
    </row>
    <row r="145" spans="1:20" x14ac:dyDescent="0.25">
      <c r="A145" s="103">
        <v>46076</v>
      </c>
      <c r="B145" s="126">
        <f t="shared" si="91"/>
        <v>0</v>
      </c>
      <c r="C145" s="102"/>
      <c r="D145" s="179">
        <f t="shared" si="92"/>
        <v>0</v>
      </c>
      <c r="E145" s="179">
        <f t="shared" si="93"/>
        <v>0</v>
      </c>
      <c r="F145" s="180">
        <f t="shared" si="94"/>
        <v>0</v>
      </c>
      <c r="G145" s="102"/>
      <c r="H145" s="181">
        <f>IFERROR(INDEX(inbound_data[],MATCH(G145,Source,0),6),0)</f>
        <v>0</v>
      </c>
      <c r="I145" s="182">
        <f t="shared" si="95"/>
        <v>0</v>
      </c>
      <c r="J145" s="183">
        <f t="shared" si="96"/>
        <v>0</v>
      </c>
      <c r="K145" s="184">
        <f t="shared" si="97"/>
        <v>0</v>
      </c>
      <c r="L145" s="185">
        <f t="shared" si="98"/>
        <v>0</v>
      </c>
      <c r="M145" s="182">
        <f t="shared" si="99"/>
        <v>0</v>
      </c>
      <c r="N145" s="183">
        <f t="shared" si="100"/>
        <v>0</v>
      </c>
      <c r="O145" s="186">
        <f t="shared" si="101"/>
        <v>0</v>
      </c>
      <c r="P145" s="186">
        <f t="shared" si="102"/>
        <v>0</v>
      </c>
      <c r="Q145" s="187">
        <f t="shared" si="103"/>
        <v>0</v>
      </c>
      <c r="R145" s="188">
        <f t="shared" si="104"/>
        <v>0</v>
      </c>
      <c r="S145" s="189">
        <f t="shared" si="105"/>
        <v>0</v>
      </c>
      <c r="T145" s="190">
        <f t="shared" si="106"/>
        <v>0</v>
      </c>
    </row>
    <row r="146" spans="1:20" x14ac:dyDescent="0.25">
      <c r="A146" s="103">
        <v>46077</v>
      </c>
      <c r="B146" s="126">
        <f t="shared" si="91"/>
        <v>0</v>
      </c>
      <c r="C146" s="102"/>
      <c r="D146" s="179">
        <f t="shared" si="92"/>
        <v>0</v>
      </c>
      <c r="E146" s="179">
        <f t="shared" si="93"/>
        <v>0</v>
      </c>
      <c r="F146" s="180">
        <f t="shared" si="94"/>
        <v>0</v>
      </c>
      <c r="G146" s="102"/>
      <c r="H146" s="181">
        <f>IFERROR(INDEX(inbound_data[],MATCH(G146,Source,0),6),0)</f>
        <v>0</v>
      </c>
      <c r="I146" s="182">
        <f t="shared" si="95"/>
        <v>0</v>
      </c>
      <c r="J146" s="183">
        <f t="shared" si="96"/>
        <v>0</v>
      </c>
      <c r="K146" s="184">
        <f t="shared" si="97"/>
        <v>0</v>
      </c>
      <c r="L146" s="185">
        <f t="shared" si="98"/>
        <v>0</v>
      </c>
      <c r="M146" s="182">
        <f t="shared" si="99"/>
        <v>0</v>
      </c>
      <c r="N146" s="183">
        <f t="shared" si="100"/>
        <v>0</v>
      </c>
      <c r="O146" s="186">
        <f t="shared" si="101"/>
        <v>0</v>
      </c>
      <c r="P146" s="186">
        <f t="shared" si="102"/>
        <v>0</v>
      </c>
      <c r="Q146" s="187">
        <f t="shared" si="103"/>
        <v>0</v>
      </c>
      <c r="R146" s="188">
        <f t="shared" si="104"/>
        <v>0</v>
      </c>
      <c r="S146" s="189">
        <f t="shared" si="105"/>
        <v>0</v>
      </c>
      <c r="T146" s="190">
        <f t="shared" si="106"/>
        <v>0</v>
      </c>
    </row>
    <row r="147" spans="1:20" x14ac:dyDescent="0.25">
      <c r="A147" s="103">
        <v>46078</v>
      </c>
      <c r="B147" s="126">
        <f t="shared" si="91"/>
        <v>0</v>
      </c>
      <c r="C147" s="102"/>
      <c r="D147" s="179">
        <f t="shared" si="92"/>
        <v>0</v>
      </c>
      <c r="E147" s="179">
        <f t="shared" si="93"/>
        <v>0</v>
      </c>
      <c r="F147" s="180">
        <f t="shared" si="94"/>
        <v>0</v>
      </c>
      <c r="G147" s="102"/>
      <c r="H147" s="181">
        <f>IFERROR(INDEX(inbound_data[],MATCH(G147,Source,0),6),0)</f>
        <v>0</v>
      </c>
      <c r="I147" s="182">
        <f t="shared" si="95"/>
        <v>0</v>
      </c>
      <c r="J147" s="183">
        <f t="shared" si="96"/>
        <v>0</v>
      </c>
      <c r="K147" s="184">
        <f t="shared" si="97"/>
        <v>0</v>
      </c>
      <c r="L147" s="185">
        <f t="shared" si="98"/>
        <v>0</v>
      </c>
      <c r="M147" s="182">
        <f t="shared" si="99"/>
        <v>0</v>
      </c>
      <c r="N147" s="183">
        <f t="shared" si="100"/>
        <v>0</v>
      </c>
      <c r="O147" s="186">
        <f t="shared" si="101"/>
        <v>0</v>
      </c>
      <c r="P147" s="186">
        <f t="shared" si="102"/>
        <v>0</v>
      </c>
      <c r="Q147" s="187">
        <f t="shared" si="103"/>
        <v>0</v>
      </c>
      <c r="R147" s="188">
        <f t="shared" si="104"/>
        <v>0</v>
      </c>
      <c r="S147" s="189">
        <f t="shared" si="105"/>
        <v>0</v>
      </c>
      <c r="T147" s="190">
        <f t="shared" si="106"/>
        <v>0</v>
      </c>
    </row>
    <row r="148" spans="1:20" x14ac:dyDescent="0.25">
      <c r="A148" s="103">
        <v>46079</v>
      </c>
      <c r="B148" s="126">
        <f t="shared" si="91"/>
        <v>0</v>
      </c>
      <c r="C148" s="102"/>
      <c r="D148" s="179">
        <f t="shared" si="92"/>
        <v>0</v>
      </c>
      <c r="E148" s="179">
        <f t="shared" si="93"/>
        <v>0</v>
      </c>
      <c r="F148" s="180">
        <f t="shared" si="94"/>
        <v>0</v>
      </c>
      <c r="G148" s="102"/>
      <c r="H148" s="181">
        <f>IFERROR(INDEX(inbound_data[],MATCH(G148,Source,0),6),0)</f>
        <v>0</v>
      </c>
      <c r="I148" s="182">
        <f t="shared" si="95"/>
        <v>0</v>
      </c>
      <c r="J148" s="183">
        <f t="shared" si="96"/>
        <v>0</v>
      </c>
      <c r="K148" s="184">
        <f t="shared" si="97"/>
        <v>0</v>
      </c>
      <c r="L148" s="185">
        <f t="shared" si="98"/>
        <v>0</v>
      </c>
      <c r="M148" s="182">
        <f t="shared" si="99"/>
        <v>0</v>
      </c>
      <c r="N148" s="183">
        <f t="shared" si="100"/>
        <v>0</v>
      </c>
      <c r="O148" s="186">
        <f t="shared" si="101"/>
        <v>0</v>
      </c>
      <c r="P148" s="186">
        <f t="shared" si="102"/>
        <v>0</v>
      </c>
      <c r="Q148" s="187">
        <f t="shared" si="103"/>
        <v>0</v>
      </c>
      <c r="R148" s="188">
        <f t="shared" si="104"/>
        <v>0</v>
      </c>
      <c r="S148" s="189">
        <f t="shared" si="105"/>
        <v>0</v>
      </c>
      <c r="T148" s="190">
        <f t="shared" si="106"/>
        <v>0</v>
      </c>
    </row>
    <row r="149" spans="1:20" x14ac:dyDescent="0.25">
      <c r="A149" s="103">
        <v>46080</v>
      </c>
      <c r="B149" s="126">
        <f t="shared" si="91"/>
        <v>0</v>
      </c>
      <c r="C149" s="102"/>
      <c r="D149" s="179">
        <f t="shared" si="92"/>
        <v>0</v>
      </c>
      <c r="E149" s="179">
        <f t="shared" si="93"/>
        <v>0</v>
      </c>
      <c r="F149" s="180">
        <f t="shared" si="94"/>
        <v>0</v>
      </c>
      <c r="G149" s="102"/>
      <c r="H149" s="181">
        <f>IFERROR(INDEX(inbound_data[],MATCH(G149,Source,0),6),0)</f>
        <v>0</v>
      </c>
      <c r="I149" s="182">
        <f t="shared" si="95"/>
        <v>0</v>
      </c>
      <c r="J149" s="183">
        <f t="shared" si="96"/>
        <v>0</v>
      </c>
      <c r="K149" s="184">
        <f t="shared" si="97"/>
        <v>0</v>
      </c>
      <c r="L149" s="185">
        <f t="shared" si="98"/>
        <v>0</v>
      </c>
      <c r="M149" s="182">
        <f t="shared" si="99"/>
        <v>0</v>
      </c>
      <c r="N149" s="183">
        <f t="shared" si="100"/>
        <v>0</v>
      </c>
      <c r="O149" s="186">
        <f t="shared" si="101"/>
        <v>0</v>
      </c>
      <c r="P149" s="186">
        <f t="shared" si="102"/>
        <v>0</v>
      </c>
      <c r="Q149" s="187">
        <f t="shared" si="103"/>
        <v>0</v>
      </c>
      <c r="R149" s="188">
        <f t="shared" si="104"/>
        <v>0</v>
      </c>
      <c r="S149" s="189">
        <f t="shared" si="105"/>
        <v>0</v>
      </c>
      <c r="T149" s="190">
        <f t="shared" si="106"/>
        <v>0</v>
      </c>
    </row>
    <row r="150" spans="1:20" x14ac:dyDescent="0.25">
      <c r="A150" s="191">
        <v>46081</v>
      </c>
      <c r="B150" s="192">
        <f t="shared" si="91"/>
        <v>0</v>
      </c>
      <c r="C150" s="193"/>
      <c r="D150" s="205">
        <f t="shared" si="92"/>
        <v>0</v>
      </c>
      <c r="E150" s="205">
        <f t="shared" si="93"/>
        <v>0</v>
      </c>
      <c r="F150" s="206">
        <f t="shared" si="94"/>
        <v>0</v>
      </c>
      <c r="G150" s="193"/>
      <c r="H150" s="207">
        <f>IFERROR(INDEX(inbound_data[],MATCH(G150,Source,0),6),0)</f>
        <v>0</v>
      </c>
      <c r="I150" s="208">
        <f t="shared" si="95"/>
        <v>0</v>
      </c>
      <c r="J150" s="206">
        <f t="shared" si="96"/>
        <v>0</v>
      </c>
      <c r="K150" s="209">
        <f t="shared" si="97"/>
        <v>0</v>
      </c>
      <c r="L150" s="205">
        <f t="shared" si="98"/>
        <v>0</v>
      </c>
      <c r="M150" s="208">
        <f t="shared" si="99"/>
        <v>0</v>
      </c>
      <c r="N150" s="206">
        <f t="shared" si="100"/>
        <v>0</v>
      </c>
      <c r="O150" s="209">
        <f t="shared" si="101"/>
        <v>0</v>
      </c>
      <c r="P150" s="209">
        <f t="shared" si="102"/>
        <v>0</v>
      </c>
      <c r="Q150" s="208">
        <f t="shared" si="103"/>
        <v>0</v>
      </c>
      <c r="R150" s="210">
        <f t="shared" si="104"/>
        <v>0</v>
      </c>
      <c r="S150" s="211">
        <f t="shared" si="105"/>
        <v>0</v>
      </c>
      <c r="T150" s="212">
        <f t="shared" si="106"/>
        <v>0</v>
      </c>
    </row>
    <row r="151" spans="1:20" x14ac:dyDescent="0.25">
      <c r="A151" s="103">
        <v>46082</v>
      </c>
      <c r="B151" s="126">
        <f t="shared" si="91"/>
        <v>0</v>
      </c>
      <c r="C151" s="102"/>
      <c r="D151" s="179">
        <f t="shared" si="92"/>
        <v>0</v>
      </c>
      <c r="E151" s="179">
        <f t="shared" si="93"/>
        <v>0</v>
      </c>
      <c r="F151" s="180">
        <f t="shared" si="94"/>
        <v>0</v>
      </c>
      <c r="G151" s="102"/>
      <c r="H151" s="181">
        <f>IFERROR(INDEX(inbound_data[],MATCH(G151,Source,0),6),0)</f>
        <v>0</v>
      </c>
      <c r="I151" s="182">
        <f t="shared" si="95"/>
        <v>0</v>
      </c>
      <c r="J151" s="183">
        <f t="shared" si="96"/>
        <v>0</v>
      </c>
      <c r="K151" s="184">
        <f t="shared" si="97"/>
        <v>0</v>
      </c>
      <c r="L151" s="185">
        <f t="shared" si="98"/>
        <v>0</v>
      </c>
      <c r="M151" s="182">
        <f t="shared" si="99"/>
        <v>0</v>
      </c>
      <c r="N151" s="183">
        <f t="shared" si="100"/>
        <v>0</v>
      </c>
      <c r="O151" s="186">
        <f t="shared" si="101"/>
        <v>0</v>
      </c>
      <c r="P151" s="186">
        <f t="shared" si="102"/>
        <v>0</v>
      </c>
      <c r="Q151" s="187">
        <f t="shared" si="103"/>
        <v>0</v>
      </c>
      <c r="R151" s="188">
        <f t="shared" si="104"/>
        <v>0</v>
      </c>
      <c r="S151" s="189">
        <f t="shared" si="105"/>
        <v>0</v>
      </c>
      <c r="T151" s="190">
        <f t="shared" si="106"/>
        <v>0</v>
      </c>
    </row>
    <row r="152" spans="1:20" x14ac:dyDescent="0.25">
      <c r="A152" s="103">
        <v>46083</v>
      </c>
      <c r="B152" s="126">
        <f t="shared" si="91"/>
        <v>0</v>
      </c>
      <c r="C152" s="102"/>
      <c r="D152" s="179">
        <f t="shared" si="92"/>
        <v>0</v>
      </c>
      <c r="E152" s="179">
        <f t="shared" si="93"/>
        <v>0</v>
      </c>
      <c r="F152" s="180">
        <f t="shared" si="94"/>
        <v>0</v>
      </c>
      <c r="G152" s="102"/>
      <c r="H152" s="181">
        <f>IFERROR(INDEX(inbound_data[],MATCH(G152,Source,0),6),0)</f>
        <v>0</v>
      </c>
      <c r="I152" s="182">
        <f t="shared" si="95"/>
        <v>0</v>
      </c>
      <c r="J152" s="183">
        <f t="shared" si="96"/>
        <v>0</v>
      </c>
      <c r="K152" s="184">
        <f t="shared" si="97"/>
        <v>0</v>
      </c>
      <c r="L152" s="185">
        <f t="shared" si="98"/>
        <v>0</v>
      </c>
      <c r="M152" s="182">
        <f t="shared" si="99"/>
        <v>0</v>
      </c>
      <c r="N152" s="183">
        <f t="shared" si="100"/>
        <v>0</v>
      </c>
      <c r="O152" s="186">
        <f t="shared" si="101"/>
        <v>0</v>
      </c>
      <c r="P152" s="186">
        <f t="shared" si="102"/>
        <v>0</v>
      </c>
      <c r="Q152" s="187">
        <f t="shared" si="103"/>
        <v>0</v>
      </c>
      <c r="R152" s="188">
        <f t="shared" si="104"/>
        <v>0</v>
      </c>
      <c r="S152" s="189">
        <f t="shared" si="105"/>
        <v>0</v>
      </c>
      <c r="T152" s="190">
        <f t="shared" si="106"/>
        <v>0</v>
      </c>
    </row>
    <row r="153" spans="1:20" x14ac:dyDescent="0.25">
      <c r="A153" s="103">
        <v>46084</v>
      </c>
      <c r="B153" s="126">
        <f t="shared" si="91"/>
        <v>0</v>
      </c>
      <c r="C153" s="102"/>
      <c r="D153" s="179">
        <f t="shared" si="92"/>
        <v>0</v>
      </c>
      <c r="E153" s="179">
        <f t="shared" si="93"/>
        <v>0</v>
      </c>
      <c r="F153" s="180">
        <f t="shared" si="94"/>
        <v>0</v>
      </c>
      <c r="G153" s="102"/>
      <c r="H153" s="181">
        <f>IFERROR(INDEX(inbound_data[],MATCH(G153,Source,0),6),0)</f>
        <v>0</v>
      </c>
      <c r="I153" s="182">
        <f t="shared" si="95"/>
        <v>0</v>
      </c>
      <c r="J153" s="183">
        <f t="shared" si="96"/>
        <v>0</v>
      </c>
      <c r="K153" s="184">
        <f t="shared" si="97"/>
        <v>0</v>
      </c>
      <c r="L153" s="185">
        <f t="shared" si="98"/>
        <v>0</v>
      </c>
      <c r="M153" s="182">
        <f t="shared" si="99"/>
        <v>0</v>
      </c>
      <c r="N153" s="183">
        <f t="shared" si="100"/>
        <v>0</v>
      </c>
      <c r="O153" s="186">
        <f t="shared" si="101"/>
        <v>0</v>
      </c>
      <c r="P153" s="186">
        <f t="shared" si="102"/>
        <v>0</v>
      </c>
      <c r="Q153" s="187">
        <f t="shared" si="103"/>
        <v>0</v>
      </c>
      <c r="R153" s="188">
        <f t="shared" si="104"/>
        <v>0</v>
      </c>
      <c r="S153" s="189">
        <f t="shared" si="105"/>
        <v>0</v>
      </c>
      <c r="T153" s="190">
        <f t="shared" si="106"/>
        <v>0</v>
      </c>
    </row>
    <row r="154" spans="1:20" x14ac:dyDescent="0.25">
      <c r="A154" s="103">
        <v>46085</v>
      </c>
      <c r="B154" s="126">
        <f t="shared" si="91"/>
        <v>0</v>
      </c>
      <c r="C154" s="102"/>
      <c r="D154" s="179">
        <f t="shared" si="92"/>
        <v>0</v>
      </c>
      <c r="E154" s="179">
        <f t="shared" si="93"/>
        <v>0</v>
      </c>
      <c r="F154" s="180">
        <f t="shared" si="94"/>
        <v>0</v>
      </c>
      <c r="G154" s="102"/>
      <c r="H154" s="181">
        <f>IFERROR(INDEX(inbound_data[],MATCH(G154,Source,0),6),0)</f>
        <v>0</v>
      </c>
      <c r="I154" s="182">
        <f t="shared" si="95"/>
        <v>0</v>
      </c>
      <c r="J154" s="183">
        <f t="shared" si="96"/>
        <v>0</v>
      </c>
      <c r="K154" s="184">
        <f t="shared" si="97"/>
        <v>0</v>
      </c>
      <c r="L154" s="185">
        <f t="shared" si="98"/>
        <v>0</v>
      </c>
      <c r="M154" s="182">
        <f t="shared" si="99"/>
        <v>0</v>
      </c>
      <c r="N154" s="183">
        <f t="shared" si="100"/>
        <v>0</v>
      </c>
      <c r="O154" s="186">
        <f t="shared" si="101"/>
        <v>0</v>
      </c>
      <c r="P154" s="186">
        <f t="shared" si="102"/>
        <v>0</v>
      </c>
      <c r="Q154" s="187">
        <f t="shared" si="103"/>
        <v>0</v>
      </c>
      <c r="R154" s="188">
        <f t="shared" si="104"/>
        <v>0</v>
      </c>
      <c r="S154" s="189">
        <f t="shared" si="105"/>
        <v>0</v>
      </c>
      <c r="T154" s="190">
        <f t="shared" si="106"/>
        <v>0</v>
      </c>
    </row>
    <row r="155" spans="1:20" x14ac:dyDescent="0.25">
      <c r="A155" s="103">
        <v>46086</v>
      </c>
      <c r="B155" s="126">
        <f t="shared" si="91"/>
        <v>0</v>
      </c>
      <c r="C155" s="102"/>
      <c r="D155" s="179">
        <f t="shared" si="92"/>
        <v>0</v>
      </c>
      <c r="E155" s="179">
        <f t="shared" si="93"/>
        <v>0</v>
      </c>
      <c r="F155" s="180">
        <f t="shared" si="94"/>
        <v>0</v>
      </c>
      <c r="G155" s="102"/>
      <c r="H155" s="181">
        <f>IFERROR(INDEX(inbound_data[],MATCH(G155,Source,0),6),0)</f>
        <v>0</v>
      </c>
      <c r="I155" s="182">
        <f t="shared" si="95"/>
        <v>0</v>
      </c>
      <c r="J155" s="183">
        <f t="shared" si="96"/>
        <v>0</v>
      </c>
      <c r="K155" s="184">
        <f t="shared" si="97"/>
        <v>0</v>
      </c>
      <c r="L155" s="185">
        <f t="shared" si="98"/>
        <v>0</v>
      </c>
      <c r="M155" s="182">
        <f t="shared" si="99"/>
        <v>0</v>
      </c>
      <c r="N155" s="183">
        <f t="shared" si="100"/>
        <v>0</v>
      </c>
      <c r="O155" s="186">
        <f t="shared" si="101"/>
        <v>0</v>
      </c>
      <c r="P155" s="186">
        <f t="shared" si="102"/>
        <v>0</v>
      </c>
      <c r="Q155" s="187">
        <f t="shared" si="103"/>
        <v>0</v>
      </c>
      <c r="R155" s="188">
        <f t="shared" si="104"/>
        <v>0</v>
      </c>
      <c r="S155" s="189">
        <f t="shared" si="105"/>
        <v>0</v>
      </c>
      <c r="T155" s="190">
        <f t="shared" si="106"/>
        <v>0</v>
      </c>
    </row>
    <row r="156" spans="1:20" x14ac:dyDescent="0.25">
      <c r="A156" s="103">
        <v>46087</v>
      </c>
      <c r="B156" s="126">
        <f t="shared" si="91"/>
        <v>0</v>
      </c>
      <c r="C156" s="102"/>
      <c r="D156" s="179">
        <f t="shared" si="92"/>
        <v>0</v>
      </c>
      <c r="E156" s="179">
        <f t="shared" si="93"/>
        <v>0</v>
      </c>
      <c r="F156" s="180">
        <f t="shared" si="94"/>
        <v>0</v>
      </c>
      <c r="G156" s="102"/>
      <c r="H156" s="181">
        <f>IFERROR(INDEX(inbound_data[],MATCH(G156,Source,0),6),0)</f>
        <v>0</v>
      </c>
      <c r="I156" s="182">
        <f t="shared" si="95"/>
        <v>0</v>
      </c>
      <c r="J156" s="183">
        <f t="shared" si="96"/>
        <v>0</v>
      </c>
      <c r="K156" s="184">
        <f t="shared" si="97"/>
        <v>0</v>
      </c>
      <c r="L156" s="185">
        <f t="shared" si="98"/>
        <v>0</v>
      </c>
      <c r="M156" s="182">
        <f t="shared" si="99"/>
        <v>0</v>
      </c>
      <c r="N156" s="183">
        <f t="shared" si="100"/>
        <v>0</v>
      </c>
      <c r="O156" s="186">
        <f t="shared" si="101"/>
        <v>0</v>
      </c>
      <c r="P156" s="186">
        <f t="shared" si="102"/>
        <v>0</v>
      </c>
      <c r="Q156" s="187">
        <f t="shared" si="103"/>
        <v>0</v>
      </c>
      <c r="R156" s="188">
        <f t="shared" si="104"/>
        <v>0</v>
      </c>
      <c r="S156" s="189">
        <f t="shared" si="105"/>
        <v>0</v>
      </c>
      <c r="T156" s="190">
        <f t="shared" si="106"/>
        <v>0</v>
      </c>
    </row>
    <row r="157" spans="1:20" x14ac:dyDescent="0.25">
      <c r="A157" s="103">
        <v>46088</v>
      </c>
      <c r="B157" s="126">
        <f t="shared" si="91"/>
        <v>0</v>
      </c>
      <c r="C157" s="102"/>
      <c r="D157" s="179">
        <f t="shared" si="92"/>
        <v>0</v>
      </c>
      <c r="E157" s="179">
        <f t="shared" si="93"/>
        <v>0</v>
      </c>
      <c r="F157" s="180">
        <f t="shared" si="94"/>
        <v>0</v>
      </c>
      <c r="G157" s="102"/>
      <c r="H157" s="181">
        <f>IFERROR(INDEX(inbound_data[],MATCH(G157,Source,0),6),0)</f>
        <v>0</v>
      </c>
      <c r="I157" s="182">
        <f t="shared" si="95"/>
        <v>0</v>
      </c>
      <c r="J157" s="183">
        <f t="shared" si="96"/>
        <v>0</v>
      </c>
      <c r="K157" s="184">
        <f t="shared" si="97"/>
        <v>0</v>
      </c>
      <c r="L157" s="185">
        <f t="shared" si="98"/>
        <v>0</v>
      </c>
      <c r="M157" s="182">
        <f t="shared" si="99"/>
        <v>0</v>
      </c>
      <c r="N157" s="183">
        <f t="shared" si="100"/>
        <v>0</v>
      </c>
      <c r="O157" s="186">
        <f t="shared" si="101"/>
        <v>0</v>
      </c>
      <c r="P157" s="186">
        <f t="shared" si="102"/>
        <v>0</v>
      </c>
      <c r="Q157" s="187">
        <f t="shared" si="103"/>
        <v>0</v>
      </c>
      <c r="R157" s="188">
        <f t="shared" si="104"/>
        <v>0</v>
      </c>
      <c r="S157" s="189">
        <f t="shared" si="105"/>
        <v>0</v>
      </c>
      <c r="T157" s="190">
        <f t="shared" si="106"/>
        <v>0</v>
      </c>
    </row>
    <row r="158" spans="1:20" x14ac:dyDescent="0.25">
      <c r="A158" s="103">
        <v>46089</v>
      </c>
      <c r="B158" s="126">
        <f t="shared" si="91"/>
        <v>0</v>
      </c>
      <c r="C158" s="102">
        <v>121230</v>
      </c>
      <c r="D158" s="179">
        <f t="shared" si="92"/>
        <v>200</v>
      </c>
      <c r="E158" s="179">
        <f t="shared" si="93"/>
        <v>2400</v>
      </c>
      <c r="F158" s="180">
        <f t="shared" si="94"/>
        <v>3</v>
      </c>
      <c r="G158" s="102"/>
      <c r="H158" s="181">
        <f>IFERROR(INDEX(inbound_data[],MATCH(G158,Source,0),6),0)</f>
        <v>0</v>
      </c>
      <c r="I158" s="182">
        <f t="shared" si="95"/>
        <v>0</v>
      </c>
      <c r="J158" s="183">
        <f t="shared" si="96"/>
        <v>0</v>
      </c>
      <c r="K158" s="184">
        <f t="shared" si="97"/>
        <v>0</v>
      </c>
      <c r="L158" s="185">
        <f t="shared" si="98"/>
        <v>0</v>
      </c>
      <c r="M158" s="182">
        <f t="shared" si="99"/>
        <v>0</v>
      </c>
      <c r="N158" s="183">
        <f t="shared" si="100"/>
        <v>0</v>
      </c>
      <c r="O158" s="186">
        <f t="shared" si="101"/>
        <v>0</v>
      </c>
      <c r="P158" s="186">
        <f t="shared" si="102"/>
        <v>0</v>
      </c>
      <c r="Q158" s="187">
        <f t="shared" si="103"/>
        <v>0</v>
      </c>
      <c r="R158" s="188">
        <f t="shared" si="104"/>
        <v>3</v>
      </c>
      <c r="S158" s="189">
        <f t="shared" si="105"/>
        <v>200</v>
      </c>
      <c r="T158" s="190">
        <f t="shared" si="106"/>
        <v>2400</v>
      </c>
    </row>
    <row r="159" spans="1:20" x14ac:dyDescent="0.25">
      <c r="A159" s="103">
        <v>46090</v>
      </c>
      <c r="B159" s="126">
        <f>R158</f>
        <v>3</v>
      </c>
      <c r="C159" s="102"/>
      <c r="D159" s="179">
        <f t="shared" ref="D159:D181" si="107">SUMIF(Receiving_Report_ref.,C159,In_Quantity)</f>
        <v>0</v>
      </c>
      <c r="E159" s="179">
        <f t="shared" ref="E159:E181" si="108">SUMIF(Receiving_Report_ref.,C159,In_Weight)</f>
        <v>0</v>
      </c>
      <c r="F159" s="180">
        <f t="shared" ref="F159:F181" si="109">SUMIF(Receiving_Report_ref.,C159,Pallet_qty)</f>
        <v>0</v>
      </c>
      <c r="G159" s="102"/>
      <c r="H159" s="181">
        <f>IFERROR(INDEX(inbound_data[],MATCH(G159,Source,0),6),0)</f>
        <v>0</v>
      </c>
      <c r="I159" s="182">
        <f t="shared" ref="I159:I181" si="110">SUMIF(Withdrawal_Report_No.,G159,QTY_OUT)</f>
        <v>0</v>
      </c>
      <c r="J159" s="183">
        <f t="shared" ref="J159:J181" si="111">SUMIF(Receiving_Report_ref.,H159,In_Quantity)</f>
        <v>0</v>
      </c>
      <c r="K159" s="184">
        <f t="shared" ref="K159:K181" si="112">SUMIF(Withdrawal_Report_No.,G159,KILOS_OUT)</f>
        <v>0</v>
      </c>
      <c r="L159" s="185">
        <f t="shared" ref="L159:L181" si="113">SUMIF(Receiving_Report_ref.,H159,In_Weight)</f>
        <v>0</v>
      </c>
      <c r="M159" s="182">
        <f t="shared" ref="M159:M181" si="114">SUMIF(Withdrawal_Report_No.,G159,PALLET_OUT)</f>
        <v>0</v>
      </c>
      <c r="N159" s="183">
        <f t="shared" ref="N159:N181" si="115">SUMIF(Receiving_Report_ref.,H159,Pallet_qty)</f>
        <v>0</v>
      </c>
      <c r="O159" s="186">
        <f>I159-J159</f>
        <v>0</v>
      </c>
      <c r="P159" s="186">
        <f>K159-L159</f>
        <v>0</v>
      </c>
      <c r="Q159" s="187">
        <f>+M159-N159</f>
        <v>0</v>
      </c>
      <c r="R159" s="188">
        <f>B159+F159-Q159</f>
        <v>3</v>
      </c>
      <c r="S159" s="189">
        <f>S158+D159-O159</f>
        <v>200</v>
      </c>
      <c r="T159" s="190">
        <f>T158+E159-P159</f>
        <v>2400</v>
      </c>
    </row>
    <row r="160" spans="1:20" x14ac:dyDescent="0.25">
      <c r="A160" s="103">
        <v>46091</v>
      </c>
      <c r="B160" s="126">
        <f t="shared" ref="B160:B181" si="116">R159</f>
        <v>3</v>
      </c>
      <c r="C160" s="102"/>
      <c r="D160" s="179">
        <f t="shared" si="107"/>
        <v>0</v>
      </c>
      <c r="E160" s="179">
        <f t="shared" si="108"/>
        <v>0</v>
      </c>
      <c r="F160" s="180">
        <f t="shared" si="109"/>
        <v>0</v>
      </c>
      <c r="G160" s="102"/>
      <c r="H160" s="181">
        <f>IFERROR(INDEX(inbound_data[],MATCH(G160,Source,0),6),0)</f>
        <v>0</v>
      </c>
      <c r="I160" s="182">
        <f t="shared" si="110"/>
        <v>0</v>
      </c>
      <c r="J160" s="183">
        <f t="shared" si="111"/>
        <v>0</v>
      </c>
      <c r="K160" s="184">
        <f t="shared" si="112"/>
        <v>0</v>
      </c>
      <c r="L160" s="185">
        <f t="shared" si="113"/>
        <v>0</v>
      </c>
      <c r="M160" s="182">
        <f t="shared" si="114"/>
        <v>0</v>
      </c>
      <c r="N160" s="183">
        <f t="shared" si="115"/>
        <v>0</v>
      </c>
      <c r="O160" s="186">
        <f t="shared" ref="O160:O181" si="117">I160-J160</f>
        <v>0</v>
      </c>
      <c r="P160" s="186">
        <f t="shared" ref="P160:P181" si="118">K160-L160</f>
        <v>0</v>
      </c>
      <c r="Q160" s="187">
        <f t="shared" ref="Q160:Q181" si="119">+M160-N160</f>
        <v>0</v>
      </c>
      <c r="R160" s="188">
        <f t="shared" ref="R160:R181" si="120">B160+F160-Q160</f>
        <v>3</v>
      </c>
      <c r="S160" s="189">
        <f t="shared" ref="S160:S181" si="121">S159+D160-O160</f>
        <v>200</v>
      </c>
      <c r="T160" s="190">
        <f t="shared" ref="T160:T181" si="122">T159+E160-P160</f>
        <v>2400</v>
      </c>
    </row>
    <row r="161" spans="1:20" x14ac:dyDescent="0.25">
      <c r="A161" s="103">
        <v>46092</v>
      </c>
      <c r="B161" s="126">
        <f t="shared" si="116"/>
        <v>3</v>
      </c>
      <c r="C161" s="102"/>
      <c r="D161" s="179">
        <f t="shared" si="107"/>
        <v>0</v>
      </c>
      <c r="E161" s="179">
        <f t="shared" si="108"/>
        <v>0</v>
      </c>
      <c r="F161" s="180">
        <f t="shared" si="109"/>
        <v>0</v>
      </c>
      <c r="G161" s="102"/>
      <c r="H161" s="181">
        <f>IFERROR(INDEX(inbound_data[],MATCH(G161,Source,0),6),0)</f>
        <v>0</v>
      </c>
      <c r="I161" s="182">
        <f t="shared" si="110"/>
        <v>0</v>
      </c>
      <c r="J161" s="183">
        <f t="shared" si="111"/>
        <v>0</v>
      </c>
      <c r="K161" s="184">
        <f t="shared" si="112"/>
        <v>0</v>
      </c>
      <c r="L161" s="185">
        <f t="shared" si="113"/>
        <v>0</v>
      </c>
      <c r="M161" s="182">
        <f t="shared" si="114"/>
        <v>0</v>
      </c>
      <c r="N161" s="183">
        <f t="shared" si="115"/>
        <v>0</v>
      </c>
      <c r="O161" s="186">
        <f t="shared" si="117"/>
        <v>0</v>
      </c>
      <c r="P161" s="186">
        <f t="shared" si="118"/>
        <v>0</v>
      </c>
      <c r="Q161" s="187">
        <f t="shared" si="119"/>
        <v>0</v>
      </c>
      <c r="R161" s="188">
        <f t="shared" si="120"/>
        <v>3</v>
      </c>
      <c r="S161" s="189">
        <f t="shared" si="121"/>
        <v>200</v>
      </c>
      <c r="T161" s="190">
        <f t="shared" si="122"/>
        <v>2400</v>
      </c>
    </row>
    <row r="162" spans="1:20" x14ac:dyDescent="0.25">
      <c r="A162" s="103">
        <v>46093</v>
      </c>
      <c r="B162" s="126">
        <f t="shared" si="116"/>
        <v>3</v>
      </c>
      <c r="C162" s="102"/>
      <c r="D162" s="179">
        <f t="shared" si="107"/>
        <v>0</v>
      </c>
      <c r="E162" s="179">
        <f t="shared" si="108"/>
        <v>0</v>
      </c>
      <c r="F162" s="180">
        <f t="shared" si="109"/>
        <v>0</v>
      </c>
      <c r="G162" s="102"/>
      <c r="H162" s="181">
        <f>IFERROR(INDEX(inbound_data[],MATCH(G162,Source,0),6),0)</f>
        <v>0</v>
      </c>
      <c r="I162" s="182">
        <f t="shared" si="110"/>
        <v>0</v>
      </c>
      <c r="J162" s="183">
        <f t="shared" si="111"/>
        <v>0</v>
      </c>
      <c r="K162" s="184">
        <f t="shared" si="112"/>
        <v>0</v>
      </c>
      <c r="L162" s="185">
        <f t="shared" si="113"/>
        <v>0</v>
      </c>
      <c r="M162" s="182">
        <f t="shared" si="114"/>
        <v>0</v>
      </c>
      <c r="N162" s="183">
        <f t="shared" si="115"/>
        <v>0</v>
      </c>
      <c r="O162" s="186">
        <f t="shared" si="117"/>
        <v>0</v>
      </c>
      <c r="P162" s="186">
        <f t="shared" si="118"/>
        <v>0</v>
      </c>
      <c r="Q162" s="187">
        <f t="shared" si="119"/>
        <v>0</v>
      </c>
      <c r="R162" s="188">
        <f t="shared" si="120"/>
        <v>3</v>
      </c>
      <c r="S162" s="189">
        <f t="shared" si="121"/>
        <v>200</v>
      </c>
      <c r="T162" s="190">
        <f t="shared" si="122"/>
        <v>2400</v>
      </c>
    </row>
    <row r="163" spans="1:20" x14ac:dyDescent="0.25">
      <c r="A163" s="103">
        <v>46094</v>
      </c>
      <c r="B163" s="126">
        <f t="shared" si="116"/>
        <v>3</v>
      </c>
      <c r="C163" s="102"/>
      <c r="D163" s="179">
        <f t="shared" si="107"/>
        <v>0</v>
      </c>
      <c r="E163" s="179">
        <f t="shared" si="108"/>
        <v>0</v>
      </c>
      <c r="F163" s="180">
        <f t="shared" si="109"/>
        <v>0</v>
      </c>
      <c r="G163" s="102"/>
      <c r="H163" s="181">
        <f>IFERROR(INDEX(inbound_data[],MATCH(G163,Source,0),6),0)</f>
        <v>0</v>
      </c>
      <c r="I163" s="182">
        <f t="shared" si="110"/>
        <v>0</v>
      </c>
      <c r="J163" s="183">
        <f t="shared" si="111"/>
        <v>0</v>
      </c>
      <c r="K163" s="184">
        <f t="shared" si="112"/>
        <v>0</v>
      </c>
      <c r="L163" s="185">
        <f t="shared" si="113"/>
        <v>0</v>
      </c>
      <c r="M163" s="182">
        <f t="shared" si="114"/>
        <v>0</v>
      </c>
      <c r="N163" s="183">
        <f t="shared" si="115"/>
        <v>0</v>
      </c>
      <c r="O163" s="186">
        <f t="shared" si="117"/>
        <v>0</v>
      </c>
      <c r="P163" s="186">
        <f t="shared" si="118"/>
        <v>0</v>
      </c>
      <c r="Q163" s="187">
        <f t="shared" si="119"/>
        <v>0</v>
      </c>
      <c r="R163" s="188">
        <f t="shared" si="120"/>
        <v>3</v>
      </c>
      <c r="S163" s="189">
        <f t="shared" si="121"/>
        <v>200</v>
      </c>
      <c r="T163" s="190">
        <f t="shared" si="122"/>
        <v>2400</v>
      </c>
    </row>
    <row r="164" spans="1:20" x14ac:dyDescent="0.25">
      <c r="A164" s="103">
        <v>46095</v>
      </c>
      <c r="B164" s="126">
        <f t="shared" si="116"/>
        <v>3</v>
      </c>
      <c r="C164" s="102">
        <v>121180</v>
      </c>
      <c r="D164" s="179">
        <f t="shared" si="107"/>
        <v>350</v>
      </c>
      <c r="E164" s="179">
        <f t="shared" si="108"/>
        <v>153.36000000000001</v>
      </c>
      <c r="F164" s="180">
        <f t="shared" si="109"/>
        <v>14</v>
      </c>
      <c r="G164" s="102"/>
      <c r="H164" s="181">
        <f>IFERROR(INDEX(inbound_data[],MATCH(G164,Source,0),6),0)</f>
        <v>0</v>
      </c>
      <c r="I164" s="182">
        <f t="shared" si="110"/>
        <v>0</v>
      </c>
      <c r="J164" s="183">
        <f t="shared" si="111"/>
        <v>0</v>
      </c>
      <c r="K164" s="184">
        <f t="shared" si="112"/>
        <v>0</v>
      </c>
      <c r="L164" s="185">
        <f t="shared" si="113"/>
        <v>0</v>
      </c>
      <c r="M164" s="182">
        <f t="shared" si="114"/>
        <v>0</v>
      </c>
      <c r="N164" s="183">
        <f t="shared" si="115"/>
        <v>0</v>
      </c>
      <c r="O164" s="186">
        <f t="shared" si="117"/>
        <v>0</v>
      </c>
      <c r="P164" s="186">
        <f t="shared" si="118"/>
        <v>0</v>
      </c>
      <c r="Q164" s="187">
        <f t="shared" si="119"/>
        <v>0</v>
      </c>
      <c r="R164" s="188">
        <f t="shared" si="120"/>
        <v>17</v>
      </c>
      <c r="S164" s="189">
        <f t="shared" si="121"/>
        <v>550</v>
      </c>
      <c r="T164" s="190">
        <f t="shared" si="122"/>
        <v>2553.36</v>
      </c>
    </row>
    <row r="165" spans="1:20" x14ac:dyDescent="0.25">
      <c r="A165" s="191">
        <v>46096</v>
      </c>
      <c r="B165" s="192">
        <f t="shared" si="116"/>
        <v>17</v>
      </c>
      <c r="C165" s="193"/>
      <c r="D165" s="205">
        <f t="shared" si="107"/>
        <v>0</v>
      </c>
      <c r="E165" s="205">
        <f t="shared" si="108"/>
        <v>0</v>
      </c>
      <c r="F165" s="206">
        <f t="shared" si="109"/>
        <v>0</v>
      </c>
      <c r="G165" s="193"/>
      <c r="H165" s="207">
        <f>IFERROR(INDEX(inbound_data[],MATCH(G165,Source,0),6),0)</f>
        <v>0</v>
      </c>
      <c r="I165" s="208">
        <f t="shared" si="110"/>
        <v>0</v>
      </c>
      <c r="J165" s="206">
        <f t="shared" si="111"/>
        <v>0</v>
      </c>
      <c r="K165" s="209">
        <f t="shared" si="112"/>
        <v>0</v>
      </c>
      <c r="L165" s="205">
        <f t="shared" si="113"/>
        <v>0</v>
      </c>
      <c r="M165" s="208">
        <f t="shared" si="114"/>
        <v>0</v>
      </c>
      <c r="N165" s="206">
        <f t="shared" si="115"/>
        <v>0</v>
      </c>
      <c r="O165" s="209">
        <f t="shared" si="117"/>
        <v>0</v>
      </c>
      <c r="P165" s="209">
        <f t="shared" si="118"/>
        <v>0</v>
      </c>
      <c r="Q165" s="208">
        <f t="shared" si="119"/>
        <v>0</v>
      </c>
      <c r="R165" s="210">
        <f t="shared" si="120"/>
        <v>17</v>
      </c>
      <c r="S165" s="211">
        <f t="shared" si="121"/>
        <v>550</v>
      </c>
      <c r="T165" s="212">
        <f t="shared" si="122"/>
        <v>2553.36</v>
      </c>
    </row>
    <row r="166" spans="1:20" x14ac:dyDescent="0.25">
      <c r="A166" s="103">
        <v>46097</v>
      </c>
      <c r="B166" s="126">
        <f t="shared" si="116"/>
        <v>17</v>
      </c>
      <c r="C166" s="102">
        <v>121165</v>
      </c>
      <c r="D166" s="179">
        <f t="shared" si="107"/>
        <v>350</v>
      </c>
      <c r="E166" s="179">
        <f t="shared" si="108"/>
        <v>106.19199999999999</v>
      </c>
      <c r="F166" s="180">
        <f t="shared" si="109"/>
        <v>14</v>
      </c>
      <c r="G166" s="102"/>
      <c r="H166" s="181">
        <f>IFERROR(INDEX(inbound_data[],MATCH(G166,Source,0),6),0)</f>
        <v>0</v>
      </c>
      <c r="I166" s="182">
        <f t="shared" si="110"/>
        <v>0</v>
      </c>
      <c r="J166" s="183">
        <f t="shared" si="111"/>
        <v>0</v>
      </c>
      <c r="K166" s="184">
        <f t="shared" si="112"/>
        <v>0</v>
      </c>
      <c r="L166" s="185">
        <f t="shared" si="113"/>
        <v>0</v>
      </c>
      <c r="M166" s="182">
        <f t="shared" si="114"/>
        <v>0</v>
      </c>
      <c r="N166" s="183">
        <f t="shared" si="115"/>
        <v>0</v>
      </c>
      <c r="O166" s="186">
        <f t="shared" si="117"/>
        <v>0</v>
      </c>
      <c r="P166" s="186">
        <f t="shared" si="118"/>
        <v>0</v>
      </c>
      <c r="Q166" s="187">
        <f t="shared" si="119"/>
        <v>0</v>
      </c>
      <c r="R166" s="188">
        <f t="shared" si="120"/>
        <v>31</v>
      </c>
      <c r="S166" s="189">
        <f t="shared" si="121"/>
        <v>900</v>
      </c>
      <c r="T166" s="190">
        <f t="shared" si="122"/>
        <v>2659.5520000000001</v>
      </c>
    </row>
    <row r="167" spans="1:20" x14ac:dyDescent="0.25">
      <c r="A167" s="103">
        <f>A166+1</f>
        <v>46098</v>
      </c>
      <c r="B167" s="126">
        <f t="shared" si="116"/>
        <v>31</v>
      </c>
      <c r="C167" s="102"/>
      <c r="D167" s="179">
        <f t="shared" si="107"/>
        <v>0</v>
      </c>
      <c r="E167" s="179">
        <f t="shared" si="108"/>
        <v>0</v>
      </c>
      <c r="F167" s="180">
        <f t="shared" si="109"/>
        <v>0</v>
      </c>
      <c r="G167" s="102"/>
      <c r="H167" s="181">
        <f>IFERROR(INDEX(inbound_data[],MATCH(G167,Source,0),6),0)</f>
        <v>0</v>
      </c>
      <c r="I167" s="182">
        <f t="shared" si="110"/>
        <v>0</v>
      </c>
      <c r="J167" s="183">
        <f t="shared" si="111"/>
        <v>0</v>
      </c>
      <c r="K167" s="184">
        <f t="shared" si="112"/>
        <v>0</v>
      </c>
      <c r="L167" s="185">
        <f t="shared" si="113"/>
        <v>0</v>
      </c>
      <c r="M167" s="182">
        <f t="shared" si="114"/>
        <v>0</v>
      </c>
      <c r="N167" s="183">
        <f t="shared" si="115"/>
        <v>0</v>
      </c>
      <c r="O167" s="186">
        <f t="shared" si="117"/>
        <v>0</v>
      </c>
      <c r="P167" s="186">
        <f t="shared" si="118"/>
        <v>0</v>
      </c>
      <c r="Q167" s="187">
        <f t="shared" si="119"/>
        <v>0</v>
      </c>
      <c r="R167" s="188">
        <f t="shared" si="120"/>
        <v>31</v>
      </c>
      <c r="S167" s="189">
        <f t="shared" si="121"/>
        <v>900</v>
      </c>
      <c r="T167" s="190">
        <f t="shared" si="122"/>
        <v>2659.5520000000001</v>
      </c>
    </row>
    <row r="168" spans="1:20" x14ac:dyDescent="0.25">
      <c r="A168" s="103">
        <f t="shared" ref="A168:A176" si="123">A167+1</f>
        <v>46099</v>
      </c>
      <c r="B168" s="126">
        <f t="shared" si="116"/>
        <v>31</v>
      </c>
      <c r="C168" s="102"/>
      <c r="D168" s="179">
        <f t="shared" si="107"/>
        <v>0</v>
      </c>
      <c r="E168" s="179">
        <f t="shared" si="108"/>
        <v>0</v>
      </c>
      <c r="F168" s="180">
        <f t="shared" si="109"/>
        <v>0</v>
      </c>
      <c r="G168" s="102"/>
      <c r="H168" s="181">
        <f>IFERROR(INDEX(inbound_data[],MATCH(G168,Source,0),6),0)</f>
        <v>0</v>
      </c>
      <c r="I168" s="182">
        <f t="shared" si="110"/>
        <v>0</v>
      </c>
      <c r="J168" s="183">
        <f t="shared" si="111"/>
        <v>0</v>
      </c>
      <c r="K168" s="184">
        <f t="shared" si="112"/>
        <v>0</v>
      </c>
      <c r="L168" s="185">
        <f t="shared" si="113"/>
        <v>0</v>
      </c>
      <c r="M168" s="182">
        <f t="shared" si="114"/>
        <v>0</v>
      </c>
      <c r="N168" s="183">
        <f t="shared" si="115"/>
        <v>0</v>
      </c>
      <c r="O168" s="186">
        <f t="shared" si="117"/>
        <v>0</v>
      </c>
      <c r="P168" s="186">
        <f t="shared" si="118"/>
        <v>0</v>
      </c>
      <c r="Q168" s="187">
        <f t="shared" si="119"/>
        <v>0</v>
      </c>
      <c r="R168" s="188">
        <f t="shared" si="120"/>
        <v>31</v>
      </c>
      <c r="S168" s="189">
        <f t="shared" si="121"/>
        <v>900</v>
      </c>
      <c r="T168" s="190">
        <f t="shared" si="122"/>
        <v>2659.5520000000001</v>
      </c>
    </row>
    <row r="169" spans="1:20" x14ac:dyDescent="0.25">
      <c r="A169" s="103">
        <f t="shared" si="123"/>
        <v>46100</v>
      </c>
      <c r="B169" s="126">
        <f t="shared" si="116"/>
        <v>31</v>
      </c>
      <c r="C169" s="102"/>
      <c r="D169" s="179">
        <f t="shared" si="107"/>
        <v>0</v>
      </c>
      <c r="E169" s="179">
        <f t="shared" si="108"/>
        <v>0</v>
      </c>
      <c r="F169" s="180">
        <f t="shared" si="109"/>
        <v>0</v>
      </c>
      <c r="G169" s="102"/>
      <c r="H169" s="181">
        <f>IFERROR(INDEX(inbound_data[],MATCH(G169,Source,0),6),0)</f>
        <v>0</v>
      </c>
      <c r="I169" s="182">
        <f t="shared" si="110"/>
        <v>0</v>
      </c>
      <c r="J169" s="183">
        <f t="shared" si="111"/>
        <v>0</v>
      </c>
      <c r="K169" s="184">
        <f t="shared" si="112"/>
        <v>0</v>
      </c>
      <c r="L169" s="185">
        <f t="shared" si="113"/>
        <v>0</v>
      </c>
      <c r="M169" s="182">
        <f t="shared" si="114"/>
        <v>0</v>
      </c>
      <c r="N169" s="183">
        <f t="shared" si="115"/>
        <v>0</v>
      </c>
      <c r="O169" s="186">
        <f t="shared" si="117"/>
        <v>0</v>
      </c>
      <c r="P169" s="186">
        <f t="shared" si="118"/>
        <v>0</v>
      </c>
      <c r="Q169" s="187">
        <f t="shared" si="119"/>
        <v>0</v>
      </c>
      <c r="R169" s="188">
        <f t="shared" si="120"/>
        <v>31</v>
      </c>
      <c r="S169" s="189">
        <f t="shared" si="121"/>
        <v>900</v>
      </c>
      <c r="T169" s="190">
        <f t="shared" si="122"/>
        <v>2659.5520000000001</v>
      </c>
    </row>
    <row r="170" spans="1:20" x14ac:dyDescent="0.25">
      <c r="A170" s="103">
        <f t="shared" si="123"/>
        <v>46101</v>
      </c>
      <c r="B170" s="126">
        <f t="shared" si="116"/>
        <v>31</v>
      </c>
      <c r="C170" s="102"/>
      <c r="D170" s="179">
        <f t="shared" si="107"/>
        <v>0</v>
      </c>
      <c r="E170" s="179">
        <f t="shared" si="108"/>
        <v>0</v>
      </c>
      <c r="F170" s="180">
        <f t="shared" si="109"/>
        <v>0</v>
      </c>
      <c r="G170" s="102"/>
      <c r="H170" s="181">
        <f>IFERROR(INDEX(inbound_data[],MATCH(G170,Source,0),6),0)</f>
        <v>0</v>
      </c>
      <c r="I170" s="182">
        <f t="shared" si="110"/>
        <v>0</v>
      </c>
      <c r="J170" s="183">
        <f t="shared" si="111"/>
        <v>0</v>
      </c>
      <c r="K170" s="184">
        <f t="shared" si="112"/>
        <v>0</v>
      </c>
      <c r="L170" s="185">
        <f t="shared" si="113"/>
        <v>0</v>
      </c>
      <c r="M170" s="182">
        <f t="shared" si="114"/>
        <v>0</v>
      </c>
      <c r="N170" s="183">
        <f t="shared" si="115"/>
        <v>0</v>
      </c>
      <c r="O170" s="186">
        <f t="shared" si="117"/>
        <v>0</v>
      </c>
      <c r="P170" s="186">
        <f t="shared" si="118"/>
        <v>0</v>
      </c>
      <c r="Q170" s="187">
        <f t="shared" si="119"/>
        <v>0</v>
      </c>
      <c r="R170" s="188">
        <f t="shared" si="120"/>
        <v>31</v>
      </c>
      <c r="S170" s="189">
        <f t="shared" si="121"/>
        <v>900</v>
      </c>
      <c r="T170" s="190">
        <f t="shared" si="122"/>
        <v>2659.5520000000001</v>
      </c>
    </row>
    <row r="171" spans="1:20" x14ac:dyDescent="0.25">
      <c r="A171" s="103">
        <f t="shared" si="123"/>
        <v>46102</v>
      </c>
      <c r="B171" s="126">
        <f t="shared" si="116"/>
        <v>31</v>
      </c>
      <c r="C171" s="102"/>
      <c r="D171" s="179">
        <f t="shared" si="107"/>
        <v>0</v>
      </c>
      <c r="E171" s="179">
        <f t="shared" si="108"/>
        <v>0</v>
      </c>
      <c r="F171" s="180">
        <f t="shared" si="109"/>
        <v>0</v>
      </c>
      <c r="G171" s="102"/>
      <c r="H171" s="181">
        <f>IFERROR(INDEX(inbound_data[],MATCH(G171,Source,0),6),0)</f>
        <v>0</v>
      </c>
      <c r="I171" s="182">
        <f t="shared" si="110"/>
        <v>0</v>
      </c>
      <c r="J171" s="183">
        <f t="shared" si="111"/>
        <v>0</v>
      </c>
      <c r="K171" s="184">
        <f t="shared" si="112"/>
        <v>0</v>
      </c>
      <c r="L171" s="185">
        <f t="shared" si="113"/>
        <v>0</v>
      </c>
      <c r="M171" s="182">
        <f t="shared" si="114"/>
        <v>0</v>
      </c>
      <c r="N171" s="183">
        <f t="shared" si="115"/>
        <v>0</v>
      </c>
      <c r="O171" s="186">
        <f t="shared" si="117"/>
        <v>0</v>
      </c>
      <c r="P171" s="186">
        <f t="shared" si="118"/>
        <v>0</v>
      </c>
      <c r="Q171" s="187">
        <f t="shared" si="119"/>
        <v>0</v>
      </c>
      <c r="R171" s="188">
        <f t="shared" si="120"/>
        <v>31</v>
      </c>
      <c r="S171" s="189">
        <f t="shared" si="121"/>
        <v>900</v>
      </c>
      <c r="T171" s="190">
        <f t="shared" si="122"/>
        <v>2659.5520000000001</v>
      </c>
    </row>
    <row r="172" spans="1:20" x14ac:dyDescent="0.25">
      <c r="A172" s="103">
        <f t="shared" si="123"/>
        <v>46103</v>
      </c>
      <c r="B172" s="126">
        <f t="shared" si="116"/>
        <v>31</v>
      </c>
      <c r="C172" s="102"/>
      <c r="D172" s="179">
        <f t="shared" si="107"/>
        <v>0</v>
      </c>
      <c r="E172" s="179">
        <f t="shared" si="108"/>
        <v>0</v>
      </c>
      <c r="F172" s="180">
        <f t="shared" si="109"/>
        <v>0</v>
      </c>
      <c r="G172" s="102"/>
      <c r="H172" s="181">
        <f>IFERROR(INDEX(inbound_data[],MATCH(G172,Source,0),6),0)</f>
        <v>0</v>
      </c>
      <c r="I172" s="182">
        <f t="shared" si="110"/>
        <v>0</v>
      </c>
      <c r="J172" s="183">
        <f t="shared" si="111"/>
        <v>0</v>
      </c>
      <c r="K172" s="184">
        <f t="shared" si="112"/>
        <v>0</v>
      </c>
      <c r="L172" s="185">
        <f t="shared" si="113"/>
        <v>0</v>
      </c>
      <c r="M172" s="182">
        <f t="shared" si="114"/>
        <v>0</v>
      </c>
      <c r="N172" s="183">
        <f t="shared" si="115"/>
        <v>0</v>
      </c>
      <c r="O172" s="186">
        <f t="shared" si="117"/>
        <v>0</v>
      </c>
      <c r="P172" s="186">
        <f t="shared" si="118"/>
        <v>0</v>
      </c>
      <c r="Q172" s="187">
        <f t="shared" si="119"/>
        <v>0</v>
      </c>
      <c r="R172" s="188">
        <f t="shared" si="120"/>
        <v>31</v>
      </c>
      <c r="S172" s="189">
        <f t="shared" si="121"/>
        <v>900</v>
      </c>
      <c r="T172" s="190">
        <f t="shared" si="122"/>
        <v>2659.5520000000001</v>
      </c>
    </row>
    <row r="173" spans="1:20" x14ac:dyDescent="0.25">
      <c r="A173" s="103">
        <f t="shared" si="123"/>
        <v>46104</v>
      </c>
      <c r="B173" s="126">
        <f t="shared" si="116"/>
        <v>31</v>
      </c>
      <c r="C173" s="102"/>
      <c r="D173" s="179">
        <f t="shared" si="107"/>
        <v>0</v>
      </c>
      <c r="E173" s="179">
        <f t="shared" si="108"/>
        <v>0</v>
      </c>
      <c r="F173" s="180">
        <f t="shared" si="109"/>
        <v>0</v>
      </c>
      <c r="G173" s="102"/>
      <c r="H173" s="181">
        <f>IFERROR(INDEX(inbound_data[],MATCH(G173,Source,0),6),0)</f>
        <v>0</v>
      </c>
      <c r="I173" s="182">
        <f t="shared" si="110"/>
        <v>0</v>
      </c>
      <c r="J173" s="183">
        <f t="shared" si="111"/>
        <v>0</v>
      </c>
      <c r="K173" s="184">
        <f t="shared" si="112"/>
        <v>0</v>
      </c>
      <c r="L173" s="185">
        <f t="shared" si="113"/>
        <v>0</v>
      </c>
      <c r="M173" s="182">
        <f t="shared" si="114"/>
        <v>0</v>
      </c>
      <c r="N173" s="183">
        <f t="shared" si="115"/>
        <v>0</v>
      </c>
      <c r="O173" s="186">
        <f t="shared" si="117"/>
        <v>0</v>
      </c>
      <c r="P173" s="186">
        <f t="shared" si="118"/>
        <v>0</v>
      </c>
      <c r="Q173" s="187">
        <f t="shared" si="119"/>
        <v>0</v>
      </c>
      <c r="R173" s="188">
        <f t="shared" si="120"/>
        <v>31</v>
      </c>
      <c r="S173" s="189">
        <f t="shared" si="121"/>
        <v>900</v>
      </c>
      <c r="T173" s="190">
        <f t="shared" si="122"/>
        <v>2659.5520000000001</v>
      </c>
    </row>
    <row r="174" spans="1:20" x14ac:dyDescent="0.25">
      <c r="A174" s="103">
        <f t="shared" si="123"/>
        <v>46105</v>
      </c>
      <c r="B174" s="126">
        <f t="shared" si="116"/>
        <v>31</v>
      </c>
      <c r="C174" s="102"/>
      <c r="D174" s="179">
        <f t="shared" si="107"/>
        <v>0</v>
      </c>
      <c r="E174" s="179">
        <f t="shared" si="108"/>
        <v>0</v>
      </c>
      <c r="F174" s="180">
        <f t="shared" si="109"/>
        <v>0</v>
      </c>
      <c r="G174" s="102"/>
      <c r="H174" s="181">
        <f>IFERROR(INDEX(inbound_data[],MATCH(G174,Source,0),6),0)</f>
        <v>0</v>
      </c>
      <c r="I174" s="182">
        <f t="shared" si="110"/>
        <v>0</v>
      </c>
      <c r="J174" s="183">
        <f t="shared" si="111"/>
        <v>0</v>
      </c>
      <c r="K174" s="184">
        <f t="shared" si="112"/>
        <v>0</v>
      </c>
      <c r="L174" s="185">
        <f t="shared" si="113"/>
        <v>0</v>
      </c>
      <c r="M174" s="182">
        <f t="shared" si="114"/>
        <v>0</v>
      </c>
      <c r="N174" s="183">
        <f t="shared" si="115"/>
        <v>0</v>
      </c>
      <c r="O174" s="186">
        <f t="shared" si="117"/>
        <v>0</v>
      </c>
      <c r="P174" s="186">
        <f t="shared" si="118"/>
        <v>0</v>
      </c>
      <c r="Q174" s="187">
        <f t="shared" si="119"/>
        <v>0</v>
      </c>
      <c r="R174" s="188">
        <f t="shared" si="120"/>
        <v>31</v>
      </c>
      <c r="S174" s="189">
        <f t="shared" si="121"/>
        <v>900</v>
      </c>
      <c r="T174" s="190">
        <f t="shared" si="122"/>
        <v>2659.5520000000001</v>
      </c>
    </row>
    <row r="175" spans="1:20" x14ac:dyDescent="0.25">
      <c r="A175" s="103">
        <f t="shared" si="123"/>
        <v>46106</v>
      </c>
      <c r="B175" s="126">
        <f t="shared" si="116"/>
        <v>31</v>
      </c>
      <c r="C175" s="102"/>
      <c r="D175" s="179">
        <f t="shared" si="107"/>
        <v>0</v>
      </c>
      <c r="E175" s="179">
        <f t="shared" si="108"/>
        <v>0</v>
      </c>
      <c r="F175" s="180">
        <f t="shared" si="109"/>
        <v>0</v>
      </c>
      <c r="G175" s="102">
        <v>149652</v>
      </c>
      <c r="H175" s="181">
        <f>IFERROR(INDEX(inbound_data[],MATCH(G175,Source,0),6),0)</f>
        <v>0</v>
      </c>
      <c r="I175" s="182">
        <f t="shared" si="110"/>
        <v>190</v>
      </c>
      <c r="J175" s="183">
        <f t="shared" si="111"/>
        <v>0</v>
      </c>
      <c r="K175" s="184">
        <f t="shared" si="112"/>
        <v>2088</v>
      </c>
      <c r="L175" s="185">
        <f t="shared" si="113"/>
        <v>0</v>
      </c>
      <c r="M175" s="182">
        <f t="shared" si="114"/>
        <v>4</v>
      </c>
      <c r="N175" s="183">
        <f t="shared" si="115"/>
        <v>0</v>
      </c>
      <c r="O175" s="186">
        <f t="shared" si="117"/>
        <v>190</v>
      </c>
      <c r="P175" s="186">
        <f t="shared" si="118"/>
        <v>2088</v>
      </c>
      <c r="Q175" s="187">
        <f t="shared" si="119"/>
        <v>4</v>
      </c>
      <c r="R175" s="188">
        <f t="shared" si="120"/>
        <v>27</v>
      </c>
      <c r="S175" s="189">
        <f t="shared" si="121"/>
        <v>710</v>
      </c>
      <c r="T175" s="190">
        <f t="shared" si="122"/>
        <v>571.55200000000013</v>
      </c>
    </row>
    <row r="176" spans="1:20" x14ac:dyDescent="0.25">
      <c r="A176" s="103">
        <f t="shared" si="123"/>
        <v>46107</v>
      </c>
      <c r="B176" s="126">
        <f t="shared" si="116"/>
        <v>27</v>
      </c>
      <c r="C176" s="102">
        <v>122242</v>
      </c>
      <c r="D176" s="179">
        <f t="shared" si="107"/>
        <v>110</v>
      </c>
      <c r="E176" s="179">
        <f t="shared" si="108"/>
        <v>1281.5999999999999</v>
      </c>
      <c r="F176" s="180">
        <f t="shared" si="109"/>
        <v>4</v>
      </c>
      <c r="G176" s="102"/>
      <c r="H176" s="181">
        <f>IFERROR(INDEX(inbound_data[],MATCH(G176,Source,0),6),0)</f>
        <v>0</v>
      </c>
      <c r="I176" s="182">
        <f t="shared" si="110"/>
        <v>0</v>
      </c>
      <c r="J176" s="183">
        <f t="shared" si="111"/>
        <v>0</v>
      </c>
      <c r="K176" s="184">
        <f t="shared" si="112"/>
        <v>0</v>
      </c>
      <c r="L176" s="185">
        <f t="shared" si="113"/>
        <v>0</v>
      </c>
      <c r="M176" s="182">
        <f t="shared" si="114"/>
        <v>0</v>
      </c>
      <c r="N176" s="183">
        <f t="shared" si="115"/>
        <v>0</v>
      </c>
      <c r="O176" s="186">
        <f t="shared" si="117"/>
        <v>0</v>
      </c>
      <c r="P176" s="186">
        <f t="shared" si="118"/>
        <v>0</v>
      </c>
      <c r="Q176" s="187">
        <f t="shared" si="119"/>
        <v>0</v>
      </c>
      <c r="R176" s="188">
        <f t="shared" si="120"/>
        <v>31</v>
      </c>
      <c r="S176" s="189">
        <f t="shared" si="121"/>
        <v>820</v>
      </c>
      <c r="T176" s="190">
        <f t="shared" si="122"/>
        <v>1853.152</v>
      </c>
    </row>
    <row r="177" spans="1:20" x14ac:dyDescent="0.25">
      <c r="A177" s="103"/>
      <c r="B177" s="126">
        <f t="shared" si="116"/>
        <v>31</v>
      </c>
      <c r="C177" s="102"/>
      <c r="D177" s="179">
        <f t="shared" si="107"/>
        <v>0</v>
      </c>
      <c r="E177" s="179">
        <f t="shared" si="108"/>
        <v>0</v>
      </c>
      <c r="F177" s="180">
        <f t="shared" si="109"/>
        <v>0</v>
      </c>
      <c r="G177" s="102"/>
      <c r="H177" s="181">
        <f>IFERROR(INDEX(inbound_data[],MATCH(G177,Source,0),6),0)</f>
        <v>0</v>
      </c>
      <c r="I177" s="182">
        <f t="shared" si="110"/>
        <v>0</v>
      </c>
      <c r="J177" s="183">
        <f t="shared" si="111"/>
        <v>0</v>
      </c>
      <c r="K177" s="184">
        <f t="shared" si="112"/>
        <v>0</v>
      </c>
      <c r="L177" s="185">
        <f t="shared" si="113"/>
        <v>0</v>
      </c>
      <c r="M177" s="182">
        <f t="shared" si="114"/>
        <v>0</v>
      </c>
      <c r="N177" s="183">
        <f t="shared" si="115"/>
        <v>0</v>
      </c>
      <c r="O177" s="186">
        <f t="shared" si="117"/>
        <v>0</v>
      </c>
      <c r="P177" s="186">
        <f t="shared" si="118"/>
        <v>0</v>
      </c>
      <c r="Q177" s="187">
        <f t="shared" si="119"/>
        <v>0</v>
      </c>
      <c r="R177" s="188">
        <f t="shared" si="120"/>
        <v>31</v>
      </c>
      <c r="S177" s="189">
        <f t="shared" si="121"/>
        <v>820</v>
      </c>
      <c r="T177" s="190">
        <f t="shared" si="122"/>
        <v>1853.152</v>
      </c>
    </row>
    <row r="178" spans="1:20" x14ac:dyDescent="0.25">
      <c r="A178" s="103"/>
      <c r="B178" s="126">
        <f t="shared" si="116"/>
        <v>31</v>
      </c>
      <c r="C178" s="102"/>
      <c r="D178" s="179">
        <f t="shared" si="107"/>
        <v>0</v>
      </c>
      <c r="E178" s="179">
        <f t="shared" si="108"/>
        <v>0</v>
      </c>
      <c r="F178" s="180">
        <f t="shared" si="109"/>
        <v>0</v>
      </c>
      <c r="G178" s="102"/>
      <c r="H178" s="181">
        <f>IFERROR(INDEX(inbound_data[],MATCH(G178,Source,0),6),0)</f>
        <v>0</v>
      </c>
      <c r="I178" s="182">
        <f t="shared" si="110"/>
        <v>0</v>
      </c>
      <c r="J178" s="183">
        <f t="shared" si="111"/>
        <v>0</v>
      </c>
      <c r="K178" s="184">
        <f t="shared" si="112"/>
        <v>0</v>
      </c>
      <c r="L178" s="185">
        <f t="shared" si="113"/>
        <v>0</v>
      </c>
      <c r="M178" s="182">
        <f t="shared" si="114"/>
        <v>0</v>
      </c>
      <c r="N178" s="183">
        <f t="shared" si="115"/>
        <v>0</v>
      </c>
      <c r="O178" s="186">
        <f t="shared" si="117"/>
        <v>0</v>
      </c>
      <c r="P178" s="186">
        <f t="shared" si="118"/>
        <v>0</v>
      </c>
      <c r="Q178" s="187">
        <f t="shared" si="119"/>
        <v>0</v>
      </c>
      <c r="R178" s="188">
        <f t="shared" si="120"/>
        <v>31</v>
      </c>
      <c r="S178" s="189">
        <f t="shared" si="121"/>
        <v>820</v>
      </c>
      <c r="T178" s="190">
        <f t="shared" si="122"/>
        <v>1853.152</v>
      </c>
    </row>
    <row r="179" spans="1:20" x14ac:dyDescent="0.25">
      <c r="A179" s="103"/>
      <c r="B179" s="126">
        <f t="shared" si="116"/>
        <v>31</v>
      </c>
      <c r="C179" s="102"/>
      <c r="D179" s="179">
        <f t="shared" si="107"/>
        <v>0</v>
      </c>
      <c r="E179" s="179">
        <f t="shared" si="108"/>
        <v>0</v>
      </c>
      <c r="F179" s="180">
        <f t="shared" si="109"/>
        <v>0</v>
      </c>
      <c r="G179" s="102"/>
      <c r="H179" s="181">
        <f>IFERROR(INDEX(inbound_data[],MATCH(G179,Source,0),6),0)</f>
        <v>0</v>
      </c>
      <c r="I179" s="182">
        <f t="shared" si="110"/>
        <v>0</v>
      </c>
      <c r="J179" s="183">
        <f t="shared" si="111"/>
        <v>0</v>
      </c>
      <c r="K179" s="184">
        <f t="shared" si="112"/>
        <v>0</v>
      </c>
      <c r="L179" s="185">
        <f t="shared" si="113"/>
        <v>0</v>
      </c>
      <c r="M179" s="182">
        <f t="shared" si="114"/>
        <v>0</v>
      </c>
      <c r="N179" s="183">
        <f t="shared" si="115"/>
        <v>0</v>
      </c>
      <c r="O179" s="186">
        <f t="shared" si="117"/>
        <v>0</v>
      </c>
      <c r="P179" s="186">
        <f t="shared" si="118"/>
        <v>0</v>
      </c>
      <c r="Q179" s="187">
        <f t="shared" si="119"/>
        <v>0</v>
      </c>
      <c r="R179" s="188">
        <f t="shared" si="120"/>
        <v>31</v>
      </c>
      <c r="S179" s="189">
        <f t="shared" si="121"/>
        <v>820</v>
      </c>
      <c r="T179" s="190">
        <f t="shared" si="122"/>
        <v>1853.152</v>
      </c>
    </row>
    <row r="180" spans="1:20" x14ac:dyDescent="0.25">
      <c r="A180" s="103"/>
      <c r="B180" s="126">
        <f t="shared" si="116"/>
        <v>31</v>
      </c>
      <c r="C180" s="102"/>
      <c r="D180" s="179">
        <f t="shared" si="107"/>
        <v>0</v>
      </c>
      <c r="E180" s="179">
        <f t="shared" si="108"/>
        <v>0</v>
      </c>
      <c r="F180" s="180">
        <f t="shared" si="109"/>
        <v>0</v>
      </c>
      <c r="G180" s="102"/>
      <c r="H180" s="181">
        <f>IFERROR(INDEX(inbound_data[],MATCH(G180,Source,0),6),0)</f>
        <v>0</v>
      </c>
      <c r="I180" s="182">
        <f t="shared" si="110"/>
        <v>0</v>
      </c>
      <c r="J180" s="183">
        <f t="shared" si="111"/>
        <v>0</v>
      </c>
      <c r="K180" s="184">
        <f t="shared" si="112"/>
        <v>0</v>
      </c>
      <c r="L180" s="185">
        <f t="shared" si="113"/>
        <v>0</v>
      </c>
      <c r="M180" s="182">
        <f t="shared" si="114"/>
        <v>0</v>
      </c>
      <c r="N180" s="183">
        <f t="shared" si="115"/>
        <v>0</v>
      </c>
      <c r="O180" s="186">
        <f t="shared" si="117"/>
        <v>0</v>
      </c>
      <c r="P180" s="186">
        <f t="shared" si="118"/>
        <v>0</v>
      </c>
      <c r="Q180" s="187">
        <f t="shared" si="119"/>
        <v>0</v>
      </c>
      <c r="R180" s="188">
        <f t="shared" si="120"/>
        <v>31</v>
      </c>
      <c r="S180" s="189">
        <f t="shared" si="121"/>
        <v>820</v>
      </c>
      <c r="T180" s="190">
        <f t="shared" si="122"/>
        <v>1853.152</v>
      </c>
    </row>
    <row r="181" spans="1:20" x14ac:dyDescent="0.25">
      <c r="A181" s="103"/>
      <c r="B181" s="126">
        <f t="shared" si="116"/>
        <v>31</v>
      </c>
      <c r="C181" s="102"/>
      <c r="D181" s="179">
        <f t="shared" si="107"/>
        <v>0</v>
      </c>
      <c r="E181" s="179">
        <f t="shared" si="108"/>
        <v>0</v>
      </c>
      <c r="F181" s="180">
        <f t="shared" si="109"/>
        <v>0</v>
      </c>
      <c r="G181" s="102"/>
      <c r="H181" s="181">
        <f>IFERROR(INDEX(inbound_data[],MATCH(G181,Source,0),6),0)</f>
        <v>0</v>
      </c>
      <c r="I181" s="182">
        <f t="shared" si="110"/>
        <v>0</v>
      </c>
      <c r="J181" s="183">
        <f t="shared" si="111"/>
        <v>0</v>
      </c>
      <c r="K181" s="184">
        <f t="shared" si="112"/>
        <v>0</v>
      </c>
      <c r="L181" s="185">
        <f t="shared" si="113"/>
        <v>0</v>
      </c>
      <c r="M181" s="182">
        <f t="shared" si="114"/>
        <v>0</v>
      </c>
      <c r="N181" s="183">
        <f t="shared" si="115"/>
        <v>0</v>
      </c>
      <c r="O181" s="186">
        <f t="shared" si="117"/>
        <v>0</v>
      </c>
      <c r="P181" s="186">
        <f t="shared" si="118"/>
        <v>0</v>
      </c>
      <c r="Q181" s="187">
        <f t="shared" si="119"/>
        <v>0</v>
      </c>
      <c r="R181" s="188">
        <f t="shared" si="120"/>
        <v>31</v>
      </c>
      <c r="S181" s="189">
        <f t="shared" si="121"/>
        <v>820</v>
      </c>
      <c r="T181" s="190">
        <f t="shared" si="122"/>
        <v>1853.152</v>
      </c>
    </row>
  </sheetData>
  <protectedRanges>
    <protectedRange sqref="C5" name="IA LOCKRANGE_2"/>
  </protectedRanges>
  <conditionalFormatting sqref="C6:C1048576">
    <cfRule type="duplicateValues" dxfId="23" priority="97"/>
  </conditionalFormatting>
  <conditionalFormatting sqref="D2:F2">
    <cfRule type="cellIs" dxfId="22" priority="3" operator="greaterThan">
      <formula>1</formula>
    </cfRule>
    <cfRule type="cellIs" dxfId="21" priority="4" operator="lessThan">
      <formula>0</formula>
    </cfRule>
  </conditionalFormatting>
  <conditionalFormatting sqref="G1">
    <cfRule type="duplicateValues" dxfId="20" priority="98"/>
    <cfRule type="duplicateValues" dxfId="19" priority="99"/>
  </conditionalFormatting>
  <conditionalFormatting sqref="G3 G5:G1048576">
    <cfRule type="duplicateValues" dxfId="18" priority="7"/>
  </conditionalFormatting>
  <conditionalFormatting sqref="O2:Q2">
    <cfRule type="cellIs" dxfId="17" priority="1" operator="greaterThan">
      <formula>1</formula>
    </cfRule>
    <cfRule type="cellIs" dxfId="16" priority="2" operator="lessThan">
      <formula>0</formula>
    </cfRule>
  </conditionalFormatting>
  <pageMargins left="0.7" right="0.7" top="0.75" bottom="0.75" header="0.3" footer="0.3"/>
  <pageSetup paperSize="9" orientation="portrait" horizontalDpi="360" verticalDpi="360" r:id="rId1"/>
  <tableParts count="1">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31AAF-65DB-4989-93EC-24D729205E73}">
  <sheetPr codeName="Sheet4">
    <pageSetUpPr autoPageBreaks="0"/>
  </sheetPr>
  <dimension ref="A1:O1294"/>
  <sheetViews>
    <sheetView showGridLines="0" topLeftCell="B1" zoomScale="80" zoomScaleNormal="80" workbookViewId="0">
      <pane ySplit="8" topLeftCell="A9" activePane="bottomLeft" state="frozen"/>
      <selection activeCell="B1" sqref="B1"/>
      <selection pane="bottomLeft" activeCell="F9" sqref="F9"/>
    </sheetView>
  </sheetViews>
  <sheetFormatPr defaultRowHeight="15" x14ac:dyDescent="0.25"/>
  <cols>
    <col min="1" max="1" width="19" hidden="1" customWidth="1"/>
    <col min="2" max="2" width="17" style="3" customWidth="1"/>
    <col min="3" max="3" width="29.5703125" style="3" customWidth="1"/>
    <col min="4" max="4" width="26.5703125" style="3" customWidth="1"/>
    <col min="5" max="5" width="43.140625" style="3" bestFit="1" customWidth="1"/>
    <col min="6" max="6" width="24.85546875" style="3" customWidth="1"/>
    <col min="7" max="7" width="20.7109375" style="3" bestFit="1" customWidth="1"/>
    <col min="8" max="9" width="12.42578125" style="3" customWidth="1"/>
    <col min="10" max="10" width="10.140625" style="3" customWidth="1"/>
    <col min="11" max="11" width="8.7109375" style="3" customWidth="1"/>
    <col min="12" max="14" width="14" style="3" customWidth="1"/>
    <col min="15" max="15" width="13.42578125" customWidth="1"/>
  </cols>
  <sheetData>
    <row r="1" spans="1:15" ht="9" customHeight="1" x14ac:dyDescent="0.25">
      <c r="A1" s="19" t="s">
        <v>76</v>
      </c>
      <c r="E1" s="16"/>
    </row>
    <row r="2" spans="1:15" s="14" customFormat="1" ht="24.95" customHeight="1" x14ac:dyDescent="0.25">
      <c r="B2" s="24" t="s">
        <v>21</v>
      </c>
      <c r="C2" s="16"/>
      <c r="D2" s="26" t="s">
        <v>61</v>
      </c>
      <c r="E2" s="16"/>
      <c r="F2" s="16"/>
      <c r="G2" s="16"/>
      <c r="H2" s="16"/>
      <c r="I2" s="16"/>
      <c r="J2" s="16"/>
      <c r="K2" s="16"/>
      <c r="L2" s="16"/>
      <c r="M2" s="16"/>
      <c r="N2" s="16"/>
    </row>
    <row r="3" spans="1:15" ht="9.9499999999999993" customHeight="1" thickBot="1" x14ac:dyDescent="0.3">
      <c r="B3" s="18"/>
      <c r="D3" s="18"/>
    </row>
    <row r="4" spans="1:15" s="14" customFormat="1" ht="24.95" customHeight="1" thickBot="1" x14ac:dyDescent="0.3">
      <c r="B4" s="24" t="s">
        <v>46</v>
      </c>
      <c r="C4" s="16"/>
      <c r="D4" s="26" t="s">
        <v>57</v>
      </c>
      <c r="E4" s="22"/>
      <c r="F4" s="29"/>
      <c r="G4" s="16"/>
      <c r="H4" s="16"/>
      <c r="I4" s="16"/>
      <c r="J4" s="16"/>
      <c r="K4" s="16"/>
      <c r="L4" s="16"/>
      <c r="M4" s="16"/>
      <c r="N4" s="16"/>
    </row>
    <row r="5" spans="1:15" ht="9.9499999999999993" customHeight="1" x14ac:dyDescent="0.25">
      <c r="B5" s="25"/>
      <c r="F5" s="16"/>
    </row>
    <row r="6" spans="1:15" s="14" customFormat="1" ht="24.95" customHeight="1" x14ac:dyDescent="0.25">
      <c r="A6" s="14" t="s">
        <v>47</v>
      </c>
      <c r="B6" s="24" t="s">
        <v>42</v>
      </c>
      <c r="C6" s="16"/>
      <c r="D6" s="16" t="s">
        <v>47</v>
      </c>
      <c r="E6" s="16"/>
      <c r="F6" s="16"/>
      <c r="G6" s="16"/>
      <c r="H6" s="16"/>
      <c r="I6" s="16"/>
      <c r="J6" s="16"/>
      <c r="K6" s="16"/>
      <c r="L6" s="16"/>
      <c r="M6" s="16"/>
      <c r="N6" s="16"/>
    </row>
    <row r="7" spans="1:15" x14ac:dyDescent="0.25">
      <c r="H7" s="177">
        <f>SUBTOTAL(9,H9:H500)</f>
        <v>190</v>
      </c>
      <c r="I7" s="177">
        <f>SUBTOTAL(9,I9:I500)</f>
        <v>2088</v>
      </c>
      <c r="J7" s="177">
        <f>SUBTOTAL(9,J9:J500)</f>
        <v>4</v>
      </c>
    </row>
    <row r="8" spans="1:15" s="13" customFormat="1" ht="31.5" customHeight="1" x14ac:dyDescent="0.25">
      <c r="B8" s="27" t="s">
        <v>60</v>
      </c>
      <c r="C8" s="27" t="s">
        <v>61</v>
      </c>
      <c r="D8" s="27" t="s">
        <v>62</v>
      </c>
      <c r="E8" s="27" t="s">
        <v>63</v>
      </c>
      <c r="F8" s="27" t="s">
        <v>67</v>
      </c>
      <c r="G8" s="27" t="s">
        <v>64</v>
      </c>
      <c r="H8" s="178" t="s">
        <v>65</v>
      </c>
      <c r="I8" s="178" t="s">
        <v>66</v>
      </c>
      <c r="J8" s="178" t="s">
        <v>121</v>
      </c>
      <c r="K8" s="27" t="s">
        <v>1</v>
      </c>
      <c r="L8" s="27" t="s">
        <v>71</v>
      </c>
      <c r="M8" s="27" t="s">
        <v>73</v>
      </c>
      <c r="N8" s="27" t="s">
        <v>74</v>
      </c>
      <c r="O8" s="27" t="s">
        <v>20</v>
      </c>
    </row>
    <row r="9" spans="1:15" x14ac:dyDescent="0.25">
      <c r="A9" t="s">
        <v>45</v>
      </c>
      <c r="B9" s="15" cm="1">
        <f t="array" ref="B9:O12">_xlfn._xlws.SORT(_xlfn.CHOOSECOLS(_xlfn._xlws.FILTER(Outbound_data[],ISNUMBER(SEARCH($A$23,Withdrawal_Report_No.))*ISNUMBER(SEARCH($A$14,CONTAINER_NUMBER__OUT))*ISNUMBER(SEARCH($A$12,ITEM_DESCRIPTION__OUT))*ISNUMBER(SEARCH($A$10,PALLET_SERIES__OUT)),"Not Found"),1,2,16,14,3,13,5,6,7,15,11,8,10,9),$A$21,1)</f>
        <v>46106</v>
      </c>
      <c r="C9" s="3">
        <v>149652</v>
      </c>
      <c r="D9" s="3" t="str">
        <v>LOCAL TRANSFER</v>
      </c>
      <c r="E9" s="3" t="str">
        <v>RED BEAN PAO MINI (APRUB)</v>
      </c>
      <c r="F9" s="3" t="str">
        <v>4A4D TRADING CORP</v>
      </c>
      <c r="G9" s="15" t="str">
        <v>DUO-00106A/1457</v>
      </c>
      <c r="H9" s="3">
        <v>25</v>
      </c>
      <c r="I9" s="3">
        <v>204</v>
      </c>
      <c r="J9" s="3">
        <v>1</v>
      </c>
      <c r="K9" s="3" t="str">
        <v>BXS</v>
      </c>
      <c r="L9" s="3" t="str">
        <v>NAU-9473</v>
      </c>
      <c r="M9" s="3">
        <v>114001</v>
      </c>
      <c r="N9" s="3">
        <v>98309</v>
      </c>
      <c r="O9" t="str">
        <v>RAF</v>
      </c>
    </row>
    <row r="10" spans="1:15" x14ac:dyDescent="0.25">
      <c r="A10" t="s">
        <v>47</v>
      </c>
      <c r="B10" s="15">
        <v>46106</v>
      </c>
      <c r="C10" s="3">
        <v>149652</v>
      </c>
      <c r="D10" s="3" t="str">
        <v>LOCAL TRANSFER</v>
      </c>
      <c r="E10" s="3" t="str">
        <v>CHOCO PAO MINI (APRUB)</v>
      </c>
      <c r="F10" s="3" t="str">
        <v>4A4D TRADING CORP</v>
      </c>
      <c r="G10" s="15" t="str">
        <v>DUO-00110A/4941</v>
      </c>
      <c r="H10" s="3">
        <v>25</v>
      </c>
      <c r="I10" s="3">
        <v>204</v>
      </c>
      <c r="J10" s="3">
        <v>1</v>
      </c>
      <c r="K10" s="3" t="str">
        <v>BXS</v>
      </c>
      <c r="L10" s="3" t="str">
        <v>NAU-9473</v>
      </c>
      <c r="M10" s="3">
        <v>114001</v>
      </c>
      <c r="N10" s="3">
        <v>98309</v>
      </c>
      <c r="O10" t="str">
        <v>RAF</v>
      </c>
    </row>
    <row r="11" spans="1:15" x14ac:dyDescent="0.25">
      <c r="A11" t="s">
        <v>21</v>
      </c>
      <c r="B11" s="15">
        <v>46106</v>
      </c>
      <c r="C11" s="3">
        <v>149652</v>
      </c>
      <c r="D11" s="3" t="str">
        <v>LOCAL TRANSFER</v>
      </c>
      <c r="E11" s="3" t="str">
        <v>PORK/CHICKEN/BEEF/SHRIMP SIOMAI 30'S 500G (APRUB)</v>
      </c>
      <c r="F11" s="3" t="str">
        <v>4A4D TRADING CORP</v>
      </c>
      <c r="G11" s="15" t="str">
        <v>DUO-00103A/5636</v>
      </c>
      <c r="H11" s="3">
        <v>70</v>
      </c>
      <c r="I11" s="3">
        <v>840</v>
      </c>
      <c r="J11" s="3">
        <v>1</v>
      </c>
      <c r="K11" s="3" t="str">
        <v>BXS</v>
      </c>
      <c r="L11" s="3" t="str">
        <v>NAU-9473</v>
      </c>
      <c r="M11" s="3">
        <v>114001</v>
      </c>
      <c r="N11" s="3">
        <v>98309</v>
      </c>
      <c r="O11" t="str">
        <v>RAF</v>
      </c>
    </row>
    <row r="12" spans="1:15" x14ac:dyDescent="0.25">
      <c r="A12" s="13" t="s">
        <v>47</v>
      </c>
      <c r="B12" s="15">
        <v>46106</v>
      </c>
      <c r="C12" s="3">
        <v>149652</v>
      </c>
      <c r="D12" s="3" t="str">
        <v>LOCAL TRANSFER</v>
      </c>
      <c r="E12" s="3" t="str">
        <v>PORK/CHICKEN/BEEF/SHRIMP SIOMAI 30'S 500G (APRUB)</v>
      </c>
      <c r="F12" s="3" t="str">
        <v>4A4D TRADING CORP</v>
      </c>
      <c r="G12" s="15" t="str">
        <v>DUO-00102A/3830</v>
      </c>
      <c r="H12" s="3">
        <v>70</v>
      </c>
      <c r="I12" s="3">
        <v>840</v>
      </c>
      <c r="J12" s="3">
        <v>1</v>
      </c>
      <c r="K12" s="3" t="str">
        <v>BXS</v>
      </c>
      <c r="L12" s="3" t="str">
        <v>NAU-9473</v>
      </c>
      <c r="M12" s="3">
        <v>114001</v>
      </c>
      <c r="N12" s="3">
        <v>98309</v>
      </c>
      <c r="O12" t="str">
        <v>RAF</v>
      </c>
    </row>
    <row r="13" spans="1:15" x14ac:dyDescent="0.25">
      <c r="A13" t="s">
        <v>46</v>
      </c>
      <c r="B13" s="15"/>
      <c r="G13" s="15"/>
    </row>
    <row r="14" spans="1:15" x14ac:dyDescent="0.25">
      <c r="A14" t="s">
        <v>47</v>
      </c>
      <c r="B14" s="15"/>
      <c r="G14" s="15"/>
    </row>
    <row r="15" spans="1:15" x14ac:dyDescent="0.25">
      <c r="B15" s="15"/>
      <c r="G15" s="15"/>
    </row>
    <row r="16" spans="1:15" x14ac:dyDescent="0.25">
      <c r="A16" t="s">
        <v>52</v>
      </c>
      <c r="B16" s="15"/>
      <c r="G16" s="15"/>
    </row>
    <row r="17" spans="1:7" x14ac:dyDescent="0.25">
      <c r="A17">
        <v>1</v>
      </c>
      <c r="B17" s="15"/>
      <c r="G17" s="15"/>
    </row>
    <row r="18" spans="1:7" x14ac:dyDescent="0.25">
      <c r="A18" t="s">
        <v>53</v>
      </c>
      <c r="B18" s="15"/>
      <c r="G18" s="15"/>
    </row>
    <row r="19" spans="1:7" x14ac:dyDescent="0.25">
      <c r="A19">
        <v>-1</v>
      </c>
      <c r="B19" s="15"/>
      <c r="G19" s="15"/>
    </row>
    <row r="20" spans="1:7" x14ac:dyDescent="0.25">
      <c r="A20" t="s">
        <v>56</v>
      </c>
      <c r="B20" s="15"/>
      <c r="G20" s="15"/>
    </row>
    <row r="21" spans="1:7" x14ac:dyDescent="0.25">
      <c r="A21">
        <f>IF(E4="Pallet # / Pallet Series",6,IF(E4="Container Van No.",3,1))</f>
        <v>1</v>
      </c>
      <c r="B21" s="15"/>
      <c r="G21" s="15"/>
    </row>
    <row r="22" spans="1:7" x14ac:dyDescent="0.25">
      <c r="A22" s="28" t="s">
        <v>61</v>
      </c>
      <c r="B22" s="15"/>
      <c r="G22" s="15"/>
    </row>
    <row r="23" spans="1:7" x14ac:dyDescent="0.25">
      <c r="A23" t="s">
        <v>419</v>
      </c>
      <c r="B23" s="15"/>
      <c r="G23" s="15"/>
    </row>
    <row r="24" spans="1:7" x14ac:dyDescent="0.25">
      <c r="B24" s="15"/>
      <c r="G24" s="15"/>
    </row>
    <row r="25" spans="1:7" x14ac:dyDescent="0.25">
      <c r="B25" s="15"/>
      <c r="G25" s="15"/>
    </row>
    <row r="26" spans="1:7" x14ac:dyDescent="0.25">
      <c r="B26" s="15"/>
      <c r="G26" s="15"/>
    </row>
    <row r="27" spans="1:7" x14ac:dyDescent="0.25">
      <c r="B27" s="15"/>
      <c r="G27" s="15"/>
    </row>
    <row r="28" spans="1:7" x14ac:dyDescent="0.25">
      <c r="B28" s="15"/>
      <c r="G28" s="15"/>
    </row>
    <row r="29" spans="1:7" x14ac:dyDescent="0.25">
      <c r="B29" s="15"/>
      <c r="G29" s="15"/>
    </row>
    <row r="30" spans="1:7" x14ac:dyDescent="0.25">
      <c r="B30" s="15"/>
      <c r="G30" s="15"/>
    </row>
    <row r="31" spans="1:7" x14ac:dyDescent="0.25">
      <c r="B31" s="15"/>
      <c r="G31" s="15"/>
    </row>
    <row r="32" spans="1:7" x14ac:dyDescent="0.25">
      <c r="B32" s="15"/>
      <c r="G32" s="15"/>
    </row>
    <row r="33" spans="2:7" x14ac:dyDescent="0.25">
      <c r="B33" s="15"/>
      <c r="G33" s="15"/>
    </row>
    <row r="34" spans="2:7" x14ac:dyDescent="0.25">
      <c r="B34" s="15"/>
      <c r="G34" s="15"/>
    </row>
    <row r="35" spans="2:7" x14ac:dyDescent="0.25">
      <c r="B35" s="15"/>
      <c r="G35" s="15"/>
    </row>
    <row r="36" spans="2:7" x14ac:dyDescent="0.25">
      <c r="B36" s="15"/>
      <c r="G36" s="15"/>
    </row>
    <row r="37" spans="2:7" x14ac:dyDescent="0.25">
      <c r="B37" s="15"/>
      <c r="G37" s="15"/>
    </row>
    <row r="38" spans="2:7" x14ac:dyDescent="0.25">
      <c r="B38" s="15"/>
      <c r="G38" s="15"/>
    </row>
    <row r="39" spans="2:7" x14ac:dyDescent="0.25">
      <c r="B39" s="15"/>
      <c r="G39" s="15"/>
    </row>
    <row r="40" spans="2:7" x14ac:dyDescent="0.25">
      <c r="B40" s="15"/>
      <c r="G40" s="15"/>
    </row>
    <row r="41" spans="2:7" x14ac:dyDescent="0.25">
      <c r="B41" s="15"/>
      <c r="G41" s="15"/>
    </row>
    <row r="42" spans="2:7" x14ac:dyDescent="0.25">
      <c r="B42" s="15"/>
      <c r="G42" s="15"/>
    </row>
    <row r="43" spans="2:7" x14ac:dyDescent="0.25">
      <c r="B43" s="15"/>
      <c r="G43" s="15"/>
    </row>
    <row r="44" spans="2:7" x14ac:dyDescent="0.25">
      <c r="B44" s="15"/>
      <c r="G44" s="15"/>
    </row>
    <row r="45" spans="2:7" x14ac:dyDescent="0.25">
      <c r="B45" s="15"/>
      <c r="G45" s="15"/>
    </row>
    <row r="46" spans="2:7" x14ac:dyDescent="0.25">
      <c r="B46" s="15"/>
      <c r="G46" s="15"/>
    </row>
    <row r="47" spans="2:7" x14ac:dyDescent="0.25">
      <c r="B47" s="15"/>
      <c r="G47" s="15"/>
    </row>
    <row r="48" spans="2:7" x14ac:dyDescent="0.25">
      <c r="B48" s="15"/>
      <c r="G48" s="15"/>
    </row>
    <row r="49" spans="2:7" x14ac:dyDescent="0.25">
      <c r="B49" s="15"/>
      <c r="G49" s="15"/>
    </row>
    <row r="50" spans="2:7" x14ac:dyDescent="0.25">
      <c r="B50" s="15"/>
      <c r="G50" s="15"/>
    </row>
    <row r="51" spans="2:7" x14ac:dyDescent="0.25">
      <c r="B51" s="15"/>
      <c r="G51" s="15"/>
    </row>
    <row r="52" spans="2:7" x14ac:dyDescent="0.25">
      <c r="B52" s="15"/>
      <c r="G52" s="15"/>
    </row>
    <row r="53" spans="2:7" x14ac:dyDescent="0.25">
      <c r="B53" s="15"/>
      <c r="G53" s="15"/>
    </row>
    <row r="54" spans="2:7" x14ac:dyDescent="0.25">
      <c r="B54" s="15"/>
      <c r="G54" s="15"/>
    </row>
    <row r="55" spans="2:7" x14ac:dyDescent="0.25">
      <c r="B55" s="15"/>
      <c r="G55" s="15"/>
    </row>
    <row r="56" spans="2:7" x14ac:dyDescent="0.25">
      <c r="B56" s="15"/>
      <c r="G56" s="15"/>
    </row>
    <row r="57" spans="2:7" x14ac:dyDescent="0.25">
      <c r="B57" s="15"/>
      <c r="G57" s="15"/>
    </row>
    <row r="58" spans="2:7" x14ac:dyDescent="0.25">
      <c r="B58" s="15"/>
      <c r="G58" s="15"/>
    </row>
    <row r="59" spans="2:7" x14ac:dyDescent="0.25">
      <c r="B59" s="15"/>
      <c r="G59" s="15"/>
    </row>
    <row r="60" spans="2:7" x14ac:dyDescent="0.25">
      <c r="B60" s="15"/>
      <c r="G60" s="15"/>
    </row>
    <row r="61" spans="2:7" x14ac:dyDescent="0.25">
      <c r="B61" s="15"/>
      <c r="G61" s="15"/>
    </row>
    <row r="62" spans="2:7" x14ac:dyDescent="0.25">
      <c r="B62" s="15"/>
      <c r="G62" s="15"/>
    </row>
    <row r="63" spans="2:7" x14ac:dyDescent="0.25">
      <c r="B63" s="15"/>
      <c r="G63" s="15"/>
    </row>
    <row r="64" spans="2:7" x14ac:dyDescent="0.25">
      <c r="B64" s="15"/>
      <c r="G64" s="15"/>
    </row>
    <row r="65" spans="2:7" x14ac:dyDescent="0.25">
      <c r="B65" s="15"/>
      <c r="G65" s="15"/>
    </row>
    <row r="66" spans="2:7" x14ac:dyDescent="0.25">
      <c r="B66" s="15"/>
      <c r="G66" s="15"/>
    </row>
    <row r="67" spans="2:7" x14ac:dyDescent="0.25">
      <c r="B67" s="15"/>
      <c r="G67" s="15"/>
    </row>
    <row r="68" spans="2:7" x14ac:dyDescent="0.25">
      <c r="B68" s="15"/>
      <c r="G68" s="15"/>
    </row>
    <row r="69" spans="2:7" x14ac:dyDescent="0.25">
      <c r="B69" s="15"/>
      <c r="G69" s="15"/>
    </row>
    <row r="70" spans="2:7" x14ac:dyDescent="0.25">
      <c r="B70" s="15"/>
      <c r="G70" s="15"/>
    </row>
    <row r="71" spans="2:7" x14ac:dyDescent="0.25">
      <c r="B71" s="15"/>
      <c r="G71" s="15"/>
    </row>
    <row r="72" spans="2:7" x14ac:dyDescent="0.25">
      <c r="B72" s="15"/>
      <c r="G72" s="15"/>
    </row>
    <row r="73" spans="2:7" x14ac:dyDescent="0.25">
      <c r="B73" s="15"/>
      <c r="G73" s="15"/>
    </row>
    <row r="74" spans="2:7" x14ac:dyDescent="0.25">
      <c r="B74" s="15"/>
      <c r="G74" s="15"/>
    </row>
    <row r="75" spans="2:7" x14ac:dyDescent="0.25">
      <c r="B75" s="15"/>
      <c r="G75" s="15"/>
    </row>
    <row r="76" spans="2:7" x14ac:dyDescent="0.25">
      <c r="B76" s="15"/>
      <c r="G76" s="15"/>
    </row>
    <row r="77" spans="2:7" x14ac:dyDescent="0.25">
      <c r="B77" s="15"/>
      <c r="G77" s="15"/>
    </row>
    <row r="78" spans="2:7" x14ac:dyDescent="0.25">
      <c r="B78" s="15"/>
      <c r="G78" s="15"/>
    </row>
    <row r="79" spans="2:7" x14ac:dyDescent="0.25">
      <c r="B79" s="15"/>
      <c r="G79" s="15"/>
    </row>
    <row r="80" spans="2:7" x14ac:dyDescent="0.25">
      <c r="B80" s="15"/>
      <c r="G80" s="15"/>
    </row>
    <row r="81" spans="2:7" x14ac:dyDescent="0.25">
      <c r="B81" s="15"/>
      <c r="G81" s="15"/>
    </row>
    <row r="82" spans="2:7" x14ac:dyDescent="0.25">
      <c r="B82" s="15"/>
      <c r="G82" s="15"/>
    </row>
    <row r="83" spans="2:7" x14ac:dyDescent="0.25">
      <c r="B83" s="15"/>
      <c r="G83" s="15"/>
    </row>
    <row r="84" spans="2:7" x14ac:dyDescent="0.25">
      <c r="B84" s="15"/>
      <c r="G84" s="15"/>
    </row>
    <row r="85" spans="2:7" x14ac:dyDescent="0.25">
      <c r="B85" s="15"/>
      <c r="G85" s="15"/>
    </row>
    <row r="86" spans="2:7" x14ac:dyDescent="0.25">
      <c r="B86" s="15"/>
      <c r="G86" s="15"/>
    </row>
    <row r="87" spans="2:7" x14ac:dyDescent="0.25">
      <c r="B87" s="15"/>
      <c r="G87" s="15"/>
    </row>
    <row r="88" spans="2:7" x14ac:dyDescent="0.25">
      <c r="B88" s="15"/>
      <c r="G88" s="15"/>
    </row>
    <row r="89" spans="2:7" x14ac:dyDescent="0.25">
      <c r="B89" s="15"/>
      <c r="G89" s="15"/>
    </row>
    <row r="90" spans="2:7" x14ac:dyDescent="0.25">
      <c r="B90" s="15"/>
      <c r="G90" s="15"/>
    </row>
    <row r="91" spans="2:7" x14ac:dyDescent="0.25">
      <c r="B91" s="15"/>
      <c r="G91" s="15"/>
    </row>
    <row r="92" spans="2:7" x14ac:dyDescent="0.25">
      <c r="B92" s="15"/>
      <c r="G92" s="15"/>
    </row>
    <row r="93" spans="2:7" x14ac:dyDescent="0.25">
      <c r="B93" s="15"/>
      <c r="G93" s="15"/>
    </row>
    <row r="94" spans="2:7" x14ac:dyDescent="0.25">
      <c r="B94" s="15"/>
      <c r="G94" s="15"/>
    </row>
    <row r="95" spans="2:7" x14ac:dyDescent="0.25">
      <c r="B95" s="15"/>
      <c r="G95" s="15"/>
    </row>
    <row r="96" spans="2:7" x14ac:dyDescent="0.25">
      <c r="B96" s="15"/>
      <c r="G96" s="15"/>
    </row>
    <row r="97" spans="2:7" x14ac:dyDescent="0.25">
      <c r="B97" s="15"/>
      <c r="G97" s="15"/>
    </row>
    <row r="98" spans="2:7" x14ac:dyDescent="0.25">
      <c r="B98" s="15"/>
      <c r="G98" s="15"/>
    </row>
    <row r="99" spans="2:7" x14ac:dyDescent="0.25">
      <c r="B99" s="15"/>
      <c r="G99" s="15"/>
    </row>
    <row r="100" spans="2:7" x14ac:dyDescent="0.25">
      <c r="B100" s="15"/>
      <c r="G100" s="15"/>
    </row>
    <row r="101" spans="2:7" x14ac:dyDescent="0.25">
      <c r="B101" s="15"/>
      <c r="G101" s="15"/>
    </row>
    <row r="102" spans="2:7" x14ac:dyDescent="0.25">
      <c r="B102" s="15"/>
      <c r="G102" s="15"/>
    </row>
    <row r="103" spans="2:7" x14ac:dyDescent="0.25">
      <c r="B103" s="15"/>
      <c r="G103" s="15"/>
    </row>
    <row r="104" spans="2:7" x14ac:dyDescent="0.25">
      <c r="B104" s="15"/>
      <c r="G104" s="15"/>
    </row>
    <row r="105" spans="2:7" x14ac:dyDescent="0.25">
      <c r="B105" s="15"/>
      <c r="G105" s="15"/>
    </row>
    <row r="106" spans="2:7" x14ac:dyDescent="0.25">
      <c r="B106" s="15"/>
      <c r="G106" s="15"/>
    </row>
    <row r="107" spans="2:7" x14ac:dyDescent="0.25">
      <c r="B107" s="15"/>
      <c r="G107" s="15"/>
    </row>
    <row r="108" spans="2:7" x14ac:dyDescent="0.25">
      <c r="B108" s="15"/>
      <c r="G108" s="15"/>
    </row>
    <row r="109" spans="2:7" x14ac:dyDescent="0.25">
      <c r="B109" s="15"/>
      <c r="G109" s="15"/>
    </row>
    <row r="110" spans="2:7" x14ac:dyDescent="0.25">
      <c r="B110" s="15"/>
      <c r="G110" s="15"/>
    </row>
    <row r="111" spans="2:7" x14ac:dyDescent="0.25">
      <c r="B111" s="15"/>
      <c r="G111" s="15"/>
    </row>
    <row r="112" spans="2:7" x14ac:dyDescent="0.25">
      <c r="B112" s="15"/>
      <c r="G112" s="15"/>
    </row>
    <row r="113" spans="2:7" x14ac:dyDescent="0.25">
      <c r="B113" s="15"/>
      <c r="G113" s="15"/>
    </row>
    <row r="114" spans="2:7" x14ac:dyDescent="0.25">
      <c r="B114" s="15"/>
      <c r="G114" s="15"/>
    </row>
    <row r="115" spans="2:7" x14ac:dyDescent="0.25">
      <c r="B115" s="15"/>
      <c r="G115" s="15"/>
    </row>
    <row r="116" spans="2:7" x14ac:dyDescent="0.25">
      <c r="B116" s="15"/>
      <c r="G116" s="15"/>
    </row>
    <row r="117" spans="2:7" x14ac:dyDescent="0.25">
      <c r="B117" s="15"/>
      <c r="G117" s="15"/>
    </row>
    <row r="118" spans="2:7" x14ac:dyDescent="0.25">
      <c r="B118" s="15"/>
      <c r="G118" s="15"/>
    </row>
    <row r="119" spans="2:7" x14ac:dyDescent="0.25">
      <c r="B119" s="15"/>
      <c r="G119" s="15"/>
    </row>
    <row r="120" spans="2:7" x14ac:dyDescent="0.25">
      <c r="B120" s="15"/>
      <c r="G120" s="15"/>
    </row>
    <row r="121" spans="2:7" x14ac:dyDescent="0.25">
      <c r="B121" s="15"/>
      <c r="G121" s="15"/>
    </row>
    <row r="122" spans="2:7" x14ac:dyDescent="0.25">
      <c r="B122" s="15"/>
      <c r="G122" s="15"/>
    </row>
    <row r="123" spans="2:7" x14ac:dyDescent="0.25">
      <c r="B123" s="15"/>
      <c r="G123" s="15"/>
    </row>
    <row r="124" spans="2:7" x14ac:dyDescent="0.25">
      <c r="B124" s="15"/>
      <c r="G124" s="15"/>
    </row>
    <row r="125" spans="2:7" x14ac:dyDescent="0.25">
      <c r="B125" s="15"/>
      <c r="G125" s="15"/>
    </row>
    <row r="126" spans="2:7" x14ac:dyDescent="0.25">
      <c r="B126" s="15"/>
      <c r="G126" s="15"/>
    </row>
    <row r="127" spans="2:7" x14ac:dyDescent="0.25">
      <c r="B127" s="15"/>
      <c r="G127" s="15"/>
    </row>
    <row r="128" spans="2:7" x14ac:dyDescent="0.25">
      <c r="B128" s="15"/>
      <c r="G128" s="15"/>
    </row>
    <row r="129" spans="2:7" x14ac:dyDescent="0.25">
      <c r="B129" s="15"/>
      <c r="G129" s="15"/>
    </row>
    <row r="130" spans="2:7" x14ac:dyDescent="0.25">
      <c r="B130" s="15"/>
      <c r="G130" s="15"/>
    </row>
    <row r="131" spans="2:7" x14ac:dyDescent="0.25">
      <c r="B131" s="15"/>
      <c r="G131" s="15"/>
    </row>
    <row r="132" spans="2:7" x14ac:dyDescent="0.25">
      <c r="B132" s="15"/>
      <c r="G132" s="15"/>
    </row>
    <row r="133" spans="2:7" x14ac:dyDescent="0.25">
      <c r="B133" s="15"/>
      <c r="G133" s="15"/>
    </row>
    <row r="134" spans="2:7" x14ac:dyDescent="0.25">
      <c r="B134" s="15"/>
      <c r="G134" s="15"/>
    </row>
    <row r="135" spans="2:7" x14ac:dyDescent="0.25">
      <c r="B135" s="15"/>
      <c r="G135" s="15"/>
    </row>
    <row r="136" spans="2:7" x14ac:dyDescent="0.25">
      <c r="B136" s="15"/>
      <c r="G136" s="15"/>
    </row>
    <row r="137" spans="2:7" x14ac:dyDescent="0.25">
      <c r="B137" s="15"/>
      <c r="G137" s="15"/>
    </row>
    <row r="138" spans="2:7" x14ac:dyDescent="0.25">
      <c r="B138" s="15"/>
      <c r="G138" s="15"/>
    </row>
    <row r="139" spans="2:7" x14ac:dyDescent="0.25">
      <c r="B139" s="15"/>
      <c r="G139" s="15"/>
    </row>
    <row r="140" spans="2:7" x14ac:dyDescent="0.25">
      <c r="B140" s="15"/>
      <c r="G140" s="15"/>
    </row>
    <row r="141" spans="2:7" x14ac:dyDescent="0.25">
      <c r="B141" s="15"/>
      <c r="G141" s="15"/>
    </row>
    <row r="142" spans="2:7" x14ac:dyDescent="0.25">
      <c r="B142" s="15"/>
      <c r="G142" s="15"/>
    </row>
    <row r="143" spans="2:7" x14ac:dyDescent="0.25">
      <c r="B143" s="15"/>
      <c r="G143" s="15"/>
    </row>
    <row r="144" spans="2:7" x14ac:dyDescent="0.25">
      <c r="B144" s="15"/>
      <c r="G144" s="15"/>
    </row>
    <row r="145" spans="2:7" x14ac:dyDescent="0.25">
      <c r="B145" s="15"/>
      <c r="G145" s="15"/>
    </row>
    <row r="146" spans="2:7" x14ac:dyDescent="0.25">
      <c r="B146" s="15"/>
      <c r="G146" s="15"/>
    </row>
    <row r="147" spans="2:7" x14ac:dyDescent="0.25">
      <c r="B147" s="15"/>
      <c r="G147" s="15"/>
    </row>
    <row r="148" spans="2:7" x14ac:dyDescent="0.25">
      <c r="B148" s="15"/>
      <c r="G148" s="15"/>
    </row>
    <row r="149" spans="2:7" x14ac:dyDescent="0.25">
      <c r="B149" s="15"/>
      <c r="G149" s="15"/>
    </row>
    <row r="150" spans="2:7" x14ac:dyDescent="0.25">
      <c r="B150" s="15"/>
      <c r="G150" s="15"/>
    </row>
    <row r="151" spans="2:7" x14ac:dyDescent="0.25">
      <c r="B151" s="15"/>
      <c r="G151" s="15"/>
    </row>
    <row r="152" spans="2:7" x14ac:dyDescent="0.25">
      <c r="B152" s="15"/>
      <c r="G152" s="15"/>
    </row>
    <row r="153" spans="2:7" x14ac:dyDescent="0.25">
      <c r="B153" s="15"/>
      <c r="G153" s="15"/>
    </row>
    <row r="154" spans="2:7" x14ac:dyDescent="0.25">
      <c r="B154" s="15"/>
      <c r="G154" s="15"/>
    </row>
    <row r="155" spans="2:7" x14ac:dyDescent="0.25">
      <c r="B155" s="15"/>
      <c r="G155" s="15"/>
    </row>
    <row r="156" spans="2:7" x14ac:dyDescent="0.25">
      <c r="B156" s="15"/>
      <c r="G156" s="15"/>
    </row>
    <row r="157" spans="2:7" x14ac:dyDescent="0.25">
      <c r="B157" s="15"/>
      <c r="G157" s="15"/>
    </row>
    <row r="158" spans="2:7" x14ac:dyDescent="0.25">
      <c r="B158" s="15"/>
      <c r="G158" s="15"/>
    </row>
    <row r="159" spans="2:7" x14ac:dyDescent="0.25">
      <c r="B159" s="15"/>
      <c r="G159" s="15"/>
    </row>
    <row r="160" spans="2:7" x14ac:dyDescent="0.25">
      <c r="B160" s="15"/>
      <c r="G160" s="15"/>
    </row>
    <row r="161" spans="2:7" x14ac:dyDescent="0.25">
      <c r="B161" s="15"/>
      <c r="G161" s="15"/>
    </row>
    <row r="162" spans="2:7" x14ac:dyDescent="0.25">
      <c r="B162" s="15"/>
      <c r="G162" s="15"/>
    </row>
    <row r="163" spans="2:7" x14ac:dyDescent="0.25">
      <c r="B163" s="15"/>
      <c r="G163" s="15"/>
    </row>
    <row r="164" spans="2:7" x14ac:dyDescent="0.25">
      <c r="B164" s="15"/>
      <c r="G164" s="15"/>
    </row>
    <row r="165" spans="2:7" x14ac:dyDescent="0.25">
      <c r="B165" s="15"/>
      <c r="G165" s="15"/>
    </row>
    <row r="166" spans="2:7" x14ac:dyDescent="0.25">
      <c r="B166" s="15"/>
      <c r="G166" s="15"/>
    </row>
    <row r="167" spans="2:7" x14ac:dyDescent="0.25">
      <c r="B167" s="15"/>
      <c r="G167" s="15"/>
    </row>
    <row r="168" spans="2:7" x14ac:dyDescent="0.25">
      <c r="B168" s="15"/>
      <c r="G168" s="15"/>
    </row>
    <row r="169" spans="2:7" x14ac:dyDescent="0.25">
      <c r="B169" s="15"/>
      <c r="G169" s="15"/>
    </row>
    <row r="170" spans="2:7" x14ac:dyDescent="0.25">
      <c r="B170" s="15"/>
      <c r="G170" s="15"/>
    </row>
    <row r="171" spans="2:7" x14ac:dyDescent="0.25">
      <c r="B171" s="15"/>
      <c r="G171" s="15"/>
    </row>
    <row r="172" spans="2:7" x14ac:dyDescent="0.25">
      <c r="B172" s="15"/>
      <c r="G172" s="15"/>
    </row>
    <row r="173" spans="2:7" x14ac:dyDescent="0.25">
      <c r="B173" s="15"/>
      <c r="G173" s="15"/>
    </row>
    <row r="174" spans="2:7" x14ac:dyDescent="0.25">
      <c r="B174" s="15"/>
      <c r="G174" s="15"/>
    </row>
    <row r="175" spans="2:7" x14ac:dyDescent="0.25">
      <c r="B175" s="15"/>
      <c r="G175" s="15"/>
    </row>
    <row r="176" spans="2:7" x14ac:dyDescent="0.25">
      <c r="B176" s="15"/>
      <c r="G176" s="15"/>
    </row>
    <row r="177" spans="2:7" x14ac:dyDescent="0.25">
      <c r="B177" s="15"/>
      <c r="G177" s="15"/>
    </row>
    <row r="178" spans="2:7" x14ac:dyDescent="0.25">
      <c r="B178" s="15"/>
      <c r="G178" s="15"/>
    </row>
    <row r="179" spans="2:7" x14ac:dyDescent="0.25">
      <c r="B179" s="15"/>
      <c r="G179" s="15"/>
    </row>
    <row r="180" spans="2:7" x14ac:dyDescent="0.25">
      <c r="B180" s="15"/>
      <c r="G180" s="15"/>
    </row>
    <row r="181" spans="2:7" x14ac:dyDescent="0.25">
      <c r="B181" s="15"/>
      <c r="G181" s="15"/>
    </row>
    <row r="182" spans="2:7" x14ac:dyDescent="0.25">
      <c r="B182" s="15"/>
      <c r="G182" s="15"/>
    </row>
    <row r="183" spans="2:7" x14ac:dyDescent="0.25">
      <c r="B183" s="15"/>
      <c r="G183" s="15"/>
    </row>
    <row r="184" spans="2:7" x14ac:dyDescent="0.25">
      <c r="B184" s="15"/>
      <c r="G184" s="15"/>
    </row>
    <row r="185" spans="2:7" x14ac:dyDescent="0.25">
      <c r="B185" s="15"/>
      <c r="G185" s="15"/>
    </row>
    <row r="186" spans="2:7" x14ac:dyDescent="0.25">
      <c r="B186" s="15"/>
      <c r="G186" s="15"/>
    </row>
    <row r="187" spans="2:7" x14ac:dyDescent="0.25">
      <c r="B187" s="15"/>
      <c r="G187" s="15"/>
    </row>
    <row r="188" spans="2:7" x14ac:dyDescent="0.25">
      <c r="B188" s="15"/>
      <c r="G188" s="15"/>
    </row>
    <row r="189" spans="2:7" x14ac:dyDescent="0.25">
      <c r="B189" s="15"/>
      <c r="G189" s="15"/>
    </row>
    <row r="190" spans="2:7" x14ac:dyDescent="0.25">
      <c r="B190" s="15"/>
      <c r="G190" s="15"/>
    </row>
    <row r="191" spans="2:7" x14ac:dyDescent="0.25">
      <c r="B191" s="15"/>
      <c r="G191" s="15"/>
    </row>
    <row r="192" spans="2:7" x14ac:dyDescent="0.25">
      <c r="B192" s="15"/>
      <c r="G192" s="15"/>
    </row>
    <row r="193" spans="2:7" x14ac:dyDescent="0.25">
      <c r="B193" s="15"/>
      <c r="G193" s="15"/>
    </row>
    <row r="194" spans="2:7" x14ac:dyDescent="0.25">
      <c r="B194" s="15"/>
      <c r="G194" s="15"/>
    </row>
    <row r="195" spans="2:7" x14ac:dyDescent="0.25">
      <c r="B195" s="15"/>
      <c r="G195" s="15"/>
    </row>
    <row r="196" spans="2:7" x14ac:dyDescent="0.25">
      <c r="B196" s="15"/>
      <c r="G196" s="15"/>
    </row>
    <row r="197" spans="2:7" x14ac:dyDescent="0.25">
      <c r="B197" s="15"/>
      <c r="G197" s="15"/>
    </row>
    <row r="198" spans="2:7" x14ac:dyDescent="0.25">
      <c r="B198" s="15"/>
      <c r="G198" s="15"/>
    </row>
    <row r="199" spans="2:7" x14ac:dyDescent="0.25">
      <c r="B199" s="15"/>
      <c r="G199" s="15"/>
    </row>
    <row r="200" spans="2:7" x14ac:dyDescent="0.25">
      <c r="B200" s="15"/>
      <c r="G200" s="15"/>
    </row>
    <row r="201" spans="2:7" x14ac:dyDescent="0.25">
      <c r="B201" s="15"/>
      <c r="G201" s="15"/>
    </row>
    <row r="202" spans="2:7" x14ac:dyDescent="0.25">
      <c r="B202" s="15"/>
      <c r="G202" s="15"/>
    </row>
    <row r="203" spans="2:7" x14ac:dyDescent="0.25">
      <c r="B203" s="15"/>
      <c r="G203" s="15"/>
    </row>
    <row r="204" spans="2:7" x14ac:dyDescent="0.25">
      <c r="B204" s="15"/>
      <c r="G204" s="15"/>
    </row>
    <row r="205" spans="2:7" x14ac:dyDescent="0.25">
      <c r="B205" s="15"/>
      <c r="G205" s="15"/>
    </row>
    <row r="206" spans="2:7" x14ac:dyDescent="0.25">
      <c r="B206" s="15"/>
      <c r="G206" s="15"/>
    </row>
    <row r="207" spans="2:7" x14ac:dyDescent="0.25">
      <c r="B207" s="15"/>
      <c r="G207" s="15"/>
    </row>
    <row r="208" spans="2:7" x14ac:dyDescent="0.25">
      <c r="B208" s="15"/>
      <c r="G208" s="15"/>
    </row>
    <row r="209" spans="2:7" x14ac:dyDescent="0.25">
      <c r="B209" s="15"/>
      <c r="G209" s="15"/>
    </row>
    <row r="210" spans="2:7" x14ac:dyDescent="0.25">
      <c r="B210" s="15"/>
      <c r="G210" s="15"/>
    </row>
    <row r="211" spans="2:7" x14ac:dyDescent="0.25">
      <c r="B211" s="15"/>
      <c r="G211" s="15"/>
    </row>
    <row r="212" spans="2:7" x14ac:dyDescent="0.25">
      <c r="B212" s="15"/>
      <c r="G212" s="15"/>
    </row>
    <row r="213" spans="2:7" x14ac:dyDescent="0.25">
      <c r="B213" s="15"/>
      <c r="G213" s="15"/>
    </row>
    <row r="214" spans="2:7" x14ac:dyDescent="0.25">
      <c r="B214" s="15"/>
      <c r="G214" s="15"/>
    </row>
    <row r="215" spans="2:7" x14ac:dyDescent="0.25">
      <c r="B215" s="15"/>
      <c r="G215" s="15"/>
    </row>
    <row r="216" spans="2:7" x14ac:dyDescent="0.25">
      <c r="B216" s="15"/>
      <c r="G216" s="15"/>
    </row>
    <row r="217" spans="2:7" x14ac:dyDescent="0.25">
      <c r="B217" s="15"/>
      <c r="G217" s="15"/>
    </row>
    <row r="218" spans="2:7" x14ac:dyDescent="0.25">
      <c r="B218" s="15"/>
      <c r="G218" s="15"/>
    </row>
    <row r="219" spans="2:7" x14ac:dyDescent="0.25">
      <c r="B219" s="15"/>
      <c r="G219" s="15"/>
    </row>
    <row r="220" spans="2:7" x14ac:dyDescent="0.25">
      <c r="B220" s="15"/>
      <c r="G220" s="15"/>
    </row>
    <row r="221" spans="2:7" x14ac:dyDescent="0.25">
      <c r="B221" s="15"/>
      <c r="G221" s="15"/>
    </row>
    <row r="222" spans="2:7" x14ac:dyDescent="0.25">
      <c r="B222" s="15"/>
      <c r="G222" s="15"/>
    </row>
    <row r="223" spans="2:7" x14ac:dyDescent="0.25">
      <c r="B223" s="15"/>
      <c r="G223" s="15"/>
    </row>
    <row r="224" spans="2:7" x14ac:dyDescent="0.25">
      <c r="B224" s="15"/>
      <c r="G224" s="15"/>
    </row>
    <row r="225" spans="2:7" x14ac:dyDescent="0.25">
      <c r="B225" s="15"/>
      <c r="G225" s="15"/>
    </row>
    <row r="226" spans="2:7" x14ac:dyDescent="0.25">
      <c r="B226" s="15"/>
      <c r="G226" s="15"/>
    </row>
    <row r="227" spans="2:7" x14ac:dyDescent="0.25">
      <c r="B227" s="15"/>
      <c r="G227" s="15"/>
    </row>
    <row r="228" spans="2:7" x14ac:dyDescent="0.25">
      <c r="B228" s="15"/>
      <c r="G228" s="15"/>
    </row>
    <row r="229" spans="2:7" x14ac:dyDescent="0.25">
      <c r="B229" s="15"/>
      <c r="G229" s="15"/>
    </row>
    <row r="230" spans="2:7" x14ac:dyDescent="0.25">
      <c r="B230" s="15"/>
      <c r="G230" s="15"/>
    </row>
    <row r="231" spans="2:7" x14ac:dyDescent="0.25">
      <c r="B231" s="15"/>
      <c r="G231" s="15"/>
    </row>
    <row r="232" spans="2:7" x14ac:dyDescent="0.25">
      <c r="B232" s="15"/>
      <c r="G232" s="15"/>
    </row>
    <row r="233" spans="2:7" x14ac:dyDescent="0.25">
      <c r="B233" s="15"/>
      <c r="G233" s="15"/>
    </row>
    <row r="234" spans="2:7" x14ac:dyDescent="0.25">
      <c r="B234" s="15"/>
      <c r="G234" s="15"/>
    </row>
    <row r="235" spans="2:7" x14ac:dyDescent="0.25">
      <c r="B235" s="15"/>
      <c r="G235" s="15"/>
    </row>
    <row r="236" spans="2:7" x14ac:dyDescent="0.25">
      <c r="B236" s="15"/>
      <c r="G236" s="15"/>
    </row>
    <row r="237" spans="2:7" x14ac:dyDescent="0.25">
      <c r="B237" s="15"/>
      <c r="G237" s="15"/>
    </row>
    <row r="238" spans="2:7" x14ac:dyDescent="0.25">
      <c r="B238" s="15"/>
      <c r="G238" s="15"/>
    </row>
    <row r="239" spans="2:7" x14ac:dyDescent="0.25">
      <c r="B239" s="15"/>
      <c r="G239" s="15"/>
    </row>
    <row r="240" spans="2:7" x14ac:dyDescent="0.25">
      <c r="B240" s="15"/>
      <c r="G240" s="15"/>
    </row>
    <row r="241" spans="2:7" x14ac:dyDescent="0.25">
      <c r="B241" s="15"/>
      <c r="G241" s="15"/>
    </row>
    <row r="242" spans="2:7" x14ac:dyDescent="0.25">
      <c r="B242" s="15"/>
      <c r="G242" s="15"/>
    </row>
    <row r="243" spans="2:7" x14ac:dyDescent="0.25">
      <c r="B243" s="15"/>
      <c r="G243" s="15"/>
    </row>
    <row r="244" spans="2:7" x14ac:dyDescent="0.25">
      <c r="B244" s="15"/>
      <c r="G244" s="15"/>
    </row>
    <row r="245" spans="2:7" x14ac:dyDescent="0.25">
      <c r="B245" s="15"/>
      <c r="G245" s="15"/>
    </row>
    <row r="246" spans="2:7" x14ac:dyDescent="0.25">
      <c r="B246" s="15"/>
      <c r="G246" s="15"/>
    </row>
    <row r="247" spans="2:7" x14ac:dyDescent="0.25">
      <c r="B247" s="15"/>
      <c r="G247" s="15"/>
    </row>
    <row r="248" spans="2:7" x14ac:dyDescent="0.25">
      <c r="B248" s="15"/>
      <c r="G248" s="15"/>
    </row>
    <row r="249" spans="2:7" x14ac:dyDescent="0.25">
      <c r="B249" s="15"/>
      <c r="G249" s="15"/>
    </row>
    <row r="250" spans="2:7" x14ac:dyDescent="0.25">
      <c r="B250" s="15"/>
      <c r="G250" s="15"/>
    </row>
    <row r="251" spans="2:7" x14ac:dyDescent="0.25">
      <c r="B251" s="15"/>
      <c r="G251" s="15"/>
    </row>
    <row r="252" spans="2:7" x14ac:dyDescent="0.25">
      <c r="B252" s="15"/>
      <c r="G252" s="15"/>
    </row>
    <row r="253" spans="2:7" x14ac:dyDescent="0.25">
      <c r="B253" s="15"/>
      <c r="G253" s="15"/>
    </row>
    <row r="254" spans="2:7" x14ac:dyDescent="0.25">
      <c r="B254" s="15"/>
      <c r="G254" s="15"/>
    </row>
    <row r="255" spans="2:7" x14ac:dyDescent="0.25">
      <c r="B255" s="15"/>
      <c r="G255" s="15"/>
    </row>
    <row r="256" spans="2:7" x14ac:dyDescent="0.25">
      <c r="B256" s="15"/>
      <c r="G256" s="15"/>
    </row>
    <row r="257" spans="2:7" x14ac:dyDescent="0.25">
      <c r="B257" s="15"/>
      <c r="G257" s="15"/>
    </row>
    <row r="258" spans="2:7" x14ac:dyDescent="0.25">
      <c r="B258" s="15"/>
      <c r="G258" s="15"/>
    </row>
    <row r="259" spans="2:7" x14ac:dyDescent="0.25">
      <c r="B259" s="15"/>
      <c r="G259" s="15"/>
    </row>
    <row r="260" spans="2:7" x14ac:dyDescent="0.25">
      <c r="B260" s="15"/>
      <c r="G260" s="15"/>
    </row>
    <row r="261" spans="2:7" x14ac:dyDescent="0.25">
      <c r="B261" s="15"/>
      <c r="G261" s="15"/>
    </row>
    <row r="262" spans="2:7" x14ac:dyDescent="0.25">
      <c r="B262" s="15"/>
      <c r="G262" s="15"/>
    </row>
    <row r="263" spans="2:7" x14ac:dyDescent="0.25">
      <c r="B263" s="15"/>
      <c r="G263" s="15"/>
    </row>
    <row r="264" spans="2:7" x14ac:dyDescent="0.25">
      <c r="B264" s="15"/>
      <c r="G264" s="15"/>
    </row>
    <row r="265" spans="2:7" x14ac:dyDescent="0.25">
      <c r="B265" s="15"/>
      <c r="G265" s="15"/>
    </row>
    <row r="266" spans="2:7" x14ac:dyDescent="0.25">
      <c r="B266" s="15"/>
      <c r="G266" s="15"/>
    </row>
    <row r="267" spans="2:7" x14ac:dyDescent="0.25">
      <c r="B267" s="15"/>
      <c r="G267" s="15"/>
    </row>
    <row r="268" spans="2:7" x14ac:dyDescent="0.25">
      <c r="B268" s="15"/>
      <c r="G268" s="15"/>
    </row>
    <row r="269" spans="2:7" x14ac:dyDescent="0.25">
      <c r="B269" s="15"/>
      <c r="G269" s="15"/>
    </row>
    <row r="270" spans="2:7" x14ac:dyDescent="0.25">
      <c r="B270" s="15"/>
      <c r="G270" s="15"/>
    </row>
    <row r="271" spans="2:7" x14ac:dyDescent="0.25">
      <c r="B271" s="15"/>
      <c r="G271" s="15"/>
    </row>
    <row r="272" spans="2:7" x14ac:dyDescent="0.25">
      <c r="B272" s="15"/>
      <c r="G272" s="15"/>
    </row>
    <row r="273" spans="2:7" x14ac:dyDescent="0.25">
      <c r="B273" s="15"/>
      <c r="G273" s="15"/>
    </row>
    <row r="274" spans="2:7" x14ac:dyDescent="0.25">
      <c r="B274" s="15"/>
      <c r="G274" s="15"/>
    </row>
    <row r="275" spans="2:7" x14ac:dyDescent="0.25">
      <c r="B275" s="15"/>
      <c r="G275" s="15"/>
    </row>
    <row r="276" spans="2:7" x14ac:dyDescent="0.25">
      <c r="B276" s="15"/>
      <c r="G276" s="15"/>
    </row>
    <row r="277" spans="2:7" x14ac:dyDescent="0.25">
      <c r="B277" s="15"/>
      <c r="G277" s="15"/>
    </row>
    <row r="278" spans="2:7" x14ac:dyDescent="0.25">
      <c r="B278" s="15"/>
      <c r="G278" s="15"/>
    </row>
    <row r="279" spans="2:7" x14ac:dyDescent="0.25">
      <c r="B279" s="15"/>
      <c r="G279" s="15"/>
    </row>
    <row r="280" spans="2:7" x14ac:dyDescent="0.25">
      <c r="B280" s="15"/>
      <c r="G280" s="15"/>
    </row>
    <row r="281" spans="2:7" x14ac:dyDescent="0.25">
      <c r="B281" s="15"/>
      <c r="G281" s="15"/>
    </row>
    <row r="282" spans="2:7" x14ac:dyDescent="0.25">
      <c r="B282" s="15"/>
      <c r="G282" s="15"/>
    </row>
    <row r="283" spans="2:7" x14ac:dyDescent="0.25">
      <c r="B283" s="15"/>
      <c r="G283" s="15"/>
    </row>
    <row r="284" spans="2:7" x14ac:dyDescent="0.25">
      <c r="B284" s="15"/>
      <c r="G284" s="15"/>
    </row>
    <row r="285" spans="2:7" x14ac:dyDescent="0.25">
      <c r="B285" s="15"/>
      <c r="G285" s="15"/>
    </row>
    <row r="286" spans="2:7" x14ac:dyDescent="0.25">
      <c r="B286" s="15"/>
      <c r="G286" s="15"/>
    </row>
    <row r="287" spans="2:7" x14ac:dyDescent="0.25">
      <c r="B287" s="15"/>
      <c r="G287" s="15"/>
    </row>
    <row r="288" spans="2:7" x14ac:dyDescent="0.25">
      <c r="B288" s="15"/>
      <c r="G288" s="15"/>
    </row>
    <row r="289" spans="2:7" x14ac:dyDescent="0.25">
      <c r="B289" s="15"/>
      <c r="G289" s="15"/>
    </row>
    <row r="290" spans="2:7" x14ac:dyDescent="0.25">
      <c r="B290" s="15"/>
      <c r="G290" s="15"/>
    </row>
    <row r="291" spans="2:7" x14ac:dyDescent="0.25">
      <c r="B291" s="15"/>
      <c r="G291" s="15"/>
    </row>
    <row r="292" spans="2:7" x14ac:dyDescent="0.25">
      <c r="B292" s="15"/>
      <c r="G292" s="15"/>
    </row>
    <row r="293" spans="2:7" x14ac:dyDescent="0.25">
      <c r="B293" s="15"/>
      <c r="G293" s="15"/>
    </row>
    <row r="294" spans="2:7" x14ac:dyDescent="0.25">
      <c r="B294" s="15"/>
      <c r="G294" s="15"/>
    </row>
    <row r="295" spans="2:7" x14ac:dyDescent="0.25">
      <c r="B295" s="15"/>
      <c r="G295" s="15"/>
    </row>
    <row r="296" spans="2:7" x14ac:dyDescent="0.25">
      <c r="B296" s="15"/>
      <c r="G296" s="15"/>
    </row>
    <row r="297" spans="2:7" x14ac:dyDescent="0.25">
      <c r="B297" s="15"/>
      <c r="G297" s="15"/>
    </row>
    <row r="298" spans="2:7" x14ac:dyDescent="0.25">
      <c r="B298" s="15"/>
      <c r="G298" s="15"/>
    </row>
    <row r="299" spans="2:7" x14ac:dyDescent="0.25">
      <c r="B299" s="15"/>
      <c r="G299" s="15"/>
    </row>
    <row r="300" spans="2:7" x14ac:dyDescent="0.25">
      <c r="B300" s="15"/>
      <c r="G300" s="15"/>
    </row>
    <row r="301" spans="2:7" x14ac:dyDescent="0.25">
      <c r="B301" s="15"/>
      <c r="G301" s="15"/>
    </row>
    <row r="302" spans="2:7" x14ac:dyDescent="0.25">
      <c r="B302" s="15"/>
      <c r="G302" s="15"/>
    </row>
    <row r="303" spans="2:7" x14ac:dyDescent="0.25">
      <c r="B303" s="15"/>
      <c r="G303" s="15"/>
    </row>
    <row r="304" spans="2:7" x14ac:dyDescent="0.25">
      <c r="B304" s="15"/>
      <c r="G304" s="15"/>
    </row>
    <row r="305" spans="2:7" x14ac:dyDescent="0.25">
      <c r="B305" s="15"/>
      <c r="G305" s="15"/>
    </row>
    <row r="306" spans="2:7" x14ac:dyDescent="0.25">
      <c r="B306" s="15"/>
      <c r="G306" s="15"/>
    </row>
    <row r="307" spans="2:7" x14ac:dyDescent="0.25">
      <c r="B307" s="15"/>
      <c r="G307" s="15"/>
    </row>
    <row r="308" spans="2:7" x14ac:dyDescent="0.25">
      <c r="B308" s="15"/>
      <c r="G308" s="15"/>
    </row>
    <row r="309" spans="2:7" x14ac:dyDescent="0.25">
      <c r="B309" s="15"/>
      <c r="G309" s="15"/>
    </row>
    <row r="310" spans="2:7" x14ac:dyDescent="0.25">
      <c r="B310" s="15"/>
      <c r="G310" s="15"/>
    </row>
    <row r="311" spans="2:7" x14ac:dyDescent="0.25">
      <c r="B311" s="15"/>
      <c r="G311" s="15"/>
    </row>
    <row r="312" spans="2:7" x14ac:dyDescent="0.25">
      <c r="B312" s="15"/>
      <c r="G312" s="15"/>
    </row>
    <row r="313" spans="2:7" x14ac:dyDescent="0.25">
      <c r="B313" s="15"/>
      <c r="G313" s="15"/>
    </row>
    <row r="314" spans="2:7" x14ac:dyDescent="0.25">
      <c r="B314" s="15"/>
      <c r="G314" s="15"/>
    </row>
    <row r="315" spans="2:7" x14ac:dyDescent="0.25">
      <c r="B315" s="15"/>
      <c r="G315" s="15"/>
    </row>
    <row r="316" spans="2:7" x14ac:dyDescent="0.25">
      <c r="B316" s="15"/>
      <c r="G316" s="15"/>
    </row>
    <row r="317" spans="2:7" x14ac:dyDescent="0.25">
      <c r="B317" s="15"/>
      <c r="G317" s="15"/>
    </row>
    <row r="318" spans="2:7" x14ac:dyDescent="0.25">
      <c r="B318" s="15"/>
      <c r="G318" s="15"/>
    </row>
    <row r="319" spans="2:7" x14ac:dyDescent="0.25">
      <c r="B319" s="15"/>
      <c r="G319" s="15"/>
    </row>
    <row r="320" spans="2:7" x14ac:dyDescent="0.25">
      <c r="B320" s="15"/>
      <c r="G320" s="15"/>
    </row>
    <row r="321" spans="2:7" x14ac:dyDescent="0.25">
      <c r="B321" s="15"/>
      <c r="G321" s="15"/>
    </row>
    <row r="322" spans="2:7" x14ac:dyDescent="0.25">
      <c r="B322" s="15"/>
      <c r="G322" s="15"/>
    </row>
    <row r="323" spans="2:7" x14ac:dyDescent="0.25">
      <c r="B323" s="15"/>
      <c r="G323" s="15"/>
    </row>
    <row r="324" spans="2:7" x14ac:dyDescent="0.25">
      <c r="B324" s="15"/>
      <c r="G324" s="15"/>
    </row>
    <row r="325" spans="2:7" x14ac:dyDescent="0.25">
      <c r="B325" s="15"/>
      <c r="G325" s="15"/>
    </row>
    <row r="326" spans="2:7" x14ac:dyDescent="0.25">
      <c r="B326" s="15"/>
      <c r="G326" s="15"/>
    </row>
    <row r="327" spans="2:7" x14ac:dyDescent="0.25">
      <c r="B327" s="15"/>
      <c r="G327" s="15"/>
    </row>
    <row r="328" spans="2:7" x14ac:dyDescent="0.25">
      <c r="B328" s="15"/>
      <c r="G328" s="15"/>
    </row>
    <row r="329" spans="2:7" x14ac:dyDescent="0.25">
      <c r="B329" s="15"/>
      <c r="G329" s="15"/>
    </row>
    <row r="330" spans="2:7" x14ac:dyDescent="0.25">
      <c r="B330" s="15"/>
      <c r="G330" s="15"/>
    </row>
    <row r="331" spans="2:7" x14ac:dyDescent="0.25">
      <c r="B331" s="15"/>
      <c r="G331" s="15"/>
    </row>
    <row r="332" spans="2:7" x14ac:dyDescent="0.25">
      <c r="B332" s="15"/>
      <c r="G332" s="15"/>
    </row>
    <row r="333" spans="2:7" x14ac:dyDescent="0.25">
      <c r="B333" s="15"/>
      <c r="G333" s="15"/>
    </row>
    <row r="334" spans="2:7" x14ac:dyDescent="0.25">
      <c r="B334" s="15"/>
      <c r="G334" s="15"/>
    </row>
    <row r="335" spans="2:7" x14ac:dyDescent="0.25">
      <c r="B335" s="15"/>
      <c r="G335" s="15"/>
    </row>
    <row r="336" spans="2:7" x14ac:dyDescent="0.25">
      <c r="B336" s="15"/>
      <c r="G336" s="15"/>
    </row>
    <row r="337" spans="2:7" x14ac:dyDescent="0.25">
      <c r="B337" s="15"/>
      <c r="G337" s="15"/>
    </row>
    <row r="338" spans="2:7" x14ac:dyDescent="0.25">
      <c r="B338" s="15"/>
      <c r="G338" s="15"/>
    </row>
    <row r="339" spans="2:7" x14ac:dyDescent="0.25">
      <c r="B339" s="15"/>
      <c r="G339" s="15"/>
    </row>
    <row r="340" spans="2:7" x14ac:dyDescent="0.25">
      <c r="B340" s="15"/>
      <c r="G340" s="15"/>
    </row>
    <row r="341" spans="2:7" x14ac:dyDescent="0.25">
      <c r="B341" s="15"/>
      <c r="G341" s="15"/>
    </row>
    <row r="342" spans="2:7" x14ac:dyDescent="0.25">
      <c r="B342" s="15"/>
      <c r="G342" s="15"/>
    </row>
    <row r="343" spans="2:7" x14ac:dyDescent="0.25">
      <c r="B343" s="15"/>
      <c r="G343" s="15"/>
    </row>
    <row r="344" spans="2:7" x14ac:dyDescent="0.25">
      <c r="B344" s="15"/>
      <c r="G344" s="15"/>
    </row>
    <row r="345" spans="2:7" x14ac:dyDescent="0.25">
      <c r="B345" s="15"/>
      <c r="G345" s="15"/>
    </row>
    <row r="346" spans="2:7" x14ac:dyDescent="0.25">
      <c r="B346" s="15"/>
      <c r="G346" s="15"/>
    </row>
    <row r="347" spans="2:7" x14ac:dyDescent="0.25">
      <c r="B347" s="15"/>
      <c r="G347" s="15"/>
    </row>
    <row r="348" spans="2:7" x14ac:dyDescent="0.25">
      <c r="B348" s="15"/>
      <c r="G348" s="15"/>
    </row>
    <row r="349" spans="2:7" x14ac:dyDescent="0.25">
      <c r="B349" s="15"/>
      <c r="G349" s="15"/>
    </row>
    <row r="350" spans="2:7" x14ac:dyDescent="0.25">
      <c r="B350" s="15"/>
      <c r="G350" s="15"/>
    </row>
    <row r="351" spans="2:7" x14ac:dyDescent="0.25">
      <c r="B351" s="15"/>
      <c r="G351" s="15"/>
    </row>
    <row r="352" spans="2:7" x14ac:dyDescent="0.25">
      <c r="B352" s="15"/>
      <c r="G352" s="15"/>
    </row>
    <row r="353" spans="2:7" x14ac:dyDescent="0.25">
      <c r="B353" s="15"/>
      <c r="G353" s="15"/>
    </row>
    <row r="354" spans="2:7" x14ac:dyDescent="0.25">
      <c r="B354" s="15"/>
      <c r="G354" s="15"/>
    </row>
    <row r="355" spans="2:7" x14ac:dyDescent="0.25">
      <c r="B355" s="15"/>
      <c r="G355" s="15"/>
    </row>
    <row r="356" spans="2:7" x14ac:dyDescent="0.25">
      <c r="B356" s="15"/>
      <c r="G356" s="15"/>
    </row>
    <row r="357" spans="2:7" x14ac:dyDescent="0.25">
      <c r="B357" s="15"/>
      <c r="G357" s="15"/>
    </row>
    <row r="358" spans="2:7" x14ac:dyDescent="0.25">
      <c r="B358" s="15"/>
      <c r="G358" s="15"/>
    </row>
    <row r="359" spans="2:7" x14ac:dyDescent="0.25">
      <c r="B359" s="15"/>
      <c r="G359" s="15"/>
    </row>
    <row r="360" spans="2:7" x14ac:dyDescent="0.25">
      <c r="B360" s="15"/>
      <c r="G360" s="15"/>
    </row>
    <row r="361" spans="2:7" x14ac:dyDescent="0.25">
      <c r="B361" s="15"/>
      <c r="G361" s="15"/>
    </row>
    <row r="362" spans="2:7" x14ac:dyDescent="0.25">
      <c r="B362" s="15"/>
      <c r="G362" s="15"/>
    </row>
    <row r="363" spans="2:7" x14ac:dyDescent="0.25">
      <c r="B363" s="15"/>
      <c r="G363" s="15"/>
    </row>
    <row r="364" spans="2:7" x14ac:dyDescent="0.25">
      <c r="B364" s="15"/>
      <c r="G364" s="15"/>
    </row>
    <row r="365" spans="2:7" x14ac:dyDescent="0.25">
      <c r="B365" s="15"/>
      <c r="G365" s="15"/>
    </row>
    <row r="366" spans="2:7" x14ac:dyDescent="0.25">
      <c r="B366" s="15"/>
      <c r="G366" s="15"/>
    </row>
    <row r="367" spans="2:7" x14ac:dyDescent="0.25">
      <c r="B367" s="15"/>
      <c r="G367" s="15"/>
    </row>
    <row r="368" spans="2:7" x14ac:dyDescent="0.25">
      <c r="B368" s="15"/>
      <c r="G368" s="15"/>
    </row>
    <row r="369" spans="2:7" x14ac:dyDescent="0.25">
      <c r="B369" s="15"/>
      <c r="G369" s="15"/>
    </row>
    <row r="370" spans="2:7" x14ac:dyDescent="0.25">
      <c r="B370" s="15"/>
      <c r="G370" s="15"/>
    </row>
    <row r="371" spans="2:7" x14ac:dyDescent="0.25">
      <c r="B371" s="15"/>
      <c r="G371" s="15"/>
    </row>
    <row r="372" spans="2:7" x14ac:dyDescent="0.25">
      <c r="B372" s="15"/>
      <c r="G372" s="15"/>
    </row>
    <row r="373" spans="2:7" x14ac:dyDescent="0.25">
      <c r="B373" s="15"/>
      <c r="G373" s="15"/>
    </row>
    <row r="374" spans="2:7" x14ac:dyDescent="0.25">
      <c r="B374" s="15"/>
      <c r="G374" s="15"/>
    </row>
    <row r="375" spans="2:7" x14ac:dyDescent="0.25">
      <c r="B375" s="15"/>
      <c r="G375" s="15"/>
    </row>
    <row r="376" spans="2:7" x14ac:dyDescent="0.25">
      <c r="B376" s="15"/>
      <c r="G376" s="15"/>
    </row>
    <row r="377" spans="2:7" x14ac:dyDescent="0.25">
      <c r="B377" s="15"/>
      <c r="G377" s="15"/>
    </row>
    <row r="378" spans="2:7" x14ac:dyDescent="0.25">
      <c r="B378" s="15"/>
      <c r="G378" s="15"/>
    </row>
    <row r="379" spans="2:7" x14ac:dyDescent="0.25">
      <c r="B379" s="15"/>
      <c r="G379" s="15"/>
    </row>
    <row r="380" spans="2:7" x14ac:dyDescent="0.25">
      <c r="B380" s="15"/>
      <c r="G380" s="15"/>
    </row>
    <row r="381" spans="2:7" x14ac:dyDescent="0.25">
      <c r="B381" s="15"/>
      <c r="G381" s="15"/>
    </row>
    <row r="382" spans="2:7" x14ac:dyDescent="0.25">
      <c r="B382" s="15"/>
      <c r="G382" s="15"/>
    </row>
    <row r="383" spans="2:7" x14ac:dyDescent="0.25">
      <c r="B383" s="15"/>
      <c r="G383" s="15"/>
    </row>
    <row r="384" spans="2:7" x14ac:dyDescent="0.25">
      <c r="B384" s="15"/>
      <c r="G384" s="15"/>
    </row>
    <row r="385" spans="2:7" x14ac:dyDescent="0.25">
      <c r="B385" s="15"/>
      <c r="G385" s="15"/>
    </row>
    <row r="386" spans="2:7" x14ac:dyDescent="0.25">
      <c r="B386" s="15"/>
      <c r="G386" s="15"/>
    </row>
    <row r="387" spans="2:7" x14ac:dyDescent="0.25">
      <c r="B387" s="15"/>
      <c r="G387" s="15"/>
    </row>
    <row r="388" spans="2:7" x14ac:dyDescent="0.25">
      <c r="B388" s="15"/>
      <c r="G388" s="15"/>
    </row>
    <row r="389" spans="2:7" x14ac:dyDescent="0.25">
      <c r="B389" s="15"/>
      <c r="G389" s="15"/>
    </row>
    <row r="390" spans="2:7" x14ac:dyDescent="0.25">
      <c r="B390" s="15"/>
      <c r="G390" s="15"/>
    </row>
    <row r="391" spans="2:7" x14ac:dyDescent="0.25">
      <c r="B391" s="15"/>
      <c r="G391" s="15"/>
    </row>
    <row r="392" spans="2:7" x14ac:dyDescent="0.25">
      <c r="B392" s="15"/>
      <c r="G392" s="15"/>
    </row>
    <row r="393" spans="2:7" x14ac:dyDescent="0.25">
      <c r="B393" s="15"/>
      <c r="G393" s="15"/>
    </row>
    <row r="394" spans="2:7" x14ac:dyDescent="0.25">
      <c r="B394" s="15"/>
      <c r="G394" s="15"/>
    </row>
    <row r="395" spans="2:7" x14ac:dyDescent="0.25">
      <c r="B395" s="15"/>
      <c r="G395" s="15"/>
    </row>
    <row r="396" spans="2:7" x14ac:dyDescent="0.25">
      <c r="B396" s="15"/>
      <c r="G396" s="15"/>
    </row>
    <row r="397" spans="2:7" x14ac:dyDescent="0.25">
      <c r="B397" s="15"/>
      <c r="G397" s="15"/>
    </row>
    <row r="398" spans="2:7" x14ac:dyDescent="0.25">
      <c r="B398" s="15"/>
      <c r="G398" s="15"/>
    </row>
    <row r="399" spans="2:7" x14ac:dyDescent="0.25">
      <c r="B399" s="15"/>
      <c r="G399" s="15"/>
    </row>
    <row r="400" spans="2:7" x14ac:dyDescent="0.25">
      <c r="B400" s="15"/>
      <c r="G400" s="15"/>
    </row>
    <row r="401" spans="2:7" x14ac:dyDescent="0.25">
      <c r="B401" s="15"/>
      <c r="G401" s="15"/>
    </row>
    <row r="402" spans="2:7" x14ac:dyDescent="0.25">
      <c r="B402" s="15"/>
      <c r="G402" s="15"/>
    </row>
    <row r="403" spans="2:7" x14ac:dyDescent="0.25">
      <c r="B403" s="15"/>
      <c r="G403" s="15"/>
    </row>
    <row r="404" spans="2:7" x14ac:dyDescent="0.25">
      <c r="B404" s="15"/>
      <c r="G404" s="15"/>
    </row>
    <row r="405" spans="2:7" x14ac:dyDescent="0.25">
      <c r="B405" s="15"/>
      <c r="G405" s="15"/>
    </row>
    <row r="406" spans="2:7" x14ac:dyDescent="0.25">
      <c r="B406" s="15"/>
      <c r="G406" s="15"/>
    </row>
    <row r="407" spans="2:7" x14ac:dyDescent="0.25">
      <c r="B407" s="15"/>
      <c r="G407" s="15"/>
    </row>
    <row r="408" spans="2:7" x14ac:dyDescent="0.25">
      <c r="B408" s="15"/>
      <c r="G408" s="15"/>
    </row>
    <row r="409" spans="2:7" x14ac:dyDescent="0.25">
      <c r="B409" s="15"/>
      <c r="G409" s="15"/>
    </row>
    <row r="410" spans="2:7" x14ac:dyDescent="0.25">
      <c r="B410" s="15"/>
      <c r="G410" s="15"/>
    </row>
    <row r="411" spans="2:7" x14ac:dyDescent="0.25">
      <c r="B411" s="15"/>
      <c r="G411" s="15"/>
    </row>
    <row r="412" spans="2:7" x14ac:dyDescent="0.25">
      <c r="B412" s="15"/>
      <c r="G412" s="15"/>
    </row>
    <row r="413" spans="2:7" x14ac:dyDescent="0.25">
      <c r="B413" s="15"/>
      <c r="G413" s="15"/>
    </row>
    <row r="414" spans="2:7" x14ac:dyDescent="0.25">
      <c r="B414" s="15"/>
      <c r="G414" s="15"/>
    </row>
    <row r="415" spans="2:7" x14ac:dyDescent="0.25">
      <c r="B415" s="15"/>
      <c r="G415" s="15"/>
    </row>
    <row r="416" spans="2:7" x14ac:dyDescent="0.25">
      <c r="B416" s="15"/>
      <c r="G416" s="15"/>
    </row>
    <row r="417" spans="2:7" x14ac:dyDescent="0.25">
      <c r="B417" s="15"/>
      <c r="G417" s="15"/>
    </row>
    <row r="418" spans="2:7" x14ac:dyDescent="0.25">
      <c r="B418" s="15"/>
      <c r="G418" s="15"/>
    </row>
    <row r="419" spans="2:7" x14ac:dyDescent="0.25">
      <c r="B419" s="15"/>
      <c r="G419" s="15"/>
    </row>
    <row r="420" spans="2:7" x14ac:dyDescent="0.25">
      <c r="B420" s="15"/>
      <c r="G420" s="15"/>
    </row>
    <row r="421" spans="2:7" x14ac:dyDescent="0.25">
      <c r="B421" s="15"/>
      <c r="G421" s="15"/>
    </row>
    <row r="422" spans="2:7" x14ac:dyDescent="0.25">
      <c r="B422" s="15"/>
      <c r="G422" s="15"/>
    </row>
    <row r="423" spans="2:7" x14ac:dyDescent="0.25">
      <c r="B423" s="15"/>
      <c r="G423" s="15"/>
    </row>
    <row r="424" spans="2:7" x14ac:dyDescent="0.25">
      <c r="B424" s="15"/>
      <c r="G424" s="15"/>
    </row>
    <row r="425" spans="2:7" x14ac:dyDescent="0.25">
      <c r="B425" s="15"/>
      <c r="G425" s="15"/>
    </row>
    <row r="426" spans="2:7" x14ac:dyDescent="0.25">
      <c r="B426" s="15"/>
      <c r="G426" s="15"/>
    </row>
    <row r="427" spans="2:7" x14ac:dyDescent="0.25">
      <c r="B427" s="15"/>
      <c r="G427" s="15"/>
    </row>
    <row r="428" spans="2:7" x14ac:dyDescent="0.25">
      <c r="B428" s="15"/>
      <c r="G428" s="15"/>
    </row>
    <row r="429" spans="2:7" x14ac:dyDescent="0.25">
      <c r="B429" s="15"/>
      <c r="G429" s="15"/>
    </row>
    <row r="430" spans="2:7" x14ac:dyDescent="0.25">
      <c r="B430" s="15"/>
      <c r="G430" s="15"/>
    </row>
    <row r="431" spans="2:7" x14ac:dyDescent="0.25">
      <c r="B431" s="15"/>
      <c r="G431" s="15"/>
    </row>
    <row r="432" spans="2:7" x14ac:dyDescent="0.25">
      <c r="B432" s="15"/>
      <c r="G432" s="15"/>
    </row>
    <row r="433" spans="2:7" x14ac:dyDescent="0.25">
      <c r="B433" s="15"/>
      <c r="G433" s="15"/>
    </row>
    <row r="434" spans="2:7" x14ac:dyDescent="0.25">
      <c r="B434" s="15"/>
      <c r="G434" s="15"/>
    </row>
    <row r="435" spans="2:7" x14ac:dyDescent="0.25">
      <c r="B435" s="15"/>
      <c r="G435" s="15"/>
    </row>
    <row r="436" spans="2:7" x14ac:dyDescent="0.25">
      <c r="B436" s="15"/>
      <c r="G436" s="15"/>
    </row>
    <row r="437" spans="2:7" x14ac:dyDescent="0.25">
      <c r="B437" s="15"/>
      <c r="G437" s="15"/>
    </row>
    <row r="438" spans="2:7" x14ac:dyDescent="0.25">
      <c r="B438" s="15"/>
      <c r="G438" s="15"/>
    </row>
    <row r="439" spans="2:7" x14ac:dyDescent="0.25">
      <c r="B439" s="15"/>
      <c r="G439" s="15"/>
    </row>
    <row r="440" spans="2:7" x14ac:dyDescent="0.25">
      <c r="B440" s="15"/>
      <c r="G440" s="15"/>
    </row>
    <row r="441" spans="2:7" x14ac:dyDescent="0.25">
      <c r="B441" s="15"/>
      <c r="G441" s="15"/>
    </row>
    <row r="442" spans="2:7" x14ac:dyDescent="0.25">
      <c r="B442" s="15"/>
      <c r="G442" s="15"/>
    </row>
    <row r="443" spans="2:7" x14ac:dyDescent="0.25">
      <c r="B443" s="15"/>
      <c r="G443" s="15"/>
    </row>
    <row r="444" spans="2:7" x14ac:dyDescent="0.25">
      <c r="B444" s="15"/>
      <c r="G444" s="15"/>
    </row>
    <row r="445" spans="2:7" x14ac:dyDescent="0.25">
      <c r="B445" s="15"/>
      <c r="G445" s="15"/>
    </row>
    <row r="446" spans="2:7" x14ac:dyDescent="0.25">
      <c r="B446" s="15"/>
      <c r="G446" s="15"/>
    </row>
    <row r="447" spans="2:7" x14ac:dyDescent="0.25">
      <c r="B447" s="15"/>
      <c r="G447" s="15"/>
    </row>
    <row r="448" spans="2:7" x14ac:dyDescent="0.25">
      <c r="B448" s="15"/>
      <c r="G448" s="15"/>
    </row>
    <row r="449" spans="2:7" x14ac:dyDescent="0.25">
      <c r="B449" s="15"/>
      <c r="G449" s="15"/>
    </row>
    <row r="450" spans="2:7" x14ac:dyDescent="0.25">
      <c r="B450" s="15"/>
      <c r="G450" s="15"/>
    </row>
    <row r="451" spans="2:7" x14ac:dyDescent="0.25">
      <c r="B451" s="15"/>
      <c r="G451" s="15"/>
    </row>
    <row r="452" spans="2:7" x14ac:dyDescent="0.25">
      <c r="B452" s="15"/>
      <c r="G452" s="15"/>
    </row>
    <row r="453" spans="2:7" x14ac:dyDescent="0.25">
      <c r="B453" s="15"/>
      <c r="G453" s="15"/>
    </row>
    <row r="454" spans="2:7" x14ac:dyDescent="0.25">
      <c r="B454" s="15"/>
      <c r="G454" s="15"/>
    </row>
    <row r="455" spans="2:7" x14ac:dyDescent="0.25">
      <c r="B455" s="15"/>
      <c r="G455" s="15"/>
    </row>
    <row r="456" spans="2:7" x14ac:dyDescent="0.25">
      <c r="B456" s="15"/>
      <c r="G456" s="15"/>
    </row>
    <row r="457" spans="2:7" x14ac:dyDescent="0.25">
      <c r="B457" s="15"/>
      <c r="G457" s="15"/>
    </row>
    <row r="458" spans="2:7" x14ac:dyDescent="0.25">
      <c r="B458" s="15"/>
      <c r="G458" s="15"/>
    </row>
    <row r="459" spans="2:7" x14ac:dyDescent="0.25">
      <c r="B459" s="15"/>
      <c r="G459" s="15"/>
    </row>
    <row r="460" spans="2:7" x14ac:dyDescent="0.25">
      <c r="B460" s="15"/>
      <c r="G460" s="15"/>
    </row>
    <row r="461" spans="2:7" x14ac:dyDescent="0.25">
      <c r="B461" s="15"/>
      <c r="G461" s="15"/>
    </row>
    <row r="462" spans="2:7" x14ac:dyDescent="0.25">
      <c r="B462" s="15"/>
      <c r="G462" s="15"/>
    </row>
    <row r="463" spans="2:7" x14ac:dyDescent="0.25">
      <c r="B463" s="15"/>
      <c r="G463" s="15"/>
    </row>
    <row r="464" spans="2:7" x14ac:dyDescent="0.25">
      <c r="B464" s="15"/>
      <c r="G464" s="15"/>
    </row>
    <row r="465" spans="2:7" x14ac:dyDescent="0.25">
      <c r="B465" s="15"/>
      <c r="G465" s="15"/>
    </row>
    <row r="466" spans="2:7" x14ac:dyDescent="0.25">
      <c r="B466" s="15"/>
      <c r="G466" s="15"/>
    </row>
    <row r="467" spans="2:7" x14ac:dyDescent="0.25">
      <c r="B467" s="15"/>
      <c r="G467" s="15"/>
    </row>
    <row r="468" spans="2:7" x14ac:dyDescent="0.25">
      <c r="B468" s="15"/>
      <c r="G468" s="15"/>
    </row>
    <row r="469" spans="2:7" x14ac:dyDescent="0.25">
      <c r="B469" s="15"/>
      <c r="G469" s="15"/>
    </row>
    <row r="470" spans="2:7" x14ac:dyDescent="0.25">
      <c r="B470" s="15"/>
      <c r="G470" s="15"/>
    </row>
    <row r="471" spans="2:7" x14ac:dyDescent="0.25">
      <c r="B471" s="15"/>
      <c r="G471" s="15"/>
    </row>
    <row r="472" spans="2:7" x14ac:dyDescent="0.25">
      <c r="B472" s="15"/>
      <c r="G472" s="15"/>
    </row>
    <row r="473" spans="2:7" x14ac:dyDescent="0.25">
      <c r="B473" s="15"/>
      <c r="G473" s="15"/>
    </row>
    <row r="474" spans="2:7" x14ac:dyDescent="0.25">
      <c r="B474" s="15"/>
      <c r="G474" s="15"/>
    </row>
    <row r="475" spans="2:7" x14ac:dyDescent="0.25">
      <c r="B475" s="15"/>
      <c r="G475" s="15"/>
    </row>
    <row r="476" spans="2:7" x14ac:dyDescent="0.25">
      <c r="B476" s="15"/>
      <c r="G476" s="15"/>
    </row>
    <row r="477" spans="2:7" x14ac:dyDescent="0.25">
      <c r="B477" s="15"/>
      <c r="G477" s="15"/>
    </row>
    <row r="478" spans="2:7" x14ac:dyDescent="0.25">
      <c r="B478" s="15"/>
      <c r="G478" s="15"/>
    </row>
    <row r="479" spans="2:7" x14ac:dyDescent="0.25">
      <c r="B479" s="15"/>
      <c r="G479" s="15"/>
    </row>
    <row r="480" spans="2:7" x14ac:dyDescent="0.25">
      <c r="B480" s="15"/>
      <c r="G480" s="15"/>
    </row>
    <row r="481" spans="2:7" x14ac:dyDescent="0.25">
      <c r="B481" s="15"/>
      <c r="G481" s="15"/>
    </row>
    <row r="482" spans="2:7" x14ac:dyDescent="0.25">
      <c r="B482" s="15"/>
      <c r="G482" s="15"/>
    </row>
    <row r="483" spans="2:7" x14ac:dyDescent="0.25">
      <c r="B483" s="15"/>
      <c r="G483" s="15"/>
    </row>
    <row r="484" spans="2:7" x14ac:dyDescent="0.25">
      <c r="B484" s="15"/>
      <c r="G484" s="15"/>
    </row>
    <row r="485" spans="2:7" x14ac:dyDescent="0.25">
      <c r="B485" s="15"/>
      <c r="G485" s="15"/>
    </row>
    <row r="486" spans="2:7" x14ac:dyDescent="0.25">
      <c r="B486" s="15"/>
      <c r="G486" s="15"/>
    </row>
    <row r="487" spans="2:7" x14ac:dyDescent="0.25">
      <c r="B487" s="15"/>
      <c r="G487" s="15"/>
    </row>
    <row r="488" spans="2:7" x14ac:dyDescent="0.25">
      <c r="B488" s="15"/>
      <c r="G488" s="15"/>
    </row>
    <row r="489" spans="2:7" x14ac:dyDescent="0.25">
      <c r="B489" s="15"/>
      <c r="G489" s="15"/>
    </row>
    <row r="490" spans="2:7" x14ac:dyDescent="0.25">
      <c r="B490" s="15"/>
      <c r="G490" s="15"/>
    </row>
    <row r="491" spans="2:7" x14ac:dyDescent="0.25">
      <c r="B491" s="15"/>
      <c r="G491" s="15"/>
    </row>
    <row r="492" spans="2:7" x14ac:dyDescent="0.25">
      <c r="B492" s="15"/>
      <c r="G492" s="15"/>
    </row>
    <row r="493" spans="2:7" x14ac:dyDescent="0.25">
      <c r="B493" s="15"/>
      <c r="G493" s="15"/>
    </row>
    <row r="494" spans="2:7" x14ac:dyDescent="0.25">
      <c r="B494" s="15"/>
      <c r="G494" s="15"/>
    </row>
    <row r="495" spans="2:7" x14ac:dyDescent="0.25">
      <c r="B495" s="15"/>
      <c r="G495" s="15"/>
    </row>
    <row r="496" spans="2:7" x14ac:dyDescent="0.25">
      <c r="B496" s="15"/>
      <c r="G496" s="15"/>
    </row>
    <row r="497" spans="2:7" x14ac:dyDescent="0.25">
      <c r="B497" s="15"/>
      <c r="G497" s="15"/>
    </row>
    <row r="498" spans="2:7" x14ac:dyDescent="0.25">
      <c r="B498" s="15"/>
      <c r="G498" s="15"/>
    </row>
    <row r="499" spans="2:7" x14ac:dyDescent="0.25">
      <c r="B499" s="15"/>
      <c r="G499" s="15"/>
    </row>
    <row r="500" spans="2:7" x14ac:dyDescent="0.25">
      <c r="B500" s="15"/>
      <c r="G500" s="15"/>
    </row>
    <row r="501" spans="2:7" x14ac:dyDescent="0.25">
      <c r="B501" s="15"/>
      <c r="G501" s="15"/>
    </row>
    <row r="502" spans="2:7" x14ac:dyDescent="0.25">
      <c r="B502" s="15"/>
      <c r="G502" s="15"/>
    </row>
    <row r="503" spans="2:7" x14ac:dyDescent="0.25">
      <c r="B503" s="15"/>
      <c r="G503" s="15"/>
    </row>
    <row r="504" spans="2:7" x14ac:dyDescent="0.25">
      <c r="B504" s="15"/>
      <c r="G504" s="15"/>
    </row>
    <row r="505" spans="2:7" x14ac:dyDescent="0.25">
      <c r="B505" s="15"/>
      <c r="G505" s="15"/>
    </row>
    <row r="506" spans="2:7" x14ac:dyDescent="0.25">
      <c r="B506" s="15"/>
      <c r="G506" s="15"/>
    </row>
    <row r="507" spans="2:7" x14ac:dyDescent="0.25">
      <c r="B507" s="15"/>
      <c r="G507" s="15"/>
    </row>
    <row r="508" spans="2:7" x14ac:dyDescent="0.25">
      <c r="B508" s="15"/>
      <c r="G508" s="15"/>
    </row>
    <row r="509" spans="2:7" x14ac:dyDescent="0.25">
      <c r="B509" s="15"/>
      <c r="G509" s="15"/>
    </row>
    <row r="510" spans="2:7" x14ac:dyDescent="0.25">
      <c r="B510" s="15"/>
      <c r="G510" s="15"/>
    </row>
    <row r="511" spans="2:7" x14ac:dyDescent="0.25">
      <c r="B511" s="15"/>
      <c r="G511" s="15"/>
    </row>
    <row r="512" spans="2:7" x14ac:dyDescent="0.25">
      <c r="B512" s="15"/>
      <c r="G512" s="15"/>
    </row>
    <row r="513" spans="2:7" x14ac:dyDescent="0.25">
      <c r="B513" s="15"/>
      <c r="G513" s="15"/>
    </row>
    <row r="514" spans="2:7" x14ac:dyDescent="0.25">
      <c r="B514" s="15"/>
      <c r="G514" s="15"/>
    </row>
    <row r="515" spans="2:7" x14ac:dyDescent="0.25">
      <c r="B515" s="15"/>
      <c r="G515" s="15"/>
    </row>
    <row r="516" spans="2:7" x14ac:dyDescent="0.25">
      <c r="B516" s="15"/>
      <c r="G516" s="15"/>
    </row>
    <row r="517" spans="2:7" x14ac:dyDescent="0.25">
      <c r="B517" s="15"/>
      <c r="G517" s="15"/>
    </row>
    <row r="518" spans="2:7" x14ac:dyDescent="0.25">
      <c r="B518" s="15"/>
      <c r="G518" s="15"/>
    </row>
    <row r="519" spans="2:7" x14ac:dyDescent="0.25">
      <c r="B519" s="15"/>
      <c r="G519" s="15"/>
    </row>
    <row r="520" spans="2:7" x14ac:dyDescent="0.25">
      <c r="B520" s="15"/>
      <c r="G520" s="15"/>
    </row>
    <row r="521" spans="2:7" x14ac:dyDescent="0.25">
      <c r="B521" s="15"/>
      <c r="G521" s="15"/>
    </row>
    <row r="522" spans="2:7" x14ac:dyDescent="0.25">
      <c r="B522" s="15"/>
      <c r="G522" s="15"/>
    </row>
    <row r="523" spans="2:7" x14ac:dyDescent="0.25">
      <c r="B523" s="15"/>
      <c r="G523" s="15"/>
    </row>
    <row r="524" spans="2:7" x14ac:dyDescent="0.25">
      <c r="B524" s="15"/>
      <c r="G524" s="15"/>
    </row>
    <row r="525" spans="2:7" x14ac:dyDescent="0.25">
      <c r="B525" s="15"/>
      <c r="G525" s="15"/>
    </row>
    <row r="526" spans="2:7" x14ac:dyDescent="0.25">
      <c r="B526" s="15"/>
      <c r="G526" s="15"/>
    </row>
    <row r="527" spans="2:7" x14ac:dyDescent="0.25">
      <c r="B527" s="15"/>
      <c r="G527" s="15"/>
    </row>
    <row r="528" spans="2:7" x14ac:dyDescent="0.25">
      <c r="B528" s="15"/>
      <c r="G528" s="15"/>
    </row>
    <row r="529" spans="2:7" x14ac:dyDescent="0.25">
      <c r="B529" s="15"/>
      <c r="G529" s="15"/>
    </row>
    <row r="530" spans="2:7" x14ac:dyDescent="0.25">
      <c r="B530" s="15"/>
      <c r="G530" s="15"/>
    </row>
    <row r="531" spans="2:7" x14ac:dyDescent="0.25">
      <c r="B531" s="15"/>
      <c r="G531" s="15"/>
    </row>
    <row r="532" spans="2:7" x14ac:dyDescent="0.25">
      <c r="B532" s="15"/>
      <c r="G532" s="15"/>
    </row>
    <row r="533" spans="2:7" x14ac:dyDescent="0.25">
      <c r="B533" s="15"/>
      <c r="G533" s="15"/>
    </row>
    <row r="534" spans="2:7" x14ac:dyDescent="0.25">
      <c r="B534" s="15"/>
      <c r="G534" s="15"/>
    </row>
    <row r="535" spans="2:7" x14ac:dyDescent="0.25">
      <c r="B535" s="15"/>
      <c r="G535" s="15"/>
    </row>
    <row r="536" spans="2:7" x14ac:dyDescent="0.25">
      <c r="B536" s="15"/>
      <c r="G536" s="15"/>
    </row>
    <row r="537" spans="2:7" x14ac:dyDescent="0.25">
      <c r="B537" s="15"/>
      <c r="G537" s="15"/>
    </row>
    <row r="538" spans="2:7" x14ac:dyDescent="0.25">
      <c r="B538" s="15"/>
      <c r="G538" s="15"/>
    </row>
    <row r="539" spans="2:7" x14ac:dyDescent="0.25">
      <c r="B539" s="15"/>
      <c r="G539" s="15"/>
    </row>
    <row r="540" spans="2:7" x14ac:dyDescent="0.25">
      <c r="B540" s="15"/>
      <c r="G540" s="15"/>
    </row>
    <row r="541" spans="2:7" x14ac:dyDescent="0.25">
      <c r="B541" s="15"/>
      <c r="G541" s="15"/>
    </row>
    <row r="542" spans="2:7" x14ac:dyDescent="0.25">
      <c r="B542" s="15"/>
      <c r="G542" s="15"/>
    </row>
    <row r="543" spans="2:7" x14ac:dyDescent="0.25">
      <c r="B543" s="15"/>
      <c r="G543" s="15"/>
    </row>
    <row r="544" spans="2:7" x14ac:dyDescent="0.25">
      <c r="B544" s="15"/>
      <c r="G544" s="15"/>
    </row>
    <row r="545" spans="2:7" x14ac:dyDescent="0.25">
      <c r="B545" s="15"/>
      <c r="G545" s="15"/>
    </row>
    <row r="546" spans="2:7" x14ac:dyDescent="0.25">
      <c r="B546" s="15"/>
      <c r="G546" s="15"/>
    </row>
    <row r="547" spans="2:7" x14ac:dyDescent="0.25">
      <c r="B547" s="15"/>
      <c r="G547" s="15"/>
    </row>
    <row r="548" spans="2:7" x14ac:dyDescent="0.25">
      <c r="B548" s="15"/>
      <c r="G548" s="15"/>
    </row>
    <row r="549" spans="2:7" x14ac:dyDescent="0.25">
      <c r="B549" s="15"/>
      <c r="G549" s="15"/>
    </row>
    <row r="550" spans="2:7" x14ac:dyDescent="0.25">
      <c r="B550" s="15"/>
      <c r="G550" s="15"/>
    </row>
    <row r="551" spans="2:7" x14ac:dyDescent="0.25">
      <c r="B551" s="15"/>
      <c r="G551" s="15"/>
    </row>
    <row r="552" spans="2:7" x14ac:dyDescent="0.25">
      <c r="B552" s="15"/>
      <c r="G552" s="15"/>
    </row>
    <row r="553" spans="2:7" x14ac:dyDescent="0.25">
      <c r="B553" s="15"/>
      <c r="G553" s="15"/>
    </row>
    <row r="554" spans="2:7" x14ac:dyDescent="0.25">
      <c r="B554" s="15"/>
      <c r="G554" s="15"/>
    </row>
    <row r="555" spans="2:7" x14ac:dyDescent="0.25">
      <c r="B555" s="15"/>
      <c r="G555" s="15"/>
    </row>
    <row r="556" spans="2:7" x14ac:dyDescent="0.25">
      <c r="B556" s="15"/>
      <c r="G556" s="15"/>
    </row>
    <row r="557" spans="2:7" x14ac:dyDescent="0.25">
      <c r="B557" s="15"/>
      <c r="G557" s="15"/>
    </row>
    <row r="558" spans="2:7" x14ac:dyDescent="0.25">
      <c r="B558" s="15"/>
      <c r="G558" s="15"/>
    </row>
    <row r="559" spans="2:7" x14ac:dyDescent="0.25">
      <c r="B559" s="15"/>
      <c r="G559" s="15"/>
    </row>
    <row r="560" spans="2:7" x14ac:dyDescent="0.25">
      <c r="B560" s="15"/>
      <c r="G560" s="15"/>
    </row>
    <row r="561" spans="2:7" x14ac:dyDescent="0.25">
      <c r="B561" s="15"/>
      <c r="G561" s="15"/>
    </row>
    <row r="562" spans="2:7" x14ac:dyDescent="0.25">
      <c r="B562" s="15"/>
      <c r="G562" s="15"/>
    </row>
    <row r="563" spans="2:7" x14ac:dyDescent="0.25">
      <c r="B563" s="15"/>
      <c r="G563" s="15"/>
    </row>
    <row r="564" spans="2:7" x14ac:dyDescent="0.25">
      <c r="B564" s="15"/>
      <c r="G564" s="15"/>
    </row>
    <row r="565" spans="2:7" x14ac:dyDescent="0.25">
      <c r="B565" s="15"/>
      <c r="G565" s="15"/>
    </row>
    <row r="566" spans="2:7" x14ac:dyDescent="0.25">
      <c r="B566" s="15"/>
      <c r="G566" s="15"/>
    </row>
    <row r="567" spans="2:7" x14ac:dyDescent="0.25">
      <c r="B567" s="15"/>
      <c r="G567" s="15"/>
    </row>
    <row r="568" spans="2:7" x14ac:dyDescent="0.25">
      <c r="B568" s="15"/>
      <c r="G568" s="15"/>
    </row>
    <row r="569" spans="2:7" x14ac:dyDescent="0.25">
      <c r="B569" s="15"/>
      <c r="G569" s="15"/>
    </row>
    <row r="570" spans="2:7" x14ac:dyDescent="0.25">
      <c r="B570" s="15"/>
      <c r="G570" s="15"/>
    </row>
    <row r="571" spans="2:7" x14ac:dyDescent="0.25">
      <c r="B571" s="15"/>
      <c r="G571" s="15"/>
    </row>
    <row r="572" spans="2:7" x14ac:dyDescent="0.25">
      <c r="B572" s="15"/>
      <c r="G572" s="15"/>
    </row>
    <row r="573" spans="2:7" x14ac:dyDescent="0.25">
      <c r="B573" s="15"/>
      <c r="G573" s="15"/>
    </row>
    <row r="574" spans="2:7" x14ac:dyDescent="0.25">
      <c r="B574" s="15"/>
      <c r="G574" s="15"/>
    </row>
    <row r="575" spans="2:7" x14ac:dyDescent="0.25">
      <c r="B575" s="15"/>
      <c r="G575" s="15"/>
    </row>
    <row r="576" spans="2:7" x14ac:dyDescent="0.25">
      <c r="B576" s="15"/>
      <c r="G576" s="15"/>
    </row>
    <row r="577" spans="2:7" x14ac:dyDescent="0.25">
      <c r="B577" s="15"/>
      <c r="G577" s="15"/>
    </row>
    <row r="578" spans="2:7" x14ac:dyDescent="0.25">
      <c r="B578" s="15"/>
      <c r="G578" s="15"/>
    </row>
    <row r="579" spans="2:7" x14ac:dyDescent="0.25">
      <c r="B579" s="15"/>
      <c r="G579" s="15"/>
    </row>
    <row r="580" spans="2:7" x14ac:dyDescent="0.25">
      <c r="B580" s="15"/>
      <c r="G580" s="15"/>
    </row>
    <row r="581" spans="2:7" x14ac:dyDescent="0.25">
      <c r="B581" s="15"/>
      <c r="G581" s="15"/>
    </row>
    <row r="582" spans="2:7" x14ac:dyDescent="0.25">
      <c r="B582" s="15"/>
      <c r="G582" s="15"/>
    </row>
    <row r="583" spans="2:7" x14ac:dyDescent="0.25">
      <c r="B583" s="15"/>
      <c r="G583" s="15"/>
    </row>
    <row r="584" spans="2:7" x14ac:dyDescent="0.25">
      <c r="B584" s="15"/>
      <c r="G584" s="15"/>
    </row>
    <row r="585" spans="2:7" x14ac:dyDescent="0.25">
      <c r="B585" s="15"/>
      <c r="G585" s="15"/>
    </row>
    <row r="586" spans="2:7" x14ac:dyDescent="0.25">
      <c r="B586" s="15"/>
      <c r="G586" s="15"/>
    </row>
    <row r="587" spans="2:7" x14ac:dyDescent="0.25">
      <c r="B587" s="15"/>
      <c r="G587" s="15"/>
    </row>
    <row r="588" spans="2:7" x14ac:dyDescent="0.25">
      <c r="B588" s="15"/>
      <c r="G588" s="15"/>
    </row>
    <row r="589" spans="2:7" x14ac:dyDescent="0.25">
      <c r="B589" s="15"/>
      <c r="G589" s="15"/>
    </row>
    <row r="590" spans="2:7" x14ac:dyDescent="0.25">
      <c r="B590" s="15"/>
      <c r="G590" s="15"/>
    </row>
    <row r="591" spans="2:7" x14ac:dyDescent="0.25">
      <c r="B591" s="15"/>
      <c r="G591" s="15"/>
    </row>
    <row r="592" spans="2:7" x14ac:dyDescent="0.25">
      <c r="B592" s="15"/>
      <c r="G592" s="15"/>
    </row>
    <row r="593" spans="2:7" x14ac:dyDescent="0.25">
      <c r="B593" s="15"/>
      <c r="G593" s="15"/>
    </row>
    <row r="594" spans="2:7" x14ac:dyDescent="0.25">
      <c r="B594" s="15"/>
      <c r="G594" s="15"/>
    </row>
    <row r="595" spans="2:7" x14ac:dyDescent="0.25">
      <c r="B595" s="15"/>
      <c r="G595" s="15"/>
    </row>
    <row r="596" spans="2:7" x14ac:dyDescent="0.25">
      <c r="B596" s="15"/>
      <c r="G596" s="15"/>
    </row>
    <row r="597" spans="2:7" x14ac:dyDescent="0.25">
      <c r="B597" s="15"/>
      <c r="G597" s="15"/>
    </row>
    <row r="598" spans="2:7" x14ac:dyDescent="0.25">
      <c r="B598" s="15"/>
      <c r="G598" s="15"/>
    </row>
    <row r="599" spans="2:7" x14ac:dyDescent="0.25">
      <c r="B599" s="15"/>
      <c r="G599" s="15"/>
    </row>
    <row r="600" spans="2:7" x14ac:dyDescent="0.25">
      <c r="B600" s="15"/>
      <c r="G600" s="15"/>
    </row>
    <row r="601" spans="2:7" x14ac:dyDescent="0.25">
      <c r="B601" s="15"/>
      <c r="G601" s="15"/>
    </row>
    <row r="602" spans="2:7" x14ac:dyDescent="0.25">
      <c r="B602" s="15"/>
      <c r="G602" s="15"/>
    </row>
    <row r="603" spans="2:7" x14ac:dyDescent="0.25">
      <c r="B603" s="15"/>
      <c r="G603" s="15"/>
    </row>
    <row r="604" spans="2:7" x14ac:dyDescent="0.25">
      <c r="B604" s="15"/>
      <c r="G604" s="15"/>
    </row>
    <row r="605" spans="2:7" x14ac:dyDescent="0.25">
      <c r="B605" s="15"/>
      <c r="G605" s="15"/>
    </row>
    <row r="606" spans="2:7" x14ac:dyDescent="0.25">
      <c r="B606" s="15"/>
      <c r="G606" s="15"/>
    </row>
    <row r="607" spans="2:7" x14ac:dyDescent="0.25">
      <c r="B607" s="15"/>
      <c r="G607" s="15"/>
    </row>
    <row r="608" spans="2:7" x14ac:dyDescent="0.25">
      <c r="B608" s="15"/>
      <c r="G608" s="15"/>
    </row>
    <row r="609" spans="2:7" x14ac:dyDescent="0.25">
      <c r="B609" s="15"/>
      <c r="G609" s="15"/>
    </row>
    <row r="610" spans="2:7" x14ac:dyDescent="0.25">
      <c r="B610" s="15"/>
      <c r="G610" s="15"/>
    </row>
    <row r="611" spans="2:7" x14ac:dyDescent="0.25">
      <c r="B611" s="15"/>
      <c r="G611" s="15"/>
    </row>
    <row r="612" spans="2:7" x14ac:dyDescent="0.25">
      <c r="B612" s="15"/>
      <c r="G612" s="15"/>
    </row>
    <row r="613" spans="2:7" x14ac:dyDescent="0.25">
      <c r="B613" s="15"/>
      <c r="G613" s="15"/>
    </row>
    <row r="614" spans="2:7" x14ac:dyDescent="0.25">
      <c r="B614" s="15"/>
      <c r="G614" s="15"/>
    </row>
    <row r="615" spans="2:7" x14ac:dyDescent="0.25">
      <c r="B615" s="15"/>
      <c r="G615" s="15"/>
    </row>
    <row r="616" spans="2:7" x14ac:dyDescent="0.25">
      <c r="B616" s="15"/>
      <c r="G616" s="15"/>
    </row>
    <row r="617" spans="2:7" x14ac:dyDescent="0.25">
      <c r="B617" s="15"/>
      <c r="G617" s="15"/>
    </row>
    <row r="618" spans="2:7" x14ac:dyDescent="0.25">
      <c r="B618" s="15"/>
      <c r="G618" s="15"/>
    </row>
    <row r="619" spans="2:7" x14ac:dyDescent="0.25">
      <c r="B619" s="15"/>
      <c r="G619" s="15"/>
    </row>
    <row r="620" spans="2:7" x14ac:dyDescent="0.25">
      <c r="B620" s="15"/>
      <c r="G620" s="15"/>
    </row>
    <row r="621" spans="2:7" x14ac:dyDescent="0.25">
      <c r="B621" s="15"/>
      <c r="G621" s="15"/>
    </row>
    <row r="622" spans="2:7" x14ac:dyDescent="0.25">
      <c r="B622" s="15"/>
      <c r="G622" s="15"/>
    </row>
    <row r="623" spans="2:7" x14ac:dyDescent="0.25">
      <c r="B623" s="15"/>
      <c r="G623" s="15"/>
    </row>
    <row r="624" spans="2:7" x14ac:dyDescent="0.25">
      <c r="B624" s="15"/>
      <c r="G624" s="15"/>
    </row>
    <row r="625" spans="2:7" x14ac:dyDescent="0.25">
      <c r="B625" s="15"/>
      <c r="G625" s="15"/>
    </row>
    <row r="626" spans="2:7" x14ac:dyDescent="0.25">
      <c r="B626" s="15"/>
      <c r="G626" s="15"/>
    </row>
    <row r="627" spans="2:7" x14ac:dyDescent="0.25">
      <c r="B627" s="15"/>
      <c r="G627" s="15"/>
    </row>
    <row r="628" spans="2:7" x14ac:dyDescent="0.25">
      <c r="B628" s="15"/>
      <c r="G628" s="15"/>
    </row>
    <row r="629" spans="2:7" x14ac:dyDescent="0.25">
      <c r="B629" s="15"/>
      <c r="G629" s="15"/>
    </row>
    <row r="630" spans="2:7" x14ac:dyDescent="0.25">
      <c r="B630" s="15"/>
      <c r="G630" s="15"/>
    </row>
    <row r="631" spans="2:7" x14ac:dyDescent="0.25">
      <c r="B631" s="15"/>
      <c r="G631" s="15"/>
    </row>
    <row r="632" spans="2:7" x14ac:dyDescent="0.25">
      <c r="B632" s="15"/>
      <c r="G632" s="15"/>
    </row>
    <row r="633" spans="2:7" x14ac:dyDescent="0.25">
      <c r="B633" s="15"/>
      <c r="G633" s="15"/>
    </row>
    <row r="634" spans="2:7" x14ac:dyDescent="0.25">
      <c r="B634" s="15"/>
      <c r="G634" s="15"/>
    </row>
    <row r="635" spans="2:7" x14ac:dyDescent="0.25">
      <c r="B635" s="15"/>
      <c r="G635" s="15"/>
    </row>
    <row r="636" spans="2:7" x14ac:dyDescent="0.25">
      <c r="B636" s="15"/>
      <c r="G636" s="15"/>
    </row>
    <row r="637" spans="2:7" x14ac:dyDescent="0.25">
      <c r="B637" s="15"/>
      <c r="G637" s="15"/>
    </row>
    <row r="638" spans="2:7" x14ac:dyDescent="0.25">
      <c r="B638" s="15"/>
      <c r="G638" s="15"/>
    </row>
    <row r="639" spans="2:7" x14ac:dyDescent="0.25">
      <c r="B639" s="15"/>
      <c r="G639" s="15"/>
    </row>
    <row r="640" spans="2:7" x14ac:dyDescent="0.25">
      <c r="B640" s="15"/>
      <c r="G640" s="15"/>
    </row>
    <row r="641" spans="2:7" x14ac:dyDescent="0.25">
      <c r="B641" s="15"/>
      <c r="G641" s="15"/>
    </row>
    <row r="642" spans="2:7" x14ac:dyDescent="0.25">
      <c r="B642" s="15"/>
      <c r="G642" s="15"/>
    </row>
    <row r="643" spans="2:7" x14ac:dyDescent="0.25">
      <c r="B643" s="15"/>
      <c r="G643" s="15"/>
    </row>
    <row r="644" spans="2:7" x14ac:dyDescent="0.25">
      <c r="B644" s="15"/>
      <c r="G644" s="15"/>
    </row>
    <row r="645" spans="2:7" x14ac:dyDescent="0.25">
      <c r="B645" s="15"/>
      <c r="G645" s="15"/>
    </row>
    <row r="646" spans="2:7" x14ac:dyDescent="0.25">
      <c r="B646" s="15"/>
      <c r="G646" s="15"/>
    </row>
    <row r="647" spans="2:7" x14ac:dyDescent="0.25">
      <c r="B647" s="15"/>
      <c r="G647" s="15"/>
    </row>
    <row r="648" spans="2:7" x14ac:dyDescent="0.25">
      <c r="B648" s="15"/>
      <c r="G648" s="15"/>
    </row>
    <row r="649" spans="2:7" x14ac:dyDescent="0.25">
      <c r="B649" s="15"/>
      <c r="G649" s="15"/>
    </row>
    <row r="650" spans="2:7" x14ac:dyDescent="0.25">
      <c r="B650" s="15"/>
      <c r="G650" s="15"/>
    </row>
    <row r="651" spans="2:7" x14ac:dyDescent="0.25">
      <c r="B651" s="15"/>
      <c r="G651" s="15"/>
    </row>
    <row r="652" spans="2:7" x14ac:dyDescent="0.25">
      <c r="B652" s="15"/>
      <c r="G652" s="15"/>
    </row>
    <row r="653" spans="2:7" x14ac:dyDescent="0.25">
      <c r="B653" s="15"/>
      <c r="G653" s="15"/>
    </row>
    <row r="654" spans="2:7" x14ac:dyDescent="0.25">
      <c r="B654" s="15"/>
      <c r="G654" s="15"/>
    </row>
    <row r="655" spans="2:7" x14ac:dyDescent="0.25">
      <c r="B655" s="15"/>
      <c r="G655" s="15"/>
    </row>
    <row r="656" spans="2:7" x14ac:dyDescent="0.25">
      <c r="B656" s="15"/>
      <c r="G656" s="15"/>
    </row>
    <row r="657" spans="2:7" x14ac:dyDescent="0.25">
      <c r="B657" s="15"/>
      <c r="G657" s="15"/>
    </row>
    <row r="658" spans="2:7" x14ac:dyDescent="0.25">
      <c r="B658" s="15"/>
      <c r="G658" s="15"/>
    </row>
    <row r="659" spans="2:7" x14ac:dyDescent="0.25">
      <c r="B659" s="15"/>
      <c r="G659" s="15"/>
    </row>
    <row r="660" spans="2:7" x14ac:dyDescent="0.25">
      <c r="B660" s="15"/>
      <c r="G660" s="15"/>
    </row>
    <row r="661" spans="2:7" x14ac:dyDescent="0.25">
      <c r="B661" s="15"/>
      <c r="G661" s="15"/>
    </row>
    <row r="662" spans="2:7" x14ac:dyDescent="0.25">
      <c r="B662" s="15"/>
      <c r="G662" s="15"/>
    </row>
    <row r="663" spans="2:7" x14ac:dyDescent="0.25">
      <c r="B663" s="15"/>
      <c r="G663" s="15"/>
    </row>
    <row r="664" spans="2:7" x14ac:dyDescent="0.25">
      <c r="B664" s="15"/>
      <c r="G664" s="15"/>
    </row>
    <row r="665" spans="2:7" x14ac:dyDescent="0.25">
      <c r="B665" s="15"/>
      <c r="G665" s="15"/>
    </row>
    <row r="666" spans="2:7" x14ac:dyDescent="0.25">
      <c r="B666" s="15"/>
      <c r="G666" s="15"/>
    </row>
    <row r="667" spans="2:7" x14ac:dyDescent="0.25">
      <c r="B667" s="15"/>
      <c r="G667" s="15"/>
    </row>
    <row r="668" spans="2:7" x14ac:dyDescent="0.25">
      <c r="B668" s="15"/>
      <c r="G668" s="15"/>
    </row>
    <row r="669" spans="2:7" x14ac:dyDescent="0.25">
      <c r="B669" s="15"/>
      <c r="G669" s="15"/>
    </row>
    <row r="670" spans="2:7" x14ac:dyDescent="0.25">
      <c r="B670" s="15"/>
      <c r="G670" s="15"/>
    </row>
    <row r="671" spans="2:7" x14ac:dyDescent="0.25">
      <c r="B671" s="15"/>
      <c r="G671" s="15"/>
    </row>
    <row r="672" spans="2:7" x14ac:dyDescent="0.25">
      <c r="B672" s="15"/>
      <c r="G672" s="15"/>
    </row>
    <row r="673" spans="2:7" x14ac:dyDescent="0.25">
      <c r="B673" s="15"/>
      <c r="G673" s="15"/>
    </row>
    <row r="674" spans="2:7" x14ac:dyDescent="0.25">
      <c r="B674" s="15"/>
      <c r="G674" s="15"/>
    </row>
    <row r="675" spans="2:7" x14ac:dyDescent="0.25">
      <c r="B675" s="15"/>
      <c r="G675" s="15"/>
    </row>
    <row r="676" spans="2:7" x14ac:dyDescent="0.25">
      <c r="B676" s="15"/>
      <c r="G676" s="15"/>
    </row>
    <row r="677" spans="2:7" x14ac:dyDescent="0.25">
      <c r="B677" s="15"/>
      <c r="G677" s="15"/>
    </row>
    <row r="678" spans="2:7" x14ac:dyDescent="0.25">
      <c r="B678" s="15"/>
      <c r="G678" s="15"/>
    </row>
    <row r="679" spans="2:7" x14ac:dyDescent="0.25">
      <c r="B679" s="15"/>
      <c r="G679" s="15"/>
    </row>
    <row r="680" spans="2:7" x14ac:dyDescent="0.25">
      <c r="B680" s="15"/>
      <c r="G680" s="15"/>
    </row>
    <row r="681" spans="2:7" x14ac:dyDescent="0.25">
      <c r="B681" s="15"/>
      <c r="G681" s="15"/>
    </row>
    <row r="682" spans="2:7" x14ac:dyDescent="0.25">
      <c r="B682" s="15"/>
      <c r="G682" s="15"/>
    </row>
    <row r="683" spans="2:7" x14ac:dyDescent="0.25">
      <c r="B683" s="15"/>
      <c r="G683" s="15"/>
    </row>
    <row r="684" spans="2:7" x14ac:dyDescent="0.25">
      <c r="B684" s="15"/>
      <c r="G684" s="15"/>
    </row>
    <row r="685" spans="2:7" x14ac:dyDescent="0.25">
      <c r="B685" s="15"/>
      <c r="G685" s="15"/>
    </row>
    <row r="686" spans="2:7" x14ac:dyDescent="0.25">
      <c r="B686" s="15"/>
      <c r="G686" s="15"/>
    </row>
    <row r="687" spans="2:7" x14ac:dyDescent="0.25">
      <c r="B687" s="15"/>
      <c r="G687" s="15"/>
    </row>
    <row r="688" spans="2:7" x14ac:dyDescent="0.25">
      <c r="B688" s="15"/>
      <c r="G688" s="15"/>
    </row>
    <row r="689" spans="2:7" x14ac:dyDescent="0.25">
      <c r="B689" s="15"/>
      <c r="G689" s="15"/>
    </row>
    <row r="690" spans="2:7" x14ac:dyDescent="0.25">
      <c r="B690" s="15"/>
      <c r="G690" s="15"/>
    </row>
    <row r="691" spans="2:7" x14ac:dyDescent="0.25">
      <c r="B691" s="15"/>
      <c r="G691" s="15"/>
    </row>
    <row r="692" spans="2:7" x14ac:dyDescent="0.25">
      <c r="B692" s="15"/>
      <c r="G692" s="15"/>
    </row>
    <row r="693" spans="2:7" x14ac:dyDescent="0.25">
      <c r="B693" s="15"/>
      <c r="G693" s="15"/>
    </row>
    <row r="694" spans="2:7" x14ac:dyDescent="0.25">
      <c r="B694" s="15"/>
      <c r="G694" s="15"/>
    </row>
    <row r="695" spans="2:7" x14ac:dyDescent="0.25">
      <c r="B695" s="15"/>
      <c r="G695" s="15"/>
    </row>
    <row r="696" spans="2:7" x14ac:dyDescent="0.25">
      <c r="B696" s="15"/>
      <c r="G696" s="15"/>
    </row>
    <row r="697" spans="2:7" x14ac:dyDescent="0.25">
      <c r="B697" s="15"/>
      <c r="G697" s="15"/>
    </row>
    <row r="698" spans="2:7" x14ac:dyDescent="0.25">
      <c r="B698" s="15"/>
      <c r="G698" s="15"/>
    </row>
    <row r="699" spans="2:7" x14ac:dyDescent="0.25">
      <c r="B699" s="15"/>
      <c r="G699" s="15"/>
    </row>
    <row r="700" spans="2:7" x14ac:dyDescent="0.25">
      <c r="B700" s="15"/>
      <c r="G700" s="15"/>
    </row>
    <row r="701" spans="2:7" x14ac:dyDescent="0.25">
      <c r="B701" s="15"/>
      <c r="G701" s="15"/>
    </row>
    <row r="702" spans="2:7" x14ac:dyDescent="0.25">
      <c r="B702" s="15"/>
      <c r="G702" s="15"/>
    </row>
    <row r="703" spans="2:7" x14ac:dyDescent="0.25">
      <c r="B703" s="15"/>
      <c r="G703" s="15"/>
    </row>
    <row r="704" spans="2:7" x14ac:dyDescent="0.25">
      <c r="B704" s="15"/>
      <c r="G704" s="15"/>
    </row>
    <row r="705" spans="2:7" x14ac:dyDescent="0.25">
      <c r="B705" s="15"/>
      <c r="G705" s="15"/>
    </row>
    <row r="706" spans="2:7" x14ac:dyDescent="0.25">
      <c r="B706" s="15"/>
      <c r="G706" s="15"/>
    </row>
    <row r="707" spans="2:7" x14ac:dyDescent="0.25">
      <c r="B707" s="15"/>
      <c r="G707" s="15"/>
    </row>
    <row r="708" spans="2:7" x14ac:dyDescent="0.25">
      <c r="B708" s="15"/>
      <c r="G708" s="15"/>
    </row>
    <row r="709" spans="2:7" x14ac:dyDescent="0.25">
      <c r="B709" s="15"/>
      <c r="G709" s="15"/>
    </row>
    <row r="710" spans="2:7" x14ac:dyDescent="0.25">
      <c r="B710" s="15"/>
      <c r="G710" s="15"/>
    </row>
    <row r="711" spans="2:7" x14ac:dyDescent="0.25">
      <c r="B711" s="15"/>
      <c r="G711" s="15"/>
    </row>
    <row r="712" spans="2:7" x14ac:dyDescent="0.25">
      <c r="B712" s="15"/>
      <c r="G712" s="15"/>
    </row>
    <row r="713" spans="2:7" x14ac:dyDescent="0.25">
      <c r="B713" s="15"/>
      <c r="G713" s="15"/>
    </row>
    <row r="714" spans="2:7" x14ac:dyDescent="0.25">
      <c r="B714" s="15"/>
      <c r="G714" s="15"/>
    </row>
    <row r="715" spans="2:7" x14ac:dyDescent="0.25">
      <c r="B715" s="15"/>
      <c r="G715" s="15"/>
    </row>
    <row r="716" spans="2:7" x14ac:dyDescent="0.25">
      <c r="B716" s="15"/>
      <c r="G716" s="15"/>
    </row>
    <row r="717" spans="2:7" x14ac:dyDescent="0.25">
      <c r="B717" s="15"/>
      <c r="G717" s="15"/>
    </row>
    <row r="718" spans="2:7" x14ac:dyDescent="0.25">
      <c r="B718" s="15"/>
      <c r="G718" s="15"/>
    </row>
    <row r="719" spans="2:7" x14ac:dyDescent="0.25">
      <c r="B719" s="15"/>
      <c r="G719" s="15"/>
    </row>
    <row r="720" spans="2:7" x14ac:dyDescent="0.25">
      <c r="B720" s="15"/>
      <c r="G720" s="15"/>
    </row>
    <row r="721" spans="2:7" x14ac:dyDescent="0.25">
      <c r="B721" s="15"/>
      <c r="G721" s="15"/>
    </row>
    <row r="722" spans="2:7" x14ac:dyDescent="0.25">
      <c r="B722" s="15"/>
      <c r="G722" s="15"/>
    </row>
    <row r="723" spans="2:7" x14ac:dyDescent="0.25">
      <c r="B723" s="15"/>
      <c r="G723" s="15"/>
    </row>
    <row r="724" spans="2:7" x14ac:dyDescent="0.25">
      <c r="B724" s="15"/>
      <c r="G724" s="15"/>
    </row>
    <row r="725" spans="2:7" x14ac:dyDescent="0.25">
      <c r="B725" s="15"/>
      <c r="G725" s="15"/>
    </row>
    <row r="726" spans="2:7" x14ac:dyDescent="0.25">
      <c r="B726" s="15"/>
      <c r="G726" s="15"/>
    </row>
    <row r="727" spans="2:7" x14ac:dyDescent="0.25">
      <c r="B727" s="15"/>
      <c r="G727" s="15"/>
    </row>
    <row r="728" spans="2:7" x14ac:dyDescent="0.25">
      <c r="B728" s="15"/>
      <c r="G728" s="15"/>
    </row>
    <row r="729" spans="2:7" x14ac:dyDescent="0.25">
      <c r="B729" s="15"/>
      <c r="G729" s="15"/>
    </row>
    <row r="730" spans="2:7" x14ac:dyDescent="0.25">
      <c r="B730" s="15"/>
      <c r="G730" s="15"/>
    </row>
    <row r="731" spans="2:7" x14ac:dyDescent="0.25">
      <c r="B731" s="15"/>
      <c r="G731" s="15"/>
    </row>
    <row r="732" spans="2:7" x14ac:dyDescent="0.25">
      <c r="B732" s="15"/>
      <c r="G732" s="15"/>
    </row>
    <row r="733" spans="2:7" x14ac:dyDescent="0.25">
      <c r="B733" s="15"/>
      <c r="G733" s="15"/>
    </row>
    <row r="734" spans="2:7" x14ac:dyDescent="0.25">
      <c r="B734" s="15"/>
      <c r="G734" s="15"/>
    </row>
    <row r="735" spans="2:7" x14ac:dyDescent="0.25">
      <c r="B735" s="15"/>
      <c r="G735" s="15"/>
    </row>
    <row r="736" spans="2:7" x14ac:dyDescent="0.25">
      <c r="B736" s="15"/>
      <c r="G736" s="15"/>
    </row>
    <row r="737" spans="2:7" x14ac:dyDescent="0.25">
      <c r="B737" s="15"/>
      <c r="G737" s="15"/>
    </row>
    <row r="738" spans="2:7" x14ac:dyDescent="0.25">
      <c r="B738" s="15"/>
      <c r="G738" s="15"/>
    </row>
    <row r="739" spans="2:7" x14ac:dyDescent="0.25">
      <c r="B739" s="15"/>
      <c r="G739" s="15"/>
    </row>
    <row r="740" spans="2:7" x14ac:dyDescent="0.25">
      <c r="B740" s="15"/>
      <c r="G740" s="15"/>
    </row>
    <row r="741" spans="2:7" x14ac:dyDescent="0.25">
      <c r="B741" s="15"/>
      <c r="G741" s="15"/>
    </row>
    <row r="742" spans="2:7" x14ac:dyDescent="0.25">
      <c r="B742" s="15"/>
      <c r="G742" s="15"/>
    </row>
    <row r="743" spans="2:7" x14ac:dyDescent="0.25">
      <c r="B743" s="15"/>
      <c r="G743" s="15"/>
    </row>
    <row r="744" spans="2:7" x14ac:dyDescent="0.25">
      <c r="B744" s="15"/>
      <c r="G744" s="15"/>
    </row>
    <row r="745" spans="2:7" x14ac:dyDescent="0.25">
      <c r="B745" s="15"/>
      <c r="G745" s="15"/>
    </row>
    <row r="746" spans="2:7" x14ac:dyDescent="0.25">
      <c r="B746" s="15"/>
      <c r="G746" s="15"/>
    </row>
    <row r="747" spans="2:7" x14ac:dyDescent="0.25">
      <c r="B747" s="15"/>
      <c r="G747" s="15"/>
    </row>
    <row r="748" spans="2:7" x14ac:dyDescent="0.25">
      <c r="B748" s="15"/>
      <c r="G748" s="15"/>
    </row>
    <row r="749" spans="2:7" x14ac:dyDescent="0.25">
      <c r="B749" s="15"/>
      <c r="G749" s="15"/>
    </row>
    <row r="750" spans="2:7" x14ac:dyDescent="0.25">
      <c r="B750" s="15"/>
      <c r="G750" s="15"/>
    </row>
    <row r="751" spans="2:7" x14ac:dyDescent="0.25">
      <c r="B751" s="15"/>
      <c r="G751" s="15"/>
    </row>
    <row r="752" spans="2:7" x14ac:dyDescent="0.25">
      <c r="B752" s="15"/>
      <c r="G752" s="15"/>
    </row>
    <row r="753" spans="2:7" x14ac:dyDescent="0.25">
      <c r="B753" s="15"/>
      <c r="G753" s="15"/>
    </row>
    <row r="754" spans="2:7" x14ac:dyDescent="0.25">
      <c r="B754" s="15"/>
      <c r="G754" s="15"/>
    </row>
    <row r="755" spans="2:7" x14ac:dyDescent="0.25">
      <c r="B755" s="15"/>
      <c r="G755" s="15"/>
    </row>
    <row r="756" spans="2:7" x14ac:dyDescent="0.25">
      <c r="B756" s="15"/>
      <c r="G756" s="15"/>
    </row>
    <row r="757" spans="2:7" x14ac:dyDescent="0.25">
      <c r="B757" s="15"/>
      <c r="G757" s="15"/>
    </row>
    <row r="758" spans="2:7" x14ac:dyDescent="0.25">
      <c r="B758" s="15"/>
      <c r="G758" s="15"/>
    </row>
    <row r="759" spans="2:7" x14ac:dyDescent="0.25">
      <c r="B759" s="15"/>
      <c r="G759" s="15"/>
    </row>
    <row r="760" spans="2:7" x14ac:dyDescent="0.25">
      <c r="B760" s="15"/>
      <c r="G760" s="15"/>
    </row>
    <row r="761" spans="2:7" x14ac:dyDescent="0.25">
      <c r="B761" s="15"/>
      <c r="G761" s="15"/>
    </row>
    <row r="762" spans="2:7" x14ac:dyDescent="0.25">
      <c r="B762" s="15"/>
      <c r="G762" s="15"/>
    </row>
    <row r="763" spans="2:7" x14ac:dyDescent="0.25">
      <c r="B763" s="15"/>
      <c r="G763" s="15"/>
    </row>
    <row r="764" spans="2:7" x14ac:dyDescent="0.25">
      <c r="B764" s="15"/>
      <c r="G764" s="15"/>
    </row>
    <row r="765" spans="2:7" x14ac:dyDescent="0.25">
      <c r="B765" s="15"/>
      <c r="G765" s="15"/>
    </row>
    <row r="766" spans="2:7" x14ac:dyDescent="0.25">
      <c r="B766" s="15"/>
      <c r="G766" s="15"/>
    </row>
    <row r="767" spans="2:7" x14ac:dyDescent="0.25">
      <c r="B767" s="15"/>
      <c r="G767" s="15"/>
    </row>
    <row r="768" spans="2:7" x14ac:dyDescent="0.25">
      <c r="B768" s="15"/>
      <c r="G768" s="15"/>
    </row>
    <row r="769" spans="2:7" x14ac:dyDescent="0.25">
      <c r="B769" s="15"/>
      <c r="G769" s="15"/>
    </row>
    <row r="770" spans="2:7" x14ac:dyDescent="0.25">
      <c r="B770" s="15"/>
      <c r="G770" s="15"/>
    </row>
    <row r="771" spans="2:7" x14ac:dyDescent="0.25">
      <c r="B771" s="15"/>
      <c r="G771" s="15"/>
    </row>
    <row r="772" spans="2:7" x14ac:dyDescent="0.25">
      <c r="B772" s="15"/>
      <c r="G772" s="15"/>
    </row>
    <row r="773" spans="2:7" x14ac:dyDescent="0.25">
      <c r="B773" s="15"/>
      <c r="G773" s="15"/>
    </row>
    <row r="774" spans="2:7" x14ac:dyDescent="0.25">
      <c r="B774" s="15"/>
      <c r="G774" s="15"/>
    </row>
    <row r="775" spans="2:7" x14ac:dyDescent="0.25">
      <c r="B775" s="15"/>
      <c r="G775" s="15"/>
    </row>
    <row r="776" spans="2:7" x14ac:dyDescent="0.25">
      <c r="B776" s="15"/>
      <c r="G776" s="15"/>
    </row>
    <row r="777" spans="2:7" x14ac:dyDescent="0.25">
      <c r="B777" s="15"/>
      <c r="G777" s="15"/>
    </row>
    <row r="778" spans="2:7" x14ac:dyDescent="0.25">
      <c r="B778" s="15"/>
      <c r="G778" s="15"/>
    </row>
    <row r="779" spans="2:7" x14ac:dyDescent="0.25">
      <c r="B779" s="15"/>
      <c r="G779" s="15"/>
    </row>
    <row r="780" spans="2:7" x14ac:dyDescent="0.25">
      <c r="B780" s="15"/>
      <c r="G780" s="15"/>
    </row>
    <row r="781" spans="2:7" x14ac:dyDescent="0.25">
      <c r="B781" s="15"/>
      <c r="G781" s="15"/>
    </row>
    <row r="782" spans="2:7" x14ac:dyDescent="0.25">
      <c r="B782" s="15"/>
      <c r="G782" s="15"/>
    </row>
    <row r="783" spans="2:7" x14ac:dyDescent="0.25">
      <c r="B783" s="15"/>
      <c r="G783" s="15"/>
    </row>
    <row r="784" spans="2:7" x14ac:dyDescent="0.25">
      <c r="B784" s="15"/>
      <c r="G784" s="15"/>
    </row>
    <row r="785" spans="2:7" x14ac:dyDescent="0.25">
      <c r="B785" s="15"/>
      <c r="G785" s="15"/>
    </row>
    <row r="786" spans="2:7" x14ac:dyDescent="0.25">
      <c r="B786" s="15"/>
      <c r="G786" s="15"/>
    </row>
    <row r="787" spans="2:7" x14ac:dyDescent="0.25">
      <c r="B787" s="15"/>
      <c r="G787" s="15"/>
    </row>
    <row r="788" spans="2:7" x14ac:dyDescent="0.25">
      <c r="B788" s="15"/>
      <c r="G788" s="15"/>
    </row>
    <row r="789" spans="2:7" x14ac:dyDescent="0.25">
      <c r="B789" s="15"/>
      <c r="G789" s="15"/>
    </row>
    <row r="790" spans="2:7" x14ac:dyDescent="0.25">
      <c r="B790" s="15"/>
      <c r="G790" s="15"/>
    </row>
    <row r="791" spans="2:7" x14ac:dyDescent="0.25">
      <c r="B791" s="15"/>
      <c r="G791" s="15"/>
    </row>
    <row r="792" spans="2:7" x14ac:dyDescent="0.25">
      <c r="B792" s="15"/>
      <c r="G792" s="15"/>
    </row>
    <row r="793" spans="2:7" x14ac:dyDescent="0.25">
      <c r="B793" s="15"/>
      <c r="G793" s="15"/>
    </row>
    <row r="794" spans="2:7" x14ac:dyDescent="0.25">
      <c r="B794" s="15"/>
      <c r="G794" s="15"/>
    </row>
    <row r="795" spans="2:7" x14ac:dyDescent="0.25">
      <c r="B795" s="15"/>
      <c r="G795" s="15"/>
    </row>
    <row r="796" spans="2:7" x14ac:dyDescent="0.25">
      <c r="B796" s="15"/>
      <c r="G796" s="15"/>
    </row>
    <row r="797" spans="2:7" x14ac:dyDescent="0.25">
      <c r="B797" s="15"/>
      <c r="G797" s="15"/>
    </row>
    <row r="798" spans="2:7" x14ac:dyDescent="0.25">
      <c r="B798" s="15"/>
      <c r="G798" s="15"/>
    </row>
    <row r="799" spans="2:7" x14ac:dyDescent="0.25">
      <c r="B799" s="15"/>
      <c r="G799" s="15"/>
    </row>
    <row r="800" spans="2:7" x14ac:dyDescent="0.25">
      <c r="B800" s="15"/>
      <c r="G800" s="15"/>
    </row>
    <row r="801" spans="2:7" x14ac:dyDescent="0.25">
      <c r="B801" s="15"/>
      <c r="G801" s="15"/>
    </row>
    <row r="802" spans="2:7" x14ac:dyDescent="0.25">
      <c r="B802" s="15"/>
      <c r="G802" s="15"/>
    </row>
    <row r="803" spans="2:7" x14ac:dyDescent="0.25">
      <c r="B803" s="15"/>
      <c r="G803" s="15"/>
    </row>
    <row r="804" spans="2:7" x14ac:dyDescent="0.25">
      <c r="B804" s="15"/>
      <c r="G804" s="15"/>
    </row>
    <row r="805" spans="2:7" x14ac:dyDescent="0.25">
      <c r="B805" s="15"/>
      <c r="G805" s="15"/>
    </row>
    <row r="806" spans="2:7" x14ac:dyDescent="0.25">
      <c r="B806" s="15"/>
      <c r="G806" s="15"/>
    </row>
    <row r="807" spans="2:7" x14ac:dyDescent="0.25">
      <c r="B807" s="15"/>
      <c r="G807" s="15"/>
    </row>
    <row r="808" spans="2:7" x14ac:dyDescent="0.25">
      <c r="B808" s="15"/>
      <c r="G808" s="15"/>
    </row>
    <row r="809" spans="2:7" x14ac:dyDescent="0.25">
      <c r="B809" s="15"/>
      <c r="G809" s="15"/>
    </row>
    <row r="810" spans="2:7" x14ac:dyDescent="0.25">
      <c r="B810" s="15"/>
      <c r="G810" s="15"/>
    </row>
    <row r="811" spans="2:7" x14ac:dyDescent="0.25">
      <c r="B811" s="15"/>
      <c r="G811" s="15"/>
    </row>
    <row r="812" spans="2:7" x14ac:dyDescent="0.25">
      <c r="B812" s="15"/>
      <c r="G812" s="15"/>
    </row>
    <row r="813" spans="2:7" x14ac:dyDescent="0.25">
      <c r="B813" s="15"/>
      <c r="G813" s="15"/>
    </row>
    <row r="814" spans="2:7" x14ac:dyDescent="0.25">
      <c r="B814" s="15"/>
      <c r="G814" s="15"/>
    </row>
    <row r="815" spans="2:7" x14ac:dyDescent="0.25">
      <c r="B815" s="15"/>
      <c r="G815" s="15"/>
    </row>
    <row r="816" spans="2:7" x14ac:dyDescent="0.25">
      <c r="B816" s="15"/>
      <c r="G816" s="15"/>
    </row>
    <row r="817" spans="2:7" x14ac:dyDescent="0.25">
      <c r="B817" s="15"/>
      <c r="G817" s="15"/>
    </row>
    <row r="818" spans="2:7" x14ac:dyDescent="0.25">
      <c r="B818" s="15"/>
      <c r="G818" s="15"/>
    </row>
    <row r="819" spans="2:7" x14ac:dyDescent="0.25">
      <c r="B819" s="15"/>
      <c r="G819" s="15"/>
    </row>
    <row r="820" spans="2:7" x14ac:dyDescent="0.25">
      <c r="B820" s="15"/>
      <c r="G820" s="15"/>
    </row>
    <row r="821" spans="2:7" x14ac:dyDescent="0.25">
      <c r="B821" s="15"/>
      <c r="G821" s="15"/>
    </row>
    <row r="822" spans="2:7" x14ac:dyDescent="0.25">
      <c r="B822" s="15"/>
      <c r="G822" s="15"/>
    </row>
    <row r="823" spans="2:7" x14ac:dyDescent="0.25">
      <c r="B823" s="15"/>
      <c r="G823" s="15"/>
    </row>
    <row r="824" spans="2:7" x14ac:dyDescent="0.25">
      <c r="B824" s="15"/>
      <c r="G824" s="15"/>
    </row>
    <row r="825" spans="2:7" x14ac:dyDescent="0.25">
      <c r="B825" s="15"/>
      <c r="G825" s="15"/>
    </row>
    <row r="826" spans="2:7" x14ac:dyDescent="0.25">
      <c r="B826" s="15"/>
      <c r="G826" s="15"/>
    </row>
    <row r="827" spans="2:7" x14ac:dyDescent="0.25">
      <c r="B827" s="15"/>
      <c r="G827" s="15"/>
    </row>
    <row r="828" spans="2:7" x14ac:dyDescent="0.25">
      <c r="B828" s="15"/>
      <c r="G828" s="15"/>
    </row>
    <row r="829" spans="2:7" x14ac:dyDescent="0.25">
      <c r="B829" s="15"/>
      <c r="G829" s="15"/>
    </row>
    <row r="830" spans="2:7" x14ac:dyDescent="0.25">
      <c r="B830" s="15"/>
      <c r="G830" s="15"/>
    </row>
    <row r="831" spans="2:7" x14ac:dyDescent="0.25">
      <c r="B831" s="15"/>
      <c r="G831" s="15"/>
    </row>
    <row r="832" spans="2:7" x14ac:dyDescent="0.25">
      <c r="B832" s="15"/>
      <c r="G832" s="15"/>
    </row>
    <row r="833" spans="2:7" x14ac:dyDescent="0.25">
      <c r="B833" s="15"/>
      <c r="G833" s="15"/>
    </row>
    <row r="834" spans="2:7" x14ac:dyDescent="0.25">
      <c r="B834" s="15"/>
      <c r="G834" s="15"/>
    </row>
    <row r="835" spans="2:7" x14ac:dyDescent="0.25">
      <c r="B835" s="15"/>
      <c r="G835" s="15"/>
    </row>
    <row r="836" spans="2:7" x14ac:dyDescent="0.25">
      <c r="B836" s="15"/>
      <c r="G836" s="15"/>
    </row>
    <row r="837" spans="2:7" x14ac:dyDescent="0.25">
      <c r="B837" s="15"/>
      <c r="G837" s="15"/>
    </row>
    <row r="838" spans="2:7" x14ac:dyDescent="0.25">
      <c r="B838" s="15"/>
      <c r="G838" s="15"/>
    </row>
    <row r="839" spans="2:7" x14ac:dyDescent="0.25">
      <c r="B839" s="15"/>
      <c r="G839" s="15"/>
    </row>
    <row r="840" spans="2:7" x14ac:dyDescent="0.25">
      <c r="B840" s="15"/>
      <c r="G840" s="15"/>
    </row>
    <row r="841" spans="2:7" x14ac:dyDescent="0.25">
      <c r="B841" s="15"/>
      <c r="G841" s="15"/>
    </row>
    <row r="842" spans="2:7" x14ac:dyDescent="0.25">
      <c r="B842" s="15"/>
      <c r="G842" s="15"/>
    </row>
    <row r="843" spans="2:7" x14ac:dyDescent="0.25">
      <c r="B843" s="15"/>
      <c r="G843" s="15"/>
    </row>
    <row r="844" spans="2:7" x14ac:dyDescent="0.25">
      <c r="B844" s="15"/>
      <c r="G844" s="15"/>
    </row>
    <row r="845" spans="2:7" x14ac:dyDescent="0.25">
      <c r="B845" s="15"/>
      <c r="G845" s="15"/>
    </row>
    <row r="846" spans="2:7" x14ac:dyDescent="0.25">
      <c r="B846" s="15"/>
      <c r="G846" s="15"/>
    </row>
    <row r="847" spans="2:7" x14ac:dyDescent="0.25">
      <c r="B847" s="15"/>
      <c r="G847" s="15"/>
    </row>
    <row r="848" spans="2:7" x14ac:dyDescent="0.25">
      <c r="B848" s="15"/>
      <c r="G848" s="15"/>
    </row>
    <row r="849" spans="2:7" x14ac:dyDescent="0.25">
      <c r="B849" s="15"/>
      <c r="G849" s="15"/>
    </row>
    <row r="850" spans="2:7" x14ac:dyDescent="0.25">
      <c r="B850" s="15"/>
      <c r="G850" s="15"/>
    </row>
    <row r="851" spans="2:7" x14ac:dyDescent="0.25">
      <c r="B851" s="15"/>
      <c r="G851" s="15"/>
    </row>
    <row r="852" spans="2:7" x14ac:dyDescent="0.25">
      <c r="B852" s="15"/>
      <c r="G852" s="15"/>
    </row>
    <row r="853" spans="2:7" x14ac:dyDescent="0.25">
      <c r="B853" s="15"/>
      <c r="G853" s="15"/>
    </row>
    <row r="854" spans="2:7" x14ac:dyDescent="0.25">
      <c r="B854" s="15"/>
      <c r="G854" s="15"/>
    </row>
    <row r="855" spans="2:7" x14ac:dyDescent="0.25">
      <c r="B855" s="15"/>
      <c r="G855" s="15"/>
    </row>
    <row r="856" spans="2:7" x14ac:dyDescent="0.25">
      <c r="B856" s="15"/>
      <c r="G856" s="15"/>
    </row>
    <row r="857" spans="2:7" x14ac:dyDescent="0.25">
      <c r="B857" s="15"/>
      <c r="G857" s="15"/>
    </row>
    <row r="858" spans="2:7" x14ac:dyDescent="0.25">
      <c r="B858" s="15"/>
      <c r="G858" s="15"/>
    </row>
    <row r="859" spans="2:7" x14ac:dyDescent="0.25">
      <c r="B859" s="15"/>
      <c r="G859" s="15"/>
    </row>
    <row r="860" spans="2:7" x14ac:dyDescent="0.25">
      <c r="B860" s="15"/>
      <c r="G860" s="15"/>
    </row>
    <row r="861" spans="2:7" x14ac:dyDescent="0.25">
      <c r="B861" s="15"/>
      <c r="G861" s="15"/>
    </row>
    <row r="862" spans="2:7" x14ac:dyDescent="0.25">
      <c r="B862" s="15"/>
      <c r="G862" s="15"/>
    </row>
    <row r="863" spans="2:7" x14ac:dyDescent="0.25">
      <c r="B863" s="15"/>
      <c r="G863" s="15"/>
    </row>
    <row r="864" spans="2:7" x14ac:dyDescent="0.25">
      <c r="B864" s="15"/>
      <c r="G864" s="15"/>
    </row>
    <row r="865" spans="2:7" x14ac:dyDescent="0.25">
      <c r="B865" s="15"/>
      <c r="G865" s="15"/>
    </row>
    <row r="866" spans="2:7" x14ac:dyDescent="0.25">
      <c r="B866" s="15"/>
      <c r="G866" s="15"/>
    </row>
    <row r="867" spans="2:7" x14ac:dyDescent="0.25">
      <c r="B867" s="15"/>
      <c r="G867" s="15"/>
    </row>
    <row r="868" spans="2:7" x14ac:dyDescent="0.25">
      <c r="B868" s="15"/>
      <c r="G868" s="15"/>
    </row>
    <row r="869" spans="2:7" x14ac:dyDescent="0.25">
      <c r="B869" s="15"/>
      <c r="G869" s="15"/>
    </row>
    <row r="870" spans="2:7" x14ac:dyDescent="0.25">
      <c r="B870" s="15"/>
      <c r="G870" s="15"/>
    </row>
    <row r="871" spans="2:7" x14ac:dyDescent="0.25">
      <c r="B871" s="15"/>
      <c r="G871" s="15"/>
    </row>
    <row r="872" spans="2:7" x14ac:dyDescent="0.25">
      <c r="B872" s="15"/>
      <c r="G872" s="15"/>
    </row>
    <row r="873" spans="2:7" x14ac:dyDescent="0.25">
      <c r="B873" s="15"/>
      <c r="G873" s="15"/>
    </row>
    <row r="874" spans="2:7" x14ac:dyDescent="0.25">
      <c r="B874" s="15"/>
      <c r="G874" s="15"/>
    </row>
    <row r="875" spans="2:7" x14ac:dyDescent="0.25">
      <c r="B875" s="15"/>
      <c r="G875" s="15"/>
    </row>
    <row r="876" spans="2:7" x14ac:dyDescent="0.25">
      <c r="B876" s="15"/>
      <c r="G876" s="15"/>
    </row>
    <row r="877" spans="2:7" x14ac:dyDescent="0.25">
      <c r="B877" s="15"/>
      <c r="G877" s="15"/>
    </row>
    <row r="878" spans="2:7" x14ac:dyDescent="0.25">
      <c r="B878" s="15"/>
      <c r="G878" s="15"/>
    </row>
    <row r="879" spans="2:7" x14ac:dyDescent="0.25">
      <c r="B879" s="15"/>
      <c r="G879" s="15"/>
    </row>
    <row r="880" spans="2:7" x14ac:dyDescent="0.25">
      <c r="B880" s="15"/>
      <c r="G880" s="15"/>
    </row>
    <row r="881" spans="2:7" x14ac:dyDescent="0.25">
      <c r="B881" s="15"/>
      <c r="G881" s="15"/>
    </row>
    <row r="882" spans="2:7" x14ac:dyDescent="0.25">
      <c r="B882" s="15"/>
      <c r="G882" s="15"/>
    </row>
    <row r="883" spans="2:7" x14ac:dyDescent="0.25">
      <c r="B883" s="15"/>
      <c r="G883" s="15"/>
    </row>
    <row r="884" spans="2:7" x14ac:dyDescent="0.25">
      <c r="B884" s="15"/>
      <c r="G884" s="15"/>
    </row>
    <row r="885" spans="2:7" x14ac:dyDescent="0.25">
      <c r="B885" s="15"/>
      <c r="G885" s="15"/>
    </row>
    <row r="886" spans="2:7" x14ac:dyDescent="0.25">
      <c r="B886" s="15"/>
      <c r="G886" s="15"/>
    </row>
    <row r="887" spans="2:7" x14ac:dyDescent="0.25">
      <c r="B887" s="15"/>
      <c r="G887" s="15"/>
    </row>
    <row r="888" spans="2:7" x14ac:dyDescent="0.25">
      <c r="B888" s="15"/>
      <c r="G888" s="15"/>
    </row>
    <row r="889" spans="2:7" x14ac:dyDescent="0.25">
      <c r="B889" s="15"/>
      <c r="G889" s="15"/>
    </row>
    <row r="890" spans="2:7" x14ac:dyDescent="0.25">
      <c r="B890" s="15"/>
      <c r="G890" s="15"/>
    </row>
    <row r="891" spans="2:7" x14ac:dyDescent="0.25">
      <c r="B891" s="15"/>
      <c r="G891" s="15"/>
    </row>
    <row r="892" spans="2:7" x14ac:dyDescent="0.25">
      <c r="B892" s="15"/>
      <c r="G892" s="15"/>
    </row>
    <row r="893" spans="2:7" x14ac:dyDescent="0.25">
      <c r="B893" s="15"/>
      <c r="G893" s="15"/>
    </row>
    <row r="894" spans="2:7" x14ac:dyDescent="0.25">
      <c r="B894" s="15"/>
      <c r="G894" s="15"/>
    </row>
    <row r="895" spans="2:7" x14ac:dyDescent="0.25">
      <c r="B895" s="15"/>
      <c r="G895" s="15"/>
    </row>
    <row r="896" spans="2:7" x14ac:dyDescent="0.25">
      <c r="B896" s="15"/>
      <c r="G896" s="15"/>
    </row>
    <row r="897" spans="2:7" x14ac:dyDescent="0.25">
      <c r="B897" s="15"/>
      <c r="G897" s="15"/>
    </row>
    <row r="898" spans="2:7" x14ac:dyDescent="0.25">
      <c r="B898" s="15"/>
      <c r="G898" s="15"/>
    </row>
    <row r="899" spans="2:7" x14ac:dyDescent="0.25">
      <c r="B899" s="15"/>
      <c r="G899" s="15"/>
    </row>
    <row r="900" spans="2:7" x14ac:dyDescent="0.25">
      <c r="B900" s="15"/>
      <c r="G900" s="15"/>
    </row>
    <row r="901" spans="2:7" x14ac:dyDescent="0.25">
      <c r="B901" s="15"/>
      <c r="G901" s="15"/>
    </row>
    <row r="902" spans="2:7" x14ac:dyDescent="0.25">
      <c r="B902" s="15"/>
      <c r="G902" s="15"/>
    </row>
    <row r="903" spans="2:7" x14ac:dyDescent="0.25">
      <c r="B903" s="15"/>
      <c r="G903" s="15"/>
    </row>
    <row r="904" spans="2:7" x14ac:dyDescent="0.25">
      <c r="B904" s="15"/>
      <c r="G904" s="15"/>
    </row>
    <row r="905" spans="2:7" x14ac:dyDescent="0.25">
      <c r="B905" s="15"/>
      <c r="G905" s="15"/>
    </row>
    <row r="906" spans="2:7" x14ac:dyDescent="0.25">
      <c r="B906" s="15"/>
      <c r="G906" s="15"/>
    </row>
    <row r="907" spans="2:7" x14ac:dyDescent="0.25">
      <c r="B907" s="15"/>
      <c r="G907" s="15"/>
    </row>
    <row r="908" spans="2:7" x14ac:dyDescent="0.25">
      <c r="B908" s="15"/>
      <c r="G908" s="15"/>
    </row>
    <row r="909" spans="2:7" x14ac:dyDescent="0.25">
      <c r="B909" s="15"/>
      <c r="G909" s="15"/>
    </row>
    <row r="910" spans="2:7" x14ac:dyDescent="0.25">
      <c r="B910" s="15"/>
      <c r="G910" s="15"/>
    </row>
    <row r="911" spans="2:7" x14ac:dyDescent="0.25">
      <c r="B911" s="15"/>
      <c r="G911" s="15"/>
    </row>
    <row r="912" spans="2:7" x14ac:dyDescent="0.25">
      <c r="B912" s="15"/>
      <c r="G912" s="15"/>
    </row>
    <row r="913" spans="2:7" x14ac:dyDescent="0.25">
      <c r="B913" s="15"/>
      <c r="G913" s="15"/>
    </row>
    <row r="914" spans="2:7" x14ac:dyDescent="0.25">
      <c r="B914" s="15"/>
      <c r="G914" s="15"/>
    </row>
    <row r="915" spans="2:7" x14ac:dyDescent="0.25">
      <c r="B915" s="15"/>
      <c r="G915" s="15"/>
    </row>
    <row r="916" spans="2:7" x14ac:dyDescent="0.25">
      <c r="B916" s="15"/>
      <c r="G916" s="15"/>
    </row>
    <row r="917" spans="2:7" x14ac:dyDescent="0.25">
      <c r="B917" s="15"/>
      <c r="G917" s="15"/>
    </row>
    <row r="918" spans="2:7" x14ac:dyDescent="0.25">
      <c r="B918" s="15"/>
      <c r="G918" s="15"/>
    </row>
    <row r="919" spans="2:7" x14ac:dyDescent="0.25">
      <c r="B919" s="15"/>
      <c r="G919" s="15"/>
    </row>
    <row r="920" spans="2:7" x14ac:dyDescent="0.25">
      <c r="B920" s="15"/>
      <c r="G920" s="15"/>
    </row>
    <row r="921" spans="2:7" x14ac:dyDescent="0.25">
      <c r="B921" s="15"/>
      <c r="G921" s="15"/>
    </row>
    <row r="922" spans="2:7" x14ac:dyDescent="0.25">
      <c r="B922" s="15"/>
      <c r="G922" s="15"/>
    </row>
    <row r="923" spans="2:7" x14ac:dyDescent="0.25">
      <c r="B923" s="15"/>
      <c r="G923" s="15"/>
    </row>
    <row r="924" spans="2:7" x14ac:dyDescent="0.25">
      <c r="B924" s="15"/>
      <c r="G924" s="15"/>
    </row>
    <row r="925" spans="2:7" x14ac:dyDescent="0.25">
      <c r="B925" s="15"/>
      <c r="G925" s="15"/>
    </row>
    <row r="926" spans="2:7" x14ac:dyDescent="0.25">
      <c r="B926" s="15"/>
      <c r="G926" s="15"/>
    </row>
    <row r="927" spans="2:7" x14ac:dyDescent="0.25">
      <c r="B927" s="15"/>
      <c r="G927" s="15"/>
    </row>
    <row r="928" spans="2:7" x14ac:dyDescent="0.25">
      <c r="B928" s="15"/>
      <c r="G928" s="15"/>
    </row>
    <row r="929" spans="2:7" x14ac:dyDescent="0.25">
      <c r="B929" s="15"/>
      <c r="G929" s="15"/>
    </row>
    <row r="930" spans="2:7" x14ac:dyDescent="0.25">
      <c r="B930" s="15"/>
      <c r="G930" s="15"/>
    </row>
    <row r="931" spans="2:7" x14ac:dyDescent="0.25">
      <c r="B931" s="15"/>
      <c r="G931" s="15"/>
    </row>
    <row r="932" spans="2:7" x14ac:dyDescent="0.25">
      <c r="B932" s="15"/>
      <c r="G932" s="15"/>
    </row>
    <row r="933" spans="2:7" x14ac:dyDescent="0.25">
      <c r="B933" s="15"/>
      <c r="G933" s="15"/>
    </row>
    <row r="934" spans="2:7" x14ac:dyDescent="0.25">
      <c r="B934" s="15"/>
      <c r="G934" s="15"/>
    </row>
    <row r="935" spans="2:7" x14ac:dyDescent="0.25">
      <c r="B935" s="15"/>
      <c r="G935" s="15"/>
    </row>
    <row r="936" spans="2:7" x14ac:dyDescent="0.25">
      <c r="B936" s="15"/>
      <c r="G936" s="15"/>
    </row>
    <row r="937" spans="2:7" x14ac:dyDescent="0.25">
      <c r="B937" s="15"/>
      <c r="G937" s="15"/>
    </row>
    <row r="938" spans="2:7" x14ac:dyDescent="0.25">
      <c r="B938" s="15"/>
      <c r="G938" s="15"/>
    </row>
    <row r="939" spans="2:7" x14ac:dyDescent="0.25">
      <c r="B939" s="15"/>
      <c r="G939" s="15"/>
    </row>
    <row r="940" spans="2:7" x14ac:dyDescent="0.25">
      <c r="B940" s="15"/>
      <c r="G940" s="15"/>
    </row>
    <row r="941" spans="2:7" x14ac:dyDescent="0.25">
      <c r="B941" s="15"/>
      <c r="G941" s="15"/>
    </row>
    <row r="942" spans="2:7" x14ac:dyDescent="0.25">
      <c r="B942" s="15"/>
      <c r="G942" s="15"/>
    </row>
    <row r="943" spans="2:7" x14ac:dyDescent="0.25">
      <c r="B943" s="15"/>
      <c r="G943" s="15"/>
    </row>
    <row r="944" spans="2:7" x14ac:dyDescent="0.25">
      <c r="B944" s="15"/>
      <c r="G944" s="15"/>
    </row>
    <row r="945" spans="2:7" x14ac:dyDescent="0.25">
      <c r="B945" s="15"/>
      <c r="G945" s="15"/>
    </row>
    <row r="946" spans="2:7" x14ac:dyDescent="0.25">
      <c r="B946" s="15"/>
      <c r="G946" s="15"/>
    </row>
    <row r="947" spans="2:7" x14ac:dyDescent="0.25">
      <c r="B947" s="15"/>
      <c r="G947" s="15"/>
    </row>
    <row r="948" spans="2:7" x14ac:dyDescent="0.25">
      <c r="B948" s="15"/>
      <c r="G948" s="15"/>
    </row>
    <row r="949" spans="2:7" x14ac:dyDescent="0.25">
      <c r="B949" s="15"/>
      <c r="G949" s="15"/>
    </row>
    <row r="950" spans="2:7" x14ac:dyDescent="0.25">
      <c r="B950" s="15"/>
      <c r="G950" s="15"/>
    </row>
    <row r="951" spans="2:7" x14ac:dyDescent="0.25">
      <c r="B951" s="15"/>
      <c r="G951" s="15"/>
    </row>
    <row r="952" spans="2:7" x14ac:dyDescent="0.25">
      <c r="B952" s="15"/>
      <c r="G952" s="15"/>
    </row>
    <row r="953" spans="2:7" x14ac:dyDescent="0.25">
      <c r="B953" s="15"/>
      <c r="G953" s="15"/>
    </row>
    <row r="954" spans="2:7" x14ac:dyDescent="0.25">
      <c r="B954" s="15"/>
      <c r="G954" s="15"/>
    </row>
    <row r="955" spans="2:7" x14ac:dyDescent="0.25">
      <c r="B955" s="15"/>
      <c r="G955" s="15"/>
    </row>
    <row r="956" spans="2:7" x14ac:dyDescent="0.25">
      <c r="B956" s="15"/>
      <c r="G956" s="15"/>
    </row>
    <row r="957" spans="2:7" x14ac:dyDescent="0.25">
      <c r="B957" s="15"/>
      <c r="G957" s="15"/>
    </row>
    <row r="958" spans="2:7" x14ac:dyDescent="0.25">
      <c r="B958" s="15"/>
      <c r="G958" s="15"/>
    </row>
    <row r="959" spans="2:7" x14ac:dyDescent="0.25">
      <c r="B959" s="15"/>
      <c r="G959" s="15"/>
    </row>
    <row r="960" spans="2:7" x14ac:dyDescent="0.25">
      <c r="B960" s="15"/>
      <c r="G960" s="15"/>
    </row>
    <row r="961" spans="2:7" x14ac:dyDescent="0.25">
      <c r="B961" s="15"/>
      <c r="G961" s="15"/>
    </row>
    <row r="962" spans="2:7" x14ac:dyDescent="0.25">
      <c r="B962" s="15"/>
      <c r="G962" s="15"/>
    </row>
    <row r="963" spans="2:7" x14ac:dyDescent="0.25">
      <c r="B963" s="15"/>
      <c r="G963" s="15"/>
    </row>
    <row r="964" spans="2:7" x14ac:dyDescent="0.25">
      <c r="B964" s="15"/>
      <c r="G964" s="15"/>
    </row>
    <row r="965" spans="2:7" x14ac:dyDescent="0.25">
      <c r="B965" s="15"/>
      <c r="G965" s="15"/>
    </row>
    <row r="966" spans="2:7" x14ac:dyDescent="0.25">
      <c r="B966" s="15"/>
      <c r="G966" s="15"/>
    </row>
    <row r="967" spans="2:7" x14ac:dyDescent="0.25">
      <c r="B967" s="15"/>
      <c r="G967" s="15"/>
    </row>
    <row r="968" spans="2:7" x14ac:dyDescent="0.25">
      <c r="B968" s="15"/>
      <c r="G968" s="15"/>
    </row>
    <row r="969" spans="2:7" x14ac:dyDescent="0.25">
      <c r="B969" s="15"/>
      <c r="G969" s="15"/>
    </row>
    <row r="970" spans="2:7" x14ac:dyDescent="0.25">
      <c r="B970" s="15"/>
      <c r="G970" s="15"/>
    </row>
    <row r="971" spans="2:7" x14ac:dyDescent="0.25">
      <c r="B971" s="15"/>
      <c r="G971" s="15"/>
    </row>
    <row r="972" spans="2:7" x14ac:dyDescent="0.25">
      <c r="B972" s="15"/>
      <c r="G972" s="15"/>
    </row>
    <row r="973" spans="2:7" x14ac:dyDescent="0.25">
      <c r="B973" s="15"/>
      <c r="G973" s="15"/>
    </row>
    <row r="974" spans="2:7" x14ac:dyDescent="0.25">
      <c r="B974" s="15"/>
      <c r="G974" s="15"/>
    </row>
    <row r="975" spans="2:7" x14ac:dyDescent="0.25">
      <c r="B975" s="15"/>
      <c r="G975" s="15"/>
    </row>
    <row r="976" spans="2:7" x14ac:dyDescent="0.25">
      <c r="B976" s="15"/>
      <c r="G976" s="15"/>
    </row>
    <row r="977" spans="2:7" x14ac:dyDescent="0.25">
      <c r="B977" s="15"/>
      <c r="G977" s="15"/>
    </row>
    <row r="978" spans="2:7" x14ac:dyDescent="0.25">
      <c r="B978" s="15"/>
      <c r="G978" s="15"/>
    </row>
    <row r="979" spans="2:7" x14ac:dyDescent="0.25">
      <c r="B979" s="15"/>
      <c r="G979" s="15"/>
    </row>
    <row r="980" spans="2:7" x14ac:dyDescent="0.25">
      <c r="B980" s="15"/>
      <c r="G980" s="15"/>
    </row>
    <row r="981" spans="2:7" x14ac:dyDescent="0.25">
      <c r="B981" s="15"/>
      <c r="G981" s="15"/>
    </row>
    <row r="982" spans="2:7" x14ac:dyDescent="0.25">
      <c r="B982" s="15"/>
      <c r="G982" s="15"/>
    </row>
    <row r="983" spans="2:7" x14ac:dyDescent="0.25">
      <c r="B983" s="15"/>
      <c r="G983" s="15"/>
    </row>
    <row r="984" spans="2:7" x14ac:dyDescent="0.25">
      <c r="B984" s="15"/>
      <c r="G984" s="15"/>
    </row>
    <row r="985" spans="2:7" x14ac:dyDescent="0.25">
      <c r="B985" s="15"/>
      <c r="G985" s="15"/>
    </row>
    <row r="986" spans="2:7" x14ac:dyDescent="0.25">
      <c r="B986" s="15"/>
      <c r="G986" s="15"/>
    </row>
    <row r="987" spans="2:7" x14ac:dyDescent="0.25">
      <c r="B987" s="15"/>
      <c r="G987" s="15"/>
    </row>
    <row r="988" spans="2:7" x14ac:dyDescent="0.25">
      <c r="B988" s="15"/>
      <c r="G988" s="15"/>
    </row>
    <row r="989" spans="2:7" x14ac:dyDescent="0.25">
      <c r="B989" s="15"/>
      <c r="G989" s="15"/>
    </row>
    <row r="990" spans="2:7" x14ac:dyDescent="0.25">
      <c r="B990" s="15"/>
      <c r="G990" s="15"/>
    </row>
    <row r="991" spans="2:7" x14ac:dyDescent="0.25">
      <c r="B991" s="15"/>
      <c r="G991" s="15"/>
    </row>
    <row r="992" spans="2:7" x14ac:dyDescent="0.25">
      <c r="B992" s="15"/>
      <c r="G992" s="15"/>
    </row>
    <row r="993" spans="2:7" x14ac:dyDescent="0.25">
      <c r="B993" s="15"/>
      <c r="G993" s="15"/>
    </row>
    <row r="994" spans="2:7" x14ac:dyDescent="0.25">
      <c r="B994" s="15"/>
      <c r="G994" s="15"/>
    </row>
    <row r="995" spans="2:7" x14ac:dyDescent="0.25">
      <c r="B995" s="15"/>
      <c r="G995" s="15"/>
    </row>
    <row r="996" spans="2:7" x14ac:dyDescent="0.25">
      <c r="B996" s="15"/>
      <c r="G996" s="15"/>
    </row>
    <row r="997" spans="2:7" x14ac:dyDescent="0.25">
      <c r="B997" s="15"/>
      <c r="G997" s="15"/>
    </row>
    <row r="998" spans="2:7" x14ac:dyDescent="0.25">
      <c r="B998" s="15"/>
      <c r="G998" s="15"/>
    </row>
    <row r="999" spans="2:7" x14ac:dyDescent="0.25">
      <c r="B999" s="15"/>
      <c r="G999" s="15"/>
    </row>
    <row r="1000" spans="2:7" x14ac:dyDescent="0.25">
      <c r="B1000" s="15"/>
      <c r="G1000" s="15"/>
    </row>
    <row r="1001" spans="2:7" x14ac:dyDescent="0.25">
      <c r="B1001" s="15"/>
      <c r="G1001" s="15"/>
    </row>
    <row r="1002" spans="2:7" x14ac:dyDescent="0.25">
      <c r="B1002" s="15"/>
      <c r="G1002" s="15"/>
    </row>
    <row r="1003" spans="2:7" x14ac:dyDescent="0.25">
      <c r="B1003" s="15"/>
      <c r="G1003" s="15"/>
    </row>
    <row r="1004" spans="2:7" x14ac:dyDescent="0.25">
      <c r="B1004" s="15"/>
      <c r="G1004" s="15"/>
    </row>
    <row r="1005" spans="2:7" x14ac:dyDescent="0.25">
      <c r="B1005" s="15"/>
      <c r="G1005" s="15"/>
    </row>
    <row r="1006" spans="2:7" x14ac:dyDescent="0.25">
      <c r="B1006" s="15"/>
      <c r="G1006" s="15"/>
    </row>
    <row r="1007" spans="2:7" x14ac:dyDescent="0.25">
      <c r="B1007" s="15"/>
      <c r="G1007" s="15"/>
    </row>
    <row r="1008" spans="2:7" x14ac:dyDescent="0.25">
      <c r="B1008" s="15"/>
      <c r="G1008" s="15"/>
    </row>
    <row r="1009" spans="2:7" x14ac:dyDescent="0.25">
      <c r="B1009" s="15"/>
      <c r="G1009" s="15"/>
    </row>
    <row r="1010" spans="2:7" x14ac:dyDescent="0.25">
      <c r="B1010" s="15"/>
      <c r="G1010" s="15"/>
    </row>
    <row r="1011" spans="2:7" x14ac:dyDescent="0.25">
      <c r="B1011" s="15"/>
      <c r="G1011" s="15"/>
    </row>
    <row r="1012" spans="2:7" x14ac:dyDescent="0.25">
      <c r="B1012" s="15"/>
      <c r="G1012" s="15"/>
    </row>
    <row r="1013" spans="2:7" x14ac:dyDescent="0.25">
      <c r="B1013" s="15"/>
      <c r="G1013" s="15"/>
    </row>
    <row r="1014" spans="2:7" x14ac:dyDescent="0.25">
      <c r="B1014" s="15"/>
      <c r="G1014" s="15"/>
    </row>
    <row r="1015" spans="2:7" x14ac:dyDescent="0.25">
      <c r="B1015" s="15"/>
      <c r="G1015" s="15"/>
    </row>
    <row r="1016" spans="2:7" x14ac:dyDescent="0.25">
      <c r="B1016" s="15"/>
      <c r="G1016" s="15"/>
    </row>
    <row r="1017" spans="2:7" x14ac:dyDescent="0.25">
      <c r="B1017" s="15"/>
      <c r="G1017" s="15"/>
    </row>
    <row r="1018" spans="2:7" x14ac:dyDescent="0.25">
      <c r="B1018" s="15"/>
      <c r="G1018" s="15"/>
    </row>
    <row r="1019" spans="2:7" x14ac:dyDescent="0.25">
      <c r="B1019" s="15"/>
      <c r="G1019" s="15"/>
    </row>
    <row r="1020" spans="2:7" x14ac:dyDescent="0.25">
      <c r="B1020" s="15"/>
      <c r="G1020" s="15"/>
    </row>
    <row r="1021" spans="2:7" x14ac:dyDescent="0.25">
      <c r="B1021" s="15"/>
      <c r="G1021" s="15"/>
    </row>
    <row r="1022" spans="2:7" x14ac:dyDescent="0.25">
      <c r="B1022" s="15"/>
      <c r="G1022" s="15"/>
    </row>
    <row r="1023" spans="2:7" x14ac:dyDescent="0.25">
      <c r="B1023" s="15"/>
      <c r="G1023" s="15"/>
    </row>
    <row r="1024" spans="2:7" x14ac:dyDescent="0.25">
      <c r="B1024" s="15"/>
      <c r="G1024" s="15"/>
    </row>
    <row r="1025" spans="2:7" x14ac:dyDescent="0.25">
      <c r="B1025" s="15"/>
      <c r="G1025" s="15"/>
    </row>
    <row r="1026" spans="2:7" x14ac:dyDescent="0.25">
      <c r="B1026" s="15"/>
      <c r="G1026" s="15"/>
    </row>
    <row r="1027" spans="2:7" x14ac:dyDescent="0.25">
      <c r="B1027" s="15"/>
      <c r="G1027" s="15"/>
    </row>
    <row r="1028" spans="2:7" x14ac:dyDescent="0.25">
      <c r="B1028" s="15"/>
      <c r="G1028" s="15"/>
    </row>
    <row r="1029" spans="2:7" x14ac:dyDescent="0.25">
      <c r="B1029" s="15"/>
      <c r="G1029" s="15"/>
    </row>
    <row r="1030" spans="2:7" x14ac:dyDescent="0.25">
      <c r="B1030" s="15"/>
      <c r="G1030" s="15"/>
    </row>
    <row r="1031" spans="2:7" x14ac:dyDescent="0.25">
      <c r="B1031" s="15"/>
      <c r="G1031" s="15"/>
    </row>
    <row r="1032" spans="2:7" x14ac:dyDescent="0.25">
      <c r="B1032" s="15"/>
      <c r="G1032" s="15"/>
    </row>
    <row r="1033" spans="2:7" x14ac:dyDescent="0.25">
      <c r="B1033" s="15"/>
      <c r="G1033" s="15"/>
    </row>
    <row r="1034" spans="2:7" x14ac:dyDescent="0.25">
      <c r="B1034" s="15"/>
      <c r="G1034" s="15"/>
    </row>
    <row r="1035" spans="2:7" x14ac:dyDescent="0.25">
      <c r="B1035" s="15"/>
      <c r="G1035" s="15"/>
    </row>
    <row r="1036" spans="2:7" x14ac:dyDescent="0.25">
      <c r="B1036" s="15"/>
      <c r="G1036" s="15"/>
    </row>
    <row r="1037" spans="2:7" x14ac:dyDescent="0.25">
      <c r="B1037" s="15"/>
      <c r="G1037" s="15"/>
    </row>
    <row r="1038" spans="2:7" x14ac:dyDescent="0.25">
      <c r="B1038" s="15"/>
      <c r="G1038" s="15"/>
    </row>
    <row r="1039" spans="2:7" x14ac:dyDescent="0.25">
      <c r="B1039" s="15"/>
      <c r="G1039" s="15"/>
    </row>
    <row r="1040" spans="2:7" x14ac:dyDescent="0.25">
      <c r="B1040" s="15"/>
      <c r="G1040" s="15"/>
    </row>
    <row r="1041" spans="2:7" x14ac:dyDescent="0.25">
      <c r="B1041" s="15"/>
      <c r="G1041" s="15"/>
    </row>
    <row r="1042" spans="2:7" x14ac:dyDescent="0.25">
      <c r="B1042" s="15"/>
      <c r="G1042" s="15"/>
    </row>
    <row r="1043" spans="2:7" x14ac:dyDescent="0.25">
      <c r="B1043" s="15"/>
      <c r="G1043" s="15"/>
    </row>
    <row r="1044" spans="2:7" x14ac:dyDescent="0.25">
      <c r="B1044" s="15"/>
      <c r="G1044" s="15"/>
    </row>
    <row r="1045" spans="2:7" x14ac:dyDescent="0.25">
      <c r="B1045" s="15"/>
      <c r="G1045" s="15"/>
    </row>
    <row r="1046" spans="2:7" x14ac:dyDescent="0.25">
      <c r="B1046" s="15"/>
      <c r="G1046" s="15"/>
    </row>
    <row r="1047" spans="2:7" x14ac:dyDescent="0.25">
      <c r="B1047" s="15"/>
      <c r="G1047" s="15"/>
    </row>
    <row r="1048" spans="2:7" x14ac:dyDescent="0.25">
      <c r="B1048" s="15"/>
      <c r="G1048" s="15"/>
    </row>
    <row r="1049" spans="2:7" x14ac:dyDescent="0.25">
      <c r="B1049" s="15"/>
      <c r="G1049" s="15"/>
    </row>
    <row r="1050" spans="2:7" x14ac:dyDescent="0.25">
      <c r="B1050" s="15"/>
      <c r="G1050" s="15"/>
    </row>
    <row r="1051" spans="2:7" x14ac:dyDescent="0.25">
      <c r="B1051" s="15"/>
      <c r="G1051" s="15"/>
    </row>
    <row r="1052" spans="2:7" x14ac:dyDescent="0.25">
      <c r="B1052" s="15"/>
      <c r="G1052" s="15"/>
    </row>
    <row r="1053" spans="2:7" x14ac:dyDescent="0.25">
      <c r="B1053" s="15"/>
      <c r="G1053" s="15"/>
    </row>
    <row r="1054" spans="2:7" x14ac:dyDescent="0.25">
      <c r="B1054" s="15"/>
      <c r="G1054" s="15"/>
    </row>
    <row r="1055" spans="2:7" x14ac:dyDescent="0.25">
      <c r="B1055" s="15"/>
      <c r="G1055" s="15"/>
    </row>
    <row r="1056" spans="2:7" x14ac:dyDescent="0.25">
      <c r="B1056" s="15"/>
      <c r="G1056" s="15"/>
    </row>
    <row r="1057" spans="2:7" x14ac:dyDescent="0.25">
      <c r="B1057" s="15"/>
      <c r="G1057" s="15"/>
    </row>
    <row r="1058" spans="2:7" x14ac:dyDescent="0.25">
      <c r="B1058" s="15"/>
      <c r="G1058" s="15"/>
    </row>
    <row r="1059" spans="2:7" x14ac:dyDescent="0.25">
      <c r="B1059" s="15"/>
      <c r="G1059" s="15"/>
    </row>
    <row r="1060" spans="2:7" x14ac:dyDescent="0.25">
      <c r="B1060" s="15"/>
      <c r="G1060" s="15"/>
    </row>
    <row r="1061" spans="2:7" x14ac:dyDescent="0.25">
      <c r="B1061" s="15"/>
      <c r="G1061" s="15"/>
    </row>
    <row r="1062" spans="2:7" x14ac:dyDescent="0.25">
      <c r="B1062" s="15"/>
      <c r="G1062" s="15"/>
    </row>
    <row r="1063" spans="2:7" x14ac:dyDescent="0.25">
      <c r="B1063" s="15"/>
      <c r="G1063" s="15"/>
    </row>
    <row r="1064" spans="2:7" x14ac:dyDescent="0.25">
      <c r="B1064" s="15"/>
      <c r="G1064" s="15"/>
    </row>
    <row r="1065" spans="2:7" x14ac:dyDescent="0.25">
      <c r="B1065" s="15"/>
      <c r="G1065" s="15"/>
    </row>
    <row r="1066" spans="2:7" x14ac:dyDescent="0.25">
      <c r="B1066" s="15"/>
      <c r="G1066" s="15"/>
    </row>
    <row r="1067" spans="2:7" x14ac:dyDescent="0.25">
      <c r="B1067" s="15"/>
      <c r="G1067" s="15"/>
    </row>
    <row r="1068" spans="2:7" x14ac:dyDescent="0.25">
      <c r="B1068" s="15"/>
      <c r="G1068" s="15"/>
    </row>
    <row r="1069" spans="2:7" x14ac:dyDescent="0.25">
      <c r="B1069" s="15"/>
      <c r="G1069" s="15"/>
    </row>
    <row r="1070" spans="2:7" x14ac:dyDescent="0.25">
      <c r="B1070" s="15"/>
      <c r="G1070" s="15"/>
    </row>
    <row r="1071" spans="2:7" x14ac:dyDescent="0.25">
      <c r="B1071" s="15"/>
      <c r="G1071" s="15"/>
    </row>
    <row r="1072" spans="2:7" x14ac:dyDescent="0.25">
      <c r="B1072" s="15"/>
      <c r="G1072" s="15"/>
    </row>
    <row r="1073" spans="2:7" x14ac:dyDescent="0.25">
      <c r="B1073" s="15"/>
      <c r="G1073" s="15"/>
    </row>
    <row r="1074" spans="2:7" x14ac:dyDescent="0.25">
      <c r="B1074" s="15"/>
      <c r="G1074" s="15"/>
    </row>
    <row r="1075" spans="2:7" x14ac:dyDescent="0.25">
      <c r="B1075" s="15"/>
      <c r="G1075" s="15"/>
    </row>
    <row r="1076" spans="2:7" x14ac:dyDescent="0.25">
      <c r="B1076" s="15"/>
      <c r="G1076" s="15"/>
    </row>
    <row r="1077" spans="2:7" x14ac:dyDescent="0.25">
      <c r="B1077" s="15"/>
      <c r="G1077" s="15"/>
    </row>
    <row r="1078" spans="2:7" x14ac:dyDescent="0.25">
      <c r="B1078" s="15"/>
      <c r="G1078" s="15"/>
    </row>
    <row r="1079" spans="2:7" x14ac:dyDescent="0.25">
      <c r="B1079" s="15"/>
      <c r="G1079" s="15"/>
    </row>
    <row r="1080" spans="2:7" x14ac:dyDescent="0.25">
      <c r="B1080" s="15"/>
      <c r="G1080" s="15"/>
    </row>
    <row r="1081" spans="2:7" x14ac:dyDescent="0.25">
      <c r="B1081" s="15"/>
      <c r="G1081" s="15"/>
    </row>
    <row r="1082" spans="2:7" x14ac:dyDescent="0.25">
      <c r="B1082" s="15"/>
      <c r="G1082" s="15"/>
    </row>
    <row r="1083" spans="2:7" x14ac:dyDescent="0.25">
      <c r="B1083" s="15"/>
      <c r="G1083" s="15"/>
    </row>
    <row r="1084" spans="2:7" x14ac:dyDescent="0.25">
      <c r="B1084" s="15"/>
      <c r="G1084" s="15"/>
    </row>
    <row r="1085" spans="2:7" x14ac:dyDescent="0.25">
      <c r="B1085" s="15"/>
      <c r="G1085" s="15"/>
    </row>
    <row r="1086" spans="2:7" x14ac:dyDescent="0.25">
      <c r="B1086" s="15"/>
      <c r="G1086" s="15"/>
    </row>
    <row r="1087" spans="2:7" x14ac:dyDescent="0.25">
      <c r="B1087" s="15"/>
      <c r="G1087" s="15"/>
    </row>
    <row r="1088" spans="2:7" x14ac:dyDescent="0.25">
      <c r="B1088" s="15"/>
      <c r="G1088" s="15"/>
    </row>
    <row r="1089" spans="2:7" x14ac:dyDescent="0.25">
      <c r="B1089" s="15"/>
      <c r="G1089" s="15"/>
    </row>
    <row r="1090" spans="2:7" x14ac:dyDescent="0.25">
      <c r="B1090" s="15"/>
      <c r="G1090" s="15"/>
    </row>
    <row r="1091" spans="2:7" x14ac:dyDescent="0.25">
      <c r="B1091" s="15"/>
      <c r="G1091" s="15"/>
    </row>
    <row r="1092" spans="2:7" x14ac:dyDescent="0.25">
      <c r="B1092" s="15"/>
      <c r="G1092" s="15"/>
    </row>
    <row r="1093" spans="2:7" x14ac:dyDescent="0.25">
      <c r="B1093" s="15"/>
      <c r="G1093" s="15"/>
    </row>
    <row r="1094" spans="2:7" x14ac:dyDescent="0.25">
      <c r="B1094" s="15"/>
      <c r="G1094" s="15"/>
    </row>
    <row r="1095" spans="2:7" x14ac:dyDescent="0.25">
      <c r="B1095" s="15"/>
      <c r="G1095" s="15"/>
    </row>
    <row r="1096" spans="2:7" x14ac:dyDescent="0.25">
      <c r="B1096" s="15"/>
      <c r="G1096" s="15"/>
    </row>
    <row r="1097" spans="2:7" x14ac:dyDescent="0.25">
      <c r="B1097" s="15"/>
      <c r="G1097" s="15"/>
    </row>
    <row r="1098" spans="2:7" x14ac:dyDescent="0.25">
      <c r="B1098" s="15"/>
      <c r="G1098" s="15"/>
    </row>
    <row r="1099" spans="2:7" x14ac:dyDescent="0.25">
      <c r="B1099" s="15"/>
      <c r="G1099" s="15"/>
    </row>
    <row r="1100" spans="2:7" x14ac:dyDescent="0.25">
      <c r="B1100" s="15"/>
      <c r="G1100" s="15"/>
    </row>
    <row r="1101" spans="2:7" x14ac:dyDescent="0.25">
      <c r="B1101" s="15"/>
      <c r="G1101" s="15"/>
    </row>
    <row r="1102" spans="2:7" x14ac:dyDescent="0.25">
      <c r="B1102" s="15"/>
      <c r="G1102" s="15"/>
    </row>
    <row r="1103" spans="2:7" x14ac:dyDescent="0.25">
      <c r="B1103" s="15"/>
      <c r="G1103" s="15"/>
    </row>
    <row r="1104" spans="2:7" x14ac:dyDescent="0.25">
      <c r="B1104" s="15"/>
      <c r="G1104" s="15"/>
    </row>
    <row r="1105" spans="2:7" x14ac:dyDescent="0.25">
      <c r="B1105" s="15"/>
      <c r="G1105" s="15"/>
    </row>
    <row r="1106" spans="2:7" x14ac:dyDescent="0.25">
      <c r="B1106" s="15"/>
      <c r="G1106" s="15"/>
    </row>
    <row r="1107" spans="2:7" x14ac:dyDescent="0.25">
      <c r="B1107" s="15"/>
      <c r="G1107" s="15"/>
    </row>
    <row r="1108" spans="2:7" x14ac:dyDescent="0.25">
      <c r="B1108" s="15"/>
      <c r="G1108" s="15"/>
    </row>
    <row r="1109" spans="2:7" x14ac:dyDescent="0.25">
      <c r="B1109" s="15"/>
      <c r="G1109" s="15"/>
    </row>
    <row r="1110" spans="2:7" x14ac:dyDescent="0.25">
      <c r="B1110" s="15"/>
      <c r="G1110" s="15"/>
    </row>
    <row r="1111" spans="2:7" x14ac:dyDescent="0.25">
      <c r="B1111" s="15"/>
      <c r="G1111" s="15"/>
    </row>
    <row r="1112" spans="2:7" x14ac:dyDescent="0.25">
      <c r="B1112" s="15"/>
      <c r="G1112" s="15"/>
    </row>
    <row r="1113" spans="2:7" x14ac:dyDescent="0.25">
      <c r="B1113" s="15"/>
      <c r="G1113" s="15"/>
    </row>
    <row r="1114" spans="2:7" x14ac:dyDescent="0.25">
      <c r="B1114" s="15"/>
      <c r="G1114" s="15"/>
    </row>
    <row r="1115" spans="2:7" x14ac:dyDescent="0.25">
      <c r="B1115" s="15"/>
      <c r="G1115" s="15"/>
    </row>
    <row r="1116" spans="2:7" x14ac:dyDescent="0.25">
      <c r="B1116" s="15"/>
      <c r="G1116" s="15"/>
    </row>
    <row r="1117" spans="2:7" x14ac:dyDescent="0.25">
      <c r="B1117" s="15"/>
      <c r="G1117" s="15"/>
    </row>
    <row r="1118" spans="2:7" x14ac:dyDescent="0.25">
      <c r="B1118" s="15"/>
      <c r="G1118" s="15"/>
    </row>
    <row r="1119" spans="2:7" x14ac:dyDescent="0.25">
      <c r="B1119" s="15"/>
      <c r="G1119" s="15"/>
    </row>
    <row r="1120" spans="2:7" x14ac:dyDescent="0.25">
      <c r="B1120" s="15"/>
      <c r="G1120" s="15"/>
    </row>
    <row r="1121" spans="2:7" x14ac:dyDescent="0.25">
      <c r="B1121" s="15"/>
      <c r="G1121" s="15"/>
    </row>
    <row r="1122" spans="2:7" x14ac:dyDescent="0.25">
      <c r="B1122" s="15"/>
      <c r="G1122" s="15"/>
    </row>
    <row r="1123" spans="2:7" x14ac:dyDescent="0.25">
      <c r="B1123" s="15"/>
      <c r="G1123" s="15"/>
    </row>
    <row r="1124" spans="2:7" x14ac:dyDescent="0.25">
      <c r="B1124" s="15"/>
      <c r="G1124" s="15"/>
    </row>
    <row r="1125" spans="2:7" x14ac:dyDescent="0.25">
      <c r="B1125" s="15"/>
      <c r="G1125" s="15"/>
    </row>
    <row r="1126" spans="2:7" x14ac:dyDescent="0.25">
      <c r="B1126" s="15"/>
      <c r="G1126" s="15"/>
    </row>
    <row r="1127" spans="2:7" x14ac:dyDescent="0.25">
      <c r="B1127" s="15"/>
      <c r="G1127" s="15"/>
    </row>
    <row r="1128" spans="2:7" x14ac:dyDescent="0.25">
      <c r="B1128" s="15"/>
      <c r="G1128" s="15"/>
    </row>
    <row r="1129" spans="2:7" x14ac:dyDescent="0.25">
      <c r="B1129" s="15"/>
      <c r="G1129" s="15"/>
    </row>
    <row r="1130" spans="2:7" x14ac:dyDescent="0.25">
      <c r="B1130" s="15"/>
      <c r="G1130" s="15"/>
    </row>
    <row r="1131" spans="2:7" x14ac:dyDescent="0.25">
      <c r="B1131" s="15"/>
      <c r="G1131" s="15"/>
    </row>
    <row r="1132" spans="2:7" x14ac:dyDescent="0.25">
      <c r="B1132" s="15"/>
      <c r="G1132" s="15"/>
    </row>
    <row r="1133" spans="2:7" x14ac:dyDescent="0.25">
      <c r="B1133" s="15"/>
      <c r="G1133" s="15"/>
    </row>
    <row r="1134" spans="2:7" x14ac:dyDescent="0.25">
      <c r="B1134" s="15"/>
      <c r="G1134" s="15"/>
    </row>
    <row r="1135" spans="2:7" x14ac:dyDescent="0.25">
      <c r="B1135" s="15"/>
      <c r="G1135" s="15"/>
    </row>
    <row r="1136" spans="2:7" x14ac:dyDescent="0.25">
      <c r="B1136" s="15"/>
      <c r="G1136" s="15"/>
    </row>
    <row r="1137" spans="2:7" x14ac:dyDescent="0.25">
      <c r="B1137" s="15"/>
      <c r="G1137" s="15"/>
    </row>
    <row r="1138" spans="2:7" x14ac:dyDescent="0.25">
      <c r="B1138" s="15"/>
      <c r="G1138" s="15"/>
    </row>
    <row r="1139" spans="2:7" x14ac:dyDescent="0.25">
      <c r="B1139" s="15"/>
      <c r="G1139" s="15"/>
    </row>
    <row r="1140" spans="2:7" x14ac:dyDescent="0.25">
      <c r="B1140" s="15"/>
      <c r="G1140" s="15"/>
    </row>
    <row r="1141" spans="2:7" x14ac:dyDescent="0.25">
      <c r="B1141" s="15"/>
      <c r="G1141" s="15"/>
    </row>
    <row r="1142" spans="2:7" x14ac:dyDescent="0.25">
      <c r="B1142" s="15"/>
      <c r="G1142" s="15"/>
    </row>
    <row r="1143" spans="2:7" x14ac:dyDescent="0.25">
      <c r="B1143" s="15"/>
      <c r="G1143" s="15"/>
    </row>
    <row r="1144" spans="2:7" x14ac:dyDescent="0.25">
      <c r="B1144" s="15"/>
      <c r="G1144" s="15"/>
    </row>
    <row r="1145" spans="2:7" x14ac:dyDescent="0.25">
      <c r="B1145" s="15"/>
      <c r="G1145" s="15"/>
    </row>
    <row r="1146" spans="2:7" x14ac:dyDescent="0.25">
      <c r="B1146" s="15"/>
      <c r="G1146" s="15"/>
    </row>
    <row r="1147" spans="2:7" x14ac:dyDescent="0.25">
      <c r="B1147" s="15"/>
      <c r="G1147" s="15"/>
    </row>
    <row r="1148" spans="2:7" x14ac:dyDescent="0.25">
      <c r="B1148" s="15"/>
      <c r="G1148" s="15"/>
    </row>
    <row r="1149" spans="2:7" x14ac:dyDescent="0.25">
      <c r="B1149" s="15"/>
      <c r="G1149" s="15"/>
    </row>
    <row r="1150" spans="2:7" x14ac:dyDescent="0.25">
      <c r="B1150" s="15"/>
      <c r="G1150" s="15"/>
    </row>
    <row r="1151" spans="2:7" x14ac:dyDescent="0.25">
      <c r="B1151" s="15"/>
      <c r="G1151" s="15"/>
    </row>
    <row r="1152" spans="2:7" x14ac:dyDescent="0.25">
      <c r="B1152" s="15"/>
      <c r="G1152" s="15"/>
    </row>
    <row r="1153" spans="2:7" x14ac:dyDescent="0.25">
      <c r="B1153" s="15"/>
      <c r="G1153" s="15"/>
    </row>
    <row r="1154" spans="2:7" x14ac:dyDescent="0.25">
      <c r="B1154" s="15"/>
      <c r="G1154" s="15"/>
    </row>
    <row r="1155" spans="2:7" x14ac:dyDescent="0.25">
      <c r="B1155" s="15"/>
      <c r="G1155" s="15"/>
    </row>
    <row r="1156" spans="2:7" x14ac:dyDescent="0.25">
      <c r="B1156" s="15"/>
      <c r="G1156" s="15"/>
    </row>
    <row r="1157" spans="2:7" x14ac:dyDescent="0.25">
      <c r="B1157" s="15"/>
      <c r="G1157" s="15"/>
    </row>
    <row r="1158" spans="2:7" x14ac:dyDescent="0.25">
      <c r="B1158" s="15"/>
      <c r="G1158" s="15"/>
    </row>
    <row r="1159" spans="2:7" x14ac:dyDescent="0.25">
      <c r="B1159" s="15"/>
      <c r="G1159" s="15"/>
    </row>
    <row r="1160" spans="2:7" x14ac:dyDescent="0.25">
      <c r="B1160" s="15"/>
      <c r="G1160" s="15"/>
    </row>
    <row r="1161" spans="2:7" x14ac:dyDescent="0.25">
      <c r="B1161" s="15"/>
      <c r="G1161" s="15"/>
    </row>
    <row r="1162" spans="2:7" x14ac:dyDescent="0.25">
      <c r="B1162" s="15"/>
      <c r="G1162" s="15"/>
    </row>
    <row r="1163" spans="2:7" x14ac:dyDescent="0.25">
      <c r="B1163" s="15"/>
      <c r="G1163" s="15"/>
    </row>
    <row r="1164" spans="2:7" x14ac:dyDescent="0.25">
      <c r="B1164" s="15"/>
      <c r="G1164" s="15"/>
    </row>
    <row r="1165" spans="2:7" x14ac:dyDescent="0.25">
      <c r="B1165" s="15"/>
      <c r="G1165" s="15"/>
    </row>
    <row r="1166" spans="2:7" x14ac:dyDescent="0.25">
      <c r="B1166" s="15"/>
      <c r="G1166" s="15"/>
    </row>
    <row r="1167" spans="2:7" x14ac:dyDescent="0.25">
      <c r="B1167" s="15"/>
      <c r="G1167" s="15"/>
    </row>
    <row r="1168" spans="2:7" x14ac:dyDescent="0.25">
      <c r="B1168" s="15"/>
      <c r="G1168" s="15"/>
    </row>
    <row r="1169" spans="2:7" x14ac:dyDescent="0.25">
      <c r="B1169" s="15"/>
      <c r="G1169" s="15"/>
    </row>
    <row r="1170" spans="2:7" x14ac:dyDescent="0.25">
      <c r="B1170" s="15"/>
      <c r="G1170" s="15"/>
    </row>
    <row r="1171" spans="2:7" x14ac:dyDescent="0.25">
      <c r="B1171" s="15"/>
      <c r="G1171" s="15"/>
    </row>
    <row r="1172" spans="2:7" x14ac:dyDescent="0.25">
      <c r="B1172" s="15"/>
      <c r="G1172" s="15"/>
    </row>
    <row r="1173" spans="2:7" x14ac:dyDescent="0.25">
      <c r="B1173" s="15"/>
      <c r="G1173" s="15"/>
    </row>
    <row r="1174" spans="2:7" x14ac:dyDescent="0.25">
      <c r="B1174" s="15"/>
      <c r="G1174" s="15"/>
    </row>
    <row r="1175" spans="2:7" x14ac:dyDescent="0.25">
      <c r="B1175" s="15"/>
      <c r="G1175" s="15"/>
    </row>
    <row r="1176" spans="2:7" x14ac:dyDescent="0.25">
      <c r="B1176" s="15"/>
      <c r="G1176" s="15"/>
    </row>
    <row r="1177" spans="2:7" x14ac:dyDescent="0.25">
      <c r="B1177" s="15"/>
      <c r="G1177" s="15"/>
    </row>
    <row r="1178" spans="2:7" x14ac:dyDescent="0.25">
      <c r="B1178" s="15"/>
      <c r="G1178" s="15"/>
    </row>
    <row r="1179" spans="2:7" x14ac:dyDescent="0.25">
      <c r="B1179" s="15"/>
      <c r="G1179" s="15"/>
    </row>
    <row r="1180" spans="2:7" x14ac:dyDescent="0.25">
      <c r="B1180" s="15"/>
      <c r="G1180" s="15"/>
    </row>
    <row r="1181" spans="2:7" x14ac:dyDescent="0.25">
      <c r="B1181" s="15"/>
      <c r="G1181" s="15"/>
    </row>
    <row r="1182" spans="2:7" x14ac:dyDescent="0.25">
      <c r="B1182" s="15"/>
      <c r="G1182" s="15"/>
    </row>
    <row r="1183" spans="2:7" x14ac:dyDescent="0.25">
      <c r="B1183" s="15"/>
      <c r="G1183" s="15"/>
    </row>
    <row r="1184" spans="2:7" x14ac:dyDescent="0.25">
      <c r="B1184" s="15"/>
      <c r="G1184" s="15"/>
    </row>
    <row r="1185" spans="2:7" x14ac:dyDescent="0.25">
      <c r="B1185" s="15"/>
      <c r="G1185" s="15"/>
    </row>
    <row r="1186" spans="2:7" x14ac:dyDescent="0.25">
      <c r="B1186" s="15"/>
      <c r="G1186" s="15"/>
    </row>
    <row r="1187" spans="2:7" x14ac:dyDescent="0.25">
      <c r="B1187" s="15"/>
      <c r="G1187" s="15"/>
    </row>
    <row r="1188" spans="2:7" x14ac:dyDescent="0.25">
      <c r="B1188" s="15"/>
      <c r="G1188" s="15"/>
    </row>
    <row r="1189" spans="2:7" x14ac:dyDescent="0.25">
      <c r="B1189" s="15"/>
      <c r="G1189" s="15"/>
    </row>
    <row r="1190" spans="2:7" x14ac:dyDescent="0.25">
      <c r="B1190" s="15"/>
      <c r="G1190" s="15"/>
    </row>
    <row r="1191" spans="2:7" x14ac:dyDescent="0.25">
      <c r="B1191" s="15"/>
      <c r="G1191" s="15"/>
    </row>
    <row r="1192" spans="2:7" x14ac:dyDescent="0.25">
      <c r="B1192" s="15"/>
      <c r="G1192" s="15"/>
    </row>
    <row r="1193" spans="2:7" x14ac:dyDescent="0.25">
      <c r="B1193" s="15"/>
      <c r="G1193" s="15"/>
    </row>
    <row r="1194" spans="2:7" x14ac:dyDescent="0.25">
      <c r="B1194" s="15"/>
      <c r="G1194" s="15"/>
    </row>
    <row r="1195" spans="2:7" x14ac:dyDescent="0.25">
      <c r="B1195" s="15"/>
      <c r="G1195" s="15"/>
    </row>
    <row r="1196" spans="2:7" x14ac:dyDescent="0.25">
      <c r="B1196" s="15"/>
      <c r="G1196" s="15"/>
    </row>
    <row r="1197" spans="2:7" x14ac:dyDescent="0.25">
      <c r="B1197" s="15"/>
      <c r="G1197" s="15"/>
    </row>
    <row r="1198" spans="2:7" x14ac:dyDescent="0.25">
      <c r="B1198" s="15"/>
      <c r="G1198" s="15"/>
    </row>
    <row r="1199" spans="2:7" x14ac:dyDescent="0.25">
      <c r="B1199" s="15"/>
      <c r="G1199" s="15"/>
    </row>
    <row r="1200" spans="2:7" x14ac:dyDescent="0.25">
      <c r="B1200" s="15"/>
      <c r="G1200" s="15"/>
    </row>
    <row r="1201" spans="2:7" x14ac:dyDescent="0.25">
      <c r="B1201" s="15"/>
      <c r="G1201" s="15"/>
    </row>
    <row r="1202" spans="2:7" x14ac:dyDescent="0.25">
      <c r="B1202" s="15"/>
      <c r="G1202" s="15"/>
    </row>
    <row r="1203" spans="2:7" x14ac:dyDescent="0.25">
      <c r="B1203" s="15"/>
      <c r="G1203" s="15"/>
    </row>
    <row r="1204" spans="2:7" x14ac:dyDescent="0.25">
      <c r="B1204" s="15"/>
      <c r="G1204" s="15"/>
    </row>
    <row r="1205" spans="2:7" x14ac:dyDescent="0.25">
      <c r="B1205" s="15"/>
      <c r="G1205" s="15"/>
    </row>
    <row r="1206" spans="2:7" x14ac:dyDescent="0.25">
      <c r="B1206" s="15"/>
      <c r="G1206" s="15"/>
    </row>
    <row r="1207" spans="2:7" x14ac:dyDescent="0.25">
      <c r="B1207" s="15"/>
      <c r="G1207" s="15"/>
    </row>
    <row r="1208" spans="2:7" x14ac:dyDescent="0.25">
      <c r="B1208" s="15"/>
      <c r="G1208" s="15"/>
    </row>
    <row r="1209" spans="2:7" x14ac:dyDescent="0.25">
      <c r="B1209" s="15"/>
      <c r="G1209" s="15"/>
    </row>
    <row r="1210" spans="2:7" x14ac:dyDescent="0.25">
      <c r="B1210" s="15"/>
      <c r="G1210" s="15"/>
    </row>
    <row r="1211" spans="2:7" x14ac:dyDescent="0.25">
      <c r="B1211" s="15"/>
      <c r="G1211" s="15"/>
    </row>
    <row r="1212" spans="2:7" x14ac:dyDescent="0.25">
      <c r="B1212" s="15"/>
      <c r="G1212" s="15"/>
    </row>
    <row r="1213" spans="2:7" x14ac:dyDescent="0.25">
      <c r="B1213" s="15"/>
      <c r="G1213" s="15"/>
    </row>
    <row r="1214" spans="2:7" x14ac:dyDescent="0.25">
      <c r="B1214" s="15"/>
      <c r="G1214" s="15"/>
    </row>
    <row r="1215" spans="2:7" x14ac:dyDescent="0.25">
      <c r="B1215" s="15"/>
      <c r="G1215" s="15"/>
    </row>
    <row r="1216" spans="2:7" x14ac:dyDescent="0.25">
      <c r="B1216" s="15"/>
      <c r="G1216" s="15"/>
    </row>
    <row r="1217" spans="2:7" x14ac:dyDescent="0.25">
      <c r="B1217" s="15"/>
      <c r="G1217" s="15"/>
    </row>
    <row r="1218" spans="2:7" x14ac:dyDescent="0.25">
      <c r="B1218" s="15"/>
      <c r="G1218" s="15"/>
    </row>
    <row r="1219" spans="2:7" x14ac:dyDescent="0.25">
      <c r="B1219" s="15"/>
      <c r="G1219" s="15"/>
    </row>
    <row r="1220" spans="2:7" x14ac:dyDescent="0.25">
      <c r="B1220" s="15"/>
      <c r="G1220" s="15"/>
    </row>
    <row r="1221" spans="2:7" x14ac:dyDescent="0.25">
      <c r="B1221" s="15"/>
      <c r="G1221" s="15"/>
    </row>
    <row r="1222" spans="2:7" x14ac:dyDescent="0.25">
      <c r="B1222" s="15"/>
      <c r="G1222" s="15"/>
    </row>
    <row r="1223" spans="2:7" x14ac:dyDescent="0.25">
      <c r="B1223" s="15"/>
      <c r="G1223" s="15"/>
    </row>
    <row r="1224" spans="2:7" x14ac:dyDescent="0.25">
      <c r="B1224" s="15"/>
      <c r="G1224" s="15"/>
    </row>
    <row r="1225" spans="2:7" x14ac:dyDescent="0.25">
      <c r="B1225" s="15"/>
      <c r="G1225" s="15"/>
    </row>
    <row r="1226" spans="2:7" x14ac:dyDescent="0.25">
      <c r="B1226" s="15"/>
      <c r="G1226" s="15"/>
    </row>
    <row r="1227" spans="2:7" x14ac:dyDescent="0.25">
      <c r="B1227" s="15"/>
      <c r="G1227" s="15"/>
    </row>
    <row r="1228" spans="2:7" x14ac:dyDescent="0.25">
      <c r="B1228" s="15"/>
      <c r="G1228" s="15"/>
    </row>
    <row r="1229" spans="2:7" x14ac:dyDescent="0.25">
      <c r="B1229" s="15"/>
      <c r="G1229" s="15"/>
    </row>
    <row r="1230" spans="2:7" x14ac:dyDescent="0.25">
      <c r="B1230" s="15"/>
      <c r="G1230" s="15"/>
    </row>
    <row r="1231" spans="2:7" x14ac:dyDescent="0.25">
      <c r="B1231" s="15"/>
      <c r="G1231" s="15"/>
    </row>
    <row r="1232" spans="2:7" x14ac:dyDescent="0.25">
      <c r="B1232" s="15"/>
      <c r="G1232" s="15"/>
    </row>
    <row r="1233" spans="2:7" x14ac:dyDescent="0.25">
      <c r="B1233" s="15"/>
      <c r="G1233" s="15"/>
    </row>
    <row r="1234" spans="2:7" x14ac:dyDescent="0.25">
      <c r="B1234" s="15"/>
      <c r="G1234" s="15"/>
    </row>
    <row r="1235" spans="2:7" x14ac:dyDescent="0.25">
      <c r="B1235" s="15"/>
      <c r="G1235" s="15"/>
    </row>
    <row r="1236" spans="2:7" x14ac:dyDescent="0.25">
      <c r="B1236" s="15"/>
      <c r="G1236" s="15"/>
    </row>
    <row r="1237" spans="2:7" x14ac:dyDescent="0.25">
      <c r="B1237" s="15"/>
      <c r="G1237" s="15"/>
    </row>
    <row r="1238" spans="2:7" x14ac:dyDescent="0.25">
      <c r="B1238" s="15"/>
      <c r="G1238" s="15"/>
    </row>
    <row r="1239" spans="2:7" x14ac:dyDescent="0.25">
      <c r="B1239" s="15"/>
      <c r="G1239" s="15"/>
    </row>
    <row r="1240" spans="2:7" x14ac:dyDescent="0.25">
      <c r="B1240" s="15"/>
      <c r="G1240" s="15"/>
    </row>
    <row r="1241" spans="2:7" x14ac:dyDescent="0.25">
      <c r="B1241" s="15"/>
      <c r="G1241" s="15"/>
    </row>
    <row r="1242" spans="2:7" x14ac:dyDescent="0.25">
      <c r="B1242" s="15"/>
      <c r="G1242" s="15"/>
    </row>
    <row r="1243" spans="2:7" x14ac:dyDescent="0.25">
      <c r="B1243" s="15"/>
      <c r="G1243" s="15"/>
    </row>
    <row r="1244" spans="2:7" x14ac:dyDescent="0.25">
      <c r="B1244" s="15"/>
      <c r="G1244" s="15"/>
    </row>
    <row r="1245" spans="2:7" x14ac:dyDescent="0.25">
      <c r="B1245" s="15"/>
      <c r="G1245" s="15"/>
    </row>
    <row r="1246" spans="2:7" x14ac:dyDescent="0.25">
      <c r="B1246" s="15"/>
      <c r="G1246" s="15"/>
    </row>
    <row r="1247" spans="2:7" x14ac:dyDescent="0.25">
      <c r="B1247" s="15"/>
      <c r="G1247" s="15"/>
    </row>
    <row r="1248" spans="2:7" x14ac:dyDescent="0.25">
      <c r="B1248" s="15"/>
      <c r="G1248" s="15"/>
    </row>
    <row r="1249" spans="2:7" x14ac:dyDescent="0.25">
      <c r="B1249" s="15"/>
      <c r="G1249" s="15"/>
    </row>
    <row r="1250" spans="2:7" x14ac:dyDescent="0.25">
      <c r="B1250" s="15"/>
      <c r="G1250" s="15"/>
    </row>
    <row r="1251" spans="2:7" x14ac:dyDescent="0.25">
      <c r="B1251" s="15"/>
      <c r="G1251" s="15"/>
    </row>
    <row r="1252" spans="2:7" x14ac:dyDescent="0.25">
      <c r="B1252" s="15"/>
      <c r="G1252" s="15"/>
    </row>
    <row r="1253" spans="2:7" x14ac:dyDescent="0.25">
      <c r="B1253" s="15"/>
      <c r="G1253" s="15"/>
    </row>
    <row r="1254" spans="2:7" x14ac:dyDescent="0.25">
      <c r="B1254" s="15"/>
      <c r="G1254" s="15"/>
    </row>
    <row r="1255" spans="2:7" x14ac:dyDescent="0.25">
      <c r="B1255" s="15"/>
      <c r="G1255" s="15"/>
    </row>
    <row r="1256" spans="2:7" x14ac:dyDescent="0.25">
      <c r="B1256" s="15"/>
      <c r="G1256" s="15"/>
    </row>
    <row r="1257" spans="2:7" x14ac:dyDescent="0.25">
      <c r="B1257" s="15"/>
      <c r="G1257" s="15"/>
    </row>
    <row r="1258" spans="2:7" x14ac:dyDescent="0.25">
      <c r="B1258" s="15"/>
      <c r="G1258" s="15"/>
    </row>
    <row r="1259" spans="2:7" x14ac:dyDescent="0.25">
      <c r="B1259" s="15"/>
      <c r="G1259" s="15"/>
    </row>
    <row r="1260" spans="2:7" x14ac:dyDescent="0.25">
      <c r="B1260" s="15"/>
      <c r="G1260" s="15"/>
    </row>
    <row r="1261" spans="2:7" x14ac:dyDescent="0.25">
      <c r="B1261" s="15"/>
      <c r="G1261" s="15"/>
    </row>
    <row r="1262" spans="2:7" x14ac:dyDescent="0.25">
      <c r="B1262" s="15"/>
      <c r="G1262" s="15"/>
    </row>
    <row r="1263" spans="2:7" x14ac:dyDescent="0.25">
      <c r="B1263" s="15"/>
      <c r="G1263" s="15"/>
    </row>
    <row r="1264" spans="2:7" x14ac:dyDescent="0.25">
      <c r="B1264" s="15"/>
      <c r="G1264" s="15"/>
    </row>
    <row r="1265" spans="2:7" x14ac:dyDescent="0.25">
      <c r="B1265" s="15"/>
      <c r="G1265" s="15"/>
    </row>
    <row r="1266" spans="2:7" x14ac:dyDescent="0.25">
      <c r="B1266" s="15"/>
      <c r="G1266" s="15"/>
    </row>
    <row r="1267" spans="2:7" x14ac:dyDescent="0.25">
      <c r="B1267" s="15"/>
      <c r="G1267" s="15"/>
    </row>
    <row r="1268" spans="2:7" x14ac:dyDescent="0.25">
      <c r="B1268" s="15"/>
      <c r="G1268" s="15"/>
    </row>
    <row r="1269" spans="2:7" x14ac:dyDescent="0.25">
      <c r="B1269" s="15"/>
      <c r="G1269" s="15"/>
    </row>
    <row r="1270" spans="2:7" x14ac:dyDescent="0.25">
      <c r="B1270" s="15"/>
      <c r="G1270" s="15"/>
    </row>
    <row r="1271" spans="2:7" x14ac:dyDescent="0.25">
      <c r="B1271" s="15"/>
      <c r="G1271" s="15"/>
    </row>
    <row r="1272" spans="2:7" x14ac:dyDescent="0.25">
      <c r="B1272" s="15"/>
      <c r="G1272" s="15"/>
    </row>
    <row r="1273" spans="2:7" x14ac:dyDescent="0.25">
      <c r="B1273" s="15"/>
      <c r="G1273" s="15"/>
    </row>
    <row r="1274" spans="2:7" x14ac:dyDescent="0.25">
      <c r="B1274" s="15"/>
      <c r="G1274" s="15"/>
    </row>
    <row r="1275" spans="2:7" x14ac:dyDescent="0.25">
      <c r="B1275" s="15"/>
      <c r="G1275" s="15"/>
    </row>
    <row r="1276" spans="2:7" x14ac:dyDescent="0.25">
      <c r="B1276" s="15"/>
      <c r="G1276" s="15"/>
    </row>
    <row r="1277" spans="2:7" x14ac:dyDescent="0.25">
      <c r="B1277" s="15"/>
      <c r="G1277" s="15"/>
    </row>
    <row r="1278" spans="2:7" x14ac:dyDescent="0.25">
      <c r="B1278" s="15"/>
      <c r="G1278" s="15"/>
    </row>
    <row r="1279" spans="2:7" x14ac:dyDescent="0.25">
      <c r="B1279" s="15"/>
      <c r="G1279" s="15"/>
    </row>
    <row r="1280" spans="2:7" x14ac:dyDescent="0.25">
      <c r="B1280" s="15"/>
      <c r="G1280" s="15"/>
    </row>
    <row r="1281" spans="2:7" x14ac:dyDescent="0.25">
      <c r="B1281" s="15"/>
      <c r="G1281" s="15"/>
    </row>
    <row r="1282" spans="2:7" x14ac:dyDescent="0.25">
      <c r="B1282" s="15"/>
      <c r="G1282" s="15"/>
    </row>
    <row r="1283" spans="2:7" x14ac:dyDescent="0.25">
      <c r="B1283" s="15"/>
      <c r="G1283" s="15"/>
    </row>
    <row r="1284" spans="2:7" x14ac:dyDescent="0.25">
      <c r="B1284" s="15"/>
      <c r="G1284" s="15"/>
    </row>
    <row r="1285" spans="2:7" x14ac:dyDescent="0.25">
      <c r="B1285" s="15"/>
      <c r="G1285" s="15"/>
    </row>
    <row r="1286" spans="2:7" x14ac:dyDescent="0.25">
      <c r="B1286" s="15"/>
      <c r="G1286" s="15"/>
    </row>
    <row r="1287" spans="2:7" x14ac:dyDescent="0.25">
      <c r="B1287" s="15"/>
      <c r="G1287" s="15"/>
    </row>
    <row r="1288" spans="2:7" x14ac:dyDescent="0.25">
      <c r="B1288" s="15"/>
      <c r="G1288" s="15"/>
    </row>
    <row r="1289" spans="2:7" x14ac:dyDescent="0.25">
      <c r="B1289" s="15"/>
      <c r="G1289" s="15"/>
    </row>
    <row r="1290" spans="2:7" x14ac:dyDescent="0.25">
      <c r="B1290" s="15"/>
      <c r="G1290" s="15"/>
    </row>
    <row r="1291" spans="2:7" x14ac:dyDescent="0.25">
      <c r="B1291" s="15"/>
      <c r="G1291" s="15"/>
    </row>
    <row r="1292" spans="2:7" x14ac:dyDescent="0.25">
      <c r="B1292" s="15"/>
      <c r="G1292" s="15"/>
    </row>
    <row r="1293" spans="2:7" x14ac:dyDescent="0.25">
      <c r="B1293" s="15"/>
      <c r="G1293" s="15"/>
    </row>
    <row r="1294" spans="2:7" x14ac:dyDescent="0.25">
      <c r="B1294" s="15"/>
      <c r="G1294" s="15"/>
    </row>
  </sheetData>
  <dataValidations count="1">
    <dataValidation type="list" allowBlank="1" showInputMessage="1" showErrorMessage="1" sqref="E4" xr:uid="{3574D986-4E6E-4029-969E-2C7D24212C83}">
      <formula1>"Date Outbound, Container Van No., Pallet # / Pallet Series"</formula1>
    </dataValidation>
  </dataValidations>
  <pageMargins left="0.7" right="0.7" top="0.75" bottom="0.75" header="0.3" footer="0.3"/>
  <pageSetup orientation="landscape" horizontalDpi="0" verticalDpi="0" r:id="rId1"/>
  <drawing r:id="rId2"/>
  <legacyDrawing r:id="rId3"/>
  <controls>
    <mc:AlternateContent xmlns:mc="http://schemas.openxmlformats.org/markup-compatibility/2006">
      <mc:Choice Requires="x14">
        <control shapeId="5125" r:id="rId4" name="TextBox4">
          <controlPr defaultSize="0" autoLine="0" autoPict="0" linkedCell="A23" r:id="rId5">
            <anchor moveWithCells="1">
              <from>
                <xdr:col>4</xdr:col>
                <xdr:colOff>352425</xdr:colOff>
                <xdr:row>1</xdr:row>
                <xdr:rowOff>38100</xdr:rowOff>
              </from>
              <to>
                <xdr:col>4</xdr:col>
                <xdr:colOff>1905000</xdr:colOff>
                <xdr:row>1</xdr:row>
                <xdr:rowOff>276225</xdr:rowOff>
              </to>
            </anchor>
          </controlPr>
        </control>
      </mc:Choice>
      <mc:Fallback>
        <control shapeId="5125" r:id="rId4" name="TextBox4"/>
      </mc:Fallback>
    </mc:AlternateContent>
    <mc:AlternateContent xmlns:mc="http://schemas.openxmlformats.org/markup-compatibility/2006">
      <mc:Choice Requires="x14">
        <control shapeId="5121" r:id="rId6" name="TextBox1">
          <controlPr defaultSize="0" autoLine="0" linkedCell="A10" r:id="rId7">
            <anchor moveWithCells="1">
              <from>
                <xdr:col>2</xdr:col>
                <xdr:colOff>333375</xdr:colOff>
                <xdr:row>5</xdr:row>
                <xdr:rowOff>28575</xdr:rowOff>
              </from>
              <to>
                <xdr:col>2</xdr:col>
                <xdr:colOff>1933575</xdr:colOff>
                <xdr:row>5</xdr:row>
                <xdr:rowOff>276225</xdr:rowOff>
              </to>
            </anchor>
          </controlPr>
        </control>
      </mc:Choice>
      <mc:Fallback>
        <control shapeId="5121" r:id="rId6" name="TextBox1"/>
      </mc:Fallback>
    </mc:AlternateContent>
    <mc:AlternateContent xmlns:mc="http://schemas.openxmlformats.org/markup-compatibility/2006">
      <mc:Choice Requires="x14">
        <control shapeId="5122" r:id="rId8" name="TextBox2">
          <controlPr defaultSize="0" autoLine="0" linkedCell="A12" r:id="rId9">
            <anchor moveWithCells="1">
              <from>
                <xdr:col>2</xdr:col>
                <xdr:colOff>314325</xdr:colOff>
                <xdr:row>1</xdr:row>
                <xdr:rowOff>38100</xdr:rowOff>
              </from>
              <to>
                <xdr:col>2</xdr:col>
                <xdr:colOff>1943100</xdr:colOff>
                <xdr:row>1</xdr:row>
                <xdr:rowOff>276225</xdr:rowOff>
              </to>
            </anchor>
          </controlPr>
        </control>
      </mc:Choice>
      <mc:Fallback>
        <control shapeId="5122" r:id="rId8" name="TextBox2"/>
      </mc:Fallback>
    </mc:AlternateContent>
    <mc:AlternateContent xmlns:mc="http://schemas.openxmlformats.org/markup-compatibility/2006">
      <mc:Choice Requires="x14">
        <control shapeId="5123" r:id="rId10" name="TextBox3">
          <controlPr defaultSize="0" autoLine="0" linkedCell="A14" r:id="rId11">
            <anchor moveWithCells="1">
              <from>
                <xdr:col>2</xdr:col>
                <xdr:colOff>314325</xdr:colOff>
                <xdr:row>3</xdr:row>
                <xdr:rowOff>38100</xdr:rowOff>
              </from>
              <to>
                <xdr:col>2</xdr:col>
                <xdr:colOff>1914525</xdr:colOff>
                <xdr:row>3</xdr:row>
                <xdr:rowOff>276225</xdr:rowOff>
              </to>
            </anchor>
          </controlPr>
        </control>
      </mc:Choice>
      <mc:Fallback>
        <control shapeId="5123" r:id="rId10" name="TextBox3"/>
      </mc:Fallback>
    </mc:AlternateContent>
  </control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75045-F98F-49C2-BBBC-E26BEDB526FD}">
  <sheetPr>
    <tabColor theme="0"/>
  </sheetPr>
  <dimension ref="A1:O112"/>
  <sheetViews>
    <sheetView showGridLines="0" zoomScale="85" zoomScaleNormal="85" workbookViewId="0">
      <pane ySplit="5" topLeftCell="A6" activePane="bottomLeft" state="frozen"/>
      <selection pane="bottomLeft" activeCell="H6" sqref="H6:J13"/>
    </sheetView>
  </sheetViews>
  <sheetFormatPr defaultRowHeight="15" x14ac:dyDescent="0.25"/>
  <cols>
    <col min="1" max="1" width="20" style="130" customWidth="1"/>
    <col min="2" max="4" width="17.140625" style="131" customWidth="1"/>
    <col min="5" max="5" width="17.140625" style="140" customWidth="1"/>
    <col min="6" max="7" width="17.140625" style="131" customWidth="1"/>
    <col min="8" max="8" width="20" style="132" customWidth="1"/>
    <col min="9" max="14" width="17.140625" customWidth="1"/>
    <col min="15" max="15" width="4.42578125" customWidth="1"/>
  </cols>
  <sheetData>
    <row r="1" spans="1:15" ht="24.75" thickBot="1" x14ac:dyDescent="0.3">
      <c r="A1" s="147" t="s">
        <v>86</v>
      </c>
      <c r="B1" s="148"/>
      <c r="C1" s="148"/>
      <c r="D1" s="148"/>
    </row>
    <row r="2" spans="1:15" ht="15.75" thickTop="1" x14ac:dyDescent="0.25">
      <c r="A2" s="160">
        <f ca="1">NOW()</f>
        <v>46111.157060300924</v>
      </c>
    </row>
    <row r="3" spans="1:15" x14ac:dyDescent="0.25">
      <c r="C3" s="133"/>
      <c r="D3" s="133"/>
      <c r="E3" s="141"/>
      <c r="F3" s="133"/>
      <c r="G3" s="134"/>
      <c r="I3" s="133"/>
      <c r="J3" s="133"/>
      <c r="K3" s="133"/>
      <c r="L3" s="133"/>
      <c r="M3" s="133"/>
      <c r="N3" s="133"/>
      <c r="O3" s="133"/>
    </row>
    <row r="4" spans="1:15" ht="18.75" x14ac:dyDescent="0.25">
      <c r="A4" s="146" t="s">
        <v>85</v>
      </c>
      <c r="B4" s="143"/>
      <c r="C4" s="143"/>
      <c r="D4" s="143"/>
      <c r="E4" s="144"/>
      <c r="F4" s="143"/>
      <c r="G4" s="143"/>
      <c r="H4" s="145" t="s">
        <v>81</v>
      </c>
      <c r="I4" s="143"/>
      <c r="J4" s="143"/>
      <c r="K4" s="143"/>
      <c r="L4" s="143"/>
      <c r="M4" s="143"/>
      <c r="N4" s="143"/>
    </row>
    <row r="5" spans="1:15" x14ac:dyDescent="0.25">
      <c r="A5" s="150" t="s">
        <v>87</v>
      </c>
      <c r="B5" s="151" t="s">
        <v>118</v>
      </c>
      <c r="C5" s="151" t="s">
        <v>119</v>
      </c>
      <c r="D5" s="151" t="s">
        <v>88</v>
      </c>
      <c r="E5" s="152" t="s">
        <v>89</v>
      </c>
      <c r="F5" s="151" t="s">
        <v>91</v>
      </c>
      <c r="G5" s="151" t="s">
        <v>92</v>
      </c>
      <c r="H5" s="153" t="s">
        <v>90</v>
      </c>
      <c r="I5" s="154" t="s">
        <v>118</v>
      </c>
      <c r="J5" s="154" t="s">
        <v>119</v>
      </c>
      <c r="K5" s="154" t="s">
        <v>88</v>
      </c>
      <c r="L5" s="154" t="s">
        <v>89</v>
      </c>
      <c r="M5" s="154" t="s">
        <v>91</v>
      </c>
      <c r="N5" s="154" t="s">
        <v>92</v>
      </c>
    </row>
    <row r="6" spans="1:15" x14ac:dyDescent="0.25">
      <c r="A6" s="155"/>
      <c r="B6" s="135"/>
      <c r="C6" s="136"/>
      <c r="D6" s="137">
        <f t="shared" ref="D6:D37" si="0">SUMIF(Receiving_Report_ref.,A6,In_Weight)</f>
        <v>0</v>
      </c>
      <c r="E6" s="142">
        <f t="shared" ref="E6:E37" si="1">SUMIF(Receiving_Report_ref.,A6,Pallet_qty)</f>
        <v>0</v>
      </c>
      <c r="F6" s="149">
        <f>+B6-D6</f>
        <v>0</v>
      </c>
      <c r="G6" s="149">
        <f>+C6-E6</f>
        <v>0</v>
      </c>
      <c r="H6" s="155"/>
      <c r="I6" s="135"/>
      <c r="J6" s="136"/>
      <c r="K6" s="137">
        <f t="shared" ref="K6:K37" si="2">SUMIF(Withdrawal_Report_No.,H6,KILOS_OUT)</f>
        <v>0</v>
      </c>
      <c r="L6" s="137">
        <f t="shared" ref="L6:L37" si="3">SUMIF(Withdrawal_Report_No.,H6,PALLET_OUT)</f>
        <v>0</v>
      </c>
      <c r="M6" s="149">
        <f>+I6-K6</f>
        <v>0</v>
      </c>
      <c r="N6" s="149">
        <f>+J6-L6</f>
        <v>0</v>
      </c>
    </row>
    <row r="7" spans="1:15" x14ac:dyDescent="0.25">
      <c r="A7" s="155"/>
      <c r="B7" s="135"/>
      <c r="C7" s="136"/>
      <c r="D7" s="137">
        <f t="shared" si="0"/>
        <v>0</v>
      </c>
      <c r="E7" s="142">
        <f t="shared" si="1"/>
        <v>0</v>
      </c>
      <c r="F7" s="149">
        <f t="shared" ref="F7:F70" si="4">+B7-D7</f>
        <v>0</v>
      </c>
      <c r="G7" s="149">
        <f t="shared" ref="G7:G70" si="5">+C7-E7</f>
        <v>0</v>
      </c>
      <c r="H7" s="155"/>
      <c r="I7" s="135"/>
      <c r="J7" s="136"/>
      <c r="K7" s="137">
        <f t="shared" si="2"/>
        <v>0</v>
      </c>
      <c r="L7" s="137">
        <f t="shared" si="3"/>
        <v>0</v>
      </c>
      <c r="M7" s="149">
        <f t="shared" ref="M7:M70" si="6">+I7-K7</f>
        <v>0</v>
      </c>
      <c r="N7" s="149">
        <f t="shared" ref="N7:N70" si="7">+J7-L7</f>
        <v>0</v>
      </c>
    </row>
    <row r="8" spans="1:15" x14ac:dyDescent="0.25">
      <c r="A8" s="155"/>
      <c r="B8" s="135"/>
      <c r="C8" s="136"/>
      <c r="D8" s="137">
        <f t="shared" si="0"/>
        <v>0</v>
      </c>
      <c r="E8" s="142">
        <f t="shared" si="1"/>
        <v>0</v>
      </c>
      <c r="F8" s="149">
        <f t="shared" si="4"/>
        <v>0</v>
      </c>
      <c r="G8" s="149">
        <f t="shared" si="5"/>
        <v>0</v>
      </c>
      <c r="H8" s="155"/>
      <c r="I8" s="135"/>
      <c r="J8" s="136"/>
      <c r="K8" s="137">
        <f t="shared" si="2"/>
        <v>0</v>
      </c>
      <c r="L8" s="137">
        <f t="shared" si="3"/>
        <v>0</v>
      </c>
      <c r="M8" s="149">
        <f t="shared" si="6"/>
        <v>0</v>
      </c>
      <c r="N8" s="149">
        <f t="shared" si="7"/>
        <v>0</v>
      </c>
    </row>
    <row r="9" spans="1:15" x14ac:dyDescent="0.25">
      <c r="A9" s="155"/>
      <c r="B9" s="135"/>
      <c r="C9" s="136"/>
      <c r="D9" s="137">
        <f t="shared" si="0"/>
        <v>0</v>
      </c>
      <c r="E9" s="142">
        <f t="shared" si="1"/>
        <v>0</v>
      </c>
      <c r="F9" s="149">
        <f t="shared" si="4"/>
        <v>0</v>
      </c>
      <c r="G9" s="149">
        <f t="shared" si="5"/>
        <v>0</v>
      </c>
      <c r="H9" s="155"/>
      <c r="I9" s="135"/>
      <c r="J9" s="136"/>
      <c r="K9" s="137">
        <f t="shared" si="2"/>
        <v>0</v>
      </c>
      <c r="L9" s="137">
        <f t="shared" si="3"/>
        <v>0</v>
      </c>
      <c r="M9" s="149">
        <f t="shared" si="6"/>
        <v>0</v>
      </c>
      <c r="N9" s="149">
        <f t="shared" si="7"/>
        <v>0</v>
      </c>
    </row>
    <row r="10" spans="1:15" x14ac:dyDescent="0.25">
      <c r="A10" s="155"/>
      <c r="B10" s="135"/>
      <c r="C10" s="136"/>
      <c r="D10" s="137">
        <f t="shared" si="0"/>
        <v>0</v>
      </c>
      <c r="E10" s="142">
        <f t="shared" si="1"/>
        <v>0</v>
      </c>
      <c r="F10" s="149">
        <f t="shared" si="4"/>
        <v>0</v>
      </c>
      <c r="G10" s="149">
        <f t="shared" si="5"/>
        <v>0</v>
      </c>
      <c r="H10" s="155"/>
      <c r="I10" s="135"/>
      <c r="J10" s="136"/>
      <c r="K10" s="137">
        <f t="shared" si="2"/>
        <v>0</v>
      </c>
      <c r="L10" s="137">
        <f t="shared" si="3"/>
        <v>0</v>
      </c>
      <c r="M10" s="149">
        <f t="shared" si="6"/>
        <v>0</v>
      </c>
      <c r="N10" s="149">
        <f t="shared" si="7"/>
        <v>0</v>
      </c>
    </row>
    <row r="11" spans="1:15" x14ac:dyDescent="0.25">
      <c r="A11" s="155"/>
      <c r="B11" s="135"/>
      <c r="C11" s="136"/>
      <c r="D11" s="137">
        <f t="shared" si="0"/>
        <v>0</v>
      </c>
      <c r="E11" s="142">
        <f t="shared" si="1"/>
        <v>0</v>
      </c>
      <c r="F11" s="149">
        <f t="shared" si="4"/>
        <v>0</v>
      </c>
      <c r="G11" s="149">
        <f t="shared" si="5"/>
        <v>0</v>
      </c>
      <c r="H11" s="155"/>
      <c r="I11" s="135"/>
      <c r="J11" s="136"/>
      <c r="K11" s="137">
        <f t="shared" si="2"/>
        <v>0</v>
      </c>
      <c r="L11" s="137">
        <f t="shared" si="3"/>
        <v>0</v>
      </c>
      <c r="M11" s="149">
        <f t="shared" si="6"/>
        <v>0</v>
      </c>
      <c r="N11" s="149">
        <f t="shared" si="7"/>
        <v>0</v>
      </c>
    </row>
    <row r="12" spans="1:15" x14ac:dyDescent="0.25">
      <c r="A12" s="155"/>
      <c r="B12" s="135"/>
      <c r="C12" s="136"/>
      <c r="D12" s="137">
        <f t="shared" si="0"/>
        <v>0</v>
      </c>
      <c r="E12" s="142">
        <f t="shared" si="1"/>
        <v>0</v>
      </c>
      <c r="F12" s="149">
        <f t="shared" si="4"/>
        <v>0</v>
      </c>
      <c r="G12" s="149">
        <f t="shared" si="5"/>
        <v>0</v>
      </c>
      <c r="H12" s="155"/>
      <c r="I12" s="135"/>
      <c r="J12" s="136"/>
      <c r="K12" s="137">
        <f t="shared" si="2"/>
        <v>0</v>
      </c>
      <c r="L12" s="137">
        <f t="shared" si="3"/>
        <v>0</v>
      </c>
      <c r="M12" s="149">
        <f t="shared" si="6"/>
        <v>0</v>
      </c>
      <c r="N12" s="149">
        <f t="shared" si="7"/>
        <v>0</v>
      </c>
    </row>
    <row r="13" spans="1:15" x14ac:dyDescent="0.25">
      <c r="A13" s="155"/>
      <c r="B13" s="135"/>
      <c r="C13" s="136"/>
      <c r="D13" s="137">
        <f t="shared" si="0"/>
        <v>0</v>
      </c>
      <c r="E13" s="142">
        <f t="shared" si="1"/>
        <v>0</v>
      </c>
      <c r="F13" s="149">
        <f t="shared" si="4"/>
        <v>0</v>
      </c>
      <c r="G13" s="149">
        <f t="shared" si="5"/>
        <v>0</v>
      </c>
      <c r="H13" s="155"/>
      <c r="I13" s="135"/>
      <c r="J13" s="136"/>
      <c r="K13" s="137">
        <f t="shared" si="2"/>
        <v>0</v>
      </c>
      <c r="L13" s="137">
        <f t="shared" si="3"/>
        <v>0</v>
      </c>
      <c r="M13" s="149">
        <f t="shared" si="6"/>
        <v>0</v>
      </c>
      <c r="N13" s="149">
        <f t="shared" si="7"/>
        <v>0</v>
      </c>
    </row>
    <row r="14" spans="1:15" x14ac:dyDescent="0.25">
      <c r="A14" s="155"/>
      <c r="B14" s="135"/>
      <c r="C14" s="136"/>
      <c r="D14" s="137">
        <f t="shared" si="0"/>
        <v>0</v>
      </c>
      <c r="E14" s="142">
        <f t="shared" si="1"/>
        <v>0</v>
      </c>
      <c r="F14" s="149">
        <f t="shared" si="4"/>
        <v>0</v>
      </c>
      <c r="G14" s="149">
        <f t="shared" si="5"/>
        <v>0</v>
      </c>
      <c r="H14" s="155"/>
      <c r="I14" s="135"/>
      <c r="J14" s="136"/>
      <c r="K14" s="137">
        <f t="shared" si="2"/>
        <v>0</v>
      </c>
      <c r="L14" s="137">
        <f t="shared" si="3"/>
        <v>0</v>
      </c>
      <c r="M14" s="149">
        <f t="shared" si="6"/>
        <v>0</v>
      </c>
      <c r="N14" s="149">
        <f t="shared" si="7"/>
        <v>0</v>
      </c>
    </row>
    <row r="15" spans="1:15" x14ac:dyDescent="0.25">
      <c r="A15" s="155"/>
      <c r="B15" s="135"/>
      <c r="C15" s="136"/>
      <c r="D15" s="137">
        <f t="shared" si="0"/>
        <v>0</v>
      </c>
      <c r="E15" s="142">
        <f t="shared" si="1"/>
        <v>0</v>
      </c>
      <c r="F15" s="149">
        <f t="shared" si="4"/>
        <v>0</v>
      </c>
      <c r="G15" s="149">
        <f t="shared" si="5"/>
        <v>0</v>
      </c>
      <c r="H15" s="155"/>
      <c r="I15" s="135"/>
      <c r="J15" s="136"/>
      <c r="K15" s="137">
        <f t="shared" si="2"/>
        <v>0</v>
      </c>
      <c r="L15" s="137">
        <f t="shared" si="3"/>
        <v>0</v>
      </c>
      <c r="M15" s="149">
        <f t="shared" si="6"/>
        <v>0</v>
      </c>
      <c r="N15" s="149">
        <f t="shared" si="7"/>
        <v>0</v>
      </c>
    </row>
    <row r="16" spans="1:15" x14ac:dyDescent="0.25">
      <c r="A16" s="155"/>
      <c r="B16" s="135"/>
      <c r="C16" s="136"/>
      <c r="D16" s="137">
        <f t="shared" si="0"/>
        <v>0</v>
      </c>
      <c r="E16" s="142">
        <f t="shared" si="1"/>
        <v>0</v>
      </c>
      <c r="F16" s="149">
        <f t="shared" si="4"/>
        <v>0</v>
      </c>
      <c r="G16" s="149">
        <f t="shared" si="5"/>
        <v>0</v>
      </c>
      <c r="H16" s="155"/>
      <c r="I16" s="135"/>
      <c r="J16" s="136"/>
      <c r="K16" s="137">
        <f t="shared" si="2"/>
        <v>0</v>
      </c>
      <c r="L16" s="137">
        <f t="shared" si="3"/>
        <v>0</v>
      </c>
      <c r="M16" s="149">
        <f t="shared" si="6"/>
        <v>0</v>
      </c>
      <c r="N16" s="149">
        <f t="shared" si="7"/>
        <v>0</v>
      </c>
    </row>
    <row r="17" spans="1:14" x14ac:dyDescent="0.25">
      <c r="A17" s="155"/>
      <c r="B17" s="135"/>
      <c r="C17" s="136"/>
      <c r="D17" s="137">
        <f t="shared" si="0"/>
        <v>0</v>
      </c>
      <c r="E17" s="142">
        <f t="shared" si="1"/>
        <v>0</v>
      </c>
      <c r="F17" s="149">
        <f t="shared" si="4"/>
        <v>0</v>
      </c>
      <c r="G17" s="149">
        <f t="shared" si="5"/>
        <v>0</v>
      </c>
      <c r="H17" s="155"/>
      <c r="I17" s="135"/>
      <c r="J17" s="136"/>
      <c r="K17" s="137">
        <f t="shared" si="2"/>
        <v>0</v>
      </c>
      <c r="L17" s="137">
        <f t="shared" si="3"/>
        <v>0</v>
      </c>
      <c r="M17" s="149">
        <f t="shared" si="6"/>
        <v>0</v>
      </c>
      <c r="N17" s="149">
        <f t="shared" si="7"/>
        <v>0</v>
      </c>
    </row>
    <row r="18" spans="1:14" x14ac:dyDescent="0.25">
      <c r="A18" s="155"/>
      <c r="B18" s="135"/>
      <c r="C18" s="136"/>
      <c r="D18" s="137">
        <f t="shared" si="0"/>
        <v>0</v>
      </c>
      <c r="E18" s="142">
        <f t="shared" si="1"/>
        <v>0</v>
      </c>
      <c r="F18" s="149">
        <f t="shared" si="4"/>
        <v>0</v>
      </c>
      <c r="G18" s="149">
        <f t="shared" si="5"/>
        <v>0</v>
      </c>
      <c r="H18" s="155"/>
      <c r="I18" s="135"/>
      <c r="J18" s="136"/>
      <c r="K18" s="137">
        <f t="shared" si="2"/>
        <v>0</v>
      </c>
      <c r="L18" s="137">
        <f t="shared" si="3"/>
        <v>0</v>
      </c>
      <c r="M18" s="149">
        <f t="shared" si="6"/>
        <v>0</v>
      </c>
      <c r="N18" s="149">
        <f t="shared" si="7"/>
        <v>0</v>
      </c>
    </row>
    <row r="19" spans="1:14" x14ac:dyDescent="0.25">
      <c r="A19" s="155"/>
      <c r="B19" s="135"/>
      <c r="C19" s="136"/>
      <c r="D19" s="137">
        <f t="shared" si="0"/>
        <v>0</v>
      </c>
      <c r="E19" s="142">
        <f t="shared" si="1"/>
        <v>0</v>
      </c>
      <c r="F19" s="149">
        <f t="shared" si="4"/>
        <v>0</v>
      </c>
      <c r="G19" s="149">
        <f t="shared" si="5"/>
        <v>0</v>
      </c>
      <c r="H19" s="155"/>
      <c r="I19" s="135"/>
      <c r="J19" s="136"/>
      <c r="K19" s="137">
        <f t="shared" si="2"/>
        <v>0</v>
      </c>
      <c r="L19" s="137">
        <f t="shared" si="3"/>
        <v>0</v>
      </c>
      <c r="M19" s="149">
        <f t="shared" si="6"/>
        <v>0</v>
      </c>
      <c r="N19" s="149">
        <f t="shared" si="7"/>
        <v>0</v>
      </c>
    </row>
    <row r="20" spans="1:14" x14ac:dyDescent="0.25">
      <c r="A20" s="155"/>
      <c r="B20" s="135"/>
      <c r="C20" s="136"/>
      <c r="D20" s="137">
        <f t="shared" si="0"/>
        <v>0</v>
      </c>
      <c r="E20" s="142">
        <f t="shared" si="1"/>
        <v>0</v>
      </c>
      <c r="F20" s="149">
        <f t="shared" si="4"/>
        <v>0</v>
      </c>
      <c r="G20" s="149">
        <f t="shared" si="5"/>
        <v>0</v>
      </c>
      <c r="H20" s="155"/>
      <c r="I20" s="135"/>
      <c r="J20" s="136"/>
      <c r="K20" s="137">
        <f t="shared" si="2"/>
        <v>0</v>
      </c>
      <c r="L20" s="137">
        <f t="shared" si="3"/>
        <v>0</v>
      </c>
      <c r="M20" s="149">
        <f t="shared" si="6"/>
        <v>0</v>
      </c>
      <c r="N20" s="149">
        <f t="shared" si="7"/>
        <v>0</v>
      </c>
    </row>
    <row r="21" spans="1:14" x14ac:dyDescent="0.25">
      <c r="A21" s="155"/>
      <c r="B21" s="135"/>
      <c r="C21" s="136"/>
      <c r="D21" s="137">
        <f t="shared" si="0"/>
        <v>0</v>
      </c>
      <c r="E21" s="142">
        <f t="shared" si="1"/>
        <v>0</v>
      </c>
      <c r="F21" s="149">
        <f t="shared" si="4"/>
        <v>0</v>
      </c>
      <c r="G21" s="149">
        <f t="shared" si="5"/>
        <v>0</v>
      </c>
      <c r="H21" s="155"/>
      <c r="I21" s="135"/>
      <c r="J21" s="136"/>
      <c r="K21" s="137">
        <f t="shared" si="2"/>
        <v>0</v>
      </c>
      <c r="L21" s="137">
        <f t="shared" si="3"/>
        <v>0</v>
      </c>
      <c r="M21" s="149">
        <f t="shared" si="6"/>
        <v>0</v>
      </c>
      <c r="N21" s="149">
        <f t="shared" si="7"/>
        <v>0</v>
      </c>
    </row>
    <row r="22" spans="1:14" x14ac:dyDescent="0.25">
      <c r="A22" s="155"/>
      <c r="B22" s="135"/>
      <c r="C22" s="136"/>
      <c r="D22" s="137">
        <f t="shared" si="0"/>
        <v>0</v>
      </c>
      <c r="E22" s="142">
        <f t="shared" si="1"/>
        <v>0</v>
      </c>
      <c r="F22" s="149">
        <f t="shared" si="4"/>
        <v>0</v>
      </c>
      <c r="G22" s="149">
        <f t="shared" si="5"/>
        <v>0</v>
      </c>
      <c r="H22" s="155"/>
      <c r="I22" s="135"/>
      <c r="J22" s="136"/>
      <c r="K22" s="137">
        <f t="shared" si="2"/>
        <v>0</v>
      </c>
      <c r="L22" s="137">
        <f t="shared" si="3"/>
        <v>0</v>
      </c>
      <c r="M22" s="149">
        <f t="shared" si="6"/>
        <v>0</v>
      </c>
      <c r="N22" s="149">
        <f t="shared" si="7"/>
        <v>0</v>
      </c>
    </row>
    <row r="23" spans="1:14" x14ac:dyDescent="0.25">
      <c r="A23" s="155"/>
      <c r="B23" s="135"/>
      <c r="C23" s="136"/>
      <c r="D23" s="137">
        <f t="shared" si="0"/>
        <v>0</v>
      </c>
      <c r="E23" s="142">
        <f t="shared" si="1"/>
        <v>0</v>
      </c>
      <c r="F23" s="149">
        <f t="shared" si="4"/>
        <v>0</v>
      </c>
      <c r="G23" s="149">
        <f t="shared" si="5"/>
        <v>0</v>
      </c>
      <c r="H23" s="155"/>
      <c r="I23" s="135"/>
      <c r="J23" s="136"/>
      <c r="K23" s="137">
        <f t="shared" si="2"/>
        <v>0</v>
      </c>
      <c r="L23" s="137">
        <f t="shared" si="3"/>
        <v>0</v>
      </c>
      <c r="M23" s="149">
        <f t="shared" si="6"/>
        <v>0</v>
      </c>
      <c r="N23" s="149">
        <f t="shared" si="7"/>
        <v>0</v>
      </c>
    </row>
    <row r="24" spans="1:14" x14ac:dyDescent="0.25">
      <c r="A24" s="155"/>
      <c r="B24" s="135"/>
      <c r="C24" s="136"/>
      <c r="D24" s="137">
        <f t="shared" si="0"/>
        <v>0</v>
      </c>
      <c r="E24" s="142">
        <f t="shared" si="1"/>
        <v>0</v>
      </c>
      <c r="F24" s="149">
        <f t="shared" si="4"/>
        <v>0</v>
      </c>
      <c r="G24" s="149">
        <f t="shared" si="5"/>
        <v>0</v>
      </c>
      <c r="H24" s="155"/>
      <c r="I24" s="135"/>
      <c r="J24" s="136"/>
      <c r="K24" s="137">
        <f t="shared" si="2"/>
        <v>0</v>
      </c>
      <c r="L24" s="137">
        <f t="shared" si="3"/>
        <v>0</v>
      </c>
      <c r="M24" s="149">
        <f t="shared" si="6"/>
        <v>0</v>
      </c>
      <c r="N24" s="149">
        <f t="shared" si="7"/>
        <v>0</v>
      </c>
    </row>
    <row r="25" spans="1:14" x14ac:dyDescent="0.25">
      <c r="A25" s="155"/>
      <c r="B25" s="135"/>
      <c r="C25" s="136"/>
      <c r="D25" s="137">
        <f t="shared" si="0"/>
        <v>0</v>
      </c>
      <c r="E25" s="142">
        <f t="shared" si="1"/>
        <v>0</v>
      </c>
      <c r="F25" s="149">
        <f t="shared" si="4"/>
        <v>0</v>
      </c>
      <c r="G25" s="149">
        <f t="shared" si="5"/>
        <v>0</v>
      </c>
      <c r="H25" s="155"/>
      <c r="I25" s="135"/>
      <c r="J25" s="136"/>
      <c r="K25" s="137">
        <f t="shared" si="2"/>
        <v>0</v>
      </c>
      <c r="L25" s="137">
        <f t="shared" si="3"/>
        <v>0</v>
      </c>
      <c r="M25" s="149">
        <f t="shared" si="6"/>
        <v>0</v>
      </c>
      <c r="N25" s="149">
        <f t="shared" si="7"/>
        <v>0</v>
      </c>
    </row>
    <row r="26" spans="1:14" x14ac:dyDescent="0.25">
      <c r="A26" s="155"/>
      <c r="B26" s="135"/>
      <c r="C26" s="136"/>
      <c r="D26" s="137">
        <f t="shared" si="0"/>
        <v>0</v>
      </c>
      <c r="E26" s="142">
        <f t="shared" si="1"/>
        <v>0</v>
      </c>
      <c r="F26" s="149">
        <f t="shared" si="4"/>
        <v>0</v>
      </c>
      <c r="G26" s="149">
        <f t="shared" si="5"/>
        <v>0</v>
      </c>
      <c r="H26" s="155"/>
      <c r="I26" s="135"/>
      <c r="J26" s="136"/>
      <c r="K26" s="137">
        <f t="shared" si="2"/>
        <v>0</v>
      </c>
      <c r="L26" s="137">
        <f t="shared" si="3"/>
        <v>0</v>
      </c>
      <c r="M26" s="149">
        <f t="shared" si="6"/>
        <v>0</v>
      </c>
      <c r="N26" s="149">
        <f t="shared" si="7"/>
        <v>0</v>
      </c>
    </row>
    <row r="27" spans="1:14" x14ac:dyDescent="0.25">
      <c r="A27" s="155"/>
      <c r="B27" s="135"/>
      <c r="C27" s="136"/>
      <c r="D27" s="137">
        <f t="shared" si="0"/>
        <v>0</v>
      </c>
      <c r="E27" s="142">
        <f t="shared" si="1"/>
        <v>0</v>
      </c>
      <c r="F27" s="149">
        <f t="shared" si="4"/>
        <v>0</v>
      </c>
      <c r="G27" s="149">
        <f t="shared" si="5"/>
        <v>0</v>
      </c>
      <c r="H27" s="155"/>
      <c r="I27" s="135"/>
      <c r="J27" s="136"/>
      <c r="K27" s="137">
        <f t="shared" si="2"/>
        <v>0</v>
      </c>
      <c r="L27" s="137">
        <f t="shared" si="3"/>
        <v>0</v>
      </c>
      <c r="M27" s="149">
        <f t="shared" si="6"/>
        <v>0</v>
      </c>
      <c r="N27" s="149">
        <f t="shared" si="7"/>
        <v>0</v>
      </c>
    </row>
    <row r="28" spans="1:14" x14ac:dyDescent="0.25">
      <c r="A28" s="155"/>
      <c r="B28" s="135"/>
      <c r="C28" s="136"/>
      <c r="D28" s="137">
        <f t="shared" si="0"/>
        <v>0</v>
      </c>
      <c r="E28" s="142">
        <f t="shared" si="1"/>
        <v>0</v>
      </c>
      <c r="F28" s="149">
        <f t="shared" si="4"/>
        <v>0</v>
      </c>
      <c r="G28" s="149">
        <f t="shared" si="5"/>
        <v>0</v>
      </c>
      <c r="H28" s="155"/>
      <c r="I28" s="135"/>
      <c r="J28" s="136"/>
      <c r="K28" s="137">
        <f t="shared" si="2"/>
        <v>0</v>
      </c>
      <c r="L28" s="137">
        <f t="shared" si="3"/>
        <v>0</v>
      </c>
      <c r="M28" s="149">
        <f t="shared" si="6"/>
        <v>0</v>
      </c>
      <c r="N28" s="149">
        <f t="shared" si="7"/>
        <v>0</v>
      </c>
    </row>
    <row r="29" spans="1:14" x14ac:dyDescent="0.25">
      <c r="A29" s="155"/>
      <c r="B29" s="135"/>
      <c r="C29" s="136"/>
      <c r="D29" s="137">
        <f t="shared" si="0"/>
        <v>0</v>
      </c>
      <c r="E29" s="142">
        <f t="shared" si="1"/>
        <v>0</v>
      </c>
      <c r="F29" s="149">
        <f t="shared" si="4"/>
        <v>0</v>
      </c>
      <c r="G29" s="149">
        <f t="shared" si="5"/>
        <v>0</v>
      </c>
      <c r="H29" s="155"/>
      <c r="I29" s="135"/>
      <c r="J29" s="136"/>
      <c r="K29" s="137">
        <f t="shared" si="2"/>
        <v>0</v>
      </c>
      <c r="L29" s="137">
        <f t="shared" si="3"/>
        <v>0</v>
      </c>
      <c r="M29" s="149">
        <f t="shared" si="6"/>
        <v>0</v>
      </c>
      <c r="N29" s="149">
        <f t="shared" si="7"/>
        <v>0</v>
      </c>
    </row>
    <row r="30" spans="1:14" x14ac:dyDescent="0.25">
      <c r="A30" s="155"/>
      <c r="B30" s="135"/>
      <c r="C30" s="136"/>
      <c r="D30" s="137">
        <f t="shared" si="0"/>
        <v>0</v>
      </c>
      <c r="E30" s="142">
        <f t="shared" si="1"/>
        <v>0</v>
      </c>
      <c r="F30" s="149">
        <f t="shared" si="4"/>
        <v>0</v>
      </c>
      <c r="G30" s="149">
        <f t="shared" si="5"/>
        <v>0</v>
      </c>
      <c r="H30" s="155"/>
      <c r="I30" s="135"/>
      <c r="J30" s="136"/>
      <c r="K30" s="137">
        <f t="shared" si="2"/>
        <v>0</v>
      </c>
      <c r="L30" s="137">
        <f t="shared" si="3"/>
        <v>0</v>
      </c>
      <c r="M30" s="149">
        <f t="shared" si="6"/>
        <v>0</v>
      </c>
      <c r="N30" s="149">
        <f t="shared" si="7"/>
        <v>0</v>
      </c>
    </row>
    <row r="31" spans="1:14" x14ac:dyDescent="0.25">
      <c r="A31" s="155"/>
      <c r="B31" s="135"/>
      <c r="C31" s="136"/>
      <c r="D31" s="137">
        <f t="shared" si="0"/>
        <v>0</v>
      </c>
      <c r="E31" s="142">
        <f t="shared" si="1"/>
        <v>0</v>
      </c>
      <c r="F31" s="149">
        <f t="shared" si="4"/>
        <v>0</v>
      </c>
      <c r="G31" s="149">
        <f t="shared" si="5"/>
        <v>0</v>
      </c>
      <c r="H31" s="155"/>
      <c r="I31" s="135"/>
      <c r="J31" s="136"/>
      <c r="K31" s="137">
        <f t="shared" si="2"/>
        <v>0</v>
      </c>
      <c r="L31" s="137">
        <f t="shared" si="3"/>
        <v>0</v>
      </c>
      <c r="M31" s="149">
        <f t="shared" si="6"/>
        <v>0</v>
      </c>
      <c r="N31" s="149">
        <f t="shared" si="7"/>
        <v>0</v>
      </c>
    </row>
    <row r="32" spans="1:14" x14ac:dyDescent="0.25">
      <c r="A32" s="155"/>
      <c r="B32" s="135"/>
      <c r="C32" s="136"/>
      <c r="D32" s="137">
        <f t="shared" si="0"/>
        <v>0</v>
      </c>
      <c r="E32" s="142">
        <f t="shared" si="1"/>
        <v>0</v>
      </c>
      <c r="F32" s="149">
        <f t="shared" si="4"/>
        <v>0</v>
      </c>
      <c r="G32" s="149">
        <f t="shared" si="5"/>
        <v>0</v>
      </c>
      <c r="H32" s="155"/>
      <c r="I32" s="135"/>
      <c r="J32" s="136"/>
      <c r="K32" s="137">
        <f t="shared" si="2"/>
        <v>0</v>
      </c>
      <c r="L32" s="137">
        <f t="shared" si="3"/>
        <v>0</v>
      </c>
      <c r="M32" s="149">
        <f t="shared" si="6"/>
        <v>0</v>
      </c>
      <c r="N32" s="149">
        <f t="shared" si="7"/>
        <v>0</v>
      </c>
    </row>
    <row r="33" spans="1:14" x14ac:dyDescent="0.25">
      <c r="A33" s="155"/>
      <c r="B33" s="135"/>
      <c r="C33" s="136"/>
      <c r="D33" s="137">
        <f t="shared" si="0"/>
        <v>0</v>
      </c>
      <c r="E33" s="142">
        <f t="shared" si="1"/>
        <v>0</v>
      </c>
      <c r="F33" s="149">
        <f t="shared" si="4"/>
        <v>0</v>
      </c>
      <c r="G33" s="149">
        <f t="shared" si="5"/>
        <v>0</v>
      </c>
      <c r="H33" s="155"/>
      <c r="I33" s="135"/>
      <c r="J33" s="136"/>
      <c r="K33" s="137">
        <f t="shared" si="2"/>
        <v>0</v>
      </c>
      <c r="L33" s="137">
        <f t="shared" si="3"/>
        <v>0</v>
      </c>
      <c r="M33" s="149">
        <f t="shared" si="6"/>
        <v>0</v>
      </c>
      <c r="N33" s="149">
        <f t="shared" si="7"/>
        <v>0</v>
      </c>
    </row>
    <row r="34" spans="1:14" x14ac:dyDescent="0.25">
      <c r="A34" s="155"/>
      <c r="B34" s="135"/>
      <c r="C34" s="136"/>
      <c r="D34" s="137">
        <f t="shared" si="0"/>
        <v>0</v>
      </c>
      <c r="E34" s="142">
        <f t="shared" si="1"/>
        <v>0</v>
      </c>
      <c r="F34" s="149">
        <f t="shared" si="4"/>
        <v>0</v>
      </c>
      <c r="G34" s="149">
        <f t="shared" si="5"/>
        <v>0</v>
      </c>
      <c r="H34" s="155"/>
      <c r="I34" s="135"/>
      <c r="J34" s="136"/>
      <c r="K34" s="137">
        <f t="shared" si="2"/>
        <v>0</v>
      </c>
      <c r="L34" s="137">
        <f t="shared" si="3"/>
        <v>0</v>
      </c>
      <c r="M34" s="149">
        <f t="shared" si="6"/>
        <v>0</v>
      </c>
      <c r="N34" s="149">
        <f t="shared" si="7"/>
        <v>0</v>
      </c>
    </row>
    <row r="35" spans="1:14" x14ac:dyDescent="0.25">
      <c r="A35" s="155"/>
      <c r="B35" s="135"/>
      <c r="C35" s="136"/>
      <c r="D35" s="137">
        <f t="shared" si="0"/>
        <v>0</v>
      </c>
      <c r="E35" s="142">
        <f t="shared" si="1"/>
        <v>0</v>
      </c>
      <c r="F35" s="149">
        <f t="shared" si="4"/>
        <v>0</v>
      </c>
      <c r="G35" s="149">
        <f t="shared" si="5"/>
        <v>0</v>
      </c>
      <c r="H35" s="155"/>
      <c r="I35" s="135"/>
      <c r="J35" s="136"/>
      <c r="K35" s="137">
        <f t="shared" si="2"/>
        <v>0</v>
      </c>
      <c r="L35" s="137">
        <f t="shared" si="3"/>
        <v>0</v>
      </c>
      <c r="M35" s="149">
        <f t="shared" si="6"/>
        <v>0</v>
      </c>
      <c r="N35" s="149">
        <f t="shared" si="7"/>
        <v>0</v>
      </c>
    </row>
    <row r="36" spans="1:14" x14ac:dyDescent="0.25">
      <c r="A36" s="155"/>
      <c r="B36" s="135"/>
      <c r="C36" s="136"/>
      <c r="D36" s="137">
        <f t="shared" si="0"/>
        <v>0</v>
      </c>
      <c r="E36" s="142">
        <f t="shared" si="1"/>
        <v>0</v>
      </c>
      <c r="F36" s="149">
        <f t="shared" si="4"/>
        <v>0</v>
      </c>
      <c r="G36" s="149">
        <f t="shared" si="5"/>
        <v>0</v>
      </c>
      <c r="H36" s="155"/>
      <c r="I36" s="135"/>
      <c r="J36" s="136"/>
      <c r="K36" s="137">
        <f t="shared" si="2"/>
        <v>0</v>
      </c>
      <c r="L36" s="137">
        <f t="shared" si="3"/>
        <v>0</v>
      </c>
      <c r="M36" s="149">
        <f t="shared" si="6"/>
        <v>0</v>
      </c>
      <c r="N36" s="149">
        <f t="shared" si="7"/>
        <v>0</v>
      </c>
    </row>
    <row r="37" spans="1:14" x14ac:dyDescent="0.25">
      <c r="A37" s="155"/>
      <c r="B37" s="135"/>
      <c r="C37" s="136"/>
      <c r="D37" s="137">
        <f t="shared" si="0"/>
        <v>0</v>
      </c>
      <c r="E37" s="142">
        <f t="shared" si="1"/>
        <v>0</v>
      </c>
      <c r="F37" s="149">
        <f t="shared" si="4"/>
        <v>0</v>
      </c>
      <c r="G37" s="149">
        <f t="shared" si="5"/>
        <v>0</v>
      </c>
      <c r="H37" s="155"/>
      <c r="I37" s="135"/>
      <c r="J37" s="136"/>
      <c r="K37" s="137">
        <f t="shared" si="2"/>
        <v>0</v>
      </c>
      <c r="L37" s="137">
        <f t="shared" si="3"/>
        <v>0</v>
      </c>
      <c r="M37" s="149">
        <f t="shared" si="6"/>
        <v>0</v>
      </c>
      <c r="N37" s="149">
        <f t="shared" si="7"/>
        <v>0</v>
      </c>
    </row>
    <row r="38" spans="1:14" x14ac:dyDescent="0.25">
      <c r="A38" s="155"/>
      <c r="B38" s="135"/>
      <c r="C38" s="136"/>
      <c r="D38" s="137">
        <f t="shared" ref="D38:D69" si="8">SUMIF(Receiving_Report_ref.,A38,In_Weight)</f>
        <v>0</v>
      </c>
      <c r="E38" s="142">
        <f t="shared" ref="E38:E69" si="9">SUMIF(Receiving_Report_ref.,A38,Pallet_qty)</f>
        <v>0</v>
      </c>
      <c r="F38" s="149">
        <f t="shared" si="4"/>
        <v>0</v>
      </c>
      <c r="G38" s="149">
        <f t="shared" si="5"/>
        <v>0</v>
      </c>
      <c r="H38" s="155"/>
      <c r="I38" s="135"/>
      <c r="J38" s="136"/>
      <c r="K38" s="137">
        <f t="shared" ref="K38:K69" si="10">SUMIF(Withdrawal_Report_No.,H38,KILOS_OUT)</f>
        <v>0</v>
      </c>
      <c r="L38" s="137">
        <f t="shared" ref="L38:L69" si="11">SUMIF(Withdrawal_Report_No.,H38,PALLET_OUT)</f>
        <v>0</v>
      </c>
      <c r="M38" s="149">
        <f t="shared" si="6"/>
        <v>0</v>
      </c>
      <c r="N38" s="149">
        <f t="shared" si="7"/>
        <v>0</v>
      </c>
    </row>
    <row r="39" spans="1:14" x14ac:dyDescent="0.25">
      <c r="A39" s="155"/>
      <c r="B39" s="135"/>
      <c r="C39" s="136"/>
      <c r="D39" s="137">
        <f t="shared" si="8"/>
        <v>0</v>
      </c>
      <c r="E39" s="142">
        <f t="shared" si="9"/>
        <v>0</v>
      </c>
      <c r="F39" s="149">
        <f t="shared" si="4"/>
        <v>0</v>
      </c>
      <c r="G39" s="149">
        <f t="shared" si="5"/>
        <v>0</v>
      </c>
      <c r="H39" s="155"/>
      <c r="I39" s="135"/>
      <c r="J39" s="136"/>
      <c r="K39" s="137">
        <f t="shared" si="10"/>
        <v>0</v>
      </c>
      <c r="L39" s="137">
        <f t="shared" si="11"/>
        <v>0</v>
      </c>
      <c r="M39" s="149">
        <f t="shared" si="6"/>
        <v>0</v>
      </c>
      <c r="N39" s="149">
        <f t="shared" si="7"/>
        <v>0</v>
      </c>
    </row>
    <row r="40" spans="1:14" x14ac:dyDescent="0.25">
      <c r="A40" s="155"/>
      <c r="B40" s="135"/>
      <c r="C40" s="136"/>
      <c r="D40" s="137">
        <f t="shared" si="8"/>
        <v>0</v>
      </c>
      <c r="E40" s="142">
        <f t="shared" si="9"/>
        <v>0</v>
      </c>
      <c r="F40" s="149">
        <f t="shared" si="4"/>
        <v>0</v>
      </c>
      <c r="G40" s="149">
        <f t="shared" si="5"/>
        <v>0</v>
      </c>
      <c r="H40" s="155"/>
      <c r="I40" s="135"/>
      <c r="J40" s="136"/>
      <c r="K40" s="137">
        <f t="shared" si="10"/>
        <v>0</v>
      </c>
      <c r="L40" s="137">
        <f t="shared" si="11"/>
        <v>0</v>
      </c>
      <c r="M40" s="149">
        <f t="shared" si="6"/>
        <v>0</v>
      </c>
      <c r="N40" s="149">
        <f t="shared" si="7"/>
        <v>0</v>
      </c>
    </row>
    <row r="41" spans="1:14" x14ac:dyDescent="0.25">
      <c r="A41" s="155"/>
      <c r="B41" s="135"/>
      <c r="C41" s="136"/>
      <c r="D41" s="137">
        <f t="shared" si="8"/>
        <v>0</v>
      </c>
      <c r="E41" s="142">
        <f t="shared" si="9"/>
        <v>0</v>
      </c>
      <c r="F41" s="149">
        <f t="shared" si="4"/>
        <v>0</v>
      </c>
      <c r="G41" s="149">
        <f t="shared" si="5"/>
        <v>0</v>
      </c>
      <c r="H41" s="155"/>
      <c r="I41" s="135"/>
      <c r="J41" s="136"/>
      <c r="K41" s="137">
        <f t="shared" si="10"/>
        <v>0</v>
      </c>
      <c r="L41" s="137">
        <f t="shared" si="11"/>
        <v>0</v>
      </c>
      <c r="M41" s="149">
        <f t="shared" si="6"/>
        <v>0</v>
      </c>
      <c r="N41" s="149">
        <f t="shared" si="7"/>
        <v>0</v>
      </c>
    </row>
    <row r="42" spans="1:14" x14ac:dyDescent="0.25">
      <c r="A42" s="155"/>
      <c r="B42" s="135"/>
      <c r="C42" s="136"/>
      <c r="D42" s="137">
        <f t="shared" si="8"/>
        <v>0</v>
      </c>
      <c r="E42" s="142">
        <f t="shared" si="9"/>
        <v>0</v>
      </c>
      <c r="F42" s="149">
        <f t="shared" si="4"/>
        <v>0</v>
      </c>
      <c r="G42" s="149">
        <f t="shared" si="5"/>
        <v>0</v>
      </c>
      <c r="H42" s="155"/>
      <c r="I42" s="135"/>
      <c r="J42" s="136"/>
      <c r="K42" s="137">
        <f t="shared" si="10"/>
        <v>0</v>
      </c>
      <c r="L42" s="137">
        <f t="shared" si="11"/>
        <v>0</v>
      </c>
      <c r="M42" s="149">
        <f t="shared" si="6"/>
        <v>0</v>
      </c>
      <c r="N42" s="149">
        <f t="shared" si="7"/>
        <v>0</v>
      </c>
    </row>
    <row r="43" spans="1:14" x14ac:dyDescent="0.25">
      <c r="A43" s="155"/>
      <c r="B43" s="135"/>
      <c r="C43" s="136"/>
      <c r="D43" s="137">
        <f t="shared" si="8"/>
        <v>0</v>
      </c>
      <c r="E43" s="142">
        <f t="shared" si="9"/>
        <v>0</v>
      </c>
      <c r="F43" s="149">
        <f t="shared" si="4"/>
        <v>0</v>
      </c>
      <c r="G43" s="149">
        <f t="shared" si="5"/>
        <v>0</v>
      </c>
      <c r="H43" s="155"/>
      <c r="I43" s="135"/>
      <c r="J43" s="136"/>
      <c r="K43" s="137">
        <f t="shared" si="10"/>
        <v>0</v>
      </c>
      <c r="L43" s="137">
        <f t="shared" si="11"/>
        <v>0</v>
      </c>
      <c r="M43" s="149">
        <f t="shared" si="6"/>
        <v>0</v>
      </c>
      <c r="N43" s="149">
        <f t="shared" si="7"/>
        <v>0</v>
      </c>
    </row>
    <row r="44" spans="1:14" x14ac:dyDescent="0.25">
      <c r="A44" s="155"/>
      <c r="B44" s="135"/>
      <c r="C44" s="136"/>
      <c r="D44" s="137">
        <f t="shared" si="8"/>
        <v>0</v>
      </c>
      <c r="E44" s="142">
        <f t="shared" si="9"/>
        <v>0</v>
      </c>
      <c r="F44" s="149">
        <f t="shared" si="4"/>
        <v>0</v>
      </c>
      <c r="G44" s="149">
        <f t="shared" si="5"/>
        <v>0</v>
      </c>
      <c r="H44" s="155"/>
      <c r="I44" s="135"/>
      <c r="J44" s="136"/>
      <c r="K44" s="137">
        <f t="shared" si="10"/>
        <v>0</v>
      </c>
      <c r="L44" s="137">
        <f t="shared" si="11"/>
        <v>0</v>
      </c>
      <c r="M44" s="149">
        <f t="shared" si="6"/>
        <v>0</v>
      </c>
      <c r="N44" s="149">
        <f t="shared" si="7"/>
        <v>0</v>
      </c>
    </row>
    <row r="45" spans="1:14" x14ac:dyDescent="0.25">
      <c r="A45" s="155"/>
      <c r="B45" s="135"/>
      <c r="C45" s="136"/>
      <c r="D45" s="137">
        <f t="shared" si="8"/>
        <v>0</v>
      </c>
      <c r="E45" s="142">
        <f t="shared" si="9"/>
        <v>0</v>
      </c>
      <c r="F45" s="149">
        <f t="shared" si="4"/>
        <v>0</v>
      </c>
      <c r="G45" s="149">
        <f t="shared" si="5"/>
        <v>0</v>
      </c>
      <c r="H45" s="155"/>
      <c r="I45" s="135"/>
      <c r="J45" s="136"/>
      <c r="K45" s="137">
        <f t="shared" si="10"/>
        <v>0</v>
      </c>
      <c r="L45" s="137">
        <f t="shared" si="11"/>
        <v>0</v>
      </c>
      <c r="M45" s="149">
        <f t="shared" si="6"/>
        <v>0</v>
      </c>
      <c r="N45" s="149">
        <f t="shared" si="7"/>
        <v>0</v>
      </c>
    </row>
    <row r="46" spans="1:14" x14ac:dyDescent="0.25">
      <c r="A46" s="155"/>
      <c r="B46" s="135"/>
      <c r="C46" s="136"/>
      <c r="D46" s="137">
        <f t="shared" si="8"/>
        <v>0</v>
      </c>
      <c r="E46" s="142">
        <f t="shared" si="9"/>
        <v>0</v>
      </c>
      <c r="F46" s="149">
        <f t="shared" si="4"/>
        <v>0</v>
      </c>
      <c r="G46" s="149">
        <f t="shared" si="5"/>
        <v>0</v>
      </c>
      <c r="H46" s="155"/>
      <c r="I46" s="135"/>
      <c r="J46" s="136"/>
      <c r="K46" s="137">
        <f t="shared" si="10"/>
        <v>0</v>
      </c>
      <c r="L46" s="137">
        <f t="shared" si="11"/>
        <v>0</v>
      </c>
      <c r="M46" s="149">
        <f t="shared" si="6"/>
        <v>0</v>
      </c>
      <c r="N46" s="149">
        <f t="shared" si="7"/>
        <v>0</v>
      </c>
    </row>
    <row r="47" spans="1:14" x14ac:dyDescent="0.25">
      <c r="A47" s="155"/>
      <c r="B47" s="135"/>
      <c r="C47" s="136"/>
      <c r="D47" s="137">
        <f t="shared" si="8"/>
        <v>0</v>
      </c>
      <c r="E47" s="142">
        <f t="shared" si="9"/>
        <v>0</v>
      </c>
      <c r="F47" s="149">
        <f t="shared" si="4"/>
        <v>0</v>
      </c>
      <c r="G47" s="149">
        <f t="shared" si="5"/>
        <v>0</v>
      </c>
      <c r="H47" s="155"/>
      <c r="I47" s="135"/>
      <c r="J47" s="136"/>
      <c r="K47" s="137">
        <f t="shared" si="10"/>
        <v>0</v>
      </c>
      <c r="L47" s="137">
        <f t="shared" si="11"/>
        <v>0</v>
      </c>
      <c r="M47" s="149">
        <f t="shared" si="6"/>
        <v>0</v>
      </c>
      <c r="N47" s="149">
        <f t="shared" si="7"/>
        <v>0</v>
      </c>
    </row>
    <row r="48" spans="1:14" x14ac:dyDescent="0.25">
      <c r="A48" s="155"/>
      <c r="B48" s="135"/>
      <c r="C48" s="136"/>
      <c r="D48" s="137">
        <f t="shared" si="8"/>
        <v>0</v>
      </c>
      <c r="E48" s="142">
        <f t="shared" si="9"/>
        <v>0</v>
      </c>
      <c r="F48" s="149">
        <f t="shared" si="4"/>
        <v>0</v>
      </c>
      <c r="G48" s="149">
        <f t="shared" si="5"/>
        <v>0</v>
      </c>
      <c r="H48" s="155"/>
      <c r="I48" s="135"/>
      <c r="J48" s="136"/>
      <c r="K48" s="137">
        <f t="shared" si="10"/>
        <v>0</v>
      </c>
      <c r="L48" s="137">
        <f t="shared" si="11"/>
        <v>0</v>
      </c>
      <c r="M48" s="149">
        <f t="shared" si="6"/>
        <v>0</v>
      </c>
      <c r="N48" s="149">
        <f t="shared" si="7"/>
        <v>0</v>
      </c>
    </row>
    <row r="49" spans="1:14" x14ac:dyDescent="0.25">
      <c r="A49" s="155"/>
      <c r="B49" s="135"/>
      <c r="C49" s="136"/>
      <c r="D49" s="137">
        <f t="shared" si="8"/>
        <v>0</v>
      </c>
      <c r="E49" s="142">
        <f t="shared" si="9"/>
        <v>0</v>
      </c>
      <c r="F49" s="149">
        <f t="shared" si="4"/>
        <v>0</v>
      </c>
      <c r="G49" s="149">
        <f t="shared" si="5"/>
        <v>0</v>
      </c>
      <c r="H49" s="155"/>
      <c r="I49" s="135"/>
      <c r="J49" s="136"/>
      <c r="K49" s="137">
        <f t="shared" si="10"/>
        <v>0</v>
      </c>
      <c r="L49" s="137">
        <f t="shared" si="11"/>
        <v>0</v>
      </c>
      <c r="M49" s="149">
        <f t="shared" si="6"/>
        <v>0</v>
      </c>
      <c r="N49" s="149">
        <f t="shared" si="7"/>
        <v>0</v>
      </c>
    </row>
    <row r="50" spans="1:14" x14ac:dyDescent="0.25">
      <c r="A50" s="155"/>
      <c r="B50" s="135"/>
      <c r="C50" s="136"/>
      <c r="D50" s="137">
        <f t="shared" si="8"/>
        <v>0</v>
      </c>
      <c r="E50" s="142">
        <f t="shared" si="9"/>
        <v>0</v>
      </c>
      <c r="F50" s="149">
        <f t="shared" si="4"/>
        <v>0</v>
      </c>
      <c r="G50" s="149">
        <f t="shared" si="5"/>
        <v>0</v>
      </c>
      <c r="H50" s="155"/>
      <c r="I50" s="135"/>
      <c r="J50" s="136"/>
      <c r="K50" s="137">
        <f t="shared" si="10"/>
        <v>0</v>
      </c>
      <c r="L50" s="137">
        <f t="shared" si="11"/>
        <v>0</v>
      </c>
      <c r="M50" s="149">
        <f t="shared" si="6"/>
        <v>0</v>
      </c>
      <c r="N50" s="149">
        <f t="shared" si="7"/>
        <v>0</v>
      </c>
    </row>
    <row r="51" spans="1:14" x14ac:dyDescent="0.25">
      <c r="A51" s="155"/>
      <c r="B51" s="135"/>
      <c r="C51" s="136"/>
      <c r="D51" s="137">
        <f t="shared" si="8"/>
        <v>0</v>
      </c>
      <c r="E51" s="142">
        <f t="shared" si="9"/>
        <v>0</v>
      </c>
      <c r="F51" s="149">
        <f t="shared" si="4"/>
        <v>0</v>
      </c>
      <c r="G51" s="149">
        <f t="shared" si="5"/>
        <v>0</v>
      </c>
      <c r="H51" s="155"/>
      <c r="I51" s="135"/>
      <c r="J51" s="136"/>
      <c r="K51" s="137">
        <f t="shared" si="10"/>
        <v>0</v>
      </c>
      <c r="L51" s="137">
        <f t="shared" si="11"/>
        <v>0</v>
      </c>
      <c r="M51" s="149">
        <f t="shared" si="6"/>
        <v>0</v>
      </c>
      <c r="N51" s="149">
        <f t="shared" si="7"/>
        <v>0</v>
      </c>
    </row>
    <row r="52" spans="1:14" x14ac:dyDescent="0.25">
      <c r="A52" s="155"/>
      <c r="B52" s="135"/>
      <c r="C52" s="136"/>
      <c r="D52" s="137">
        <f t="shared" si="8"/>
        <v>0</v>
      </c>
      <c r="E52" s="142">
        <f t="shared" si="9"/>
        <v>0</v>
      </c>
      <c r="F52" s="149">
        <f t="shared" si="4"/>
        <v>0</v>
      </c>
      <c r="G52" s="149">
        <f t="shared" si="5"/>
        <v>0</v>
      </c>
      <c r="H52" s="155"/>
      <c r="I52" s="135"/>
      <c r="J52" s="136"/>
      <c r="K52" s="137">
        <f t="shared" si="10"/>
        <v>0</v>
      </c>
      <c r="L52" s="137">
        <f t="shared" si="11"/>
        <v>0</v>
      </c>
      <c r="M52" s="149">
        <f t="shared" si="6"/>
        <v>0</v>
      </c>
      <c r="N52" s="149">
        <f t="shared" si="7"/>
        <v>0</v>
      </c>
    </row>
    <row r="53" spans="1:14" x14ac:dyDescent="0.25">
      <c r="A53" s="155"/>
      <c r="B53" s="135"/>
      <c r="C53" s="136"/>
      <c r="D53" s="137">
        <f t="shared" si="8"/>
        <v>0</v>
      </c>
      <c r="E53" s="142">
        <f t="shared" si="9"/>
        <v>0</v>
      </c>
      <c r="F53" s="149">
        <f t="shared" si="4"/>
        <v>0</v>
      </c>
      <c r="G53" s="149">
        <f t="shared" si="5"/>
        <v>0</v>
      </c>
      <c r="H53" s="155"/>
      <c r="I53" s="135"/>
      <c r="J53" s="136"/>
      <c r="K53" s="137">
        <f t="shared" si="10"/>
        <v>0</v>
      </c>
      <c r="L53" s="137">
        <f t="shared" si="11"/>
        <v>0</v>
      </c>
      <c r="M53" s="149">
        <f t="shared" si="6"/>
        <v>0</v>
      </c>
      <c r="N53" s="149">
        <f t="shared" si="7"/>
        <v>0</v>
      </c>
    </row>
    <row r="54" spans="1:14" x14ac:dyDescent="0.25">
      <c r="A54" s="155"/>
      <c r="B54" s="135"/>
      <c r="C54" s="136"/>
      <c r="D54" s="137">
        <f t="shared" si="8"/>
        <v>0</v>
      </c>
      <c r="E54" s="142">
        <f t="shared" si="9"/>
        <v>0</v>
      </c>
      <c r="F54" s="149">
        <f t="shared" si="4"/>
        <v>0</v>
      </c>
      <c r="G54" s="149">
        <f t="shared" si="5"/>
        <v>0</v>
      </c>
      <c r="H54" s="155"/>
      <c r="I54" s="135"/>
      <c r="J54" s="136"/>
      <c r="K54" s="137">
        <f t="shared" si="10"/>
        <v>0</v>
      </c>
      <c r="L54" s="137">
        <f t="shared" si="11"/>
        <v>0</v>
      </c>
      <c r="M54" s="149">
        <f t="shared" si="6"/>
        <v>0</v>
      </c>
      <c r="N54" s="149">
        <f t="shared" si="7"/>
        <v>0</v>
      </c>
    </row>
    <row r="55" spans="1:14" x14ac:dyDescent="0.25">
      <c r="A55" s="155"/>
      <c r="B55" s="135"/>
      <c r="C55" s="136"/>
      <c r="D55" s="137">
        <f t="shared" si="8"/>
        <v>0</v>
      </c>
      <c r="E55" s="142">
        <f t="shared" si="9"/>
        <v>0</v>
      </c>
      <c r="F55" s="149">
        <f t="shared" si="4"/>
        <v>0</v>
      </c>
      <c r="G55" s="149">
        <f t="shared" si="5"/>
        <v>0</v>
      </c>
      <c r="H55" s="155"/>
      <c r="I55" s="135"/>
      <c r="J55" s="136"/>
      <c r="K55" s="137">
        <f t="shared" si="10"/>
        <v>0</v>
      </c>
      <c r="L55" s="137">
        <f t="shared" si="11"/>
        <v>0</v>
      </c>
      <c r="M55" s="149">
        <f t="shared" si="6"/>
        <v>0</v>
      </c>
      <c r="N55" s="149">
        <f t="shared" si="7"/>
        <v>0</v>
      </c>
    </row>
    <row r="56" spans="1:14" x14ac:dyDescent="0.25">
      <c r="A56" s="155"/>
      <c r="B56" s="135"/>
      <c r="C56" s="136"/>
      <c r="D56" s="137">
        <f t="shared" si="8"/>
        <v>0</v>
      </c>
      <c r="E56" s="142">
        <f t="shared" si="9"/>
        <v>0</v>
      </c>
      <c r="F56" s="149">
        <f t="shared" si="4"/>
        <v>0</v>
      </c>
      <c r="G56" s="149">
        <f t="shared" si="5"/>
        <v>0</v>
      </c>
      <c r="H56" s="155"/>
      <c r="I56" s="135"/>
      <c r="J56" s="136"/>
      <c r="K56" s="137">
        <f t="shared" si="10"/>
        <v>0</v>
      </c>
      <c r="L56" s="137">
        <f t="shared" si="11"/>
        <v>0</v>
      </c>
      <c r="M56" s="149">
        <f t="shared" si="6"/>
        <v>0</v>
      </c>
      <c r="N56" s="149">
        <f t="shared" si="7"/>
        <v>0</v>
      </c>
    </row>
    <row r="57" spans="1:14" x14ac:dyDescent="0.25">
      <c r="A57" s="155"/>
      <c r="B57" s="135"/>
      <c r="C57" s="136"/>
      <c r="D57" s="137">
        <f t="shared" si="8"/>
        <v>0</v>
      </c>
      <c r="E57" s="142">
        <f t="shared" si="9"/>
        <v>0</v>
      </c>
      <c r="F57" s="149">
        <f t="shared" si="4"/>
        <v>0</v>
      </c>
      <c r="G57" s="149">
        <f t="shared" si="5"/>
        <v>0</v>
      </c>
      <c r="H57" s="155"/>
      <c r="I57" s="135"/>
      <c r="J57" s="136"/>
      <c r="K57" s="137">
        <f t="shared" si="10"/>
        <v>0</v>
      </c>
      <c r="L57" s="137">
        <f t="shared" si="11"/>
        <v>0</v>
      </c>
      <c r="M57" s="149">
        <f t="shared" si="6"/>
        <v>0</v>
      </c>
      <c r="N57" s="149">
        <f t="shared" si="7"/>
        <v>0</v>
      </c>
    </row>
    <row r="58" spans="1:14" x14ac:dyDescent="0.25">
      <c r="A58" s="155"/>
      <c r="B58" s="135"/>
      <c r="C58" s="136"/>
      <c r="D58" s="137">
        <f t="shared" si="8"/>
        <v>0</v>
      </c>
      <c r="E58" s="142">
        <f t="shared" si="9"/>
        <v>0</v>
      </c>
      <c r="F58" s="149">
        <f t="shared" si="4"/>
        <v>0</v>
      </c>
      <c r="G58" s="149">
        <f t="shared" si="5"/>
        <v>0</v>
      </c>
      <c r="H58" s="155"/>
      <c r="I58" s="135"/>
      <c r="J58" s="136"/>
      <c r="K58" s="137">
        <f t="shared" si="10"/>
        <v>0</v>
      </c>
      <c r="L58" s="137">
        <f t="shared" si="11"/>
        <v>0</v>
      </c>
      <c r="M58" s="149">
        <f t="shared" si="6"/>
        <v>0</v>
      </c>
      <c r="N58" s="149">
        <f t="shared" si="7"/>
        <v>0</v>
      </c>
    </row>
    <row r="59" spans="1:14" x14ac:dyDescent="0.25">
      <c r="A59" s="155"/>
      <c r="B59" s="135"/>
      <c r="C59" s="136"/>
      <c r="D59" s="137">
        <f t="shared" si="8"/>
        <v>0</v>
      </c>
      <c r="E59" s="142">
        <f t="shared" si="9"/>
        <v>0</v>
      </c>
      <c r="F59" s="149">
        <f t="shared" si="4"/>
        <v>0</v>
      </c>
      <c r="G59" s="149">
        <f t="shared" si="5"/>
        <v>0</v>
      </c>
      <c r="H59" s="155"/>
      <c r="I59" s="135"/>
      <c r="J59" s="136"/>
      <c r="K59" s="137">
        <f t="shared" si="10"/>
        <v>0</v>
      </c>
      <c r="L59" s="137">
        <f t="shared" si="11"/>
        <v>0</v>
      </c>
      <c r="M59" s="149">
        <f t="shared" si="6"/>
        <v>0</v>
      </c>
      <c r="N59" s="149">
        <f t="shared" si="7"/>
        <v>0</v>
      </c>
    </row>
    <row r="60" spans="1:14" x14ac:dyDescent="0.25">
      <c r="A60" s="155"/>
      <c r="B60" s="135"/>
      <c r="C60" s="136"/>
      <c r="D60" s="137">
        <f t="shared" si="8"/>
        <v>0</v>
      </c>
      <c r="E60" s="142">
        <f t="shared" si="9"/>
        <v>0</v>
      </c>
      <c r="F60" s="149">
        <f t="shared" si="4"/>
        <v>0</v>
      </c>
      <c r="G60" s="149">
        <f t="shared" si="5"/>
        <v>0</v>
      </c>
      <c r="H60" s="155"/>
      <c r="I60" s="135"/>
      <c r="J60" s="136"/>
      <c r="K60" s="137">
        <f t="shared" si="10"/>
        <v>0</v>
      </c>
      <c r="L60" s="137">
        <f t="shared" si="11"/>
        <v>0</v>
      </c>
      <c r="M60" s="149">
        <f t="shared" si="6"/>
        <v>0</v>
      </c>
      <c r="N60" s="149">
        <f t="shared" si="7"/>
        <v>0</v>
      </c>
    </row>
    <row r="61" spans="1:14" x14ac:dyDescent="0.25">
      <c r="A61" s="155"/>
      <c r="B61" s="135"/>
      <c r="C61" s="136"/>
      <c r="D61" s="137">
        <f t="shared" si="8"/>
        <v>0</v>
      </c>
      <c r="E61" s="142">
        <f t="shared" si="9"/>
        <v>0</v>
      </c>
      <c r="F61" s="149">
        <f t="shared" si="4"/>
        <v>0</v>
      </c>
      <c r="G61" s="149">
        <f t="shared" si="5"/>
        <v>0</v>
      </c>
      <c r="H61" s="155"/>
      <c r="I61" s="135"/>
      <c r="J61" s="136"/>
      <c r="K61" s="137">
        <f t="shared" si="10"/>
        <v>0</v>
      </c>
      <c r="L61" s="137">
        <f t="shared" si="11"/>
        <v>0</v>
      </c>
      <c r="M61" s="149">
        <f t="shared" si="6"/>
        <v>0</v>
      </c>
      <c r="N61" s="149">
        <f t="shared" si="7"/>
        <v>0</v>
      </c>
    </row>
    <row r="62" spans="1:14" x14ac:dyDescent="0.25">
      <c r="A62" s="155"/>
      <c r="B62" s="135"/>
      <c r="C62" s="136"/>
      <c r="D62" s="137">
        <f t="shared" si="8"/>
        <v>0</v>
      </c>
      <c r="E62" s="142">
        <f t="shared" si="9"/>
        <v>0</v>
      </c>
      <c r="F62" s="149">
        <f t="shared" si="4"/>
        <v>0</v>
      </c>
      <c r="G62" s="149">
        <f t="shared" si="5"/>
        <v>0</v>
      </c>
      <c r="H62" s="155"/>
      <c r="I62" s="135"/>
      <c r="J62" s="136"/>
      <c r="K62" s="137">
        <f t="shared" si="10"/>
        <v>0</v>
      </c>
      <c r="L62" s="137">
        <f t="shared" si="11"/>
        <v>0</v>
      </c>
      <c r="M62" s="149">
        <f t="shared" si="6"/>
        <v>0</v>
      </c>
      <c r="N62" s="149">
        <f t="shared" si="7"/>
        <v>0</v>
      </c>
    </row>
    <row r="63" spans="1:14" x14ac:dyDescent="0.25">
      <c r="A63" s="155"/>
      <c r="B63" s="135"/>
      <c r="C63" s="136"/>
      <c r="D63" s="137">
        <f t="shared" si="8"/>
        <v>0</v>
      </c>
      <c r="E63" s="142">
        <f t="shared" si="9"/>
        <v>0</v>
      </c>
      <c r="F63" s="149">
        <f t="shared" si="4"/>
        <v>0</v>
      </c>
      <c r="G63" s="149">
        <f t="shared" si="5"/>
        <v>0</v>
      </c>
      <c r="H63" s="155"/>
      <c r="I63" s="135"/>
      <c r="J63" s="136"/>
      <c r="K63" s="137">
        <f t="shared" si="10"/>
        <v>0</v>
      </c>
      <c r="L63" s="137">
        <f t="shared" si="11"/>
        <v>0</v>
      </c>
      <c r="M63" s="149">
        <f t="shared" si="6"/>
        <v>0</v>
      </c>
      <c r="N63" s="149">
        <f t="shared" si="7"/>
        <v>0</v>
      </c>
    </row>
    <row r="64" spans="1:14" x14ac:dyDescent="0.25">
      <c r="A64" s="155"/>
      <c r="B64" s="135"/>
      <c r="C64" s="136"/>
      <c r="D64" s="137">
        <f t="shared" si="8"/>
        <v>0</v>
      </c>
      <c r="E64" s="142">
        <f t="shared" si="9"/>
        <v>0</v>
      </c>
      <c r="F64" s="149">
        <f t="shared" si="4"/>
        <v>0</v>
      </c>
      <c r="G64" s="149">
        <f t="shared" si="5"/>
        <v>0</v>
      </c>
      <c r="H64" s="155"/>
      <c r="I64" s="135"/>
      <c r="J64" s="136"/>
      <c r="K64" s="137">
        <f t="shared" si="10"/>
        <v>0</v>
      </c>
      <c r="L64" s="137">
        <f t="shared" si="11"/>
        <v>0</v>
      </c>
      <c r="M64" s="149">
        <f t="shared" si="6"/>
        <v>0</v>
      </c>
      <c r="N64" s="149">
        <f t="shared" si="7"/>
        <v>0</v>
      </c>
    </row>
    <row r="65" spans="1:14" x14ac:dyDescent="0.25">
      <c r="A65" s="155"/>
      <c r="B65" s="135"/>
      <c r="C65" s="136"/>
      <c r="D65" s="137">
        <f t="shared" si="8"/>
        <v>0</v>
      </c>
      <c r="E65" s="142">
        <f t="shared" si="9"/>
        <v>0</v>
      </c>
      <c r="F65" s="149">
        <f t="shared" si="4"/>
        <v>0</v>
      </c>
      <c r="G65" s="149">
        <f t="shared" si="5"/>
        <v>0</v>
      </c>
      <c r="H65" s="155"/>
      <c r="I65" s="135"/>
      <c r="J65" s="136"/>
      <c r="K65" s="137">
        <f t="shared" si="10"/>
        <v>0</v>
      </c>
      <c r="L65" s="137">
        <f t="shared" si="11"/>
        <v>0</v>
      </c>
      <c r="M65" s="149">
        <f t="shared" si="6"/>
        <v>0</v>
      </c>
      <c r="N65" s="149">
        <f t="shared" si="7"/>
        <v>0</v>
      </c>
    </row>
    <row r="66" spans="1:14" x14ac:dyDescent="0.25">
      <c r="A66" s="155"/>
      <c r="B66" s="135"/>
      <c r="C66" s="136"/>
      <c r="D66" s="137">
        <f t="shared" si="8"/>
        <v>0</v>
      </c>
      <c r="E66" s="142">
        <f t="shared" si="9"/>
        <v>0</v>
      </c>
      <c r="F66" s="149">
        <f t="shared" si="4"/>
        <v>0</v>
      </c>
      <c r="G66" s="149">
        <f t="shared" si="5"/>
        <v>0</v>
      </c>
      <c r="H66" s="155"/>
      <c r="I66" s="135"/>
      <c r="J66" s="136"/>
      <c r="K66" s="137">
        <f t="shared" si="10"/>
        <v>0</v>
      </c>
      <c r="L66" s="137">
        <f t="shared" si="11"/>
        <v>0</v>
      </c>
      <c r="M66" s="149">
        <f t="shared" si="6"/>
        <v>0</v>
      </c>
      <c r="N66" s="149">
        <f t="shared" si="7"/>
        <v>0</v>
      </c>
    </row>
    <row r="67" spans="1:14" x14ac:dyDescent="0.25">
      <c r="A67" s="155"/>
      <c r="B67" s="135"/>
      <c r="C67" s="136"/>
      <c r="D67" s="137">
        <f t="shared" si="8"/>
        <v>0</v>
      </c>
      <c r="E67" s="142">
        <f t="shared" si="9"/>
        <v>0</v>
      </c>
      <c r="F67" s="149">
        <f t="shared" si="4"/>
        <v>0</v>
      </c>
      <c r="G67" s="149">
        <f t="shared" si="5"/>
        <v>0</v>
      </c>
      <c r="H67" s="155"/>
      <c r="I67" s="135"/>
      <c r="J67" s="136"/>
      <c r="K67" s="137">
        <f t="shared" si="10"/>
        <v>0</v>
      </c>
      <c r="L67" s="137">
        <f t="shared" si="11"/>
        <v>0</v>
      </c>
      <c r="M67" s="149">
        <f t="shared" si="6"/>
        <v>0</v>
      </c>
      <c r="N67" s="149">
        <f t="shared" si="7"/>
        <v>0</v>
      </c>
    </row>
    <row r="68" spans="1:14" x14ac:dyDescent="0.25">
      <c r="A68" s="155"/>
      <c r="B68" s="135"/>
      <c r="C68" s="136"/>
      <c r="D68" s="137">
        <f t="shared" si="8"/>
        <v>0</v>
      </c>
      <c r="E68" s="142">
        <f t="shared" si="9"/>
        <v>0</v>
      </c>
      <c r="F68" s="149">
        <f t="shared" si="4"/>
        <v>0</v>
      </c>
      <c r="G68" s="149">
        <f t="shared" si="5"/>
        <v>0</v>
      </c>
      <c r="H68" s="155"/>
      <c r="I68" s="135"/>
      <c r="J68" s="136"/>
      <c r="K68" s="137">
        <f t="shared" si="10"/>
        <v>0</v>
      </c>
      <c r="L68" s="137">
        <f t="shared" si="11"/>
        <v>0</v>
      </c>
      <c r="M68" s="149">
        <f t="shared" si="6"/>
        <v>0</v>
      </c>
      <c r="N68" s="149">
        <f t="shared" si="7"/>
        <v>0</v>
      </c>
    </row>
    <row r="69" spans="1:14" x14ac:dyDescent="0.25">
      <c r="A69" s="155"/>
      <c r="B69" s="135"/>
      <c r="C69" s="136"/>
      <c r="D69" s="137">
        <f t="shared" si="8"/>
        <v>0</v>
      </c>
      <c r="E69" s="142">
        <f t="shared" si="9"/>
        <v>0</v>
      </c>
      <c r="F69" s="149">
        <f t="shared" si="4"/>
        <v>0</v>
      </c>
      <c r="G69" s="149">
        <f t="shared" si="5"/>
        <v>0</v>
      </c>
      <c r="H69" s="155"/>
      <c r="I69" s="135"/>
      <c r="J69" s="136"/>
      <c r="K69" s="137">
        <f t="shared" si="10"/>
        <v>0</v>
      </c>
      <c r="L69" s="137">
        <f t="shared" si="11"/>
        <v>0</v>
      </c>
      <c r="M69" s="149">
        <f t="shared" si="6"/>
        <v>0</v>
      </c>
      <c r="N69" s="149">
        <f t="shared" si="7"/>
        <v>0</v>
      </c>
    </row>
    <row r="70" spans="1:14" x14ac:dyDescent="0.25">
      <c r="A70" s="155"/>
      <c r="B70" s="135"/>
      <c r="C70" s="136"/>
      <c r="D70" s="137">
        <f t="shared" ref="D70:D101" si="12">SUMIF(Receiving_Report_ref.,A70,In_Weight)</f>
        <v>0</v>
      </c>
      <c r="E70" s="142">
        <f t="shared" ref="E70:E101" si="13">SUMIF(Receiving_Report_ref.,A70,Pallet_qty)</f>
        <v>0</v>
      </c>
      <c r="F70" s="149">
        <f t="shared" si="4"/>
        <v>0</v>
      </c>
      <c r="G70" s="149">
        <f t="shared" si="5"/>
        <v>0</v>
      </c>
      <c r="H70" s="155"/>
      <c r="I70" s="135"/>
      <c r="J70" s="136"/>
      <c r="K70" s="137">
        <f t="shared" ref="K70:K101" si="14">SUMIF(Withdrawal_Report_No.,H70,KILOS_OUT)</f>
        <v>0</v>
      </c>
      <c r="L70" s="137">
        <f t="shared" ref="L70:L101" si="15">SUMIF(Withdrawal_Report_No.,H70,PALLET_OUT)</f>
        <v>0</v>
      </c>
      <c r="M70" s="149">
        <f t="shared" si="6"/>
        <v>0</v>
      </c>
      <c r="N70" s="149">
        <f t="shared" si="7"/>
        <v>0</v>
      </c>
    </row>
    <row r="71" spans="1:14" x14ac:dyDescent="0.25">
      <c r="A71" s="155"/>
      <c r="B71" s="135"/>
      <c r="C71" s="136"/>
      <c r="D71" s="137">
        <f t="shared" si="12"/>
        <v>0</v>
      </c>
      <c r="E71" s="142">
        <f t="shared" si="13"/>
        <v>0</v>
      </c>
      <c r="F71" s="149">
        <f t="shared" ref="F71:F107" si="16">+B71-D71</f>
        <v>0</v>
      </c>
      <c r="G71" s="149">
        <f t="shared" ref="G71:G107" si="17">+C71-E71</f>
        <v>0</v>
      </c>
      <c r="H71" s="155"/>
      <c r="I71" s="135"/>
      <c r="J71" s="136"/>
      <c r="K71" s="137">
        <f t="shared" si="14"/>
        <v>0</v>
      </c>
      <c r="L71" s="137">
        <f t="shared" si="15"/>
        <v>0</v>
      </c>
      <c r="M71" s="149">
        <f t="shared" ref="M71:M107" si="18">+I71-K71</f>
        <v>0</v>
      </c>
      <c r="N71" s="149">
        <f t="shared" ref="N71:N107" si="19">+J71-L71</f>
        <v>0</v>
      </c>
    </row>
    <row r="72" spans="1:14" x14ac:dyDescent="0.25">
      <c r="A72" s="155"/>
      <c r="B72" s="135"/>
      <c r="C72" s="136"/>
      <c r="D72" s="137">
        <f t="shared" si="12"/>
        <v>0</v>
      </c>
      <c r="E72" s="142">
        <f t="shared" si="13"/>
        <v>0</v>
      </c>
      <c r="F72" s="149">
        <f t="shared" si="16"/>
        <v>0</v>
      </c>
      <c r="G72" s="149">
        <f t="shared" si="17"/>
        <v>0</v>
      </c>
      <c r="H72" s="155"/>
      <c r="I72" s="135"/>
      <c r="J72" s="136"/>
      <c r="K72" s="137">
        <f t="shared" si="14"/>
        <v>0</v>
      </c>
      <c r="L72" s="137">
        <f t="shared" si="15"/>
        <v>0</v>
      </c>
      <c r="M72" s="149">
        <f t="shared" si="18"/>
        <v>0</v>
      </c>
      <c r="N72" s="149">
        <f t="shared" si="19"/>
        <v>0</v>
      </c>
    </row>
    <row r="73" spans="1:14" x14ac:dyDescent="0.25">
      <c r="A73" s="155"/>
      <c r="B73" s="135"/>
      <c r="C73" s="136"/>
      <c r="D73" s="137">
        <f t="shared" si="12"/>
        <v>0</v>
      </c>
      <c r="E73" s="142">
        <f t="shared" si="13"/>
        <v>0</v>
      </c>
      <c r="F73" s="149">
        <f t="shared" si="16"/>
        <v>0</v>
      </c>
      <c r="G73" s="149">
        <f t="shared" si="17"/>
        <v>0</v>
      </c>
      <c r="H73" s="155"/>
      <c r="I73" s="135"/>
      <c r="J73" s="136"/>
      <c r="K73" s="137">
        <f t="shared" si="14"/>
        <v>0</v>
      </c>
      <c r="L73" s="137">
        <f t="shared" si="15"/>
        <v>0</v>
      </c>
      <c r="M73" s="149">
        <f t="shared" si="18"/>
        <v>0</v>
      </c>
      <c r="N73" s="149">
        <f t="shared" si="19"/>
        <v>0</v>
      </c>
    </row>
    <row r="74" spans="1:14" x14ac:dyDescent="0.25">
      <c r="A74" s="155"/>
      <c r="B74" s="135"/>
      <c r="C74" s="136"/>
      <c r="D74" s="137">
        <f t="shared" si="12"/>
        <v>0</v>
      </c>
      <c r="E74" s="142">
        <f t="shared" si="13"/>
        <v>0</v>
      </c>
      <c r="F74" s="149">
        <f t="shared" si="16"/>
        <v>0</v>
      </c>
      <c r="G74" s="149">
        <f t="shared" si="17"/>
        <v>0</v>
      </c>
      <c r="H74" s="155"/>
      <c r="I74" s="135"/>
      <c r="J74" s="136"/>
      <c r="K74" s="137">
        <f t="shared" si="14"/>
        <v>0</v>
      </c>
      <c r="L74" s="137">
        <f t="shared" si="15"/>
        <v>0</v>
      </c>
      <c r="M74" s="149">
        <f t="shared" si="18"/>
        <v>0</v>
      </c>
      <c r="N74" s="149">
        <f t="shared" si="19"/>
        <v>0</v>
      </c>
    </row>
    <row r="75" spans="1:14" x14ac:dyDescent="0.25">
      <c r="A75" s="155"/>
      <c r="B75" s="135"/>
      <c r="C75" s="136"/>
      <c r="D75" s="137">
        <f t="shared" si="12"/>
        <v>0</v>
      </c>
      <c r="E75" s="142">
        <f t="shared" si="13"/>
        <v>0</v>
      </c>
      <c r="F75" s="149">
        <f t="shared" si="16"/>
        <v>0</v>
      </c>
      <c r="G75" s="149">
        <f t="shared" si="17"/>
        <v>0</v>
      </c>
      <c r="H75" s="155"/>
      <c r="I75" s="135"/>
      <c r="J75" s="136"/>
      <c r="K75" s="137">
        <f t="shared" si="14"/>
        <v>0</v>
      </c>
      <c r="L75" s="137">
        <f t="shared" si="15"/>
        <v>0</v>
      </c>
      <c r="M75" s="149">
        <f t="shared" si="18"/>
        <v>0</v>
      </c>
      <c r="N75" s="149">
        <f t="shared" si="19"/>
        <v>0</v>
      </c>
    </row>
    <row r="76" spans="1:14" x14ac:dyDescent="0.25">
      <c r="A76" s="155"/>
      <c r="B76" s="135"/>
      <c r="C76" s="136"/>
      <c r="D76" s="137">
        <f t="shared" si="12"/>
        <v>0</v>
      </c>
      <c r="E76" s="142">
        <f t="shared" si="13"/>
        <v>0</v>
      </c>
      <c r="F76" s="149">
        <f t="shared" si="16"/>
        <v>0</v>
      </c>
      <c r="G76" s="149">
        <f t="shared" si="17"/>
        <v>0</v>
      </c>
      <c r="H76" s="155"/>
      <c r="I76" s="135"/>
      <c r="J76" s="136"/>
      <c r="K76" s="137">
        <f t="shared" si="14"/>
        <v>0</v>
      </c>
      <c r="L76" s="137">
        <f t="shared" si="15"/>
        <v>0</v>
      </c>
      <c r="M76" s="149">
        <f t="shared" si="18"/>
        <v>0</v>
      </c>
      <c r="N76" s="149">
        <f t="shared" si="19"/>
        <v>0</v>
      </c>
    </row>
    <row r="77" spans="1:14" x14ac:dyDescent="0.25">
      <c r="A77" s="155"/>
      <c r="B77" s="135"/>
      <c r="C77" s="136"/>
      <c r="D77" s="137">
        <f t="shared" si="12"/>
        <v>0</v>
      </c>
      <c r="E77" s="142">
        <f t="shared" si="13"/>
        <v>0</v>
      </c>
      <c r="F77" s="149">
        <f t="shared" si="16"/>
        <v>0</v>
      </c>
      <c r="G77" s="149">
        <f t="shared" si="17"/>
        <v>0</v>
      </c>
      <c r="H77" s="155"/>
      <c r="I77" s="135"/>
      <c r="J77" s="136"/>
      <c r="K77" s="137">
        <f t="shared" si="14"/>
        <v>0</v>
      </c>
      <c r="L77" s="137">
        <f t="shared" si="15"/>
        <v>0</v>
      </c>
      <c r="M77" s="149">
        <f t="shared" si="18"/>
        <v>0</v>
      </c>
      <c r="N77" s="149">
        <f t="shared" si="19"/>
        <v>0</v>
      </c>
    </row>
    <row r="78" spans="1:14" x14ac:dyDescent="0.25">
      <c r="A78" s="155"/>
      <c r="B78" s="135"/>
      <c r="C78" s="136"/>
      <c r="D78" s="137">
        <f t="shared" si="12"/>
        <v>0</v>
      </c>
      <c r="E78" s="142">
        <f t="shared" si="13"/>
        <v>0</v>
      </c>
      <c r="F78" s="149">
        <f t="shared" si="16"/>
        <v>0</v>
      </c>
      <c r="G78" s="149">
        <f t="shared" si="17"/>
        <v>0</v>
      </c>
      <c r="H78" s="155"/>
      <c r="I78" s="135"/>
      <c r="J78" s="136"/>
      <c r="K78" s="137">
        <f t="shared" si="14"/>
        <v>0</v>
      </c>
      <c r="L78" s="137">
        <f t="shared" si="15"/>
        <v>0</v>
      </c>
      <c r="M78" s="149">
        <f t="shared" si="18"/>
        <v>0</v>
      </c>
      <c r="N78" s="149">
        <f t="shared" si="19"/>
        <v>0</v>
      </c>
    </row>
    <row r="79" spans="1:14" x14ac:dyDescent="0.25">
      <c r="A79" s="155"/>
      <c r="B79" s="135"/>
      <c r="C79" s="136"/>
      <c r="D79" s="137">
        <f t="shared" si="12"/>
        <v>0</v>
      </c>
      <c r="E79" s="142">
        <f t="shared" si="13"/>
        <v>0</v>
      </c>
      <c r="F79" s="149">
        <f t="shared" si="16"/>
        <v>0</v>
      </c>
      <c r="G79" s="149">
        <f t="shared" si="17"/>
        <v>0</v>
      </c>
      <c r="H79" s="155"/>
      <c r="I79" s="135"/>
      <c r="J79" s="136"/>
      <c r="K79" s="137">
        <f t="shared" si="14"/>
        <v>0</v>
      </c>
      <c r="L79" s="137">
        <f t="shared" si="15"/>
        <v>0</v>
      </c>
      <c r="M79" s="149">
        <f t="shared" si="18"/>
        <v>0</v>
      </c>
      <c r="N79" s="149">
        <f t="shared" si="19"/>
        <v>0</v>
      </c>
    </row>
    <row r="80" spans="1:14" x14ac:dyDescent="0.25">
      <c r="A80" s="155"/>
      <c r="B80" s="135"/>
      <c r="C80" s="136"/>
      <c r="D80" s="137">
        <f t="shared" si="12"/>
        <v>0</v>
      </c>
      <c r="E80" s="142">
        <f t="shared" si="13"/>
        <v>0</v>
      </c>
      <c r="F80" s="149">
        <f t="shared" si="16"/>
        <v>0</v>
      </c>
      <c r="G80" s="149">
        <f t="shared" si="17"/>
        <v>0</v>
      </c>
      <c r="H80" s="155"/>
      <c r="I80" s="135"/>
      <c r="J80" s="136"/>
      <c r="K80" s="137">
        <f t="shared" si="14"/>
        <v>0</v>
      </c>
      <c r="L80" s="137">
        <f t="shared" si="15"/>
        <v>0</v>
      </c>
      <c r="M80" s="149">
        <f t="shared" si="18"/>
        <v>0</v>
      </c>
      <c r="N80" s="149">
        <f t="shared" si="19"/>
        <v>0</v>
      </c>
    </row>
    <row r="81" spans="1:14" x14ac:dyDescent="0.25">
      <c r="A81" s="155"/>
      <c r="B81" s="135"/>
      <c r="C81" s="136"/>
      <c r="D81" s="137">
        <f t="shared" si="12"/>
        <v>0</v>
      </c>
      <c r="E81" s="142">
        <f t="shared" si="13"/>
        <v>0</v>
      </c>
      <c r="F81" s="149">
        <f t="shared" si="16"/>
        <v>0</v>
      </c>
      <c r="G81" s="149">
        <f t="shared" si="17"/>
        <v>0</v>
      </c>
      <c r="H81" s="155"/>
      <c r="I81" s="135"/>
      <c r="J81" s="136"/>
      <c r="K81" s="137">
        <f t="shared" si="14"/>
        <v>0</v>
      </c>
      <c r="L81" s="137">
        <f t="shared" si="15"/>
        <v>0</v>
      </c>
      <c r="M81" s="149">
        <f t="shared" si="18"/>
        <v>0</v>
      </c>
      <c r="N81" s="149">
        <f t="shared" si="19"/>
        <v>0</v>
      </c>
    </row>
    <row r="82" spans="1:14" x14ac:dyDescent="0.25">
      <c r="A82" s="155"/>
      <c r="B82" s="135"/>
      <c r="C82" s="136"/>
      <c r="D82" s="137">
        <f t="shared" si="12"/>
        <v>0</v>
      </c>
      <c r="E82" s="142">
        <f t="shared" si="13"/>
        <v>0</v>
      </c>
      <c r="F82" s="149">
        <f t="shared" si="16"/>
        <v>0</v>
      </c>
      <c r="G82" s="149">
        <f t="shared" si="17"/>
        <v>0</v>
      </c>
      <c r="H82" s="155"/>
      <c r="I82" s="135"/>
      <c r="J82" s="136"/>
      <c r="K82" s="137">
        <f t="shared" si="14"/>
        <v>0</v>
      </c>
      <c r="L82" s="137">
        <f t="shared" si="15"/>
        <v>0</v>
      </c>
      <c r="M82" s="149">
        <f t="shared" si="18"/>
        <v>0</v>
      </c>
      <c r="N82" s="149">
        <f t="shared" si="19"/>
        <v>0</v>
      </c>
    </row>
    <row r="83" spans="1:14" x14ac:dyDescent="0.25">
      <c r="A83" s="155"/>
      <c r="B83" s="135"/>
      <c r="C83" s="136"/>
      <c r="D83" s="137">
        <f t="shared" si="12"/>
        <v>0</v>
      </c>
      <c r="E83" s="142">
        <f t="shared" si="13"/>
        <v>0</v>
      </c>
      <c r="F83" s="149">
        <f t="shared" si="16"/>
        <v>0</v>
      </c>
      <c r="G83" s="149">
        <f t="shared" si="17"/>
        <v>0</v>
      </c>
      <c r="H83" s="155"/>
      <c r="I83" s="135"/>
      <c r="J83" s="136"/>
      <c r="K83" s="137">
        <f t="shared" si="14"/>
        <v>0</v>
      </c>
      <c r="L83" s="137">
        <f t="shared" si="15"/>
        <v>0</v>
      </c>
      <c r="M83" s="149">
        <f t="shared" si="18"/>
        <v>0</v>
      </c>
      <c r="N83" s="149">
        <f t="shared" si="19"/>
        <v>0</v>
      </c>
    </row>
    <row r="84" spans="1:14" x14ac:dyDescent="0.25">
      <c r="A84" s="155"/>
      <c r="B84" s="135"/>
      <c r="C84" s="136"/>
      <c r="D84" s="137">
        <f t="shared" si="12"/>
        <v>0</v>
      </c>
      <c r="E84" s="142">
        <f t="shared" si="13"/>
        <v>0</v>
      </c>
      <c r="F84" s="149">
        <f t="shared" si="16"/>
        <v>0</v>
      </c>
      <c r="G84" s="149">
        <f t="shared" si="17"/>
        <v>0</v>
      </c>
      <c r="H84" s="155"/>
      <c r="I84" s="135"/>
      <c r="J84" s="136"/>
      <c r="K84" s="137">
        <f t="shared" si="14"/>
        <v>0</v>
      </c>
      <c r="L84" s="137">
        <f t="shared" si="15"/>
        <v>0</v>
      </c>
      <c r="M84" s="149">
        <f t="shared" si="18"/>
        <v>0</v>
      </c>
      <c r="N84" s="149">
        <f t="shared" si="19"/>
        <v>0</v>
      </c>
    </row>
    <row r="85" spans="1:14" x14ac:dyDescent="0.25">
      <c r="A85" s="155"/>
      <c r="B85" s="135"/>
      <c r="C85" s="136"/>
      <c r="D85" s="137">
        <f t="shared" si="12"/>
        <v>0</v>
      </c>
      <c r="E85" s="142">
        <f t="shared" si="13"/>
        <v>0</v>
      </c>
      <c r="F85" s="149">
        <f t="shared" si="16"/>
        <v>0</v>
      </c>
      <c r="G85" s="149">
        <f t="shared" si="17"/>
        <v>0</v>
      </c>
      <c r="H85" s="155"/>
      <c r="I85" s="135"/>
      <c r="J85" s="136"/>
      <c r="K85" s="137">
        <f t="shared" si="14"/>
        <v>0</v>
      </c>
      <c r="L85" s="137">
        <f t="shared" si="15"/>
        <v>0</v>
      </c>
      <c r="M85" s="149">
        <f t="shared" si="18"/>
        <v>0</v>
      </c>
      <c r="N85" s="149">
        <f t="shared" si="19"/>
        <v>0</v>
      </c>
    </row>
    <row r="86" spans="1:14" x14ac:dyDescent="0.25">
      <c r="A86" s="155"/>
      <c r="B86" s="135"/>
      <c r="C86" s="136"/>
      <c r="D86" s="137">
        <f t="shared" si="12"/>
        <v>0</v>
      </c>
      <c r="E86" s="142">
        <f t="shared" si="13"/>
        <v>0</v>
      </c>
      <c r="F86" s="149">
        <f t="shared" si="16"/>
        <v>0</v>
      </c>
      <c r="G86" s="149">
        <f t="shared" si="17"/>
        <v>0</v>
      </c>
      <c r="H86" s="155"/>
      <c r="I86" s="135"/>
      <c r="J86" s="136"/>
      <c r="K86" s="137">
        <f t="shared" si="14"/>
        <v>0</v>
      </c>
      <c r="L86" s="137">
        <f t="shared" si="15"/>
        <v>0</v>
      </c>
      <c r="M86" s="149">
        <f t="shared" si="18"/>
        <v>0</v>
      </c>
      <c r="N86" s="149">
        <f t="shared" si="19"/>
        <v>0</v>
      </c>
    </row>
    <row r="87" spans="1:14" x14ac:dyDescent="0.25">
      <c r="A87" s="155"/>
      <c r="B87" s="135"/>
      <c r="C87" s="136"/>
      <c r="D87" s="137">
        <f t="shared" si="12"/>
        <v>0</v>
      </c>
      <c r="E87" s="142">
        <f t="shared" si="13"/>
        <v>0</v>
      </c>
      <c r="F87" s="149">
        <f t="shared" si="16"/>
        <v>0</v>
      </c>
      <c r="G87" s="149">
        <f t="shared" si="17"/>
        <v>0</v>
      </c>
      <c r="H87" s="155"/>
      <c r="I87" s="135"/>
      <c r="J87" s="136"/>
      <c r="K87" s="137">
        <f t="shared" si="14"/>
        <v>0</v>
      </c>
      <c r="L87" s="137">
        <f t="shared" si="15"/>
        <v>0</v>
      </c>
      <c r="M87" s="149">
        <f t="shared" si="18"/>
        <v>0</v>
      </c>
      <c r="N87" s="149">
        <f t="shared" si="19"/>
        <v>0</v>
      </c>
    </row>
    <row r="88" spans="1:14" x14ac:dyDescent="0.25">
      <c r="A88" s="155"/>
      <c r="B88" s="135"/>
      <c r="C88" s="136"/>
      <c r="D88" s="137">
        <f t="shared" si="12"/>
        <v>0</v>
      </c>
      <c r="E88" s="142">
        <f t="shared" si="13"/>
        <v>0</v>
      </c>
      <c r="F88" s="149">
        <f t="shared" si="16"/>
        <v>0</v>
      </c>
      <c r="G88" s="149">
        <f t="shared" si="17"/>
        <v>0</v>
      </c>
      <c r="H88" s="155"/>
      <c r="I88" s="135"/>
      <c r="J88" s="136"/>
      <c r="K88" s="137">
        <f t="shared" si="14"/>
        <v>0</v>
      </c>
      <c r="L88" s="137">
        <f t="shared" si="15"/>
        <v>0</v>
      </c>
      <c r="M88" s="149">
        <f t="shared" si="18"/>
        <v>0</v>
      </c>
      <c r="N88" s="149">
        <f t="shared" si="19"/>
        <v>0</v>
      </c>
    </row>
    <row r="89" spans="1:14" x14ac:dyDescent="0.25">
      <c r="A89" s="155"/>
      <c r="B89" s="135"/>
      <c r="C89" s="136"/>
      <c r="D89" s="137">
        <f t="shared" si="12"/>
        <v>0</v>
      </c>
      <c r="E89" s="142">
        <f t="shared" si="13"/>
        <v>0</v>
      </c>
      <c r="F89" s="149">
        <f t="shared" si="16"/>
        <v>0</v>
      </c>
      <c r="G89" s="149">
        <f t="shared" si="17"/>
        <v>0</v>
      </c>
      <c r="H89" s="155"/>
      <c r="I89" s="135"/>
      <c r="J89" s="136"/>
      <c r="K89" s="137">
        <f t="shared" si="14"/>
        <v>0</v>
      </c>
      <c r="L89" s="137">
        <f t="shared" si="15"/>
        <v>0</v>
      </c>
      <c r="M89" s="149">
        <f t="shared" si="18"/>
        <v>0</v>
      </c>
      <c r="N89" s="149">
        <f t="shared" si="19"/>
        <v>0</v>
      </c>
    </row>
    <row r="90" spans="1:14" x14ac:dyDescent="0.25">
      <c r="A90" s="155"/>
      <c r="B90" s="135"/>
      <c r="C90" s="136"/>
      <c r="D90" s="137">
        <f t="shared" si="12"/>
        <v>0</v>
      </c>
      <c r="E90" s="142">
        <f t="shared" si="13"/>
        <v>0</v>
      </c>
      <c r="F90" s="149">
        <f t="shared" si="16"/>
        <v>0</v>
      </c>
      <c r="G90" s="149">
        <f t="shared" si="17"/>
        <v>0</v>
      </c>
      <c r="H90" s="155"/>
      <c r="I90" s="135"/>
      <c r="J90" s="136"/>
      <c r="K90" s="137">
        <f t="shared" si="14"/>
        <v>0</v>
      </c>
      <c r="L90" s="137">
        <f t="shared" si="15"/>
        <v>0</v>
      </c>
      <c r="M90" s="149">
        <f t="shared" si="18"/>
        <v>0</v>
      </c>
      <c r="N90" s="149">
        <f t="shared" si="19"/>
        <v>0</v>
      </c>
    </row>
    <row r="91" spans="1:14" x14ac:dyDescent="0.25">
      <c r="A91" s="155"/>
      <c r="B91" s="135"/>
      <c r="C91" s="136"/>
      <c r="D91" s="137">
        <f t="shared" si="12"/>
        <v>0</v>
      </c>
      <c r="E91" s="142">
        <f t="shared" si="13"/>
        <v>0</v>
      </c>
      <c r="F91" s="149">
        <f t="shared" si="16"/>
        <v>0</v>
      </c>
      <c r="G91" s="149">
        <f t="shared" si="17"/>
        <v>0</v>
      </c>
      <c r="H91" s="155"/>
      <c r="I91" s="135"/>
      <c r="J91" s="136"/>
      <c r="K91" s="137">
        <f t="shared" si="14"/>
        <v>0</v>
      </c>
      <c r="L91" s="137">
        <f t="shared" si="15"/>
        <v>0</v>
      </c>
      <c r="M91" s="149">
        <f t="shared" si="18"/>
        <v>0</v>
      </c>
      <c r="N91" s="149">
        <f t="shared" si="19"/>
        <v>0</v>
      </c>
    </row>
    <row r="92" spans="1:14" x14ac:dyDescent="0.25">
      <c r="A92" s="155"/>
      <c r="B92" s="135"/>
      <c r="C92" s="136"/>
      <c r="D92" s="137">
        <f t="shared" si="12"/>
        <v>0</v>
      </c>
      <c r="E92" s="142">
        <f t="shared" si="13"/>
        <v>0</v>
      </c>
      <c r="F92" s="149">
        <f t="shared" si="16"/>
        <v>0</v>
      </c>
      <c r="G92" s="149">
        <f t="shared" si="17"/>
        <v>0</v>
      </c>
      <c r="H92" s="155"/>
      <c r="I92" s="135"/>
      <c r="J92" s="136"/>
      <c r="K92" s="137">
        <f t="shared" si="14"/>
        <v>0</v>
      </c>
      <c r="L92" s="137">
        <f t="shared" si="15"/>
        <v>0</v>
      </c>
      <c r="M92" s="149">
        <f t="shared" si="18"/>
        <v>0</v>
      </c>
      <c r="N92" s="149">
        <f t="shared" si="19"/>
        <v>0</v>
      </c>
    </row>
    <row r="93" spans="1:14" x14ac:dyDescent="0.25">
      <c r="A93" s="155"/>
      <c r="B93" s="135"/>
      <c r="C93" s="136"/>
      <c r="D93" s="137">
        <f t="shared" si="12"/>
        <v>0</v>
      </c>
      <c r="E93" s="142">
        <f t="shared" si="13"/>
        <v>0</v>
      </c>
      <c r="F93" s="149">
        <f t="shared" si="16"/>
        <v>0</v>
      </c>
      <c r="G93" s="149">
        <f t="shared" si="17"/>
        <v>0</v>
      </c>
      <c r="H93" s="155"/>
      <c r="I93" s="135"/>
      <c r="J93" s="136"/>
      <c r="K93" s="137">
        <f t="shared" si="14"/>
        <v>0</v>
      </c>
      <c r="L93" s="137">
        <f t="shared" si="15"/>
        <v>0</v>
      </c>
      <c r="M93" s="149">
        <f t="shared" si="18"/>
        <v>0</v>
      </c>
      <c r="N93" s="149">
        <f t="shared" si="19"/>
        <v>0</v>
      </c>
    </row>
    <row r="94" spans="1:14" x14ac:dyDescent="0.25">
      <c r="A94" s="155"/>
      <c r="B94" s="135"/>
      <c r="C94" s="136"/>
      <c r="D94" s="137">
        <f t="shared" si="12"/>
        <v>0</v>
      </c>
      <c r="E94" s="142">
        <f t="shared" si="13"/>
        <v>0</v>
      </c>
      <c r="F94" s="149">
        <f t="shared" si="16"/>
        <v>0</v>
      </c>
      <c r="G94" s="149">
        <f t="shared" si="17"/>
        <v>0</v>
      </c>
      <c r="H94" s="155"/>
      <c r="I94" s="135"/>
      <c r="J94" s="136"/>
      <c r="K94" s="137">
        <f t="shared" si="14"/>
        <v>0</v>
      </c>
      <c r="L94" s="137">
        <f t="shared" si="15"/>
        <v>0</v>
      </c>
      <c r="M94" s="149">
        <f t="shared" si="18"/>
        <v>0</v>
      </c>
      <c r="N94" s="149">
        <f t="shared" si="19"/>
        <v>0</v>
      </c>
    </row>
    <row r="95" spans="1:14" x14ac:dyDescent="0.25">
      <c r="A95" s="155"/>
      <c r="B95" s="135"/>
      <c r="C95" s="136"/>
      <c r="D95" s="137">
        <f t="shared" si="12"/>
        <v>0</v>
      </c>
      <c r="E95" s="142">
        <f t="shared" si="13"/>
        <v>0</v>
      </c>
      <c r="F95" s="149">
        <f t="shared" si="16"/>
        <v>0</v>
      </c>
      <c r="G95" s="149">
        <f t="shared" si="17"/>
        <v>0</v>
      </c>
      <c r="H95" s="155"/>
      <c r="I95" s="135"/>
      <c r="J95" s="136"/>
      <c r="K95" s="137">
        <f t="shared" si="14"/>
        <v>0</v>
      </c>
      <c r="L95" s="137">
        <f t="shared" si="15"/>
        <v>0</v>
      </c>
      <c r="M95" s="149">
        <f t="shared" si="18"/>
        <v>0</v>
      </c>
      <c r="N95" s="149">
        <f t="shared" si="19"/>
        <v>0</v>
      </c>
    </row>
    <row r="96" spans="1:14" x14ac:dyDescent="0.25">
      <c r="A96" s="155"/>
      <c r="B96" s="135"/>
      <c r="C96" s="136"/>
      <c r="D96" s="137">
        <f t="shared" si="12"/>
        <v>0</v>
      </c>
      <c r="E96" s="142">
        <f t="shared" si="13"/>
        <v>0</v>
      </c>
      <c r="F96" s="149">
        <f t="shared" si="16"/>
        <v>0</v>
      </c>
      <c r="G96" s="149">
        <f t="shared" si="17"/>
        <v>0</v>
      </c>
      <c r="H96" s="155"/>
      <c r="I96" s="135"/>
      <c r="J96" s="136"/>
      <c r="K96" s="137">
        <f t="shared" si="14"/>
        <v>0</v>
      </c>
      <c r="L96" s="137">
        <f t="shared" si="15"/>
        <v>0</v>
      </c>
      <c r="M96" s="149">
        <f t="shared" si="18"/>
        <v>0</v>
      </c>
      <c r="N96" s="149">
        <f t="shared" si="19"/>
        <v>0</v>
      </c>
    </row>
    <row r="97" spans="1:14" x14ac:dyDescent="0.25">
      <c r="A97" s="155"/>
      <c r="B97" s="135"/>
      <c r="C97" s="136"/>
      <c r="D97" s="137">
        <f t="shared" si="12"/>
        <v>0</v>
      </c>
      <c r="E97" s="142">
        <f t="shared" si="13"/>
        <v>0</v>
      </c>
      <c r="F97" s="149">
        <f t="shared" si="16"/>
        <v>0</v>
      </c>
      <c r="G97" s="149">
        <f t="shared" si="17"/>
        <v>0</v>
      </c>
      <c r="H97" s="155"/>
      <c r="I97" s="135"/>
      <c r="J97" s="136"/>
      <c r="K97" s="137">
        <f t="shared" si="14"/>
        <v>0</v>
      </c>
      <c r="L97" s="137">
        <f t="shared" si="15"/>
        <v>0</v>
      </c>
      <c r="M97" s="149">
        <f t="shared" si="18"/>
        <v>0</v>
      </c>
      <c r="N97" s="149">
        <f t="shared" si="19"/>
        <v>0</v>
      </c>
    </row>
    <row r="98" spans="1:14" x14ac:dyDescent="0.25">
      <c r="A98" s="155"/>
      <c r="B98" s="135"/>
      <c r="C98" s="136"/>
      <c r="D98" s="137">
        <f t="shared" si="12"/>
        <v>0</v>
      </c>
      <c r="E98" s="142">
        <f t="shared" si="13"/>
        <v>0</v>
      </c>
      <c r="F98" s="149">
        <f t="shared" si="16"/>
        <v>0</v>
      </c>
      <c r="G98" s="149">
        <f t="shared" si="17"/>
        <v>0</v>
      </c>
      <c r="H98" s="155"/>
      <c r="I98" s="135"/>
      <c r="J98" s="136"/>
      <c r="K98" s="137">
        <f t="shared" si="14"/>
        <v>0</v>
      </c>
      <c r="L98" s="137">
        <f t="shared" si="15"/>
        <v>0</v>
      </c>
      <c r="M98" s="149">
        <f t="shared" si="18"/>
        <v>0</v>
      </c>
      <c r="N98" s="149">
        <f t="shared" si="19"/>
        <v>0</v>
      </c>
    </row>
    <row r="99" spans="1:14" x14ac:dyDescent="0.25">
      <c r="A99" s="155"/>
      <c r="B99" s="135"/>
      <c r="C99" s="136"/>
      <c r="D99" s="137">
        <f t="shared" si="12"/>
        <v>0</v>
      </c>
      <c r="E99" s="142">
        <f t="shared" si="13"/>
        <v>0</v>
      </c>
      <c r="F99" s="149">
        <f t="shared" si="16"/>
        <v>0</v>
      </c>
      <c r="G99" s="149">
        <f t="shared" si="17"/>
        <v>0</v>
      </c>
      <c r="H99" s="155"/>
      <c r="I99" s="135"/>
      <c r="J99" s="136"/>
      <c r="K99" s="137">
        <f t="shared" si="14"/>
        <v>0</v>
      </c>
      <c r="L99" s="137">
        <f t="shared" si="15"/>
        <v>0</v>
      </c>
      <c r="M99" s="149">
        <f t="shared" si="18"/>
        <v>0</v>
      </c>
      <c r="N99" s="149">
        <f t="shared" si="19"/>
        <v>0</v>
      </c>
    </row>
    <row r="100" spans="1:14" x14ac:dyDescent="0.25">
      <c r="A100" s="155"/>
      <c r="B100" s="135"/>
      <c r="C100" s="136"/>
      <c r="D100" s="137">
        <f t="shared" si="12"/>
        <v>0</v>
      </c>
      <c r="E100" s="142">
        <f t="shared" si="13"/>
        <v>0</v>
      </c>
      <c r="F100" s="149">
        <f t="shared" si="16"/>
        <v>0</v>
      </c>
      <c r="G100" s="149">
        <f t="shared" si="17"/>
        <v>0</v>
      </c>
      <c r="H100" s="155"/>
      <c r="I100" s="135"/>
      <c r="J100" s="136"/>
      <c r="K100" s="137">
        <f t="shared" si="14"/>
        <v>0</v>
      </c>
      <c r="L100" s="137">
        <f t="shared" si="15"/>
        <v>0</v>
      </c>
      <c r="M100" s="149">
        <f t="shared" si="18"/>
        <v>0</v>
      </c>
      <c r="N100" s="149">
        <f t="shared" si="19"/>
        <v>0</v>
      </c>
    </row>
    <row r="101" spans="1:14" x14ac:dyDescent="0.25">
      <c r="A101" s="155"/>
      <c r="B101" s="135"/>
      <c r="C101" s="136"/>
      <c r="D101" s="137">
        <f t="shared" si="12"/>
        <v>0</v>
      </c>
      <c r="E101" s="142">
        <f t="shared" si="13"/>
        <v>0</v>
      </c>
      <c r="F101" s="149">
        <f t="shared" si="16"/>
        <v>0</v>
      </c>
      <c r="G101" s="149">
        <f t="shared" si="17"/>
        <v>0</v>
      </c>
      <c r="H101" s="155"/>
      <c r="I101" s="135"/>
      <c r="J101" s="136"/>
      <c r="K101" s="137">
        <f t="shared" si="14"/>
        <v>0</v>
      </c>
      <c r="L101" s="137">
        <f t="shared" si="15"/>
        <v>0</v>
      </c>
      <c r="M101" s="149">
        <f t="shared" si="18"/>
        <v>0</v>
      </c>
      <c r="N101" s="149">
        <f t="shared" si="19"/>
        <v>0</v>
      </c>
    </row>
    <row r="102" spans="1:14" x14ac:dyDescent="0.25">
      <c r="A102" s="155"/>
      <c r="B102" s="135"/>
      <c r="C102" s="136"/>
      <c r="D102" s="137">
        <f t="shared" ref="D102:D107" si="20">SUMIF(Receiving_Report_ref.,A102,In_Weight)</f>
        <v>0</v>
      </c>
      <c r="E102" s="142">
        <f t="shared" ref="E102:E107" si="21">SUMIF(Receiving_Report_ref.,A102,Pallet_qty)</f>
        <v>0</v>
      </c>
      <c r="F102" s="149">
        <f t="shared" si="16"/>
        <v>0</v>
      </c>
      <c r="G102" s="149">
        <f t="shared" si="17"/>
        <v>0</v>
      </c>
      <c r="H102" s="155"/>
      <c r="I102" s="135"/>
      <c r="J102" s="136"/>
      <c r="K102" s="137">
        <f t="shared" ref="K102:K107" si="22">SUMIF(Withdrawal_Report_No.,H102,KILOS_OUT)</f>
        <v>0</v>
      </c>
      <c r="L102" s="137">
        <f t="shared" ref="L102:L107" si="23">SUMIF(Withdrawal_Report_No.,H102,PALLET_OUT)</f>
        <v>0</v>
      </c>
      <c r="M102" s="149">
        <f t="shared" si="18"/>
        <v>0</v>
      </c>
      <c r="N102" s="149">
        <f t="shared" si="19"/>
        <v>0</v>
      </c>
    </row>
    <row r="103" spans="1:14" x14ac:dyDescent="0.25">
      <c r="A103" s="155"/>
      <c r="B103" s="135"/>
      <c r="C103" s="136"/>
      <c r="D103" s="137">
        <f t="shared" si="20"/>
        <v>0</v>
      </c>
      <c r="E103" s="142">
        <f t="shared" si="21"/>
        <v>0</v>
      </c>
      <c r="F103" s="149">
        <f t="shared" si="16"/>
        <v>0</v>
      </c>
      <c r="G103" s="149">
        <f t="shared" si="17"/>
        <v>0</v>
      </c>
      <c r="H103" s="155"/>
      <c r="I103" s="135"/>
      <c r="J103" s="136"/>
      <c r="K103" s="137">
        <f t="shared" si="22"/>
        <v>0</v>
      </c>
      <c r="L103" s="137">
        <f t="shared" si="23"/>
        <v>0</v>
      </c>
      <c r="M103" s="149">
        <f t="shared" si="18"/>
        <v>0</v>
      </c>
      <c r="N103" s="149">
        <f t="shared" si="19"/>
        <v>0</v>
      </c>
    </row>
    <row r="104" spans="1:14" x14ac:dyDescent="0.25">
      <c r="A104" s="155"/>
      <c r="B104" s="135"/>
      <c r="C104" s="136"/>
      <c r="D104" s="137">
        <f t="shared" si="20"/>
        <v>0</v>
      </c>
      <c r="E104" s="142">
        <f t="shared" si="21"/>
        <v>0</v>
      </c>
      <c r="F104" s="149">
        <f t="shared" si="16"/>
        <v>0</v>
      </c>
      <c r="G104" s="149">
        <f t="shared" si="17"/>
        <v>0</v>
      </c>
      <c r="H104" s="155"/>
      <c r="I104" s="135"/>
      <c r="J104" s="136"/>
      <c r="K104" s="137">
        <f t="shared" si="22"/>
        <v>0</v>
      </c>
      <c r="L104" s="137">
        <f t="shared" si="23"/>
        <v>0</v>
      </c>
      <c r="M104" s="149">
        <f t="shared" si="18"/>
        <v>0</v>
      </c>
      <c r="N104" s="149">
        <f t="shared" si="19"/>
        <v>0</v>
      </c>
    </row>
    <row r="105" spans="1:14" x14ac:dyDescent="0.25">
      <c r="A105" s="155"/>
      <c r="B105" s="135"/>
      <c r="C105" s="136"/>
      <c r="D105" s="137">
        <f t="shared" si="20"/>
        <v>0</v>
      </c>
      <c r="E105" s="142">
        <f t="shared" si="21"/>
        <v>0</v>
      </c>
      <c r="F105" s="149">
        <f t="shared" si="16"/>
        <v>0</v>
      </c>
      <c r="G105" s="149">
        <f t="shared" si="17"/>
        <v>0</v>
      </c>
      <c r="H105" s="155"/>
      <c r="I105" s="135"/>
      <c r="J105" s="136"/>
      <c r="K105" s="137">
        <f t="shared" si="22"/>
        <v>0</v>
      </c>
      <c r="L105" s="137">
        <f t="shared" si="23"/>
        <v>0</v>
      </c>
      <c r="M105" s="149">
        <f t="shared" si="18"/>
        <v>0</v>
      </c>
      <c r="N105" s="149">
        <f t="shared" si="19"/>
        <v>0</v>
      </c>
    </row>
    <row r="106" spans="1:14" x14ac:dyDescent="0.25">
      <c r="A106" s="155"/>
      <c r="B106" s="135"/>
      <c r="C106" s="136"/>
      <c r="D106" s="137">
        <f t="shared" si="20"/>
        <v>0</v>
      </c>
      <c r="E106" s="142">
        <f t="shared" si="21"/>
        <v>0</v>
      </c>
      <c r="F106" s="149">
        <f t="shared" si="16"/>
        <v>0</v>
      </c>
      <c r="G106" s="149">
        <f t="shared" si="17"/>
        <v>0</v>
      </c>
      <c r="H106" s="155"/>
      <c r="I106" s="135"/>
      <c r="J106" s="136"/>
      <c r="K106" s="137">
        <f t="shared" si="22"/>
        <v>0</v>
      </c>
      <c r="L106" s="137">
        <f t="shared" si="23"/>
        <v>0</v>
      </c>
      <c r="M106" s="149">
        <f t="shared" si="18"/>
        <v>0</v>
      </c>
      <c r="N106" s="149">
        <f t="shared" si="19"/>
        <v>0</v>
      </c>
    </row>
    <row r="107" spans="1:14" x14ac:dyDescent="0.25">
      <c r="A107" s="155"/>
      <c r="B107" s="135"/>
      <c r="C107" s="136"/>
      <c r="D107" s="137">
        <f t="shared" si="20"/>
        <v>0</v>
      </c>
      <c r="E107" s="142">
        <f t="shared" si="21"/>
        <v>0</v>
      </c>
      <c r="F107" s="149">
        <f t="shared" si="16"/>
        <v>0</v>
      </c>
      <c r="G107" s="149">
        <f t="shared" si="17"/>
        <v>0</v>
      </c>
      <c r="H107" s="155"/>
      <c r="I107" s="135"/>
      <c r="J107" s="136"/>
      <c r="K107" s="137">
        <f t="shared" si="22"/>
        <v>0</v>
      </c>
      <c r="L107" s="137">
        <f t="shared" si="23"/>
        <v>0</v>
      </c>
      <c r="M107" s="149">
        <f t="shared" si="18"/>
        <v>0</v>
      </c>
      <c r="N107" s="149">
        <f t="shared" si="19"/>
        <v>0</v>
      </c>
    </row>
    <row r="108" spans="1:14" x14ac:dyDescent="0.25">
      <c r="A108" s="156" t="s">
        <v>80</v>
      </c>
      <c r="B108" s="157">
        <f t="shared" ref="B108:C108" si="24">SUM(B6:B107)</f>
        <v>0</v>
      </c>
      <c r="C108" s="157">
        <f t="shared" si="24"/>
        <v>0</v>
      </c>
      <c r="D108" s="157">
        <f>SUM(D6:D107)</f>
        <v>0</v>
      </c>
      <c r="E108" s="158">
        <f>SUM(E6:E107)</f>
        <v>0</v>
      </c>
      <c r="F108" s="157">
        <f>SUM(F6:F107)</f>
        <v>0</v>
      </c>
      <c r="G108" s="158">
        <f>SUM(G6:G107)</f>
        <v>0</v>
      </c>
      <c r="H108" s="159" t="s">
        <v>80</v>
      </c>
      <c r="I108" s="157">
        <f t="shared" ref="I108:N108" si="25">SUM(I6:I107)</f>
        <v>0</v>
      </c>
      <c r="J108" s="158">
        <f t="shared" si="25"/>
        <v>0</v>
      </c>
      <c r="K108" s="157">
        <f t="shared" si="25"/>
        <v>0</v>
      </c>
      <c r="L108" s="158">
        <f t="shared" si="25"/>
        <v>0</v>
      </c>
      <c r="M108" s="157">
        <f t="shared" si="25"/>
        <v>0</v>
      </c>
      <c r="N108" s="158">
        <f t="shared" si="25"/>
        <v>0</v>
      </c>
    </row>
    <row r="112" spans="1:14" x14ac:dyDescent="0.25">
      <c r="A112" s="138"/>
      <c r="F112" s="131" t="s">
        <v>93</v>
      </c>
      <c r="H112" s="139"/>
      <c r="I112" s="131"/>
      <c r="J112" s="131"/>
      <c r="K112" s="131"/>
      <c r="L112" s="131"/>
      <c r="M112" s="131"/>
    </row>
  </sheetData>
  <conditionalFormatting sqref="A6:A107">
    <cfRule type="duplicateValues" dxfId="15" priority="18"/>
  </conditionalFormatting>
  <conditionalFormatting sqref="A108:A1048576 A4:A5">
    <cfRule type="duplicateValues" dxfId="14" priority="29"/>
  </conditionalFormatting>
  <conditionalFormatting sqref="F5">
    <cfRule type="duplicateValues" dxfId="13" priority="1"/>
  </conditionalFormatting>
  <conditionalFormatting sqref="F6:F107">
    <cfRule type="duplicateValues" dxfId="12" priority="22"/>
  </conditionalFormatting>
  <conditionalFormatting sqref="F109:F1048576">
    <cfRule type="duplicateValues" dxfId="11" priority="31"/>
  </conditionalFormatting>
  <conditionalFormatting sqref="F6:G107">
    <cfRule type="aboveAverage" priority="21"/>
  </conditionalFormatting>
  <conditionalFormatting sqref="F109:G1048576">
    <cfRule type="aboveAverage" priority="34"/>
  </conditionalFormatting>
  <conditionalFormatting sqref="G5">
    <cfRule type="duplicateValues" dxfId="10" priority="2"/>
  </conditionalFormatting>
  <conditionalFormatting sqref="G6:G107">
    <cfRule type="duplicateValues" dxfId="9" priority="9"/>
    <cfRule type="duplicateValues" dxfId="8" priority="20"/>
  </conditionalFormatting>
  <conditionalFormatting sqref="G109:G1048576">
    <cfRule type="duplicateValues" dxfId="7" priority="35"/>
  </conditionalFormatting>
  <conditionalFormatting sqref="H6:H107">
    <cfRule type="duplicateValues" dxfId="6" priority="19"/>
  </conditionalFormatting>
  <conditionalFormatting sqref="H108:H1048576 H3:H5">
    <cfRule type="duplicateValues" dxfId="5" priority="30"/>
  </conditionalFormatting>
  <conditionalFormatting sqref="M5">
    <cfRule type="duplicateValues" dxfId="4" priority="32"/>
  </conditionalFormatting>
  <conditionalFormatting sqref="M6:M107">
    <cfRule type="duplicateValues" dxfId="3" priority="6"/>
  </conditionalFormatting>
  <conditionalFormatting sqref="M6:N107">
    <cfRule type="aboveAverage" priority="5"/>
  </conditionalFormatting>
  <conditionalFormatting sqref="N5">
    <cfRule type="duplicateValues" dxfId="2" priority="33"/>
  </conditionalFormatting>
  <conditionalFormatting sqref="N6:N107">
    <cfRule type="duplicateValues" dxfId="1" priority="3"/>
    <cfRule type="duplicateValues" dxfId="0" priority="4"/>
  </conditionalFormatting>
  <pageMargins left="0.7" right="0.7" top="0.75" bottom="0.75" header="0.3" footer="0.3"/>
  <pageSetup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60</vt:i4>
      </vt:variant>
    </vt:vector>
  </HeadingPairs>
  <TitlesOfParts>
    <vt:vector size="67" baseType="lpstr">
      <vt:lpstr>Summary</vt:lpstr>
      <vt:lpstr>Stocks Inquiry</vt:lpstr>
      <vt:lpstr>Outbound data</vt:lpstr>
      <vt:lpstr>Inbound data</vt:lpstr>
      <vt:lpstr>Pallet Monitoring</vt:lpstr>
      <vt:lpstr>Outbound Inquiry</vt:lpstr>
      <vt:lpstr>Billing</vt:lpstr>
      <vt:lpstr>Ageing_Day_s</vt:lpstr>
      <vt:lpstr>Ageing_Remarks</vt:lpstr>
      <vt:lpstr>CLM</vt:lpstr>
      <vt:lpstr>CONTAINER_NUMBER</vt:lpstr>
      <vt:lpstr>CONTAINER_NUMBER__OUT</vt:lpstr>
      <vt:lpstr>Container_Van_No.</vt:lpstr>
      <vt:lpstr>DATE</vt:lpstr>
      <vt:lpstr>Date_Inbound</vt:lpstr>
      <vt:lpstr>DESTINATION</vt:lpstr>
      <vt:lpstr>ENCODED_BY</vt:lpstr>
      <vt:lpstr>Encoder</vt:lpstr>
      <vt:lpstr>Ending_Pallet_Quantity</vt:lpstr>
      <vt:lpstr>Ending_Quantity</vt:lpstr>
      <vt:lpstr>Ending_Weight</vt:lpstr>
      <vt:lpstr>Expiration_Date</vt:lpstr>
      <vt:lpstr>From_Location</vt:lpstr>
      <vt:lpstr>FRZ</vt:lpstr>
      <vt:lpstr>'Outbound data'!GATEPASS</vt:lpstr>
      <vt:lpstr>Gatepass</vt:lpstr>
      <vt:lpstr>Generated_Stockcode</vt:lpstr>
      <vt:lpstr>In_Quantity</vt:lpstr>
      <vt:lpstr>In_Weight</vt:lpstr>
      <vt:lpstr>Inventory_Status</vt:lpstr>
      <vt:lpstr>'Outbound data'!ITEM_DESCRIPTION</vt:lpstr>
      <vt:lpstr>Item_Description</vt:lpstr>
      <vt:lpstr>ITEM_DESCRIPTION__OUT</vt:lpstr>
      <vt:lpstr>KILOS</vt:lpstr>
      <vt:lpstr>KILOS_OUT</vt:lpstr>
      <vt:lpstr>Location</vt:lpstr>
      <vt:lpstr>LVL</vt:lpstr>
      <vt:lpstr>Mode_of_Inbound</vt:lpstr>
      <vt:lpstr>No.</vt:lpstr>
      <vt:lpstr>OUT_REMARKS</vt:lpstr>
      <vt:lpstr>OUTBOUND_DATE</vt:lpstr>
      <vt:lpstr>Pallet</vt:lpstr>
      <vt:lpstr>PALLET_NUMBER</vt:lpstr>
      <vt:lpstr>PALLET_NUMBER__OUT</vt:lpstr>
      <vt:lpstr>PALLET_OUT</vt:lpstr>
      <vt:lpstr>Pallet_qty</vt:lpstr>
      <vt:lpstr>Pallet_Qty_In</vt:lpstr>
      <vt:lpstr>Pallet_Series</vt:lpstr>
      <vt:lpstr>PALLET_SERIES__OUT</vt:lpstr>
      <vt:lpstr>PICKLIST</vt:lpstr>
      <vt:lpstr>PLATE</vt:lpstr>
      <vt:lpstr>Production_Date</vt:lpstr>
      <vt:lpstr>QTY_OUT</vt:lpstr>
      <vt:lpstr>Receiving_Report_ref.</vt:lpstr>
      <vt:lpstr>REMARKS</vt:lpstr>
      <vt:lpstr>RW</vt:lpstr>
      <vt:lpstr>SIDE</vt:lpstr>
      <vt:lpstr>Source</vt:lpstr>
      <vt:lpstr>STOCK_CODE</vt:lpstr>
      <vt:lpstr>STOCK_CODE_OUT</vt:lpstr>
      <vt:lpstr>Stock_Remarks</vt:lpstr>
      <vt:lpstr>Truck_No.</vt:lpstr>
      <vt:lpstr>UOM</vt:lpstr>
      <vt:lpstr>UOM__OUT</vt:lpstr>
      <vt:lpstr>WH</vt:lpstr>
      <vt:lpstr>Withdrawal_Report_No.</vt:lpstr>
      <vt:lpstr>WR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Raymond</dc:creator>
  <cp:lastModifiedBy>Inventory Annex 1</cp:lastModifiedBy>
  <cp:lastPrinted>2024-09-30T02:28:20Z</cp:lastPrinted>
  <dcterms:created xsi:type="dcterms:W3CDTF">2024-09-29T08:29:15Z</dcterms:created>
  <dcterms:modified xsi:type="dcterms:W3CDTF">2026-03-29T19:46:13Z</dcterms:modified>
</cp:coreProperties>
</file>