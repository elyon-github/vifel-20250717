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Odoo17E\server\addons\custom_addons\vifel-20250717\ai_context\uat\"/>
    </mc:Choice>
  </mc:AlternateContent>
  <xr:revisionPtr revIDLastSave="0" documentId="13_ncr:1_{1B8F227F-A0F0-468C-A206-2078BC82B44A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Document Control" sheetId="1" r:id="rId1"/>
    <sheet name="Test Cases" sheetId="2" r:id="rId2"/>
    <sheet name="Summary &amp; Sign-off" sheetId="3" r:id="rId3"/>
  </sheets>
  <definedNames>
    <definedName name="_xlnm._FilterDatabase" localSheetId="1" hidden="1">'Test Cases'!$A$3:$I$25</definedName>
    <definedName name="_xlnm.Print_Titles" localSheetId="1">'Test Cases'!$1:$3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3" l="1"/>
  <c r="C9" i="3"/>
  <c r="D9" i="3" s="1"/>
  <c r="C8" i="3"/>
  <c r="D8" i="3" s="1"/>
  <c r="C7" i="3"/>
  <c r="D7" i="3" s="1"/>
  <c r="C6" i="3"/>
  <c r="D6" i="3" s="1"/>
</calcChain>
</file>

<file path=xl/sharedStrings.xml><?xml version="1.0" encoding="utf-8"?>
<sst xmlns="http://schemas.openxmlformats.org/spreadsheetml/2006/main" count="217" uniqueCount="171">
  <si>
    <t>ELYON SOLUTIONS INTERNATIONAL INC.</t>
  </si>
  <si>
    <t>User Acceptance Testing (UAT) Test Script</t>
  </si>
  <si>
    <t>Client-Specific Requirement Enhancement  –  Merge Pallet Feature</t>
  </si>
  <si>
    <t>DOCUMENT INFORMATION</t>
  </si>
  <si>
    <t>Document Title</t>
  </si>
  <si>
    <t>Merge Pallet Feature – UAT Test Script</t>
  </si>
  <si>
    <t>Version</t>
  </si>
  <si>
    <t>1.1</t>
  </si>
  <si>
    <t>System</t>
  </si>
  <si>
    <t>VIFEL Odoo 17 Enterprise – WMS</t>
  </si>
  <si>
    <t>Status</t>
  </si>
  <si>
    <t>For UAT Execution</t>
  </si>
  <si>
    <t>Module</t>
  </si>
  <si>
    <t>vifel_client_requirements (Merge Pallet)</t>
  </si>
  <si>
    <t>Environment</t>
  </si>
  <si>
    <t>UAT / Staging</t>
  </si>
  <si>
    <t>Prepared By (Vendor)</t>
  </si>
  <si>
    <t>Elyon Solutions International Inc.</t>
  </si>
  <si>
    <t>Date</t>
  </si>
  <si>
    <t>02-Aug-2026</t>
  </si>
  <si>
    <t>Prepared For (Client)</t>
  </si>
  <si>
    <t>Vifel Ice Plant &amp; Cold Storage, Inc.</t>
  </si>
  <si>
    <t>Reference</t>
  </si>
  <si>
    <t>VIFEL-CR-MergePallet</t>
  </si>
  <si>
    <t>1.  PURPOSE</t>
  </si>
  <si>
    <t>This test script lets Vifel Ice Plant &amp; Cold Storage, Inc. confirm that the Merge Pallet feature delivered by Elyon Solutions International Inc. behaves correctly against the agreed business requirements. Each row is a real business scenario phrased as a question; the tester performs it and records whether the system's behaviour matches the Expected Result.</t>
  </si>
  <si>
    <t>2.  HOW THIS SCRIPT IS ORGANISED</t>
  </si>
  <si>
    <t>The 'Test Cases' sheet is grouped by OPERATION TYPE so you test one activity fully before moving on — no jumping back and forth:  (A) Setup &amp; Configuration → (B) Receiving (RR) → (C) Withdrawal (WR) → (D) Reports &amp; Count Integrity.  Do the setup once, then work each coloured section top-to-bottom. Record Actual Result, set Status from the drop-down, and note any issue in Remarks.</t>
  </si>
  <si>
    <t>3.  STATUS LEGEND</t>
  </si>
  <si>
    <t>Pass</t>
  </si>
  <si>
    <t>Behaviour matches the Expected Result.</t>
  </si>
  <si>
    <t>Fail</t>
  </si>
  <si>
    <t>Behaviour differs; log the issue in Remarks.</t>
  </si>
  <si>
    <t>Blocked</t>
  </si>
  <si>
    <t>Cannot be executed (dependency / defect).</t>
  </si>
  <si>
    <t>Not Executed</t>
  </si>
  <si>
    <t>Not yet run.</t>
  </si>
  <si>
    <t>4.  REVISION HISTORY</t>
  </si>
  <si>
    <t>Author</t>
  </si>
  <si>
    <t>Description</t>
  </si>
  <si>
    <t>1.0</t>
  </si>
  <si>
    <t>28-Jul-2026</t>
  </si>
  <si>
    <t>Elyon Solutions</t>
  </si>
  <si>
    <t>Initial scenario-based UAT test script.</t>
  </si>
  <si>
    <t>Grouped by operation type; added Lot No./Batch #/Prodcode cases.</t>
  </si>
  <si>
    <t>MERGE PALLET FEATURE  –  UAT SCENARIO CHECKLIST (BY OPERATION TYPE)</t>
  </si>
  <si>
    <t>Elyon Solutions International Inc.    •    Client: Vifel Ice Plant &amp; Cold Storage, Inc.    •    Version 1.1</t>
  </si>
  <si>
    <t>Ref</t>
  </si>
  <si>
    <t>Requirement /
Feature</t>
  </si>
  <si>
    <t>Priority</t>
  </si>
  <si>
    <t>Scenario Question (What we are verifying)</t>
  </si>
  <si>
    <t>How to Test</t>
  </si>
  <si>
    <t>Expected Result</t>
  </si>
  <si>
    <t>Actual Result</t>
  </si>
  <si>
    <t>Remarks</t>
  </si>
  <si>
    <t>A.  SETUP &amp; CONFIGURATION  (do once)</t>
  </si>
  <si>
    <t>MP-A1</t>
  </si>
  <si>
    <t>Client Setup</t>
  </si>
  <si>
    <t>High</t>
  </si>
  <si>
    <t>When a Vifel client is switched on for merging, do the merge options appear only for that client?</t>
  </si>
  <si>
    <t>On the client's contact, tick 'Can Merge Pallets' in the VIFEL Configuration tab and save. Open a receipt for this client, then for a different (non-enabled) client.</t>
  </si>
  <si>
    <t>The VIFEL Configuration options and the Merge feature appear ONLY for the enabled client; other clients are unaffected.</t>
  </si>
  <si>
    <t>MP-A2</t>
  </si>
  <si>
    <t>Can we set the two merge modes — Fixed (one pinned pallet) and Multiple (special PSI types)?</t>
  </si>
  <si>
    <t>For one client set Fixed mode + pin a pallet and a Fixed PSI. For another, tick Multiple Pallet Support and confirm the PSI types (MDGM/SDMG/TDMG/BOC) auto-seed.</t>
  </si>
  <si>
    <t>Fixed mode saves the pinned pallet + PSI; Multiple mode shows the special PSI types with descriptions.</t>
  </si>
  <si>
    <t>MP-A3</t>
  </si>
  <si>
    <t>Medium</t>
  </si>
  <si>
    <t>Do the Lot No. and Batch # / Prodcode columns switch on per client from the profile?</t>
  </si>
  <si>
    <t>Tick 'Show Lot No.' and 'Show Batch # / Prodcode' for the client, save, and open its Pallet Breakdown.</t>
  </si>
  <si>
    <t>The Lot No. and Batch # columns appear for this client only; other clients don't see them.</t>
  </si>
  <si>
    <t>B.  RECEIVING  (RR)</t>
  </si>
  <si>
    <t>MP-B1</t>
  </si>
  <si>
    <t>Merge on Receipt</t>
  </si>
  <si>
    <t>Critical</t>
  </si>
  <si>
    <t>On merge of an existing PSI pallet, does it NOT add a pallet to the count (+0)?</t>
  </si>
  <si>
    <t>On an RR line, click 'Merge Pallet' and pick an existing stocked pallet. Confirm. Compare the received pallet count before and after.</t>
  </si>
  <si>
    <t>The line adopts the target's Pallet Series and location; it is flagged 'Merged'; the received pallet count does NOT increase (+0).</t>
  </si>
  <si>
    <t>MP-B2</t>
  </si>
  <si>
    <t>When a line is merged (+0 pallet), do Weight (KG), Quantity and Packs still count in full?</t>
  </si>
  <si>
    <t>Review a merged line's Weight (KG), Quantity and Packs after the merge.</t>
  </si>
  <si>
    <t>Weight (KG), Quantity and Packs are recorded in full. Only the pallet count is +0; the goods are not lost.</t>
  </si>
  <si>
    <t>MP-B3</t>
  </si>
  <si>
    <t>Same-Receipt Merge</t>
  </si>
  <si>
    <t>Both lines share one pallet and Pallet Series; the receipt counts them as exactly ONE received pallet (+1). Both lines show 'Merged'.</t>
  </si>
  <si>
    <t>MP-B4</t>
  </si>
  <si>
    <t>Fixed Pallet</t>
  </si>
  <si>
    <t>For a Fixed client, does the FIRST stock onto the empty pinned pallet count as a received pallet (+1), and a later receipt as +0?</t>
  </si>
  <si>
    <t>Merge Pallet onto the empty pinned pallet, validate, check the count. Then on a NEW RR merge onto the now-stocked pinned pallet and check again.</t>
  </si>
  <si>
    <t>The first stock counts +1 (it births the pallet); the later receipt merges +0 (no new pallet). Weight/Qty/Packs count in full both times.</t>
  </si>
  <si>
    <t>MP-B5</t>
  </si>
  <si>
    <t>New Special Pallet</t>
  </si>
  <si>
    <t>Starting a NEW special pallet (e.g. SDMG) — is it counted as +1, and is its location limited to the receipt's building?</t>
  </si>
  <si>
    <t>On an RR line choose 'Start a New Special Pallet', pick a PSI type, an empty pallet and a location. Try a location in another building, then a valid one; confirm and check the count.</t>
  </si>
  <si>
    <t>Only locations under the receipt's destination building are offered/accepted; the new pallet counts as ONE received pallet (+1).</t>
  </si>
  <si>
    <t>MP-B6</t>
  </si>
  <si>
    <t>Merge Wizard</t>
  </si>
  <si>
    <t>In the merge wizard, if I toggle a second 'Merge Here' pallet, does the first one switch off (only one target)?</t>
  </si>
  <si>
    <t>Open Merge Pallet. Toggle 'Merge Here' on one candidate pallet, then on a second candidate.</t>
  </si>
  <si>
    <t>Only one 'Merge Here' can be active at a time; selecting a second switches the first off. The system never merges onto two pallets.</t>
  </si>
  <si>
    <t>MP-B7</t>
  </si>
  <si>
    <t>MP-B8</t>
  </si>
  <si>
    <t>Lot No. / Batch #</t>
  </si>
  <si>
    <t>Does the Lot No. really reflect — is the Lot No. typed on a receiving line saved onto stock?</t>
  </si>
  <si>
    <t>Enter a Lot No. on an RR line. Validate the RR. Open Inventory → the resulting stock (quant).</t>
  </si>
  <si>
    <t>The Lot No. stays on the line and is stamped onto the received stock; it is visible on the quant.</t>
  </si>
  <si>
    <t>MP-B9</t>
  </si>
  <si>
    <t>Does the Batch # become a Prodcode (DDMONYYYY + Batch # + Building) at validation — WITH the building shortname at the end?</t>
  </si>
  <si>
    <t>The Prodcode is day+month+year+Batch#+building short name, e.g. 18MAY202699M — the building short name IS present at the end for every building.</t>
  </si>
  <si>
    <t>C.  WITHDRAWAL  (WR)</t>
  </si>
  <si>
    <t>MP-C1</t>
  </si>
  <si>
    <t>Partial Withdrawal</t>
  </si>
  <si>
    <t>On WR, can a merge pallet be PARTIALLY withdrawn, and does it count -0 (only -1 when fully emptied)?</t>
  </si>
  <si>
    <t>Create a WR that withdraws SOME of the products on a merge pallet, leaving others. Validate. Then fully empty the pallet on another WR.</t>
  </si>
  <si>
    <t>The partial withdrawal is allowed (no 'still has available quantity' block) and counts -0. The pallet counts -1 only when fully emptied.</t>
  </si>
  <si>
    <t>MP-C2</t>
  </si>
  <si>
    <t>Un-merge</t>
  </si>
  <si>
    <t>Can a merged / shared line be Un-merged on a receipt, and does the pallet count stay correct?</t>
  </si>
  <si>
    <t>On a line that shows 'Merged', click 'Un-merge'. Observe the line and the pallet; re-check the count.</t>
  </si>
  <si>
    <t>The line is peeled off to its own blank pallet (re-assign a series); the other line keeps the pallet; the pallet count stays correct.</t>
  </si>
  <si>
    <t>MP-C3</t>
  </si>
  <si>
    <t>Lot No. on WR</t>
  </si>
  <si>
    <t>On withdrawal, does the Lot No. that was set at receiving get PULLED onto the WR Pallet Breakdown?</t>
  </si>
  <si>
    <t>Withdraw stock that had a Lot No. set at receiving. Open the WR Pallet Breakdown and show the Lot No. column.</t>
  </si>
  <si>
    <t>The Lot No. frozen at receiving is displayed (read-only) on the matching withdrawal line — it is no longer blank.</t>
  </si>
  <si>
    <t>MP-C4</t>
  </si>
  <si>
    <t>Prodcode on WR</t>
  </si>
  <si>
    <t>On withdrawal, does the Prodcode created at receiving show on the WR Pallet Breakdown?</t>
  </si>
  <si>
    <t>Withdraw stock that has a Prodcode. Open the WR Pallet Breakdown and show the Prodcode column.</t>
  </si>
  <si>
    <t>The Prodcode frozen at receiving is displayed (read-only) on the matching withdrawal line.</t>
  </si>
  <si>
    <t>Multi-truck</t>
  </si>
  <si>
    <t>For a pallet shared across trucks, does it count on the truck that EMPTIES it (not the first truck)?</t>
  </si>
  <si>
    <t>Split one pallet across two WRs (one leaves stock, the next takes the rest). Validate both; check which WR counts the pallet.</t>
  </si>
  <si>
    <t>The pallet counts once, on the WR whose validation leaves the pallet empty; the truck that left stock counts it -0.</t>
  </si>
  <si>
    <t>D.  REPORTS &amp; COUNT INTEGRITY</t>
  </si>
  <si>
    <t>MP-D1</t>
  </si>
  <si>
    <t>Count Integrity</t>
  </si>
  <si>
    <t>For a merge pallet, review the RR received count, the pallet-kilos (PKR) ledger, and the WR/RR printout.</t>
  </si>
  <si>
    <t>MP-D3</t>
  </si>
  <si>
    <t>Stock View</t>
  </si>
  <si>
    <t>Can Lot No., Batch # and Prodcode be looked up in the Inventory (stock) view?</t>
  </si>
  <si>
    <t>In Inventory → Stock, enable the optional Lot No., Batch # and Prodcode columns.</t>
  </si>
  <si>
    <t>All three columns are available in the stock view and show the values frozen at receiving.</t>
  </si>
  <si>
    <t>EXECUTION SUMMARY &amp; ACCEPTANCE SIGN-OFF</t>
  </si>
  <si>
    <t>RESULT</t>
  </si>
  <si>
    <t>COUNT</t>
  </si>
  <si>
    <t>% OF TOTAL</t>
  </si>
  <si>
    <t>Total Test Cases</t>
  </si>
  <si>
    <t>22</t>
  </si>
  <si>
    <t>100%</t>
  </si>
  <si>
    <t>Overall Pass Rate</t>
  </si>
  <si>
    <t>OVERALL UAT ASSESSMENT</t>
  </si>
  <si>
    <t>☐   Accepted</t>
  </si>
  <si>
    <t>☐   Accepted with Conditions</t>
  </si>
  <si>
    <t>☐   Rejected</t>
  </si>
  <si>
    <t>Remarks / Conditions:</t>
  </si>
  <si>
    <t>ACCEPTANCE SIGN-OFF</t>
  </si>
  <si>
    <t>Role</t>
  </si>
  <si>
    <t>Name</t>
  </si>
  <si>
    <t>Signature</t>
  </si>
  <si>
    <t>Prepared by (Elyon)</t>
  </si>
  <si>
    <t>Tested by (Vifel)</t>
  </si>
  <si>
    <t>Reviewed by (Vifel)</t>
  </si>
  <si>
    <t>Approved by (Vifel)</t>
  </si>
  <si>
    <t>The merge pallet is counted as exactly ONE pallet in the receipt, the ledger, and the printed reports.</t>
  </si>
  <si>
    <t>Does a merge / shared pallet count as exactly ONE pallet end-to-end?</t>
  </si>
  <si>
    <t>If two lines of the SAME receipt sit on one pallet (New PSI), is that counted as ONE pallet (+1), not two?</t>
  </si>
  <si>
    <t>On line 1 assign/start a pallet(New PSI). On line 2 click 'Merge Pallet' and choose line 1's pallet ('On this receipt'). Validate and check the received count.</t>
  </si>
  <si>
    <t>g</t>
  </si>
  <si>
    <t>Enter a Batch # (e.g. 99) on an RR line that has a expiration date. Validate. Inspect the Prodcode on the stock (quant).</t>
  </si>
  <si>
    <t>Mark Angelo Templanza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</si>
</sst>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2"/>
      <color rgb="FFFFFFFF"/>
      <name val="Calibri"/>
    </font>
    <font>
      <b/>
      <sz val="11"/>
      <color rgb="FF1F3864"/>
      <name val="Calibri"/>
    </font>
    <font>
      <b/>
      <sz val="10.5"/>
      <color rgb="FFFFFFFF"/>
      <name val="Calibri"/>
    </font>
    <font>
      <b/>
      <sz val="10"/>
      <color rgb="FF1F3864"/>
      <name val="Calibri"/>
    </font>
    <font>
      <sz val="10"/>
      <color rgb="FF000000"/>
      <name val="Calibri"/>
    </font>
    <font>
      <b/>
      <sz val="10"/>
      <color rgb="FF006100"/>
      <name val="Calibri"/>
    </font>
    <font>
      <b/>
      <sz val="10"/>
      <color rgb="FF9C0006"/>
      <name val="Calibri"/>
    </font>
    <font>
      <b/>
      <sz val="10"/>
      <color rgb="FF9C6500"/>
      <name val="Calibri"/>
    </font>
    <font>
      <b/>
      <sz val="10"/>
      <color rgb="FF3F3F3F"/>
      <name val="Calibri"/>
    </font>
    <font>
      <b/>
      <sz val="10"/>
      <color rgb="FFFFFFFF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b/>
      <sz val="9.5"/>
      <color rgb="FF1F3864"/>
      <name val="Calibri"/>
    </font>
    <font>
      <sz val="9.5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10"/>
      <color rgb="FF000000"/>
      <name val="Calibri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9D9D9"/>
      </patternFill>
    </fill>
    <fill>
      <patternFill patternType="solid">
        <fgColor rgb="FF1F6F6F"/>
      </patternFill>
    </fill>
    <fill>
      <patternFill patternType="solid">
        <fgColor rgb="FFFFFFFF"/>
      </patternFill>
    </fill>
    <fill>
      <patternFill patternType="solid">
        <fgColor rgb="FFE26B0A"/>
      </patternFill>
    </fill>
    <fill>
      <patternFill patternType="solid">
        <fgColor rgb="FFEAF0FA"/>
      </patternFill>
    </fill>
    <fill>
      <patternFill patternType="solid">
        <fgColor rgb="FFBF9000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0" fillId="0" borderId="1" xfId="0" applyBorder="1"/>
    <xf numFmtId="0" fontId="5" fillId="5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1" fillId="3" borderId="1" xfId="0" applyFont="1" applyFill="1" applyBorder="1"/>
    <xf numFmtId="0" fontId="11" fillId="3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left" vertical="top" wrapText="1"/>
    </xf>
    <xf numFmtId="0" fontId="16" fillId="12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left" vertical="top" wrapText="1"/>
    </xf>
    <xf numFmtId="0" fontId="17" fillId="13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5" fillId="5" borderId="1" xfId="0" applyFont="1" applyFill="1" applyBorder="1"/>
    <xf numFmtId="0" fontId="1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6" borderId="1" xfId="0" applyFont="1" applyFill="1" applyBorder="1"/>
    <xf numFmtId="164" fontId="6" fillId="0" borderId="1" xfId="0" applyNumberFormat="1" applyFont="1" applyBorder="1" applyAlignment="1">
      <alignment horizontal="center" vertical="center"/>
    </xf>
    <xf numFmtId="0" fontId="5" fillId="7" borderId="1" xfId="0" applyFont="1" applyFill="1" applyBorder="1"/>
    <xf numFmtId="0" fontId="5" fillId="8" borderId="1" xfId="0" applyFont="1" applyFill="1" applyBorder="1"/>
    <xf numFmtId="0" fontId="5" fillId="9" borderId="1" xfId="0" applyFont="1" applyFill="1" applyBorder="1"/>
    <xf numFmtId="0" fontId="11" fillId="2" borderId="1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8" fillId="5" borderId="1" xfId="0" applyFont="1" applyFill="1" applyBorder="1"/>
    <xf numFmtId="0" fontId="6" fillId="0" borderId="1" xfId="0" applyFont="1" applyBorder="1" applyAlignment="1">
      <alignment horizontal="left" vertical="top" wrapText="1"/>
    </xf>
    <xf numFmtId="0" fontId="0" fillId="0" borderId="1" xfId="0" applyBorder="1"/>
    <xf numFmtId="0" fontId="3" fillId="4" borderId="0" xfId="0" applyFont="1" applyFill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3" fillId="10" borderId="1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5" fillId="0" borderId="1" xfId="0" applyFont="1" applyBorder="1"/>
    <xf numFmtId="164" fontId="3" fillId="0" borderId="1" xfId="0" applyNumberFormat="1" applyFont="1" applyBorder="1" applyAlignment="1">
      <alignment horizontal="center" vertical="center"/>
    </xf>
    <xf numFmtId="0" fontId="11" fillId="3" borderId="1" xfId="0" applyFont="1" applyFill="1" applyBorder="1"/>
    <xf numFmtId="0" fontId="4" fillId="3" borderId="1" xfId="0" applyFont="1" applyFill="1" applyBorder="1" applyAlignment="1">
      <alignment horizontal="left" vertical="center"/>
    </xf>
    <xf numFmtId="0" fontId="6" fillId="0" borderId="1" xfId="0" applyFont="1" applyBorder="1"/>
  </cellXfs>
  <cellStyles count="1">
    <cellStyle name="Normal" xfId="0" builtinId="0"/>
  </cellStyles>
  <dxfs count="8">
    <dxf>
      <font>
        <b/>
        <sz val="9"/>
        <color rgb="FF3F3F3F"/>
        <name val="Calibri"/>
      </font>
      <fill>
        <patternFill patternType="solid">
          <fgColor rgb="FFD9D9D9"/>
        </patternFill>
      </fill>
    </dxf>
    <dxf>
      <font>
        <b/>
        <sz val="9"/>
        <color rgb="FF9C6500"/>
        <name val="Calibri"/>
      </font>
      <fill>
        <patternFill patternType="solid">
          <fgColor rgb="FFFFEB9C"/>
        </patternFill>
      </fill>
    </dxf>
    <dxf>
      <font>
        <b/>
        <sz val="9"/>
        <color rgb="FF9C0006"/>
        <name val="Calibri"/>
      </font>
      <fill>
        <patternFill patternType="solid">
          <fgColor rgb="FFFFC7CE"/>
        </patternFill>
      </fill>
    </dxf>
    <dxf>
      <font>
        <b/>
        <sz val="9"/>
        <color rgb="FF006100"/>
        <name val="Calibri"/>
      </font>
      <fill>
        <patternFill patternType="solid">
          <fgColor rgb="FFC6EFCE"/>
        </patternFill>
      </fill>
    </dxf>
    <dxf>
      <font>
        <b/>
        <sz val="9"/>
        <color rgb="FF3F3F3F"/>
        <name val="Calibri"/>
      </font>
      <fill>
        <patternFill patternType="solid">
          <fgColor rgb="FFD9D9D9"/>
        </patternFill>
      </fill>
    </dxf>
    <dxf>
      <font>
        <b/>
        <sz val="9"/>
        <color rgb="FF9C6500"/>
        <name val="Calibri"/>
      </font>
      <fill>
        <patternFill patternType="solid">
          <fgColor rgb="FFFFEB9C"/>
        </patternFill>
      </fill>
    </dxf>
    <dxf>
      <font>
        <b/>
        <sz val="9"/>
        <color rgb="FF9C0006"/>
        <name val="Calibri"/>
      </font>
      <fill>
        <patternFill patternType="solid">
          <fgColor rgb="FFFFC7CE"/>
        </patternFill>
      </fill>
    </dxf>
    <dxf>
      <font>
        <b/>
        <sz val="9"/>
        <color rgb="FF006100"/>
        <name val="Calibri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E28"/>
  <sheetViews>
    <sheetView showGridLines="0" workbookViewId="0">
      <selection activeCell="C28" sqref="C28"/>
    </sheetView>
  </sheetViews>
  <sheetFormatPr defaultRowHeight="15" x14ac:dyDescent="0.25"/>
  <cols>
    <col min="1" max="1" width="3" customWidth="1"/>
    <col min="2" max="2" width="26" customWidth="1"/>
    <col min="3" max="3" width="30" customWidth="1"/>
    <col min="4" max="4" width="26" customWidth="1"/>
    <col min="5" max="5" width="30" customWidth="1"/>
    <col min="6" max="6" width="3" customWidth="1"/>
  </cols>
  <sheetData>
    <row r="2" spans="2:5" ht="26.1" customHeight="1" x14ac:dyDescent="0.25">
      <c r="B2" s="38" t="s">
        <v>0</v>
      </c>
      <c r="C2" s="34"/>
      <c r="D2" s="34"/>
      <c r="E2" s="34"/>
    </row>
    <row r="3" spans="2:5" ht="21.95" customHeight="1" x14ac:dyDescent="0.25">
      <c r="B3" s="37" t="s">
        <v>1</v>
      </c>
      <c r="C3" s="34"/>
      <c r="D3" s="34"/>
      <c r="E3" s="34"/>
    </row>
    <row r="4" spans="2:5" ht="20.100000000000001" customHeight="1" x14ac:dyDescent="0.25">
      <c r="B4" s="33" t="s">
        <v>2</v>
      </c>
      <c r="C4" s="34"/>
      <c r="D4" s="34"/>
      <c r="E4" s="34"/>
    </row>
    <row r="6" spans="2:5" ht="18" customHeight="1" x14ac:dyDescent="0.25">
      <c r="B6" s="35" t="s">
        <v>3</v>
      </c>
      <c r="C6" s="32"/>
      <c r="D6" s="32"/>
      <c r="E6" s="32"/>
    </row>
    <row r="7" spans="2:5" ht="17.100000000000001" customHeight="1" x14ac:dyDescent="0.25">
      <c r="B7" s="3" t="s">
        <v>4</v>
      </c>
      <c r="C7" s="4" t="s">
        <v>5</v>
      </c>
      <c r="D7" s="3" t="s">
        <v>6</v>
      </c>
      <c r="E7" s="4" t="s">
        <v>7</v>
      </c>
    </row>
    <row r="8" spans="2:5" ht="17.100000000000001" customHeight="1" x14ac:dyDescent="0.25">
      <c r="B8" s="3" t="s">
        <v>8</v>
      </c>
      <c r="C8" s="4" t="s">
        <v>9</v>
      </c>
      <c r="D8" s="3" t="s">
        <v>10</v>
      </c>
      <c r="E8" s="4" t="s">
        <v>11</v>
      </c>
    </row>
    <row r="9" spans="2:5" ht="17.100000000000001" customHeight="1" x14ac:dyDescent="0.25">
      <c r="B9" s="3" t="s">
        <v>12</v>
      </c>
      <c r="C9" s="4" t="s">
        <v>13</v>
      </c>
      <c r="D9" s="3" t="s">
        <v>14</v>
      </c>
      <c r="E9" s="4" t="s">
        <v>15</v>
      </c>
    </row>
    <row r="10" spans="2:5" ht="17.100000000000001" customHeight="1" x14ac:dyDescent="0.25">
      <c r="B10" s="3" t="s">
        <v>16</v>
      </c>
      <c r="C10" s="4" t="s">
        <v>17</v>
      </c>
      <c r="D10" s="3" t="s">
        <v>18</v>
      </c>
      <c r="E10" s="4" t="s">
        <v>19</v>
      </c>
    </row>
    <row r="11" spans="2:5" ht="17.100000000000001" customHeight="1" x14ac:dyDescent="0.25">
      <c r="B11" s="3" t="s">
        <v>20</v>
      </c>
      <c r="C11" s="4" t="s">
        <v>21</v>
      </c>
      <c r="D11" s="3" t="s">
        <v>22</v>
      </c>
      <c r="E11" s="4" t="s">
        <v>23</v>
      </c>
    </row>
    <row r="13" spans="2:5" ht="18" customHeight="1" x14ac:dyDescent="0.25">
      <c r="B13" s="35" t="s">
        <v>24</v>
      </c>
      <c r="C13" s="32"/>
      <c r="D13" s="32"/>
      <c r="E13" s="32"/>
    </row>
    <row r="14" spans="2:5" ht="54" customHeight="1" x14ac:dyDescent="0.25">
      <c r="B14" s="31" t="s">
        <v>25</v>
      </c>
      <c r="C14" s="32"/>
      <c r="D14" s="32"/>
      <c r="E14" s="32"/>
    </row>
    <row r="16" spans="2:5" ht="18" customHeight="1" x14ac:dyDescent="0.25">
      <c r="B16" s="35" t="s">
        <v>26</v>
      </c>
      <c r="C16" s="32"/>
      <c r="D16" s="32"/>
      <c r="E16" s="32"/>
    </row>
    <row r="17" spans="2:5" ht="56.1" customHeight="1" x14ac:dyDescent="0.25">
      <c r="B17" s="31" t="s">
        <v>27</v>
      </c>
      <c r="C17" s="32"/>
      <c r="D17" s="32"/>
      <c r="E17" s="32"/>
    </row>
    <row r="19" spans="2:5" ht="18" customHeight="1" x14ac:dyDescent="0.25">
      <c r="B19" s="35" t="s">
        <v>28</v>
      </c>
      <c r="C19" s="32"/>
      <c r="D19" s="32"/>
      <c r="E19" s="32"/>
    </row>
    <row r="20" spans="2:5" ht="15.95" customHeight="1" x14ac:dyDescent="0.25">
      <c r="B20" s="5" t="s">
        <v>29</v>
      </c>
      <c r="C20" s="36" t="s">
        <v>30</v>
      </c>
      <c r="D20" s="32"/>
      <c r="E20" s="32"/>
    </row>
    <row r="21" spans="2:5" ht="15.95" customHeight="1" x14ac:dyDescent="0.25">
      <c r="B21" s="6" t="s">
        <v>31</v>
      </c>
      <c r="C21" s="36" t="s">
        <v>32</v>
      </c>
      <c r="D21" s="32"/>
      <c r="E21" s="32"/>
    </row>
    <row r="22" spans="2:5" ht="15.95" customHeight="1" x14ac:dyDescent="0.25">
      <c r="B22" s="7" t="s">
        <v>33</v>
      </c>
      <c r="C22" s="36" t="s">
        <v>34</v>
      </c>
      <c r="D22" s="32"/>
      <c r="E22" s="32"/>
    </row>
    <row r="23" spans="2:5" ht="15.95" customHeight="1" x14ac:dyDescent="0.25">
      <c r="B23" s="8" t="s">
        <v>35</v>
      </c>
      <c r="C23" s="36" t="s">
        <v>36</v>
      </c>
      <c r="D23" s="32"/>
      <c r="E23" s="32"/>
    </row>
    <row r="25" spans="2:5" ht="18" customHeight="1" x14ac:dyDescent="0.25">
      <c r="B25" s="35" t="s">
        <v>37</v>
      </c>
      <c r="C25" s="32"/>
      <c r="D25" s="32"/>
      <c r="E25" s="32"/>
    </row>
    <row r="26" spans="2:5" x14ac:dyDescent="0.25">
      <c r="B26" s="9" t="s">
        <v>6</v>
      </c>
      <c r="C26" s="9" t="s">
        <v>18</v>
      </c>
      <c r="D26" s="9" t="s">
        <v>38</v>
      </c>
      <c r="E26" s="9" t="s">
        <v>39</v>
      </c>
    </row>
    <row r="27" spans="2:5" ht="25.5" x14ac:dyDescent="0.25">
      <c r="B27" s="4" t="s">
        <v>40</v>
      </c>
      <c r="C27" s="4" t="s">
        <v>41</v>
      </c>
      <c r="D27" s="4" t="s">
        <v>42</v>
      </c>
      <c r="E27" s="4" t="s">
        <v>43</v>
      </c>
    </row>
    <row r="28" spans="2:5" ht="25.5" x14ac:dyDescent="0.25">
      <c r="B28" s="4" t="s">
        <v>7</v>
      </c>
      <c r="C28" s="4" t="s">
        <v>19</v>
      </c>
      <c r="D28" s="4" t="s">
        <v>42</v>
      </c>
      <c r="E28" s="4" t="s">
        <v>44</v>
      </c>
    </row>
  </sheetData>
  <mergeCells count="14">
    <mergeCell ref="B25:E25"/>
    <mergeCell ref="B3:E3"/>
    <mergeCell ref="B2:E2"/>
    <mergeCell ref="B19:E19"/>
    <mergeCell ref="C21:E21"/>
    <mergeCell ref="C20:E20"/>
    <mergeCell ref="B14:E14"/>
    <mergeCell ref="B17:E17"/>
    <mergeCell ref="B4:E4"/>
    <mergeCell ref="B13:E13"/>
    <mergeCell ref="C23:E23"/>
    <mergeCell ref="B6:E6"/>
    <mergeCell ref="C22:E22"/>
    <mergeCell ref="B16:E16"/>
  </mergeCells>
  <printOptions horizontalCentered="1"/>
  <pageMargins left="0.75" right="0.75" top="1" bottom="1" header="0.5" footer="0.5"/>
  <pageSetup fitToHeight="0" orientation="portrait"/>
  <headerFooter>
    <oddFooter>&amp;LElyon Solutions International Inc.&amp;CConfidential – Prepared for Vifel Ice Plant &amp; Cold Storage, Inc.&amp;RPage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2"/>
  <sheetViews>
    <sheetView showGridLines="0" tabSelected="1" workbookViewId="0">
      <pane xSplit="3" ySplit="3" topLeftCell="D4" activePane="bottomRight" state="frozen"/>
      <selection pane="topRight"/>
      <selection pane="bottomLeft"/>
      <selection pane="bottomRight" activeCell="E9" sqref="E9"/>
    </sheetView>
  </sheetViews>
  <sheetFormatPr defaultRowHeight="15" x14ac:dyDescent="0.25"/>
  <cols>
    <col min="1" max="1" width="7" customWidth="1"/>
    <col min="2" max="2" width="18" customWidth="1"/>
    <col min="3" max="3" width="10" customWidth="1"/>
    <col min="4" max="4" width="44" customWidth="1"/>
    <col min="5" max="6" width="40" customWidth="1"/>
    <col min="7" max="7" width="26" customWidth="1"/>
    <col min="8" max="8" width="28.5703125" customWidth="1"/>
    <col min="9" max="9" width="22" customWidth="1"/>
  </cols>
  <sheetData>
    <row r="1" spans="1:10" ht="24" customHeight="1" x14ac:dyDescent="0.25">
      <c r="A1" s="41" t="s">
        <v>45</v>
      </c>
      <c r="B1" s="34"/>
      <c r="C1" s="34"/>
      <c r="D1" s="34"/>
      <c r="E1" s="34"/>
      <c r="F1" s="34"/>
      <c r="G1" s="34"/>
      <c r="H1" s="34"/>
      <c r="I1" s="34"/>
    </row>
    <row r="2" spans="1:10" ht="18" customHeight="1" x14ac:dyDescent="0.25">
      <c r="A2" s="40" t="s">
        <v>46</v>
      </c>
      <c r="B2" s="34"/>
      <c r="C2" s="34"/>
      <c r="D2" s="34"/>
      <c r="E2" s="34"/>
      <c r="F2" s="34"/>
      <c r="G2" s="34"/>
      <c r="H2" s="34"/>
      <c r="I2" s="34"/>
    </row>
    <row r="3" spans="1:10" ht="32.1" customHeight="1" x14ac:dyDescent="0.25">
      <c r="A3" s="10" t="s">
        <v>47</v>
      </c>
      <c r="B3" s="10" t="s">
        <v>48</v>
      </c>
      <c r="C3" s="10" t="s">
        <v>49</v>
      </c>
      <c r="D3" s="10" t="s">
        <v>50</v>
      </c>
      <c r="E3" s="10" t="s">
        <v>51</v>
      </c>
      <c r="F3" s="10" t="s">
        <v>52</v>
      </c>
      <c r="G3" s="10" t="s">
        <v>53</v>
      </c>
      <c r="H3" s="10" t="s">
        <v>10</v>
      </c>
      <c r="I3" s="10" t="s">
        <v>54</v>
      </c>
    </row>
    <row r="4" spans="1:10" ht="20.100000000000001" customHeight="1" x14ac:dyDescent="0.25">
      <c r="A4" s="39" t="s">
        <v>55</v>
      </c>
      <c r="B4" s="32"/>
      <c r="C4" s="32"/>
      <c r="D4" s="32"/>
      <c r="E4" s="32"/>
      <c r="F4" s="32"/>
      <c r="G4" s="32"/>
      <c r="H4" s="32"/>
      <c r="I4" s="32"/>
    </row>
    <row r="5" spans="1:10" ht="51" customHeight="1" x14ac:dyDescent="0.25">
      <c r="A5" s="11" t="s">
        <v>56</v>
      </c>
      <c r="B5" s="12" t="s">
        <v>57</v>
      </c>
      <c r="C5" s="13" t="s">
        <v>58</v>
      </c>
      <c r="D5" s="12" t="s">
        <v>59</v>
      </c>
      <c r="E5" s="12" t="s">
        <v>60</v>
      </c>
      <c r="F5" s="12" t="s">
        <v>61</v>
      </c>
      <c r="G5" s="12"/>
      <c r="H5" s="14"/>
      <c r="I5" s="12"/>
      <c r="J5" t="s">
        <v>168</v>
      </c>
    </row>
    <row r="6" spans="1:10" ht="51" x14ac:dyDescent="0.25">
      <c r="A6" s="15" t="s">
        <v>62</v>
      </c>
      <c r="B6" s="16" t="s">
        <v>57</v>
      </c>
      <c r="C6" s="13" t="s">
        <v>58</v>
      </c>
      <c r="D6" s="16" t="s">
        <v>63</v>
      </c>
      <c r="E6" s="16" t="s">
        <v>64</v>
      </c>
      <c r="F6" s="16" t="s">
        <v>65</v>
      </c>
      <c r="G6" s="16"/>
      <c r="H6" s="17"/>
      <c r="I6" s="16"/>
      <c r="J6" t="s">
        <v>168</v>
      </c>
    </row>
    <row r="7" spans="1:10" ht="38.25" x14ac:dyDescent="0.25">
      <c r="A7" s="11" t="s">
        <v>66</v>
      </c>
      <c r="B7" s="12" t="s">
        <v>57</v>
      </c>
      <c r="C7" s="18" t="s">
        <v>67</v>
      </c>
      <c r="D7" s="12" t="s">
        <v>68</v>
      </c>
      <c r="E7" s="12" t="s">
        <v>69</v>
      </c>
      <c r="F7" s="12" t="s">
        <v>70</v>
      </c>
      <c r="G7" s="12"/>
      <c r="H7" s="14"/>
      <c r="I7" s="12"/>
      <c r="J7" t="s">
        <v>168</v>
      </c>
    </row>
    <row r="8" spans="1:10" ht="20.100000000000001" customHeight="1" x14ac:dyDescent="0.25">
      <c r="A8" s="39" t="s">
        <v>71</v>
      </c>
      <c r="B8" s="32"/>
      <c r="C8" s="32"/>
      <c r="D8" s="32"/>
      <c r="E8" s="32"/>
      <c r="F8" s="32"/>
      <c r="G8" s="32"/>
      <c r="H8" s="32"/>
      <c r="I8" s="32"/>
    </row>
    <row r="9" spans="1:10" ht="51" x14ac:dyDescent="0.25">
      <c r="A9" s="11" t="s">
        <v>72</v>
      </c>
      <c r="B9" s="16" t="s">
        <v>86</v>
      </c>
      <c r="C9" s="19" t="s">
        <v>74</v>
      </c>
      <c r="D9" s="16" t="s">
        <v>87</v>
      </c>
      <c r="E9" s="16" t="s">
        <v>88</v>
      </c>
      <c r="F9" s="16" t="s">
        <v>89</v>
      </c>
      <c r="G9" s="16"/>
      <c r="H9" s="17"/>
      <c r="I9" s="16"/>
      <c r="J9" t="s">
        <v>168</v>
      </c>
    </row>
    <row r="10" spans="1:10" ht="51.6" customHeight="1" x14ac:dyDescent="0.25">
      <c r="A10" s="15" t="s">
        <v>78</v>
      </c>
      <c r="B10" s="12" t="s">
        <v>91</v>
      </c>
      <c r="C10" s="13" t="s">
        <v>58</v>
      </c>
      <c r="D10" s="12" t="s">
        <v>92</v>
      </c>
      <c r="E10" s="12" t="s">
        <v>93</v>
      </c>
      <c r="F10" s="12" t="s">
        <v>94</v>
      </c>
      <c r="G10" s="12"/>
      <c r="H10" s="14"/>
      <c r="I10" s="12"/>
      <c r="J10" t="s">
        <v>168</v>
      </c>
    </row>
    <row r="11" spans="1:10" ht="63.95" customHeight="1" x14ac:dyDescent="0.25">
      <c r="A11" s="11" t="s">
        <v>82</v>
      </c>
      <c r="B11" s="12" t="s">
        <v>73</v>
      </c>
      <c r="C11" s="19" t="s">
        <v>74</v>
      </c>
      <c r="D11" s="12" t="s">
        <v>75</v>
      </c>
      <c r="E11" s="12" t="s">
        <v>76</v>
      </c>
      <c r="F11" s="12" t="s">
        <v>77</v>
      </c>
      <c r="G11" s="12"/>
      <c r="H11" s="14"/>
      <c r="I11" s="12"/>
      <c r="J11" t="s">
        <v>168</v>
      </c>
    </row>
    <row r="12" spans="1:10" ht="63.95" customHeight="1" x14ac:dyDescent="0.25">
      <c r="A12" s="15" t="s">
        <v>85</v>
      </c>
      <c r="B12" s="16" t="s">
        <v>73</v>
      </c>
      <c r="C12" s="13" t="s">
        <v>58</v>
      </c>
      <c r="D12" s="16" t="s">
        <v>79</v>
      </c>
      <c r="E12" s="16" t="s">
        <v>80</v>
      </c>
      <c r="F12" s="16" t="s">
        <v>81</v>
      </c>
      <c r="G12" s="16"/>
      <c r="H12" s="17"/>
      <c r="I12" s="16"/>
      <c r="J12" t="s">
        <v>168</v>
      </c>
    </row>
    <row r="13" spans="1:10" ht="76.5" customHeight="1" x14ac:dyDescent="0.25">
      <c r="A13" s="11" t="s">
        <v>90</v>
      </c>
      <c r="B13" s="12" t="s">
        <v>83</v>
      </c>
      <c r="C13" s="19" t="s">
        <v>74</v>
      </c>
      <c r="D13" s="12" t="s">
        <v>166</v>
      </c>
      <c r="E13" s="12" t="s">
        <v>167</v>
      </c>
      <c r="F13" s="12" t="s">
        <v>84</v>
      </c>
      <c r="G13" s="12"/>
      <c r="H13" s="14"/>
      <c r="I13" s="12"/>
      <c r="J13" t="s">
        <v>168</v>
      </c>
    </row>
    <row r="14" spans="1:10" ht="63.95" customHeight="1" x14ac:dyDescent="0.25">
      <c r="A14" s="15" t="s">
        <v>95</v>
      </c>
      <c r="B14" s="16" t="s">
        <v>116</v>
      </c>
      <c r="C14" s="13" t="s">
        <v>58</v>
      </c>
      <c r="D14" s="16" t="s">
        <v>117</v>
      </c>
      <c r="E14" s="16" t="s">
        <v>118</v>
      </c>
      <c r="F14" s="16" t="s">
        <v>119</v>
      </c>
      <c r="G14" s="16"/>
      <c r="H14" s="17"/>
      <c r="I14" s="16"/>
    </row>
    <row r="15" spans="1:10" ht="51.6" customHeight="1" x14ac:dyDescent="0.25">
      <c r="A15" s="15" t="s">
        <v>100</v>
      </c>
      <c r="B15" s="16" t="s">
        <v>96</v>
      </c>
      <c r="C15" s="18" t="s">
        <v>67</v>
      </c>
      <c r="D15" s="16" t="s">
        <v>97</v>
      </c>
      <c r="E15" s="16" t="s">
        <v>98</v>
      </c>
      <c r="F15" s="16" t="s">
        <v>99</v>
      </c>
      <c r="G15" s="16"/>
      <c r="H15" s="17"/>
      <c r="I15" s="16"/>
    </row>
    <row r="16" spans="1:10" ht="63.95" customHeight="1" x14ac:dyDescent="0.25">
      <c r="A16" s="11" t="s">
        <v>101</v>
      </c>
      <c r="B16" s="16" t="s">
        <v>102</v>
      </c>
      <c r="C16" s="13" t="s">
        <v>58</v>
      </c>
      <c r="D16" s="16" t="s">
        <v>103</v>
      </c>
      <c r="E16" s="16" t="s">
        <v>104</v>
      </c>
      <c r="F16" s="16" t="s">
        <v>105</v>
      </c>
      <c r="G16" s="12"/>
      <c r="H16" s="14"/>
      <c r="I16" s="12"/>
    </row>
    <row r="17" spans="1:9" ht="63.95" customHeight="1" x14ac:dyDescent="0.25">
      <c r="A17" s="11" t="s">
        <v>106</v>
      </c>
      <c r="B17" s="12" t="s">
        <v>102</v>
      </c>
      <c r="C17" s="13" t="s">
        <v>58</v>
      </c>
      <c r="D17" s="12" t="s">
        <v>107</v>
      </c>
      <c r="E17" s="12" t="s">
        <v>169</v>
      </c>
      <c r="F17" s="12" t="s">
        <v>108</v>
      </c>
      <c r="G17" s="12"/>
      <c r="H17" s="14"/>
      <c r="I17" s="12"/>
    </row>
    <row r="18" spans="1:9" ht="20.100000000000001" customHeight="1" x14ac:dyDescent="0.25">
      <c r="A18" s="39" t="s">
        <v>109</v>
      </c>
      <c r="B18" s="32"/>
      <c r="C18" s="32"/>
      <c r="D18" s="32"/>
      <c r="E18" s="32"/>
      <c r="F18" s="32"/>
      <c r="G18" s="32"/>
      <c r="H18" s="32"/>
      <c r="I18" s="32"/>
    </row>
    <row r="19" spans="1:9" ht="51" x14ac:dyDescent="0.25">
      <c r="A19" s="11" t="s">
        <v>110</v>
      </c>
      <c r="B19" s="12" t="s">
        <v>111</v>
      </c>
      <c r="C19" s="19" t="s">
        <v>74</v>
      </c>
      <c r="D19" s="12" t="s">
        <v>112</v>
      </c>
      <c r="E19" s="12" t="s">
        <v>113</v>
      </c>
      <c r="F19" s="12" t="s">
        <v>114</v>
      </c>
      <c r="G19" s="12"/>
      <c r="H19" s="14"/>
      <c r="I19" s="12"/>
    </row>
    <row r="20" spans="1:9" ht="63.95" customHeight="1" x14ac:dyDescent="0.25">
      <c r="A20" s="15" t="s">
        <v>115</v>
      </c>
      <c r="B20" s="12" t="s">
        <v>121</v>
      </c>
      <c r="C20" s="13" t="s">
        <v>58</v>
      </c>
      <c r="D20" s="12" t="s">
        <v>122</v>
      </c>
      <c r="E20" s="12" t="s">
        <v>123</v>
      </c>
      <c r="F20" s="12" t="s">
        <v>124</v>
      </c>
      <c r="G20" s="16"/>
      <c r="H20" s="17"/>
      <c r="I20" s="16"/>
    </row>
    <row r="21" spans="1:9" ht="51.6" customHeight="1" x14ac:dyDescent="0.25">
      <c r="A21" s="11" t="s">
        <v>120</v>
      </c>
      <c r="B21" s="16" t="s">
        <v>126</v>
      </c>
      <c r="C21" s="18" t="s">
        <v>67</v>
      </c>
      <c r="D21" s="16" t="s">
        <v>127</v>
      </c>
      <c r="E21" s="16" t="s">
        <v>128</v>
      </c>
      <c r="F21" s="16" t="s">
        <v>129</v>
      </c>
      <c r="G21" s="12"/>
      <c r="H21" s="14"/>
      <c r="I21" s="12"/>
    </row>
    <row r="22" spans="1:9" ht="51.6" customHeight="1" x14ac:dyDescent="0.25">
      <c r="A22" s="15" t="s">
        <v>125</v>
      </c>
      <c r="B22" s="12" t="s">
        <v>130</v>
      </c>
      <c r="C22" s="13" t="s">
        <v>58</v>
      </c>
      <c r="D22" s="12" t="s">
        <v>131</v>
      </c>
      <c r="E22" s="12" t="s">
        <v>132</v>
      </c>
      <c r="F22" s="12" t="s">
        <v>133</v>
      </c>
      <c r="G22" s="16"/>
      <c r="H22" s="17"/>
      <c r="I22" s="16"/>
    </row>
    <row r="23" spans="1:9" ht="20.100000000000001" customHeight="1" x14ac:dyDescent="0.25">
      <c r="A23" s="39" t="s">
        <v>134</v>
      </c>
      <c r="B23" s="32"/>
      <c r="C23" s="32"/>
      <c r="D23" s="32"/>
      <c r="E23" s="32"/>
      <c r="F23" s="32"/>
      <c r="G23" s="32"/>
      <c r="H23" s="32"/>
      <c r="I23" s="32"/>
    </row>
    <row r="24" spans="1:9" ht="38.25" x14ac:dyDescent="0.25">
      <c r="A24" s="11" t="s">
        <v>135</v>
      </c>
      <c r="B24" s="12" t="s">
        <v>136</v>
      </c>
      <c r="C24" s="19" t="s">
        <v>74</v>
      </c>
      <c r="D24" s="12" t="s">
        <v>165</v>
      </c>
      <c r="E24" s="12" t="s">
        <v>137</v>
      </c>
      <c r="F24" s="12" t="s">
        <v>164</v>
      </c>
      <c r="G24" s="12"/>
      <c r="H24" s="14"/>
      <c r="I24" s="12"/>
    </row>
    <row r="25" spans="1:9" ht="51.6" customHeight="1" x14ac:dyDescent="0.25">
      <c r="A25" s="11" t="s">
        <v>138</v>
      </c>
      <c r="B25" s="12" t="s">
        <v>139</v>
      </c>
      <c r="C25" s="18" t="s">
        <v>67</v>
      </c>
      <c r="D25" s="12" t="s">
        <v>140</v>
      </c>
      <c r="E25" s="12" t="s">
        <v>141</v>
      </c>
      <c r="F25" s="12" t="s">
        <v>142</v>
      </c>
      <c r="G25" s="12"/>
      <c r="H25" s="14"/>
      <c r="I25" s="12"/>
    </row>
    <row r="27" spans="1:9" x14ac:dyDescent="0.25">
      <c r="F27" s="1" t="s">
        <v>156</v>
      </c>
      <c r="G27" s="2"/>
      <c r="H27" s="2"/>
      <c r="I27" s="2"/>
    </row>
    <row r="28" spans="1:9" x14ac:dyDescent="0.25">
      <c r="F28" s="29" t="s">
        <v>157</v>
      </c>
      <c r="G28" s="29" t="s">
        <v>158</v>
      </c>
      <c r="H28" s="29" t="s">
        <v>159</v>
      </c>
      <c r="I28" s="29" t="s">
        <v>18</v>
      </c>
    </row>
    <row r="29" spans="1:9" x14ac:dyDescent="0.25">
      <c r="F29" s="30" t="s">
        <v>160</v>
      </c>
      <c r="G29" s="2" t="s">
        <v>170</v>
      </c>
      <c r="H29" s="2"/>
      <c r="I29" s="2"/>
    </row>
    <row r="30" spans="1:9" x14ac:dyDescent="0.25">
      <c r="F30" s="30" t="s">
        <v>161</v>
      </c>
      <c r="G30" s="2"/>
      <c r="H30" s="2"/>
      <c r="I30" s="2"/>
    </row>
    <row r="31" spans="1:9" x14ac:dyDescent="0.25">
      <c r="F31" s="30" t="s">
        <v>162</v>
      </c>
      <c r="G31" s="2"/>
      <c r="H31" s="2"/>
      <c r="I31" s="2"/>
    </row>
    <row r="32" spans="1:9" x14ac:dyDescent="0.25">
      <c r="F32" s="30" t="s">
        <v>163</v>
      </c>
      <c r="G32" s="2"/>
      <c r="H32" s="2"/>
      <c r="I32" s="2"/>
    </row>
  </sheetData>
  <autoFilter ref="A3:I25" xr:uid="{00000000-0009-0000-0000-000001000000}"/>
  <mergeCells count="6">
    <mergeCell ref="A23:I23"/>
    <mergeCell ref="A18:I18"/>
    <mergeCell ref="A2:I2"/>
    <mergeCell ref="A1:I1"/>
    <mergeCell ref="A8:I8"/>
    <mergeCell ref="A4:I4"/>
  </mergeCells>
  <phoneticPr fontId="19" type="noConversion"/>
  <conditionalFormatting sqref="H5:H7 H24:H25 H9:H17">
    <cfRule type="cellIs" dxfId="7" priority="1" operator="equal">
      <formula>"Pass"</formula>
    </cfRule>
    <cfRule type="cellIs" dxfId="6" priority="2" operator="equal">
      <formula>"Fail"</formula>
    </cfRule>
    <cfRule type="cellIs" dxfId="5" priority="3" operator="equal">
      <formula>"Blocked"</formula>
    </cfRule>
    <cfRule type="cellIs" dxfId="4" priority="4" operator="equal">
      <formula>"Not Executed"</formula>
    </cfRule>
  </conditionalFormatting>
  <conditionalFormatting sqref="H19:H22">
    <cfRule type="cellIs" dxfId="3" priority="53" operator="equal">
      <formula>"Pass"</formula>
    </cfRule>
    <cfRule type="cellIs" dxfId="2" priority="54" operator="equal">
      <formula>"Fail"</formula>
    </cfRule>
    <cfRule type="cellIs" dxfId="1" priority="55" operator="equal">
      <formula>"Blocked"</formula>
    </cfRule>
    <cfRule type="cellIs" dxfId="0" priority="56" operator="equal">
      <formula>"Not Executed"</formula>
    </cfRule>
  </conditionalFormatting>
  <dataValidations count="1">
    <dataValidation type="list" allowBlank="1" errorTitle="Invalid status" error="Select Pass, Fail, Blocked or Not Executed." sqref="H5:H7 H9:H17 H19:H22 H24:H25" xr:uid="{00000000-0002-0000-0100-000000000000}">
      <formula1>"Pass,Fail,Blocked,Not Executed"</formula1>
    </dataValidation>
  </dataValidations>
  <printOptions horizontalCentered="1"/>
  <pageMargins left="0.75" right="0.75" top="1" bottom="1" header="0.5" footer="0.5"/>
  <pageSetup paperSize="9" fitToHeight="0" orientation="landscape" r:id="rId1"/>
  <headerFooter>
    <oddFooter>&amp;LElyon Solutions International Inc.&amp;CConfidential – Prepared for Vifel Ice Plant &amp; Cold Storage, Inc.&amp;RPage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E28"/>
  <sheetViews>
    <sheetView showGridLines="0" workbookViewId="0">
      <selection activeCell="B23" sqref="B23:E28"/>
    </sheetView>
  </sheetViews>
  <sheetFormatPr defaultRowHeight="15" x14ac:dyDescent="0.25"/>
  <cols>
    <col min="1" max="1" width="3" customWidth="1"/>
    <col min="2" max="2" width="30" customWidth="1"/>
    <col min="3" max="4" width="16" customWidth="1"/>
    <col min="5" max="5" width="30" customWidth="1"/>
    <col min="6" max="6" width="3" customWidth="1"/>
  </cols>
  <sheetData>
    <row r="2" spans="2:5" ht="24" customHeight="1" x14ac:dyDescent="0.25">
      <c r="B2" s="41" t="s">
        <v>143</v>
      </c>
      <c r="C2" s="34"/>
      <c r="D2" s="34"/>
      <c r="E2" s="34"/>
    </row>
    <row r="4" spans="2:5" x14ac:dyDescent="0.25">
      <c r="B4" s="9" t="s">
        <v>144</v>
      </c>
      <c r="C4" s="9" t="s">
        <v>145</v>
      </c>
      <c r="D4" s="9" t="s">
        <v>146</v>
      </c>
      <c r="E4" s="44"/>
    </row>
    <row r="5" spans="2:5" ht="15.95" customHeight="1" x14ac:dyDescent="0.25">
      <c r="B5" s="20" t="s">
        <v>147</v>
      </c>
      <c r="C5" s="21" t="s">
        <v>148</v>
      </c>
      <c r="D5" s="22" t="s">
        <v>149</v>
      </c>
      <c r="E5" s="32"/>
    </row>
    <row r="6" spans="2:5" ht="15.95" customHeight="1" x14ac:dyDescent="0.25">
      <c r="B6" s="23" t="s">
        <v>29</v>
      </c>
      <c r="C6" s="21" t="e">
        <f>COUNTIF('Test Cases'!H5,"Pass")+COUNTIF('Test Cases'!H6,"Pass")+COUNTIF('Test Cases'!H7,"Pass")+COUNTIF('Test Cases'!H11,"Pass")+COUNTIF('Test Cases'!H12,"Pass")+COUNTIF('Test Cases'!H13,"Pass")+COUNTIF('Test Cases'!H9,"Pass")+COUNTIF('Test Cases'!H10,"Pass")+COUNTIF('Test Cases'!H14,"Pass")+COUNTIF('Test Cases'!#REF!,"Pass")+COUNTIF('Test Cases'!H15,"Pass")+COUNTIF('Test Cases'!H16,"Pass")+COUNTIF('Test Cases'!#REF!,"Pass")+COUNTIF('Test Cases'!H19,"Pass")+COUNTIF('Test Cases'!H20,"Pass")+COUNTIF('Test Cases'!H21,"Pass")+COUNTIF('Test Cases'!H22,"Pass")+COUNTIF('Test Cases'!#REF!,"Pass")+COUNTIF('Test Cases'!H24,"Pass")+COUNTIF('Test Cases'!#REF!,"Pass")+COUNTIF('Test Cases'!H25,"Pass")+COUNTIF('Test Cases'!#REF!,"Pass")</f>
        <v>#REF!</v>
      </c>
      <c r="D6" s="24" t="e">
        <f>IF($C$5=0,0,C6/$C$5)</f>
        <v>#REF!</v>
      </c>
      <c r="E6" s="32"/>
    </row>
    <row r="7" spans="2:5" ht="15.95" customHeight="1" x14ac:dyDescent="0.25">
      <c r="B7" s="25" t="s">
        <v>31</v>
      </c>
      <c r="C7" s="21" t="e">
        <f>COUNTIF('Test Cases'!H5,"Fail")+COUNTIF('Test Cases'!H6,"Fail")+COUNTIF('Test Cases'!H7,"Fail")+COUNTIF('Test Cases'!H11,"Fail")+COUNTIF('Test Cases'!H12,"Fail")+COUNTIF('Test Cases'!H13,"Fail")+COUNTIF('Test Cases'!H9,"Fail")+COUNTIF('Test Cases'!H10,"Fail")+COUNTIF('Test Cases'!H14,"Fail")+COUNTIF('Test Cases'!#REF!,"Fail")+COUNTIF('Test Cases'!H15,"Fail")+COUNTIF('Test Cases'!H16,"Fail")+COUNTIF('Test Cases'!#REF!,"Fail")+COUNTIF('Test Cases'!H19,"Fail")+COUNTIF('Test Cases'!H20,"Fail")+COUNTIF('Test Cases'!H21,"Fail")+COUNTIF('Test Cases'!H22,"Fail")+COUNTIF('Test Cases'!#REF!,"Fail")+COUNTIF('Test Cases'!H24,"Fail")+COUNTIF('Test Cases'!#REF!,"Fail")+COUNTIF('Test Cases'!H25,"Fail")+COUNTIF('Test Cases'!#REF!,"Fail")</f>
        <v>#REF!</v>
      </c>
      <c r="D7" s="24" t="e">
        <f>IF($C$5=0,0,C7/$C$5)</f>
        <v>#REF!</v>
      </c>
      <c r="E7" s="32"/>
    </row>
    <row r="8" spans="2:5" ht="15.95" customHeight="1" x14ac:dyDescent="0.25">
      <c r="B8" s="26" t="s">
        <v>33</v>
      </c>
      <c r="C8" s="21" t="e">
        <f>COUNTIF('Test Cases'!H5,"Blocked")+COUNTIF('Test Cases'!H6,"Blocked")+COUNTIF('Test Cases'!H7,"Blocked")+COUNTIF('Test Cases'!H11,"Blocked")+COUNTIF('Test Cases'!H12,"Blocked")+COUNTIF('Test Cases'!H13,"Blocked")+COUNTIF('Test Cases'!H9,"Blocked")+COUNTIF('Test Cases'!H10,"Blocked")+COUNTIF('Test Cases'!H14,"Blocked")+COUNTIF('Test Cases'!#REF!,"Blocked")+COUNTIF('Test Cases'!H15,"Blocked")+COUNTIF('Test Cases'!H16,"Blocked")+COUNTIF('Test Cases'!#REF!,"Blocked")+COUNTIF('Test Cases'!H19,"Blocked")+COUNTIF('Test Cases'!H20,"Blocked")+COUNTIF('Test Cases'!H21,"Blocked")+COUNTIF('Test Cases'!H22,"Blocked")+COUNTIF('Test Cases'!#REF!,"Blocked")+COUNTIF('Test Cases'!H24,"Blocked")+COUNTIF('Test Cases'!#REF!,"Blocked")+COUNTIF('Test Cases'!H25,"Blocked")+COUNTIF('Test Cases'!#REF!,"Blocked")</f>
        <v>#REF!</v>
      </c>
      <c r="D8" s="24" t="e">
        <f>IF($C$5=0,0,C8/$C$5)</f>
        <v>#REF!</v>
      </c>
      <c r="E8" s="32"/>
    </row>
    <row r="9" spans="2:5" ht="15.95" customHeight="1" x14ac:dyDescent="0.25">
      <c r="B9" s="27" t="s">
        <v>35</v>
      </c>
      <c r="C9" s="21" t="e">
        <f>22-(COUNTIF('Test Cases'!H5,"Pass")+COUNTIF('Test Cases'!H6,"Pass")+COUNTIF('Test Cases'!H7,"Pass")+COUNTIF('Test Cases'!H11,"Pass")+COUNTIF('Test Cases'!H12,"Pass")+COUNTIF('Test Cases'!H13,"Pass")+COUNTIF('Test Cases'!H9,"Pass")+COUNTIF('Test Cases'!H10,"Pass")+COUNTIF('Test Cases'!H14,"Pass")+COUNTIF('Test Cases'!#REF!,"Pass")+COUNTIF('Test Cases'!H15,"Pass")+COUNTIF('Test Cases'!H16,"Pass")+COUNTIF('Test Cases'!#REF!,"Pass")+COUNTIF('Test Cases'!H19,"Pass")+COUNTIF('Test Cases'!H20,"Pass")+COUNTIF('Test Cases'!H21,"Pass")+COUNTIF('Test Cases'!H22,"Pass")+COUNTIF('Test Cases'!#REF!,"Pass")+COUNTIF('Test Cases'!H24,"Pass")+COUNTIF('Test Cases'!#REF!,"Pass")+COUNTIF('Test Cases'!H25,"Pass")+COUNTIF('Test Cases'!#REF!,"Pass")+COUNTIF('Test Cases'!H5,"Fail")+COUNTIF('Test Cases'!H6,"Fail")+COUNTIF('Test Cases'!H7,"Fail")+COUNTIF('Test Cases'!H11,"Fail")+COUNTIF('Test Cases'!H12,"Fail")+COUNTIF('Test Cases'!H13,"Fail")+COUNTIF('Test Cases'!H9,"Fail")+COUNTIF('Test Cases'!H10,"Fail")+COUNTIF('Test Cases'!H14,"Fail")+COUNTIF('Test Cases'!#REF!,"Fail")+COUNTIF('Test Cases'!H15,"Fail")+COUNTIF('Test Cases'!H16,"Fail")+COUNTIF('Test Cases'!#REF!,"Fail")+COUNTIF('Test Cases'!H19,"Fail")+COUNTIF('Test Cases'!H20,"Fail")+COUNTIF('Test Cases'!H21,"Fail")+COUNTIF('Test Cases'!H22,"Fail")+COUNTIF('Test Cases'!#REF!,"Fail")+COUNTIF('Test Cases'!H24,"Fail")+COUNTIF('Test Cases'!#REF!,"Fail")+COUNTIF('Test Cases'!H25,"Fail")+COUNTIF('Test Cases'!#REF!,"Fail")+COUNTIF('Test Cases'!H5,"Blocked")+COUNTIF('Test Cases'!H6,"Blocked")+COUNTIF('Test Cases'!H7,"Blocked")+COUNTIF('Test Cases'!H11,"Blocked")+COUNTIF('Test Cases'!H12,"Blocked")+COUNTIF('Test Cases'!H13,"Blocked")+COUNTIF('Test Cases'!H9,"Blocked")+COUNTIF('Test Cases'!H10,"Blocked")+COUNTIF('Test Cases'!H14,"Blocked")+COUNTIF('Test Cases'!#REF!,"Blocked")+COUNTIF('Test Cases'!H15,"Blocked")+COUNTIF('Test Cases'!H16,"Blocked")+COUNTIF('Test Cases'!#REF!,"Blocked")+COUNTIF('Test Cases'!H19,"Blocked")+COUNTIF('Test Cases'!H20,"Blocked")+COUNTIF('Test Cases'!H21,"Blocked")+COUNTIF('Test Cases'!H22,"Blocked")+COUNTIF('Test Cases'!#REF!,"Blocked")+COUNTIF('Test Cases'!H24,"Blocked")+COUNTIF('Test Cases'!#REF!,"Blocked")+COUNTIF('Test Cases'!H25,"Blocked")+COUNTIF('Test Cases'!#REF!,"Blocked"))</f>
        <v>#REF!</v>
      </c>
      <c r="D9" s="24" t="e">
        <f>IF($C$5=0,0,C9/$C$5)</f>
        <v>#REF!</v>
      </c>
      <c r="E9" s="32"/>
    </row>
    <row r="10" spans="2:5" ht="18" customHeight="1" x14ac:dyDescent="0.25">
      <c r="B10" s="28" t="s">
        <v>150</v>
      </c>
      <c r="C10" s="43" t="e">
        <f>IF($C$5=0,0,(COUNTIF('Test Cases'!H5,"Pass")+COUNTIF('Test Cases'!H6,"Pass")+COUNTIF('Test Cases'!H7,"Pass")+COUNTIF('Test Cases'!H11,"Pass")+COUNTIF('Test Cases'!H12,"Pass")+COUNTIF('Test Cases'!H13,"Pass")+COUNTIF('Test Cases'!H9,"Pass")+COUNTIF('Test Cases'!H10,"Pass")+COUNTIF('Test Cases'!H14,"Pass")+COUNTIF('Test Cases'!#REF!,"Pass")+COUNTIF('Test Cases'!H15,"Pass")+COUNTIF('Test Cases'!H16,"Pass")+COUNTIF('Test Cases'!#REF!,"Pass")+COUNTIF('Test Cases'!H19,"Pass")+COUNTIF('Test Cases'!H20,"Pass")+COUNTIF('Test Cases'!H21,"Pass")+COUNTIF('Test Cases'!H22,"Pass")+COUNTIF('Test Cases'!#REF!,"Pass")+COUNTIF('Test Cases'!H24,"Pass")+COUNTIF('Test Cases'!#REF!,"Pass")+COUNTIF('Test Cases'!H25,"Pass")+COUNTIF('Test Cases'!#REF!,"Pass"))/$C$5)</f>
        <v>#REF!</v>
      </c>
      <c r="D10" s="32"/>
      <c r="E10" s="32"/>
    </row>
    <row r="13" spans="2:5" x14ac:dyDescent="0.25">
      <c r="B13" s="45" t="s">
        <v>151</v>
      </c>
      <c r="C13" s="32"/>
      <c r="D13" s="32"/>
      <c r="E13" s="32"/>
    </row>
    <row r="14" spans="2:5" ht="15.95" customHeight="1" x14ac:dyDescent="0.25">
      <c r="B14" s="46" t="s">
        <v>152</v>
      </c>
      <c r="C14" s="32"/>
      <c r="D14" s="32"/>
      <c r="E14" s="32"/>
    </row>
    <row r="15" spans="2:5" ht="15.95" customHeight="1" x14ac:dyDescent="0.25">
      <c r="B15" s="46" t="s">
        <v>153</v>
      </c>
      <c r="C15" s="32"/>
      <c r="D15" s="32"/>
      <c r="E15" s="32"/>
    </row>
    <row r="16" spans="2:5" ht="15.95" customHeight="1" x14ac:dyDescent="0.25">
      <c r="B16" s="46" t="s">
        <v>154</v>
      </c>
      <c r="C16" s="32"/>
      <c r="D16" s="32"/>
      <c r="E16" s="32"/>
    </row>
    <row r="18" spans="2:5" x14ac:dyDescent="0.25">
      <c r="B18" s="42" t="s">
        <v>155</v>
      </c>
      <c r="C18" s="32"/>
      <c r="D18" s="32"/>
      <c r="E18" s="32"/>
    </row>
    <row r="19" spans="2:5" x14ac:dyDescent="0.25">
      <c r="B19" s="32"/>
      <c r="C19" s="32"/>
      <c r="D19" s="32"/>
      <c r="E19" s="32"/>
    </row>
    <row r="20" spans="2:5" x14ac:dyDescent="0.25">
      <c r="B20" s="32"/>
      <c r="C20" s="32"/>
      <c r="D20" s="32"/>
      <c r="E20" s="32"/>
    </row>
    <row r="21" spans="2:5" x14ac:dyDescent="0.25">
      <c r="B21" s="32"/>
      <c r="C21" s="32"/>
      <c r="D21" s="32"/>
      <c r="E21" s="32"/>
    </row>
    <row r="23" spans="2:5" x14ac:dyDescent="0.25">
      <c r="B23" s="35" t="s">
        <v>156</v>
      </c>
      <c r="C23" s="32"/>
      <c r="D23" s="32"/>
      <c r="E23" s="32"/>
    </row>
    <row r="24" spans="2:5" x14ac:dyDescent="0.25">
      <c r="B24" s="29" t="s">
        <v>157</v>
      </c>
      <c r="C24" s="29" t="s">
        <v>158</v>
      </c>
      <c r="D24" s="29" t="s">
        <v>159</v>
      </c>
      <c r="E24" s="29" t="s">
        <v>18</v>
      </c>
    </row>
    <row r="25" spans="2:5" ht="30" customHeight="1" x14ac:dyDescent="0.25">
      <c r="B25" s="30" t="s">
        <v>160</v>
      </c>
      <c r="C25" s="2"/>
      <c r="D25" s="2"/>
      <c r="E25" s="2"/>
    </row>
    <row r="26" spans="2:5" ht="30" customHeight="1" x14ac:dyDescent="0.25">
      <c r="B26" s="30" t="s">
        <v>161</v>
      </c>
      <c r="C26" s="2"/>
      <c r="D26" s="2"/>
      <c r="E26" s="2"/>
    </row>
    <row r="27" spans="2:5" ht="30" customHeight="1" x14ac:dyDescent="0.25">
      <c r="B27" s="30" t="s">
        <v>162</v>
      </c>
      <c r="C27" s="2"/>
      <c r="D27" s="2"/>
      <c r="E27" s="2"/>
    </row>
    <row r="28" spans="2:5" ht="30" customHeight="1" x14ac:dyDescent="0.25">
      <c r="B28" s="30" t="s">
        <v>163</v>
      </c>
      <c r="C28" s="2"/>
      <c r="D28" s="2"/>
      <c r="E28" s="2"/>
    </row>
  </sheetData>
  <mergeCells count="16">
    <mergeCell ref="B2:E2"/>
    <mergeCell ref="E10"/>
    <mergeCell ref="B19:E21"/>
    <mergeCell ref="B14:E14"/>
    <mergeCell ref="E5"/>
    <mergeCell ref="E4"/>
    <mergeCell ref="B13:E13"/>
    <mergeCell ref="B16:E16"/>
    <mergeCell ref="E7"/>
    <mergeCell ref="B15:E15"/>
    <mergeCell ref="E6"/>
    <mergeCell ref="E9"/>
    <mergeCell ref="B23:E23"/>
    <mergeCell ref="E8"/>
    <mergeCell ref="B18:E18"/>
    <mergeCell ref="C10:D10"/>
  </mergeCells>
  <printOptions horizontalCentered="1"/>
  <pageMargins left="0.75" right="0.75" top="1" bottom="1" header="0.5" footer="0.5"/>
  <pageSetup fitToHeight="0" orientation="portrait"/>
  <headerFooter>
    <oddFooter>&amp;LElyon Solutions International Inc.&amp;CConfidential – Prepared for Vifel Ice Plant &amp; Cold Storage, Inc.&amp;RPage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Document Control</vt:lpstr>
      <vt:lpstr>Test Cases</vt:lpstr>
      <vt:lpstr>Summary &amp; Sign-off</vt:lpstr>
      <vt:lpstr>'Test Cases'!Print_Titles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Merge Pallet Feature - UAT Test Script</dc:title>
  <dc:creator>Elyon Solutions International Inc.</dc:creator>
  <cp:lastModifiedBy>Mark Templanza</cp:lastModifiedBy>
  <dcterms:created xsi:type="dcterms:W3CDTF">2026-08-02T11:11:05Z</dcterms:created>
  <dcterms:modified xsi:type="dcterms:W3CDTF">2026-08-05T01:10:29Z</dcterms:modified>
</cp:coreProperties>
</file>