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cument Control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Summary &amp; Sign-off" sheetId="3" state="visible" r:id="rId3"/>
  </sheets>
  <definedNames>
    <definedName name="_xlnm._FilterDatabase" localSheetId="1" hidden="1">'Test Cases'!$A$3:$I$29</definedName>
    <definedName name="_xlnm.Print_Titles" localSheetId="1">'Test Cases'!$1:$3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b val="1"/>
      <color rgb="00FFFFFF"/>
      <sz val="12"/>
    </font>
    <font>
      <name val="Calibri"/>
      <b val="1"/>
      <color rgb="001F3864"/>
      <sz val="11"/>
    </font>
    <font>
      <name val="Calibri"/>
      <b val="1"/>
      <color rgb="00FFFFFF"/>
      <sz val="10.5"/>
    </font>
    <font>
      <name val="Calibri"/>
      <b val="1"/>
      <color rgb="001F3864"/>
      <sz val="10"/>
    </font>
    <font>
      <name val="Calibri"/>
      <color rgb="00000000"/>
      <sz val="10"/>
    </font>
    <font>
      <name val="Calibri"/>
      <b val="1"/>
      <color rgb="00006100"/>
      <sz val="10"/>
    </font>
    <font>
      <name val="Calibri"/>
      <b val="1"/>
      <color rgb="009C0006"/>
      <sz val="10"/>
    </font>
    <font>
      <name val="Calibri"/>
      <b val="1"/>
      <color rgb="009C6500"/>
      <sz val="10"/>
    </font>
    <font>
      <name val="Calibri"/>
      <b val="1"/>
      <color rgb="003F3F3F"/>
      <sz val="10"/>
    </font>
    <font>
      <name val="Calibri"/>
      <b val="1"/>
      <color rgb="00FFFFFF"/>
      <sz val="10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b val="1"/>
      <color rgb="001F3864"/>
      <sz val="9.5"/>
    </font>
    <font>
      <name val="Calibri"/>
      <color rgb="00000000"/>
      <sz val="9.5"/>
    </font>
    <font>
      <name val="Calibri"/>
      <b val="1"/>
      <color rgb="00FFFFFF"/>
      <sz val="9"/>
    </font>
    <font>
      <name val="Calibri"/>
      <color rgb="00000000"/>
      <sz val="9"/>
    </font>
    <font>
      <name val="Calibri"/>
      <b val="1"/>
      <color rgb="00000000"/>
      <sz val="10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1F6F6F"/>
      </patternFill>
    </fill>
    <fill>
      <patternFill patternType="solid">
        <fgColor rgb="00FFFFFF"/>
      </patternFill>
    </fill>
    <fill>
      <patternFill patternType="solid">
        <fgColor rgb="00E26B0A"/>
      </patternFill>
    </fill>
    <fill>
      <patternFill patternType="solid">
        <fgColor rgb="00EAF0FA"/>
      </patternFill>
    </fill>
    <fill>
      <patternFill patternType="solid">
        <fgColor rgb="00BF9000"/>
      </patternFill>
    </fill>
    <fill>
      <patternFill patternType="solid">
        <fgColor rgb="00C00000"/>
      </patternFill>
    </fill>
    <fill>
      <patternFill patternType="solid">
        <fgColor rgb="0080808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0" fontId="0" fillId="0" borderId="1" pivotButton="0" quotePrefix="0" xfId="0"/>
    <xf numFmtId="0" fontId="5" fillId="5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top" wrapText="1"/>
    </xf>
    <xf numFmtId="0" fontId="7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3" borderId="1" pivotButton="0" quotePrefix="0" xfId="0"/>
    <xf numFmtId="0" fontId="12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 wrapText="1"/>
    </xf>
    <xf numFmtId="0" fontId="13" fillId="10" borderId="1" applyAlignment="1" pivotButton="0" quotePrefix="0" xfId="0">
      <alignment horizontal="left" vertical="center"/>
    </xf>
    <xf numFmtId="0" fontId="14" fillId="11" borderId="1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left" vertical="top" wrapText="1"/>
    </xf>
    <xf numFmtId="0" fontId="16" fillId="12" borderId="1" applyAlignment="1" pivotButton="0" quotePrefix="0" xfId="0">
      <alignment horizontal="center" vertical="center" wrapText="1"/>
    </xf>
    <xf numFmtId="0" fontId="17" fillId="11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0" fontId="15" fillId="13" borderId="1" applyAlignment="1" pivotButton="0" quotePrefix="0" xfId="0">
      <alignment horizontal="left" vertical="top" wrapText="1"/>
    </xf>
    <xf numFmtId="0" fontId="17" fillId="13" borderId="1" applyAlignment="1" pivotButton="0" quotePrefix="0" xfId="0">
      <alignment horizontal="center" vertical="center" wrapText="1"/>
    </xf>
    <xf numFmtId="0" fontId="16" fillId="14" borderId="1" applyAlignment="1" pivotButton="0" quotePrefix="0" xfId="0">
      <alignment horizontal="center" vertical="center" wrapText="1"/>
    </xf>
    <xf numFmtId="0" fontId="16" fillId="15" borderId="1" applyAlignment="1" pivotButton="0" quotePrefix="0" xfId="0">
      <alignment horizontal="center" vertical="center" wrapText="1"/>
    </xf>
    <xf numFmtId="0" fontId="16" fillId="16" borderId="1" applyAlignment="1" pivotButton="0" quotePrefix="0" xfId="0">
      <alignment horizontal="center" vertical="center" wrapText="1"/>
    </xf>
    <xf numFmtId="0" fontId="5" fillId="5" borderId="1" pivotButton="0" quotePrefix="0" xfId="0"/>
    <xf numFmtId="0" fontId="18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5" fillId="6" borderId="1" pivotButton="0" quotePrefix="0" xfId="0"/>
    <xf numFmtId="164" fontId="6" fillId="0" borderId="1" applyAlignment="1" pivotButton="0" quotePrefix="0" xfId="0">
      <alignment horizontal="center" vertical="center"/>
    </xf>
    <xf numFmtId="0" fontId="5" fillId="7" borderId="1" pivotButton="0" quotePrefix="0" xfId="0"/>
    <xf numFmtId="0" fontId="5" fillId="8" borderId="1" pivotButton="0" quotePrefix="0" xfId="0"/>
    <xf numFmtId="0" fontId="5" fillId="9" borderId="1" pivotButton="0" quotePrefix="0" xfId="0"/>
    <xf numFmtId="0" fontId="11" fillId="2" borderId="1" pivotButton="0" quotePrefix="0" xfId="0"/>
    <xf numFmtId="164" fontId="3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6" fillId="0" borderId="1" pivotButton="0" quotePrefix="0" xfId="0"/>
    <xf numFmtId="0" fontId="5" fillId="0" borderId="1" pivotButton="0" quotePrefix="0" xfId="0"/>
    <xf numFmtId="0" fontId="11" fillId="3" borderId="1" applyAlignment="1" pivotButton="0" quotePrefix="0" xfId="0">
      <alignment horizontal="center" vertical="center"/>
    </xf>
    <xf numFmtId="0" fontId="18" fillId="5" borderId="1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06100"/>
        <sz val="9"/>
      </font>
      <fill>
        <patternFill patternType="solid">
          <fgColor rgb="00C6EFCE"/>
        </patternFill>
      </fill>
    </dxf>
    <dxf>
      <font>
        <name val="Calibri"/>
        <b val="1"/>
        <color rgb="009C0006"/>
        <sz val="9"/>
      </font>
      <fill>
        <patternFill patternType="solid">
          <fgColor rgb="00FFC7CE"/>
        </patternFill>
      </fill>
    </dxf>
    <dxf>
      <font>
        <name val="Calibri"/>
        <b val="1"/>
        <color rgb="009C6500"/>
        <sz val="9"/>
      </font>
      <fill>
        <patternFill patternType="solid">
          <fgColor rgb="00FFEB9C"/>
        </patternFill>
      </fill>
    </dxf>
    <dxf>
      <font>
        <name val="Calibri"/>
        <b val="1"/>
        <color rgb="003F3F3F"/>
        <sz val="9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E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30" customWidth="1" min="3" max="3"/>
    <col width="26" customWidth="1" min="4" max="4"/>
    <col width="30" customWidth="1" min="5" max="5"/>
    <col width="3" customWidth="1" min="6" max="6"/>
  </cols>
  <sheetData>
    <row r="2" ht="26" customHeight="1">
      <c r="B2" s="1" t="inlineStr">
        <is>
          <t>ELYON SOLUTIONS INTERNATIONAL INC.</t>
        </is>
      </c>
    </row>
    <row r="3" ht="22" customHeight="1">
      <c r="B3" s="2" t="inlineStr">
        <is>
          <t>User Acceptance Testing (UAT) Test Script</t>
        </is>
      </c>
    </row>
    <row r="4" ht="20" customHeight="1">
      <c r="B4" s="3" t="inlineStr">
        <is>
          <t>Client-Specific Requirement Enhancement  –  Merge Pallet Feature</t>
        </is>
      </c>
    </row>
    <row r="6" ht="18" customHeight="1">
      <c r="B6" s="4" t="inlineStr">
        <is>
          <t>DOCUMENT INFORMATION</t>
        </is>
      </c>
      <c r="C6" s="5" t="n"/>
      <c r="D6" s="5" t="n"/>
      <c r="E6" s="5" t="n"/>
    </row>
    <row r="7" ht="17" customHeight="1">
      <c r="B7" s="6" t="inlineStr">
        <is>
          <t>Document Title</t>
        </is>
      </c>
      <c r="C7" s="7" t="inlineStr">
        <is>
          <t>Merge Pallet Feature – UAT Test Script</t>
        </is>
      </c>
      <c r="D7" s="6" t="inlineStr">
        <is>
          <t>Version</t>
        </is>
      </c>
      <c r="E7" s="7" t="inlineStr">
        <is>
          <t>1.1</t>
        </is>
      </c>
    </row>
    <row r="8" ht="17" customHeight="1">
      <c r="B8" s="6" t="inlineStr">
        <is>
          <t>System</t>
        </is>
      </c>
      <c r="C8" s="7" t="inlineStr">
        <is>
          <t>VIFEL Odoo 17 Enterprise – WMS</t>
        </is>
      </c>
      <c r="D8" s="6" t="inlineStr">
        <is>
          <t>Status</t>
        </is>
      </c>
      <c r="E8" s="7" t="inlineStr">
        <is>
          <t>For UAT Execution</t>
        </is>
      </c>
    </row>
    <row r="9" ht="17" customHeight="1">
      <c r="B9" s="6" t="inlineStr">
        <is>
          <t>Module</t>
        </is>
      </c>
      <c r="C9" s="7" t="inlineStr">
        <is>
          <t>vifel_client_requirements (Merge Pallet)</t>
        </is>
      </c>
      <c r="D9" s="6" t="inlineStr">
        <is>
          <t>Environment</t>
        </is>
      </c>
      <c r="E9" s="7" t="inlineStr">
        <is>
          <t>UAT / Staging</t>
        </is>
      </c>
    </row>
    <row r="10" ht="17" customHeight="1">
      <c r="B10" s="6" t="inlineStr">
        <is>
          <t>Prepared By (Vendor)</t>
        </is>
      </c>
      <c r="C10" s="7" t="inlineStr">
        <is>
          <t>Elyon Solutions International Inc.</t>
        </is>
      </c>
      <c r="D10" s="6" t="inlineStr">
        <is>
          <t>Date</t>
        </is>
      </c>
      <c r="E10" s="7" t="inlineStr">
        <is>
          <t>02-Aug-2026</t>
        </is>
      </c>
    </row>
    <row r="11" ht="17" customHeight="1">
      <c r="B11" s="6" t="inlineStr">
        <is>
          <t>Prepared For (Client)</t>
        </is>
      </c>
      <c r="C11" s="7" t="inlineStr">
        <is>
          <t>Vifel Ice Plant &amp; Cold Storage, Inc.</t>
        </is>
      </c>
      <c r="D11" s="6" t="inlineStr">
        <is>
          <t>Reference</t>
        </is>
      </c>
      <c r="E11" s="7" t="inlineStr">
        <is>
          <t>VIFEL-CR-MergePallet</t>
        </is>
      </c>
    </row>
    <row r="13" ht="18" customHeight="1">
      <c r="B13" s="4" t="inlineStr">
        <is>
          <t>1.  PURPOSE</t>
        </is>
      </c>
      <c r="C13" s="5" t="n"/>
      <c r="D13" s="5" t="n"/>
      <c r="E13" s="5" t="n"/>
    </row>
    <row r="14" ht="54" customHeight="1">
      <c r="B14" s="8" t="inlineStr">
        <is>
          <t>This test script lets Vifel Ice Plant &amp; Cold Storage, Inc. confirm that the Merge Pallet feature delivered by Elyon Solutions International Inc. behaves correctly against the agreed business requirements. Each row is a real business scenario phrased as a question; the tester performs it and records whether the system's behaviour matches the Expected Result.</t>
        </is>
      </c>
      <c r="C14" s="5" t="n"/>
      <c r="D14" s="5" t="n"/>
      <c r="E14" s="5" t="n"/>
    </row>
    <row r="16" ht="18" customHeight="1">
      <c r="B16" s="4" t="inlineStr">
        <is>
          <t>2.  HOW THIS SCRIPT IS ORGANISED</t>
        </is>
      </c>
      <c r="C16" s="5" t="n"/>
      <c r="D16" s="5" t="n"/>
      <c r="E16" s="5" t="n"/>
    </row>
    <row r="17" ht="56" customHeight="1">
      <c r="B17" s="8" t="inlineStr">
        <is>
          <t>The 'Test Cases' sheet is grouped by OPERATION TYPE so you test one activity fully before moving on — no jumping back and forth:  (A) Setup &amp; Configuration → (B) Receiving (RR) → (C) Withdrawal (WR) → (D) Reports &amp; Count Integrity.  Do the setup once, then work each coloured section top-to-bottom. Record Actual Result, set Status from the drop-down, and note any issue in Remarks.</t>
        </is>
      </c>
      <c r="C17" s="5" t="n"/>
      <c r="D17" s="5" t="n"/>
      <c r="E17" s="5" t="n"/>
    </row>
    <row r="19" ht="18" customHeight="1">
      <c r="B19" s="4" t="inlineStr">
        <is>
          <t>3.  STATUS LEGEND</t>
        </is>
      </c>
      <c r="C19" s="5" t="n"/>
      <c r="D19" s="5" t="n"/>
      <c r="E19" s="5" t="n"/>
    </row>
    <row r="20" ht="16" customHeight="1">
      <c r="B20" s="9" t="inlineStr">
        <is>
          <t>Pass</t>
        </is>
      </c>
      <c r="C20" s="7" t="inlineStr">
        <is>
          <t>Behaviour matches the Expected Result.</t>
        </is>
      </c>
      <c r="D20" s="5" t="n"/>
      <c r="E20" s="5" t="n"/>
    </row>
    <row r="21" ht="16" customHeight="1">
      <c r="B21" s="10" t="inlineStr">
        <is>
          <t>Fail</t>
        </is>
      </c>
      <c r="C21" s="7" t="inlineStr">
        <is>
          <t>Behaviour differs; log the issue in Remarks.</t>
        </is>
      </c>
      <c r="D21" s="5" t="n"/>
      <c r="E21" s="5" t="n"/>
    </row>
    <row r="22" ht="16" customHeight="1">
      <c r="B22" s="11" t="inlineStr">
        <is>
          <t>Blocked</t>
        </is>
      </c>
      <c r="C22" s="7" t="inlineStr">
        <is>
          <t>Cannot be executed (dependency / defect).</t>
        </is>
      </c>
      <c r="D22" s="5" t="n"/>
      <c r="E22" s="5" t="n"/>
    </row>
    <row r="23" ht="16" customHeight="1">
      <c r="B23" s="12" t="inlineStr">
        <is>
          <t>Not Executed</t>
        </is>
      </c>
      <c r="C23" s="7" t="inlineStr">
        <is>
          <t>Not yet run.</t>
        </is>
      </c>
      <c r="D23" s="5" t="n"/>
      <c r="E23" s="5" t="n"/>
    </row>
    <row r="25" ht="18" customHeight="1">
      <c r="B25" s="4" t="inlineStr">
        <is>
          <t>4.  REVISION HISTORY</t>
        </is>
      </c>
      <c r="C25" s="5" t="n"/>
      <c r="D25" s="5" t="n"/>
      <c r="E25" s="5" t="n"/>
    </row>
    <row r="26">
      <c r="B26" s="13" t="inlineStr">
        <is>
          <t>Version</t>
        </is>
      </c>
      <c r="C26" s="13" t="inlineStr">
        <is>
          <t>Date</t>
        </is>
      </c>
      <c r="D26" s="13" t="inlineStr">
        <is>
          <t>Author</t>
        </is>
      </c>
      <c r="E26" s="13" t="inlineStr">
        <is>
          <t>Description</t>
        </is>
      </c>
    </row>
    <row r="27">
      <c r="B27" s="7" t="inlineStr">
        <is>
          <t>1.0</t>
        </is>
      </c>
      <c r="C27" s="7" t="inlineStr">
        <is>
          <t>28-Jul-2026</t>
        </is>
      </c>
      <c r="D27" s="7" t="inlineStr">
        <is>
          <t>Elyon Solutions</t>
        </is>
      </c>
      <c r="E27" s="7" t="inlineStr">
        <is>
          <t>Initial scenario-based UAT test script.</t>
        </is>
      </c>
    </row>
    <row r="28">
      <c r="B28" s="7" t="inlineStr">
        <is>
          <t>1.1</t>
        </is>
      </c>
      <c r="C28" s="7" t="inlineStr">
        <is>
          <t>02-Aug-2026</t>
        </is>
      </c>
      <c r="D28" s="7" t="inlineStr">
        <is>
          <t>Elyon Solutions</t>
        </is>
      </c>
      <c r="E28" s="7" t="inlineStr">
        <is>
          <t>Grouped by operation type; added Lot No./Batch #/Prodcode cases.</t>
        </is>
      </c>
    </row>
  </sheetData>
  <mergeCells count="14">
    <mergeCell ref="B17:E17"/>
    <mergeCell ref="B4:E4"/>
    <mergeCell ref="B13:E13"/>
    <mergeCell ref="C23:E23"/>
    <mergeCell ref="B6:E6"/>
    <mergeCell ref="C22:E22"/>
    <mergeCell ref="B16:E16"/>
    <mergeCell ref="B25:E25"/>
    <mergeCell ref="B3:E3"/>
    <mergeCell ref="B2:E2"/>
    <mergeCell ref="B19:E19"/>
    <mergeCell ref="C21:E21"/>
    <mergeCell ref="C20:E20"/>
    <mergeCell ref="B14:E14"/>
  </mergeCells>
  <printOptions horizontalCentered="1"/>
  <pageMargins left="0.75" right="0.75" top="1" bottom="1" header="0.5" footer="0.5"/>
  <pageSetup orientation="portrait" fitToHeight="0" fitToWidth="1"/>
  <headerFooter>
    <oddHeader/>
    <oddFooter>&amp;LElyon Solutions International Inc.&amp;CConfidential – Prepared for Vifel Ice Plant &amp; Cold Storage, Inc.&amp;RPage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10" customWidth="1" min="3" max="3"/>
    <col width="44" customWidth="1" min="4" max="4"/>
    <col width="40" customWidth="1" min="5" max="5"/>
    <col width="40" customWidth="1" min="6" max="6"/>
    <col width="26" customWidth="1" min="7" max="7"/>
    <col width="14" customWidth="1" min="8" max="8"/>
    <col width="22" customWidth="1" min="9" max="9"/>
  </cols>
  <sheetData>
    <row r="1" ht="24" customHeight="1">
      <c r="A1" s="14" t="inlineStr">
        <is>
          <t>MERGE PALLET FEATURE  –  UAT SCENARIO CHECKLIST (BY OPERATION TYPE)</t>
        </is>
      </c>
    </row>
    <row r="2" ht="18" customHeight="1">
      <c r="A2" s="15" t="inlineStr">
        <is>
          <t>Elyon Solutions International Inc.    •    Client: Vifel Ice Plant &amp; Cold Storage, Inc.    •    Version 1.1</t>
        </is>
      </c>
    </row>
    <row r="3" ht="32" customHeight="1">
      <c r="A3" s="16" t="inlineStr">
        <is>
          <t>Ref</t>
        </is>
      </c>
      <c r="B3" s="16" t="inlineStr">
        <is>
          <t>Requirement /
Feature</t>
        </is>
      </c>
      <c r="C3" s="16" t="inlineStr">
        <is>
          <t>Priority</t>
        </is>
      </c>
      <c r="D3" s="16" t="inlineStr">
        <is>
          <t>Scenario Question (What we are verifying)</t>
        </is>
      </c>
      <c r="E3" s="16" t="inlineStr">
        <is>
          <t>How to Test</t>
        </is>
      </c>
      <c r="F3" s="16" t="inlineStr">
        <is>
          <t>Expected Result</t>
        </is>
      </c>
      <c r="G3" s="16" t="inlineStr">
        <is>
          <t>Actual Result</t>
        </is>
      </c>
      <c r="H3" s="16" t="inlineStr">
        <is>
          <t>Status</t>
        </is>
      </c>
      <c r="I3" s="16" t="inlineStr">
        <is>
          <t>Remarks</t>
        </is>
      </c>
    </row>
    <row r="4" ht="20" customHeight="1">
      <c r="A4" s="17" t="inlineStr">
        <is>
          <t>A.  SETUP &amp; CONFIGURATION  (do once)</t>
        </is>
      </c>
      <c r="B4" s="5" t="n"/>
      <c r="C4" s="5" t="n"/>
      <c r="D4" s="5" t="n"/>
      <c r="E4" s="5" t="n"/>
      <c r="F4" s="5" t="n"/>
      <c r="G4" s="5" t="n"/>
      <c r="H4" s="5" t="n"/>
      <c r="I4" s="5" t="n"/>
    </row>
    <row r="5" ht="76.5" customHeight="1">
      <c r="A5" s="18" t="inlineStr">
        <is>
          <t>MP-A1</t>
        </is>
      </c>
      <c r="B5" s="19" t="inlineStr">
        <is>
          <t>Client Setup</t>
        </is>
      </c>
      <c r="C5" s="20" t="inlineStr">
        <is>
          <t>High</t>
        </is>
      </c>
      <c r="D5" s="19" t="inlineStr">
        <is>
          <t>When a Vifel client is switched on for merging, do the merge options appear only for that client?</t>
        </is>
      </c>
      <c r="E5" s="19" t="inlineStr">
        <is>
          <t>On the client's contact, tick 'Can Merge Pallets' in the VIFEL Configuration tab and save. Open a receipt for this client, then for a different (non-enabled) client.</t>
        </is>
      </c>
      <c r="F5" s="19" t="inlineStr">
        <is>
          <t>The VIFEL Configuration options and the Merge feature appear ONLY for the enabled client; other clients are unaffected.</t>
        </is>
      </c>
      <c r="G5" s="19" t="inlineStr"/>
      <c r="H5" s="21" t="inlineStr"/>
      <c r="I5" s="19" t="inlineStr"/>
    </row>
    <row r="6" ht="76.5" customHeight="1">
      <c r="A6" s="22" t="inlineStr">
        <is>
          <t>MP-A2</t>
        </is>
      </c>
      <c r="B6" s="23" t="inlineStr">
        <is>
          <t>Client Setup</t>
        </is>
      </c>
      <c r="C6" s="20" t="inlineStr">
        <is>
          <t>High</t>
        </is>
      </c>
      <c r="D6" s="23" t="inlineStr">
        <is>
          <t>Can we set the two merge modes — Fixed (one pinned pallet) and Multiple (special PSI types)?</t>
        </is>
      </c>
      <c r="E6" s="23" t="inlineStr">
        <is>
          <t>For one client set Fixed mode + pin a pallet and a Fixed PSI. For another, tick Multiple Pallet Support and confirm the PSI types (MDGM/SDMG/TDMG/BOC) auto-seed.</t>
        </is>
      </c>
      <c r="F6" s="23" t="inlineStr">
        <is>
          <t>Fixed mode saves the pinned pallet + PSI; Multiple mode shows the special PSI types with descriptions.</t>
        </is>
      </c>
      <c r="G6" s="23" t="inlineStr"/>
      <c r="H6" s="24" t="inlineStr"/>
      <c r="I6" s="23" t="inlineStr"/>
    </row>
    <row r="7" ht="51.5" customHeight="1">
      <c r="A7" s="18" t="inlineStr">
        <is>
          <t>MP-A3</t>
        </is>
      </c>
      <c r="B7" s="19" t="inlineStr">
        <is>
          <t>Client Setup</t>
        </is>
      </c>
      <c r="C7" s="25" t="inlineStr">
        <is>
          <t>Medium</t>
        </is>
      </c>
      <c r="D7" s="19" t="inlineStr">
        <is>
          <t>Do the Lot No. and Batch # / Prodcode columns switch on per client from the profile?</t>
        </is>
      </c>
      <c r="E7" s="19" t="inlineStr">
        <is>
          <t>Tick 'Show Lot No.' and 'Show Batch # / Prodcode' for the client, save, and open its Pallet Breakdown.</t>
        </is>
      </c>
      <c r="F7" s="19" t="inlineStr">
        <is>
          <t>The Lot No. and Batch # columns appear for this client only; other clients don't see them.</t>
        </is>
      </c>
      <c r="G7" s="19" t="inlineStr"/>
      <c r="H7" s="21" t="inlineStr"/>
      <c r="I7" s="19" t="inlineStr"/>
    </row>
    <row r="8" ht="20" customHeight="1">
      <c r="A8" s="17" t="inlineStr">
        <is>
          <t>B.  RECEIVING  (RR)</t>
        </is>
      </c>
      <c r="B8" s="5" t="n"/>
      <c r="C8" s="5" t="n"/>
      <c r="D8" s="5" t="n"/>
      <c r="E8" s="5" t="n"/>
      <c r="F8" s="5" t="n"/>
      <c r="G8" s="5" t="n"/>
      <c r="H8" s="5" t="n"/>
      <c r="I8" s="5" t="n"/>
    </row>
    <row r="9" ht="64" customHeight="1">
      <c r="A9" s="18" t="inlineStr">
        <is>
          <t>MP-B1</t>
        </is>
      </c>
      <c r="B9" s="19" t="inlineStr">
        <is>
          <t>Merge on Receipt</t>
        </is>
      </c>
      <c r="C9" s="26" t="inlineStr">
        <is>
          <t>Critical</t>
        </is>
      </c>
      <c r="D9" s="19" t="inlineStr">
        <is>
          <t>On merge of an existing PSI pallet, does it NOT add a pallet to the count (+0)?</t>
        </is>
      </c>
      <c r="E9" s="19" t="inlineStr">
        <is>
          <t>On an RR line, click 'Merge Pallet' and pick an existing stocked pallet. Confirm. Compare the received pallet count before and after.</t>
        </is>
      </c>
      <c r="F9" s="19" t="inlineStr">
        <is>
          <t>The line adopts the target's Pallet Series and location; it is flagged 'Merged'; the received pallet count does NOT increase (+0).</t>
        </is>
      </c>
      <c r="G9" s="19" t="inlineStr"/>
      <c r="H9" s="21" t="inlineStr"/>
      <c r="I9" s="19" t="inlineStr"/>
    </row>
    <row r="10" ht="51.5" customHeight="1">
      <c r="A10" s="22" t="inlineStr">
        <is>
          <t>MP-B2</t>
        </is>
      </c>
      <c r="B10" s="23" t="inlineStr">
        <is>
          <t>Merge on Receipt</t>
        </is>
      </c>
      <c r="C10" s="20" t="inlineStr">
        <is>
          <t>High</t>
        </is>
      </c>
      <c r="D10" s="23" t="inlineStr">
        <is>
          <t>When a line is merged (+0 pallet), do Weight (KG), Quantity and Packs still count in full?</t>
        </is>
      </c>
      <c r="E10" s="23" t="inlineStr">
        <is>
          <t>Review a merged line's Weight (KG), Quantity and Packs after the merge.</t>
        </is>
      </c>
      <c r="F10" s="23" t="inlineStr">
        <is>
          <t>Weight (KG), Quantity and Packs are recorded in full. Only the pallet count is +0; the goods are not lost.</t>
        </is>
      </c>
      <c r="G10" s="23" t="inlineStr"/>
      <c r="H10" s="24" t="inlineStr"/>
      <c r="I10" s="23" t="inlineStr"/>
    </row>
    <row r="11" ht="64" customHeight="1">
      <c r="A11" s="18" t="inlineStr">
        <is>
          <t>MP-B3</t>
        </is>
      </c>
      <c r="B11" s="19" t="inlineStr">
        <is>
          <t>Same-Receipt Merge</t>
        </is>
      </c>
      <c r="C11" s="26" t="inlineStr">
        <is>
          <t>Critical</t>
        </is>
      </c>
      <c r="D11" s="19" t="inlineStr">
        <is>
          <t>If two lines of the SAME receipt sit on one pallet, is that counted as ONE pallet (+1), not two?</t>
        </is>
      </c>
      <c r="E11" s="19" t="inlineStr">
        <is>
          <t>On line 1 assign/start a pallet. On line 2 click 'Merge Pallet' and choose line 1's pallet ('On this receipt'). Validate and check the received count.</t>
        </is>
      </c>
      <c r="F11" s="19" t="inlineStr">
        <is>
          <t>Both lines share one pallet and Pallet Series; the receipt counts them as exactly ONE received pallet (+1). Both lines show 'Merged'.</t>
        </is>
      </c>
      <c r="G11" s="19" t="inlineStr"/>
      <c r="H11" s="21" t="inlineStr"/>
      <c r="I11" s="19" t="inlineStr"/>
    </row>
    <row r="12" ht="64" customHeight="1">
      <c r="A12" s="22" t="inlineStr">
        <is>
          <t>MP-B4</t>
        </is>
      </c>
      <c r="B12" s="23" t="inlineStr">
        <is>
          <t>Fixed Pallet</t>
        </is>
      </c>
      <c r="C12" s="26" t="inlineStr">
        <is>
          <t>Critical</t>
        </is>
      </c>
      <c r="D12" s="23" t="inlineStr">
        <is>
          <t>For a Fixed client, does the FIRST stock onto the empty pinned pallet count as a received pallet (+1), and a later receipt as +0?</t>
        </is>
      </c>
      <c r="E12" s="23" t="inlineStr">
        <is>
          <t>Merge Pallet onto the empty pinned pallet, validate, check the count. Then on a NEW RR merge onto the now-stocked pinned pallet and check again.</t>
        </is>
      </c>
      <c r="F12" s="23" t="inlineStr">
        <is>
          <t>The first stock counts +1 (it births the pallet); the later receipt merges +0 (no new pallet). Weight/Qty/Packs count in full both times.</t>
        </is>
      </c>
      <c r="G12" s="23" t="inlineStr"/>
      <c r="H12" s="24" t="inlineStr"/>
      <c r="I12" s="23" t="inlineStr"/>
    </row>
    <row r="13" ht="76.5" customHeight="1">
      <c r="A13" s="18" t="inlineStr">
        <is>
          <t>MP-B5</t>
        </is>
      </c>
      <c r="B13" s="19" t="inlineStr">
        <is>
          <t>New Special Pallet</t>
        </is>
      </c>
      <c r="C13" s="20" t="inlineStr">
        <is>
          <t>High</t>
        </is>
      </c>
      <c r="D13" s="19" t="inlineStr">
        <is>
          <t>Starting a NEW special pallet (e.g. SDMG) — is it counted as +1, and is its location limited to the receipt's building?</t>
        </is>
      </c>
      <c r="E13" s="19" t="inlineStr">
        <is>
          <t>On an RR line choose 'Start a New Special Pallet', pick a PSI type, an empty pallet and a location. Try a location in another building, then a valid one; confirm and check the count.</t>
        </is>
      </c>
      <c r="F13" s="19" t="inlineStr">
        <is>
          <t>Only locations under the receipt's destination building are offered/accepted; the new pallet counts as ONE received pallet (+1).</t>
        </is>
      </c>
      <c r="G13" s="19" t="inlineStr"/>
      <c r="H13" s="21" t="inlineStr"/>
      <c r="I13" s="19" t="inlineStr"/>
    </row>
    <row r="14" ht="64" customHeight="1">
      <c r="A14" s="22" t="inlineStr">
        <is>
          <t>MP-B6</t>
        </is>
      </c>
      <c r="B14" s="23" t="inlineStr">
        <is>
          <t>Merge Wizard</t>
        </is>
      </c>
      <c r="C14" s="25" t="inlineStr">
        <is>
          <t>Medium</t>
        </is>
      </c>
      <c r="D14" s="23" t="inlineStr">
        <is>
          <t>In the merge wizard, if I toggle a second 'Merge Here' pallet, does the first one switch off (only one target)?</t>
        </is>
      </c>
      <c r="E14" s="23" t="inlineStr">
        <is>
          <t>Open Merge Pallet. Toggle 'Merge Here' on one candidate pallet, then on a second candidate.</t>
        </is>
      </c>
      <c r="F14" s="23" t="inlineStr">
        <is>
          <t>Only one 'Merge Here' can be active at a time; selecting a second switches the first off. The system never merges onto two pallets.</t>
        </is>
      </c>
      <c r="G14" s="23" t="inlineStr"/>
      <c r="H14" s="24" t="inlineStr"/>
      <c r="I14" s="23" t="inlineStr"/>
    </row>
    <row r="15" ht="51.5" customHeight="1">
      <c r="A15" s="18" t="inlineStr">
        <is>
          <t>MP-B7</t>
        </is>
      </c>
      <c r="B15" s="19" t="inlineStr">
        <is>
          <t>Magic Wizard</t>
        </is>
      </c>
      <c r="C15" s="25" t="inlineStr">
        <is>
          <t>Medium</t>
        </is>
      </c>
      <c r="D15" s="19" t="inlineStr">
        <is>
          <t>Closing the merge dialog with 'X' inside the Magic Wizard — does it return me to the Magic Wizard (not lose my session)?</t>
        </is>
      </c>
      <c r="E15" s="19" t="inlineStr">
        <is>
          <t>From the Magic Wizard, click Merge on a row (merge dialog opens), then click the 'X' to close it.</t>
        </is>
      </c>
      <c r="F15" s="19" t="inlineStr">
        <is>
          <t>The Magic Wizard re-opens automatically; the encoding session is not lost.</t>
        </is>
      </c>
      <c r="G15" s="19" t="inlineStr"/>
      <c r="H15" s="21" t="inlineStr"/>
      <c r="I15" s="19" t="inlineStr"/>
    </row>
    <row r="16" ht="51.5" customHeight="1">
      <c r="A16" s="22" t="inlineStr">
        <is>
          <t>MP-B8</t>
        </is>
      </c>
      <c r="B16" s="23" t="inlineStr">
        <is>
          <t>Lot No. / Batch #</t>
        </is>
      </c>
      <c r="C16" s="20" t="inlineStr">
        <is>
          <t>High</t>
        </is>
      </c>
      <c r="D16" s="23" t="inlineStr">
        <is>
          <t>Does the Lot No. really reflect — is the Lot No. typed on a receiving line saved onto stock?</t>
        </is>
      </c>
      <c r="E16" s="23" t="inlineStr">
        <is>
          <t>Enter a Lot No. on an RR line. Validate the RR. Open Inventory → the resulting stock (quant).</t>
        </is>
      </c>
      <c r="F16" s="23" t="inlineStr">
        <is>
          <t>The Lot No. stays on the line and is stamped onto the received stock; it is visible on the quant.</t>
        </is>
      </c>
      <c r="G16" s="23" t="inlineStr"/>
      <c r="H16" s="24" t="inlineStr"/>
      <c r="I16" s="23" t="inlineStr"/>
    </row>
    <row r="17" ht="64" customHeight="1">
      <c r="A17" s="18" t="inlineStr">
        <is>
          <t>MP-B9</t>
        </is>
      </c>
      <c r="B17" s="19" t="inlineStr">
        <is>
          <t>Lot No. / Batch #</t>
        </is>
      </c>
      <c r="C17" s="20" t="inlineStr">
        <is>
          <t>High</t>
        </is>
      </c>
      <c r="D17" s="19" t="inlineStr">
        <is>
          <t>Does the Batch # become a Prodcode (DDMONYYYY + Batch # + Building) at validation — WITH the building shortname at the end?</t>
        </is>
      </c>
      <c r="E17" s="19" t="inlineStr">
        <is>
          <t>Enter a Batch # (e.g. 99) on an RR line that has a production date. Validate. Inspect the Prodcode on the stock (quant).</t>
        </is>
      </c>
      <c r="F17" s="19" t="inlineStr">
        <is>
          <t>The Prodcode is day+month+year+Batch#+building short name, e.g. 18MAY202699M — the building short name IS present at the end for every building.</t>
        </is>
      </c>
      <c r="G17" s="19" t="inlineStr"/>
      <c r="H17" s="21" t="inlineStr"/>
      <c r="I17" s="19" t="inlineStr"/>
    </row>
    <row r="18" ht="51.5" customHeight="1">
      <c r="A18" s="22" t="inlineStr">
        <is>
          <t>MP-B10</t>
        </is>
      </c>
      <c r="B18" s="23" t="inlineStr">
        <is>
          <t>Column Order</t>
        </is>
      </c>
      <c r="C18" s="27" t="inlineStr">
        <is>
          <t>Low</t>
        </is>
      </c>
      <c r="D18" s="23" t="inlineStr">
        <is>
          <t>Are the Lot No., Batch # and Prodcode columns shown right after the Container # column?</t>
        </is>
      </c>
      <c r="E18" s="23" t="inlineStr">
        <is>
          <t>Open an RR Pallet Breakdown and look at the column order.</t>
        </is>
      </c>
      <c r="F18" s="23" t="inlineStr">
        <is>
          <t>Lot No. / Batch # / Prodcode appear immediately after Container #, matching the Magic Wizard layout.</t>
        </is>
      </c>
      <c r="G18" s="23" t="inlineStr"/>
      <c r="H18" s="24" t="inlineStr"/>
      <c r="I18" s="23" t="inlineStr"/>
    </row>
    <row r="19" ht="20" customHeight="1">
      <c r="A19" s="17" t="inlineStr">
        <is>
          <t>C.  WITHDRAWAL  (WR)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</row>
    <row r="20" ht="64" customHeight="1">
      <c r="A20" s="18" t="inlineStr">
        <is>
          <t>MP-C1</t>
        </is>
      </c>
      <c r="B20" s="19" t="inlineStr">
        <is>
          <t>Partial Withdrawal</t>
        </is>
      </c>
      <c r="C20" s="26" t="inlineStr">
        <is>
          <t>Critical</t>
        </is>
      </c>
      <c r="D20" s="19" t="inlineStr">
        <is>
          <t>On WR, can a merge pallet be PARTIALLY withdrawn, and does it count -0 (only -1 when fully emptied)?</t>
        </is>
      </c>
      <c r="E20" s="19" t="inlineStr">
        <is>
          <t>Create a WR that withdraws SOME of the products on a merge pallet, leaving others. Validate. Then fully empty the pallet on another WR.</t>
        </is>
      </c>
      <c r="F20" s="19" t="inlineStr">
        <is>
          <t>The partial withdrawal is allowed (no 'still has available quantity' block) and counts -0. The pallet counts -1 only when fully emptied.</t>
        </is>
      </c>
      <c r="G20" s="19" t="inlineStr"/>
      <c r="H20" s="21" t="inlineStr"/>
      <c r="I20" s="19" t="inlineStr"/>
    </row>
    <row r="21" ht="64" customHeight="1">
      <c r="A21" s="22" t="inlineStr">
        <is>
          <t>MP-C2</t>
        </is>
      </c>
      <c r="B21" s="23" t="inlineStr">
        <is>
          <t>Un-merge</t>
        </is>
      </c>
      <c r="C21" s="20" t="inlineStr">
        <is>
          <t>High</t>
        </is>
      </c>
      <c r="D21" s="23" t="inlineStr">
        <is>
          <t>Can a merged / shared line be Un-merged on a receipt, and does the pallet count stay correct?</t>
        </is>
      </c>
      <c r="E21" s="23" t="inlineStr">
        <is>
          <t>On a line that shows 'Merged', click 'Un-merge'. Observe the line and the pallet; re-check the count.</t>
        </is>
      </c>
      <c r="F21" s="23" t="inlineStr">
        <is>
          <t>The line is peeled off to its own blank pallet (re-assign a series); the other line keeps the pallet; the pallet count stays correct.</t>
        </is>
      </c>
      <c r="G21" s="23" t="inlineStr"/>
      <c r="H21" s="24" t="inlineStr"/>
      <c r="I21" s="23" t="inlineStr"/>
    </row>
    <row r="22" ht="51.5" customHeight="1">
      <c r="A22" s="18" t="inlineStr">
        <is>
          <t>MP-C3</t>
        </is>
      </c>
      <c r="B22" s="19" t="inlineStr">
        <is>
          <t>Lot No. on WR</t>
        </is>
      </c>
      <c r="C22" s="20" t="inlineStr">
        <is>
          <t>High</t>
        </is>
      </c>
      <c r="D22" s="19" t="inlineStr">
        <is>
          <t>On withdrawal, does the Lot No. that was set at receiving get PULLED onto the WR Pallet Breakdown?</t>
        </is>
      </c>
      <c r="E22" s="19" t="inlineStr">
        <is>
          <t>Withdraw stock that had a Lot No. set at receiving. Open the WR Pallet Breakdown and show the Lot No. column.</t>
        </is>
      </c>
      <c r="F22" s="19" t="inlineStr">
        <is>
          <t>The Lot No. frozen at receiving is displayed (read-only) on the matching withdrawal line — it is no longer blank.</t>
        </is>
      </c>
      <c r="G22" s="19" t="inlineStr"/>
      <c r="H22" s="21" t="inlineStr"/>
      <c r="I22" s="19" t="inlineStr"/>
    </row>
    <row r="23" ht="51.5" customHeight="1">
      <c r="A23" s="22" t="inlineStr">
        <is>
          <t>MP-C4</t>
        </is>
      </c>
      <c r="B23" s="23" t="inlineStr">
        <is>
          <t>Prodcode on WR</t>
        </is>
      </c>
      <c r="C23" s="25" t="inlineStr">
        <is>
          <t>Medium</t>
        </is>
      </c>
      <c r="D23" s="23" t="inlineStr">
        <is>
          <t>On withdrawal, does the Prodcode created at receiving show on the WR Pallet Breakdown?</t>
        </is>
      </c>
      <c r="E23" s="23" t="inlineStr">
        <is>
          <t>Withdraw stock that has a Prodcode. Open the WR Pallet Breakdown and show the Prodcode column.</t>
        </is>
      </c>
      <c r="F23" s="23" t="inlineStr">
        <is>
          <t>The Prodcode frozen at receiving is displayed (read-only) on the matching withdrawal line.</t>
        </is>
      </c>
      <c r="G23" s="23" t="inlineStr"/>
      <c r="H23" s="24" t="inlineStr"/>
      <c r="I23" s="23" t="inlineStr"/>
    </row>
    <row r="24" ht="64" customHeight="1">
      <c r="A24" s="18" t="inlineStr">
        <is>
          <t>MP-C5</t>
        </is>
      </c>
      <c r="B24" s="19" t="inlineStr">
        <is>
          <t>Multi-truck</t>
        </is>
      </c>
      <c r="C24" s="20" t="inlineStr">
        <is>
          <t>High</t>
        </is>
      </c>
      <c r="D24" s="19" t="inlineStr">
        <is>
          <t>For a pallet shared across trucks, does it count on the truck that EMPTIES it (not the first truck)?</t>
        </is>
      </c>
      <c r="E24" s="19" t="inlineStr">
        <is>
          <t>Split one pallet across two WRs (one leaves stock, the next takes the rest). Validate both; check which WR counts the pallet.</t>
        </is>
      </c>
      <c r="F24" s="19" t="inlineStr">
        <is>
          <t>The pallet counts once, on the WR whose validation leaves the pallet empty; the truck that left stock counts it -0.</t>
        </is>
      </c>
      <c r="G24" s="19" t="inlineStr"/>
      <c r="H24" s="21" t="inlineStr"/>
      <c r="I24" s="19" t="inlineStr"/>
    </row>
    <row r="25" ht="20" customHeight="1">
      <c r="A25" s="17" t="inlineStr">
        <is>
          <t>D.  REPORTS &amp; COUNT INTEGRITY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</row>
    <row r="26" ht="51.5" customHeight="1">
      <c r="A26" s="18" t="inlineStr">
        <is>
          <t>MP-D1</t>
        </is>
      </c>
      <c r="B26" s="19" t="inlineStr">
        <is>
          <t>Count Integrity</t>
        </is>
      </c>
      <c r="C26" s="26" t="inlineStr">
        <is>
          <t>Critical</t>
        </is>
      </c>
      <c r="D26" s="19" t="inlineStr">
        <is>
          <t>Does a merge / shared pallet count as exactly ONE pallet end-to-end (receipt, ledger and reports)?</t>
        </is>
      </c>
      <c r="E26" s="19" t="inlineStr">
        <is>
          <t>For a merge pallet, review the RR received count, the pallet-kilos (PKR) ledger, and the WR/RR printout.</t>
        </is>
      </c>
      <c r="F26" s="19" t="inlineStr">
        <is>
          <t>The merge pallet is counted as exactly ONE pallet in the receipt, the ledger, and the printed reports — all agree.</t>
        </is>
      </c>
      <c r="G26" s="19" t="inlineStr"/>
      <c r="H26" s="21" t="inlineStr"/>
      <c r="I26" s="19" t="inlineStr"/>
    </row>
    <row r="27" ht="51.5" customHeight="1">
      <c r="A27" s="22" t="inlineStr">
        <is>
          <t>MP-D2</t>
        </is>
      </c>
      <c r="B27" s="23" t="inlineStr">
        <is>
          <t>Reports</t>
        </is>
      </c>
      <c r="C27" s="20" t="inlineStr">
        <is>
          <t>High</t>
        </is>
      </c>
      <c r="D27" s="23" t="inlineStr">
        <is>
          <t>Do the WR/RR pallet-count printouts match the pallet-kilos ledger (no drift)?</t>
        </is>
      </c>
      <c r="E27" s="23" t="inlineStr">
        <is>
          <t>Print a WR summary / per-pallet report and compare its pallet count to the PKR ledger for the same document.</t>
        </is>
      </c>
      <c r="F27" s="23" t="inlineStr">
        <is>
          <t>The printed pallet count equals the ledger figure and does not change on re-print.</t>
        </is>
      </c>
      <c r="G27" s="23" t="inlineStr"/>
      <c r="H27" s="24" t="inlineStr"/>
      <c r="I27" s="23" t="inlineStr"/>
    </row>
    <row r="28" ht="51.5" customHeight="1">
      <c r="A28" s="18" t="inlineStr">
        <is>
          <t>MP-D3</t>
        </is>
      </c>
      <c r="B28" s="19" t="inlineStr">
        <is>
          <t>Stock View</t>
        </is>
      </c>
      <c r="C28" s="25" t="inlineStr">
        <is>
          <t>Medium</t>
        </is>
      </c>
      <c r="D28" s="19" t="inlineStr">
        <is>
          <t>Can Lot No., Batch # and Prodcode be looked up in the Inventory (stock) view?</t>
        </is>
      </c>
      <c r="E28" s="19" t="inlineStr">
        <is>
          <t>In Inventory → Stock, enable the optional Lot No., Batch # and Prodcode columns.</t>
        </is>
      </c>
      <c r="F28" s="19" t="inlineStr">
        <is>
          <t>All three columns are available in the stock view and show the values frozen at receiving.</t>
        </is>
      </c>
      <c r="G28" s="19" t="inlineStr"/>
      <c r="H28" s="21" t="inlineStr"/>
      <c r="I28" s="19" t="inlineStr"/>
    </row>
    <row r="29" ht="64" customHeight="1">
      <c r="A29" s="22" t="inlineStr">
        <is>
          <t>MP-D4</t>
        </is>
      </c>
      <c r="B29" s="23" t="inlineStr">
        <is>
          <t>Deployment</t>
        </is>
      </c>
      <c r="C29" s="20" t="inlineStr">
        <is>
          <t>High</t>
        </is>
      </c>
      <c r="D29" s="23" t="inlineStr">
        <is>
          <t>After installing the feature, do the existing Pallet Breakdown workflow buttons still work?</t>
        </is>
      </c>
      <c r="E29" s="23" t="inlineStr">
        <is>
          <t>Open an RR Pallet Breakdown and use the existing buttons (Verify Transfer, Assign Pallet Series, Assign Locations, Auto-Fill, Delete).</t>
        </is>
      </c>
      <c r="F29" s="23" t="inlineStr">
        <is>
          <t>All existing workflow buttons remain present and functional; the feature is additive and does not break current operations.</t>
        </is>
      </c>
      <c r="G29" s="23" t="inlineStr"/>
      <c r="H29" s="24" t="inlineStr"/>
      <c r="I29" s="23" t="inlineStr"/>
    </row>
  </sheetData>
  <autoFilter ref="A3:I29"/>
  <mergeCells count="6">
    <mergeCell ref="A25:I25"/>
    <mergeCell ref="A19:I19"/>
    <mergeCell ref="A2:I2"/>
    <mergeCell ref="A1:I1"/>
    <mergeCell ref="A8:I8"/>
    <mergeCell ref="A4:I4"/>
  </mergeCells>
  <conditionalFormatting sqref="H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Executed"</formula>
    </cfRule>
  </conditionalFormatting>
  <conditionalFormatting sqref="H6">
    <cfRule type="cellIs" priority="5" operator="equal" dxfId="0">
      <formula>"Pass"</formula>
    </cfRule>
    <cfRule type="cellIs" priority="6" operator="equal" dxfId="1">
      <formula>"Fail"</formula>
    </cfRule>
    <cfRule type="cellIs" priority="7" operator="equal" dxfId="2">
      <formula>"Blocked"</formula>
    </cfRule>
    <cfRule type="cellIs" priority="8" operator="equal" dxfId="3">
      <formula>"Not Executed"</formula>
    </cfRule>
  </conditionalFormatting>
  <conditionalFormatting sqref="H7">
    <cfRule type="cellIs" priority="9" operator="equal" dxfId="0">
      <formula>"Pass"</formula>
    </cfRule>
    <cfRule type="cellIs" priority="10" operator="equal" dxfId="1">
      <formula>"Fail"</formula>
    </cfRule>
    <cfRule type="cellIs" priority="11" operator="equal" dxfId="2">
      <formula>"Blocked"</formula>
    </cfRule>
    <cfRule type="cellIs" priority="12" operator="equal" dxfId="3">
      <formula>"Not Executed"</formula>
    </cfRule>
  </conditionalFormatting>
  <conditionalFormatting sqref="H9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  <cfRule type="cellIs" priority="16" operator="equal" dxfId="3">
      <formula>"Not Executed"</formula>
    </cfRule>
  </conditionalFormatting>
  <conditionalFormatting sqref="H10">
    <cfRule type="cellIs" priority="17" operator="equal" dxfId="0">
      <formula>"Pass"</formula>
    </cfRule>
    <cfRule type="cellIs" priority="18" operator="equal" dxfId="1">
      <formula>"Fail"</formula>
    </cfRule>
    <cfRule type="cellIs" priority="19" operator="equal" dxfId="2">
      <formula>"Blocked"</formula>
    </cfRule>
    <cfRule type="cellIs" priority="20" operator="equal" dxfId="3">
      <formula>"Not Executed"</formula>
    </cfRule>
  </conditionalFormatting>
  <conditionalFormatting sqref="H11">
    <cfRule type="cellIs" priority="21" operator="equal" dxfId="0">
      <formula>"Pass"</formula>
    </cfRule>
    <cfRule type="cellIs" priority="22" operator="equal" dxfId="1">
      <formula>"Fail"</formula>
    </cfRule>
    <cfRule type="cellIs" priority="23" operator="equal" dxfId="2">
      <formula>"Blocked"</formula>
    </cfRule>
    <cfRule type="cellIs" priority="24" operator="equal" dxfId="3">
      <formula>"Not Executed"</formula>
    </cfRule>
  </conditionalFormatting>
  <conditionalFormatting sqref="H12">
    <cfRule type="cellIs" priority="25" operator="equal" dxfId="0">
      <formula>"Pass"</formula>
    </cfRule>
    <cfRule type="cellIs" priority="26" operator="equal" dxfId="1">
      <formula>"Fail"</formula>
    </cfRule>
    <cfRule type="cellIs" priority="27" operator="equal" dxfId="2">
      <formula>"Blocked"</formula>
    </cfRule>
    <cfRule type="cellIs" priority="28" operator="equal" dxfId="3">
      <formula>"Not Executed"</formula>
    </cfRule>
  </conditionalFormatting>
  <conditionalFormatting sqref="H13">
    <cfRule type="cellIs" priority="29" operator="equal" dxfId="0">
      <formula>"Pass"</formula>
    </cfRule>
    <cfRule type="cellIs" priority="30" operator="equal" dxfId="1">
      <formula>"Fail"</formula>
    </cfRule>
    <cfRule type="cellIs" priority="31" operator="equal" dxfId="2">
      <formula>"Blocked"</formula>
    </cfRule>
    <cfRule type="cellIs" priority="32" operator="equal" dxfId="3">
      <formula>"Not Executed"</formula>
    </cfRule>
  </conditionalFormatting>
  <conditionalFormatting sqref="H14">
    <cfRule type="cellIs" priority="33" operator="equal" dxfId="0">
      <formula>"Pass"</formula>
    </cfRule>
    <cfRule type="cellIs" priority="34" operator="equal" dxfId="1">
      <formula>"Fail"</formula>
    </cfRule>
    <cfRule type="cellIs" priority="35" operator="equal" dxfId="2">
      <formula>"Blocked"</formula>
    </cfRule>
    <cfRule type="cellIs" priority="36" operator="equal" dxfId="3">
      <formula>"Not Executed"</formula>
    </cfRule>
  </conditionalFormatting>
  <conditionalFormatting sqref="H15">
    <cfRule type="cellIs" priority="37" operator="equal" dxfId="0">
      <formula>"Pass"</formula>
    </cfRule>
    <cfRule type="cellIs" priority="38" operator="equal" dxfId="1">
      <formula>"Fail"</formula>
    </cfRule>
    <cfRule type="cellIs" priority="39" operator="equal" dxfId="2">
      <formula>"Blocked"</formula>
    </cfRule>
    <cfRule type="cellIs" priority="40" operator="equal" dxfId="3">
      <formula>"Not Executed"</formula>
    </cfRule>
  </conditionalFormatting>
  <conditionalFormatting sqref="H16">
    <cfRule type="cellIs" priority="41" operator="equal" dxfId="0">
      <formula>"Pass"</formula>
    </cfRule>
    <cfRule type="cellIs" priority="42" operator="equal" dxfId="1">
      <formula>"Fail"</formula>
    </cfRule>
    <cfRule type="cellIs" priority="43" operator="equal" dxfId="2">
      <formula>"Blocked"</formula>
    </cfRule>
    <cfRule type="cellIs" priority="44" operator="equal" dxfId="3">
      <formula>"Not Executed"</formula>
    </cfRule>
  </conditionalFormatting>
  <conditionalFormatting sqref="H17">
    <cfRule type="cellIs" priority="45" operator="equal" dxfId="0">
      <formula>"Pass"</formula>
    </cfRule>
    <cfRule type="cellIs" priority="46" operator="equal" dxfId="1">
      <formula>"Fail"</formula>
    </cfRule>
    <cfRule type="cellIs" priority="47" operator="equal" dxfId="2">
      <formula>"Blocked"</formula>
    </cfRule>
    <cfRule type="cellIs" priority="48" operator="equal" dxfId="3">
      <formula>"Not Executed"</formula>
    </cfRule>
  </conditionalFormatting>
  <conditionalFormatting sqref="H18">
    <cfRule type="cellIs" priority="49" operator="equal" dxfId="0">
      <formula>"Pass"</formula>
    </cfRule>
    <cfRule type="cellIs" priority="50" operator="equal" dxfId="1">
      <formula>"Fail"</formula>
    </cfRule>
    <cfRule type="cellIs" priority="51" operator="equal" dxfId="2">
      <formula>"Blocked"</formula>
    </cfRule>
    <cfRule type="cellIs" priority="52" operator="equal" dxfId="3">
      <formula>"Not Executed"</formula>
    </cfRule>
  </conditionalFormatting>
  <conditionalFormatting sqref="H20">
    <cfRule type="cellIs" priority="53" operator="equal" dxfId="0">
      <formula>"Pass"</formula>
    </cfRule>
    <cfRule type="cellIs" priority="54" operator="equal" dxfId="1">
      <formula>"Fail"</formula>
    </cfRule>
    <cfRule type="cellIs" priority="55" operator="equal" dxfId="2">
      <formula>"Blocked"</formula>
    </cfRule>
    <cfRule type="cellIs" priority="56" operator="equal" dxfId="3">
      <formula>"Not Executed"</formula>
    </cfRule>
  </conditionalFormatting>
  <conditionalFormatting sqref="H21">
    <cfRule type="cellIs" priority="57" operator="equal" dxfId="0">
      <formula>"Pass"</formula>
    </cfRule>
    <cfRule type="cellIs" priority="58" operator="equal" dxfId="1">
      <formula>"Fail"</formula>
    </cfRule>
    <cfRule type="cellIs" priority="59" operator="equal" dxfId="2">
      <formula>"Blocked"</formula>
    </cfRule>
    <cfRule type="cellIs" priority="60" operator="equal" dxfId="3">
      <formula>"Not Executed"</formula>
    </cfRule>
  </conditionalFormatting>
  <conditionalFormatting sqref="H22">
    <cfRule type="cellIs" priority="61" operator="equal" dxfId="0">
      <formula>"Pass"</formula>
    </cfRule>
    <cfRule type="cellIs" priority="62" operator="equal" dxfId="1">
      <formula>"Fail"</formula>
    </cfRule>
    <cfRule type="cellIs" priority="63" operator="equal" dxfId="2">
      <formula>"Blocked"</formula>
    </cfRule>
    <cfRule type="cellIs" priority="64" operator="equal" dxfId="3">
      <formula>"Not Executed"</formula>
    </cfRule>
  </conditionalFormatting>
  <conditionalFormatting sqref="H23">
    <cfRule type="cellIs" priority="65" operator="equal" dxfId="0">
      <formula>"Pass"</formula>
    </cfRule>
    <cfRule type="cellIs" priority="66" operator="equal" dxfId="1">
      <formula>"Fail"</formula>
    </cfRule>
    <cfRule type="cellIs" priority="67" operator="equal" dxfId="2">
      <formula>"Blocked"</formula>
    </cfRule>
    <cfRule type="cellIs" priority="68" operator="equal" dxfId="3">
      <formula>"Not Executed"</formula>
    </cfRule>
  </conditionalFormatting>
  <conditionalFormatting sqref="H24">
    <cfRule type="cellIs" priority="69" operator="equal" dxfId="0">
      <formula>"Pass"</formula>
    </cfRule>
    <cfRule type="cellIs" priority="70" operator="equal" dxfId="1">
      <formula>"Fail"</formula>
    </cfRule>
    <cfRule type="cellIs" priority="71" operator="equal" dxfId="2">
      <formula>"Blocked"</formula>
    </cfRule>
    <cfRule type="cellIs" priority="72" operator="equal" dxfId="3">
      <formula>"Not Executed"</formula>
    </cfRule>
  </conditionalFormatting>
  <conditionalFormatting sqref="H26">
    <cfRule type="cellIs" priority="73" operator="equal" dxfId="0">
      <formula>"Pass"</formula>
    </cfRule>
    <cfRule type="cellIs" priority="74" operator="equal" dxfId="1">
      <formula>"Fail"</formula>
    </cfRule>
    <cfRule type="cellIs" priority="75" operator="equal" dxfId="2">
      <formula>"Blocked"</formula>
    </cfRule>
    <cfRule type="cellIs" priority="76" operator="equal" dxfId="3">
      <formula>"Not Executed"</formula>
    </cfRule>
  </conditionalFormatting>
  <conditionalFormatting sqref="H27">
    <cfRule type="cellIs" priority="77" operator="equal" dxfId="0">
      <formula>"Pass"</formula>
    </cfRule>
    <cfRule type="cellIs" priority="78" operator="equal" dxfId="1">
      <formula>"Fail"</formula>
    </cfRule>
    <cfRule type="cellIs" priority="79" operator="equal" dxfId="2">
      <formula>"Blocked"</formula>
    </cfRule>
    <cfRule type="cellIs" priority="80" operator="equal" dxfId="3">
      <formula>"Not Executed"</formula>
    </cfRule>
  </conditionalFormatting>
  <conditionalFormatting sqref="H28">
    <cfRule type="cellIs" priority="81" operator="equal" dxfId="0">
      <formula>"Pass"</formula>
    </cfRule>
    <cfRule type="cellIs" priority="82" operator="equal" dxfId="1">
      <formula>"Fail"</formula>
    </cfRule>
    <cfRule type="cellIs" priority="83" operator="equal" dxfId="2">
      <formula>"Blocked"</formula>
    </cfRule>
    <cfRule type="cellIs" priority="84" operator="equal" dxfId="3">
      <formula>"Not Executed"</formula>
    </cfRule>
  </conditionalFormatting>
  <conditionalFormatting sqref="H29">
    <cfRule type="cellIs" priority="85" operator="equal" dxfId="0">
      <formula>"Pass"</formula>
    </cfRule>
    <cfRule type="cellIs" priority="86" operator="equal" dxfId="1">
      <formula>"Fail"</formula>
    </cfRule>
    <cfRule type="cellIs" priority="87" operator="equal" dxfId="2">
      <formula>"Blocked"</formula>
    </cfRule>
    <cfRule type="cellIs" priority="88" operator="equal" dxfId="3">
      <formula>"Not Executed"</formula>
    </cfRule>
  </conditionalFormatting>
  <dataValidations count="1">
    <dataValidation sqref="H5 H6 H7 H9 H10 H11 H12 H13 H14 H15 H16 H17 H18 H20 H21 H22 H23 H24 H26 H27 H28 H29" showDropDown="0" showInputMessage="0" showErrorMessage="0" allowBlank="1" errorTitle="Invalid status" error="Select Pass, Fail, Blocked or Not Executed." type="list">
      <formula1>"Pass,Fail,Blocked,Not Executed"</formula1>
    </dataValidation>
  </dataValidations>
  <printOptions horizontalCentered="1"/>
  <pageMargins left="0.75" right="0.75" top="1" bottom="1" header="0.5" footer="0.5"/>
  <pageSetup orientation="landscape" paperSize="9" fitToHeight="0" fitToWidth="1"/>
  <headerFooter>
    <oddHeader/>
    <oddFooter>&amp;LElyon Solutions International Inc.&amp;CConfidential – Prepared for Vifel Ice Plant &amp; Cold Storage, Inc.&amp;RPage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E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6" customWidth="1" min="4" max="4"/>
    <col width="30" customWidth="1" min="5" max="5"/>
    <col width="3" customWidth="1" min="6" max="6"/>
  </cols>
  <sheetData>
    <row r="2" ht="24" customHeight="1">
      <c r="B2" s="14" t="inlineStr">
        <is>
          <t>EXECUTION SUMMARY &amp; ACCEPTANCE SIGN-OFF</t>
        </is>
      </c>
    </row>
    <row r="4">
      <c r="B4" s="13" t="inlineStr">
        <is>
          <t>RESULT</t>
        </is>
      </c>
      <c r="C4" s="13" t="inlineStr">
        <is>
          <t>COUNT</t>
        </is>
      </c>
      <c r="D4" s="13" t="inlineStr">
        <is>
          <t>% OF TOTAL</t>
        </is>
      </c>
      <c r="E4" s="13" t="inlineStr"/>
    </row>
    <row r="5" ht="16" customHeight="1">
      <c r="B5" s="28" t="inlineStr">
        <is>
          <t>Total Test Cases</t>
        </is>
      </c>
      <c r="C5" s="29" t="inlineStr">
        <is>
          <t>22</t>
        </is>
      </c>
      <c r="D5" s="30" t="inlineStr">
        <is>
          <t>100%</t>
        </is>
      </c>
      <c r="E5" s="5" t="n"/>
    </row>
    <row r="6" ht="16" customHeight="1">
      <c r="B6" s="31" t="inlineStr">
        <is>
          <t>Pass</t>
        </is>
      </c>
      <c r="C6" s="29">
        <f>COUNTIF('Test Cases'!H5,"Pass")+COUNTIF('Test Cases'!H6,"Pass")+COUNTIF('Test Cases'!H7,"Pass")+COUNTIF('Test Cases'!H9,"Pass")+COUNTIF('Test Cases'!H10,"Pass")+COUNTIF('Test Cases'!H11,"Pass")+COUNTIF('Test Cases'!H12,"Pass")+COUNTIF('Test Cases'!H13,"Pass")+COUNTIF('Test Cases'!H14,"Pass")+COUNTIF('Test Cases'!H15,"Pass")+COUNTIF('Test Cases'!H16,"Pass")+COUNTIF('Test Cases'!H17,"Pass")+COUNTIF('Test Cases'!H18,"Pass")+COUNTIF('Test Cases'!H20,"Pass")+COUNTIF('Test Cases'!H21,"Pass")+COUNTIF('Test Cases'!H22,"Pass")+COUNTIF('Test Cases'!H23,"Pass")+COUNTIF('Test Cases'!H24,"Pass")+COUNTIF('Test Cases'!H26,"Pass")+COUNTIF('Test Cases'!H27,"Pass")+COUNTIF('Test Cases'!H28,"Pass")+COUNTIF('Test Cases'!H29,"Pass")</f>
        <v/>
      </c>
      <c r="D6" s="32">
        <f>IF($C$5=0,0,C6/$C$5)</f>
        <v/>
      </c>
      <c r="E6" s="5" t="n"/>
    </row>
    <row r="7" ht="16" customHeight="1">
      <c r="B7" s="33" t="inlineStr">
        <is>
          <t>Fail</t>
        </is>
      </c>
      <c r="C7" s="29">
        <f>COUNTIF('Test Cases'!H5,"Fail")+COUNTIF('Test Cases'!H6,"Fail")+COUNTIF('Test Cases'!H7,"Fail")+COUNTIF('Test Cases'!H9,"Fail")+COUNTIF('Test Cases'!H10,"Fail")+COUNTIF('Test Cases'!H11,"Fail")+COUNTIF('Test Cases'!H12,"Fail")+COUNTIF('Test Cases'!H13,"Fail")+COUNTIF('Test Cases'!H14,"Fail")+COUNTIF('Test Cases'!H15,"Fail")+COUNTIF('Test Cases'!H16,"Fail")+COUNTIF('Test Cases'!H17,"Fail")+COUNTIF('Test Cases'!H18,"Fail")+COUNTIF('Test Cases'!H20,"Fail")+COUNTIF('Test Cases'!H21,"Fail")+COUNTIF('Test Cases'!H22,"Fail")+COUNTIF('Test Cases'!H23,"Fail")+COUNTIF('Test Cases'!H24,"Fail")+COUNTIF('Test Cases'!H26,"Fail")+COUNTIF('Test Cases'!H27,"Fail")+COUNTIF('Test Cases'!H28,"Fail")+COUNTIF('Test Cases'!H29,"Fail")</f>
        <v/>
      </c>
      <c r="D7" s="32">
        <f>IF($C$5=0,0,C7/$C$5)</f>
        <v/>
      </c>
      <c r="E7" s="5" t="n"/>
    </row>
    <row r="8" ht="16" customHeight="1">
      <c r="B8" s="34" t="inlineStr">
        <is>
          <t>Blocked</t>
        </is>
      </c>
      <c r="C8" s="29">
        <f>COUNTIF('Test Cases'!H5,"Blocked")+COUNTIF('Test Cases'!H6,"Blocked")+COUNTIF('Test Cases'!H7,"Blocked")+COUNTIF('Test Cases'!H9,"Blocked")+COUNTIF('Test Cases'!H10,"Blocked")+COUNTIF('Test Cases'!H11,"Blocked")+COUNTIF('Test Cases'!H12,"Blocked")+COUNTIF('Test Cases'!H13,"Blocked")+COUNTIF('Test Cases'!H14,"Blocked")+COUNTIF('Test Cases'!H15,"Blocked")+COUNTIF('Test Cases'!H16,"Blocked")+COUNTIF('Test Cases'!H17,"Blocked")+COUNTIF('Test Cases'!H18,"Blocked")+COUNTIF('Test Cases'!H20,"Blocked")+COUNTIF('Test Cases'!H21,"Blocked")+COUNTIF('Test Cases'!H22,"Blocked")+COUNTIF('Test Cases'!H23,"Blocked")+COUNTIF('Test Cases'!H24,"Blocked")+COUNTIF('Test Cases'!H26,"Blocked")+COUNTIF('Test Cases'!H27,"Blocked")+COUNTIF('Test Cases'!H28,"Blocked")+COUNTIF('Test Cases'!H29,"Blocked")</f>
        <v/>
      </c>
      <c r="D8" s="32">
        <f>IF($C$5=0,0,C8/$C$5)</f>
        <v/>
      </c>
      <c r="E8" s="5" t="n"/>
    </row>
    <row r="9" ht="16" customHeight="1">
      <c r="B9" s="35" t="inlineStr">
        <is>
          <t>Not Executed</t>
        </is>
      </c>
      <c r="C9" s="29">
        <f>22-(COUNTIF('Test Cases'!H5,"Pass")+COUNTIF('Test Cases'!H6,"Pass")+COUNTIF('Test Cases'!H7,"Pass")+COUNTIF('Test Cases'!H9,"Pass")+COUNTIF('Test Cases'!H10,"Pass")+COUNTIF('Test Cases'!H11,"Pass")+COUNTIF('Test Cases'!H12,"Pass")+COUNTIF('Test Cases'!H13,"Pass")+COUNTIF('Test Cases'!H14,"Pass")+COUNTIF('Test Cases'!H15,"Pass")+COUNTIF('Test Cases'!H16,"Pass")+COUNTIF('Test Cases'!H17,"Pass")+COUNTIF('Test Cases'!H18,"Pass")+COUNTIF('Test Cases'!H20,"Pass")+COUNTIF('Test Cases'!H21,"Pass")+COUNTIF('Test Cases'!H22,"Pass")+COUNTIF('Test Cases'!H23,"Pass")+COUNTIF('Test Cases'!H24,"Pass")+COUNTIF('Test Cases'!H26,"Pass")+COUNTIF('Test Cases'!H27,"Pass")+COUNTIF('Test Cases'!H28,"Pass")+COUNTIF('Test Cases'!H29,"Pass")+COUNTIF('Test Cases'!H5,"Fail")+COUNTIF('Test Cases'!H6,"Fail")+COUNTIF('Test Cases'!H7,"Fail")+COUNTIF('Test Cases'!H9,"Fail")+COUNTIF('Test Cases'!H10,"Fail")+COUNTIF('Test Cases'!H11,"Fail")+COUNTIF('Test Cases'!H12,"Fail")+COUNTIF('Test Cases'!H13,"Fail")+COUNTIF('Test Cases'!H14,"Fail")+COUNTIF('Test Cases'!H15,"Fail")+COUNTIF('Test Cases'!H16,"Fail")+COUNTIF('Test Cases'!H17,"Fail")+COUNTIF('Test Cases'!H18,"Fail")+COUNTIF('Test Cases'!H20,"Fail")+COUNTIF('Test Cases'!H21,"Fail")+COUNTIF('Test Cases'!H22,"Fail")+COUNTIF('Test Cases'!H23,"Fail")+COUNTIF('Test Cases'!H24,"Fail")+COUNTIF('Test Cases'!H26,"Fail")+COUNTIF('Test Cases'!H27,"Fail")+COUNTIF('Test Cases'!H28,"Fail")+COUNTIF('Test Cases'!H29,"Fail")+COUNTIF('Test Cases'!H5,"Blocked")+COUNTIF('Test Cases'!H6,"Blocked")+COUNTIF('Test Cases'!H7,"Blocked")+COUNTIF('Test Cases'!H9,"Blocked")+COUNTIF('Test Cases'!H10,"Blocked")+COUNTIF('Test Cases'!H11,"Blocked")+COUNTIF('Test Cases'!H12,"Blocked")+COUNTIF('Test Cases'!H13,"Blocked")+COUNTIF('Test Cases'!H14,"Blocked")+COUNTIF('Test Cases'!H15,"Blocked")+COUNTIF('Test Cases'!H16,"Blocked")+COUNTIF('Test Cases'!H17,"Blocked")+COUNTIF('Test Cases'!H18,"Blocked")+COUNTIF('Test Cases'!H20,"Blocked")+COUNTIF('Test Cases'!H21,"Blocked")+COUNTIF('Test Cases'!H22,"Blocked")+COUNTIF('Test Cases'!H23,"Blocked")+COUNTIF('Test Cases'!H24,"Blocked")+COUNTIF('Test Cases'!H26,"Blocked")+COUNTIF('Test Cases'!H27,"Blocked")+COUNTIF('Test Cases'!H28,"Blocked")+COUNTIF('Test Cases'!H29,"Blocked"))</f>
        <v/>
      </c>
      <c r="D9" s="32">
        <f>IF($C$5=0,0,C9/$C$5)</f>
        <v/>
      </c>
      <c r="E9" s="5" t="n"/>
    </row>
    <row r="10" ht="18" customHeight="1">
      <c r="B10" s="36" t="inlineStr">
        <is>
          <t>Overall Pass Rate</t>
        </is>
      </c>
      <c r="C10" s="37">
        <f>IF($C$5=0,0,(COUNTIF('Test Cases'!H5,"Pass")+COUNTIF('Test Cases'!H6,"Pass")+COUNTIF('Test Cases'!H7,"Pass")+COUNTIF('Test Cases'!H9,"Pass")+COUNTIF('Test Cases'!H10,"Pass")+COUNTIF('Test Cases'!H11,"Pass")+COUNTIF('Test Cases'!H12,"Pass")+COUNTIF('Test Cases'!H13,"Pass")+COUNTIF('Test Cases'!H14,"Pass")+COUNTIF('Test Cases'!H15,"Pass")+COUNTIF('Test Cases'!H16,"Pass")+COUNTIF('Test Cases'!H17,"Pass")+COUNTIF('Test Cases'!H18,"Pass")+COUNTIF('Test Cases'!H20,"Pass")+COUNTIF('Test Cases'!H21,"Pass")+COUNTIF('Test Cases'!H22,"Pass")+COUNTIF('Test Cases'!H23,"Pass")+COUNTIF('Test Cases'!H24,"Pass")+COUNTIF('Test Cases'!H26,"Pass")+COUNTIF('Test Cases'!H27,"Pass")+COUNTIF('Test Cases'!H28,"Pass")+COUNTIF('Test Cases'!H29,"Pass"))/$C$5)</f>
        <v/>
      </c>
      <c r="D10" s="5" t="n"/>
      <c r="E10" s="5" t="n"/>
    </row>
    <row r="13">
      <c r="B13" s="38" t="inlineStr">
        <is>
          <t>OVERALL UAT ASSESSMENT</t>
        </is>
      </c>
      <c r="C13" s="5" t="n"/>
      <c r="D13" s="5" t="n"/>
      <c r="E13" s="5" t="n"/>
    </row>
    <row r="14" ht="16" customHeight="1">
      <c r="B14" s="39" t="inlineStr">
        <is>
          <t>☐   Accepted</t>
        </is>
      </c>
      <c r="C14" s="5" t="n"/>
      <c r="D14" s="5" t="n"/>
      <c r="E14" s="5" t="n"/>
    </row>
    <row r="15" ht="16" customHeight="1">
      <c r="B15" s="39" t="inlineStr">
        <is>
          <t>☐   Accepted with Conditions</t>
        </is>
      </c>
      <c r="C15" s="5" t="n"/>
      <c r="D15" s="5" t="n"/>
      <c r="E15" s="5" t="n"/>
    </row>
    <row r="16" ht="16" customHeight="1">
      <c r="B16" s="39" t="inlineStr">
        <is>
          <t>☐   Rejected</t>
        </is>
      </c>
      <c r="C16" s="5" t="n"/>
      <c r="D16" s="5" t="n"/>
      <c r="E16" s="5" t="n"/>
    </row>
    <row r="18">
      <c r="B18" s="40" t="inlineStr">
        <is>
          <t>Remarks / Conditions:</t>
        </is>
      </c>
      <c r="C18" s="5" t="n"/>
      <c r="D18" s="5" t="n"/>
      <c r="E18" s="5" t="n"/>
    </row>
    <row r="19">
      <c r="B19" s="5" t="n"/>
      <c r="C19" s="5" t="n"/>
      <c r="D19" s="5" t="n"/>
      <c r="E19" s="5" t="n"/>
    </row>
    <row r="20">
      <c r="B20" s="5" t="n"/>
      <c r="C20" s="5" t="n"/>
      <c r="D20" s="5" t="n"/>
      <c r="E20" s="5" t="n"/>
    </row>
    <row r="21">
      <c r="B21" s="5" t="n"/>
      <c r="C21" s="5" t="n"/>
      <c r="D21" s="5" t="n"/>
      <c r="E21" s="5" t="n"/>
    </row>
    <row r="23">
      <c r="B23" s="4" t="inlineStr">
        <is>
          <t>ACCEPTANCE SIGN-OFF</t>
        </is>
      </c>
      <c r="C23" s="5" t="n"/>
      <c r="D23" s="5" t="n"/>
      <c r="E23" s="5" t="n"/>
    </row>
    <row r="24">
      <c r="B24" s="41" t="inlineStr">
        <is>
          <t>Role</t>
        </is>
      </c>
      <c r="C24" s="41" t="inlineStr">
        <is>
          <t>Name</t>
        </is>
      </c>
      <c r="D24" s="41" t="inlineStr">
        <is>
          <t>Signature</t>
        </is>
      </c>
      <c r="E24" s="41" t="inlineStr">
        <is>
          <t>Date</t>
        </is>
      </c>
    </row>
    <row r="25" ht="30" customHeight="1">
      <c r="B25" s="42" t="inlineStr">
        <is>
          <t>Prepared by (Elyon)</t>
        </is>
      </c>
      <c r="C25" s="5" t="n"/>
      <c r="D25" s="5" t="n"/>
      <c r="E25" s="5" t="n"/>
    </row>
    <row r="26" ht="30" customHeight="1">
      <c r="B26" s="42" t="inlineStr">
        <is>
          <t>Tested by (Vifel)</t>
        </is>
      </c>
      <c r="C26" s="5" t="n"/>
      <c r="D26" s="5" t="n"/>
      <c r="E26" s="5" t="n"/>
    </row>
    <row r="27" ht="30" customHeight="1">
      <c r="B27" s="42" t="inlineStr">
        <is>
          <t>Reviewed by (Vifel)</t>
        </is>
      </c>
      <c r="C27" s="5" t="n"/>
      <c r="D27" s="5" t="n"/>
      <c r="E27" s="5" t="n"/>
    </row>
    <row r="28" ht="30" customHeight="1">
      <c r="B28" s="42" t="inlineStr">
        <is>
          <t>Approved by (Vifel)</t>
        </is>
      </c>
      <c r="C28" s="5" t="n"/>
      <c r="D28" s="5" t="n"/>
      <c r="E28" s="5" t="n"/>
    </row>
  </sheetData>
  <mergeCells count="16">
    <mergeCell ref="E9"/>
    <mergeCell ref="B23:E23"/>
    <mergeCell ref="E8"/>
    <mergeCell ref="B18:E18"/>
    <mergeCell ref="C10:D10"/>
    <mergeCell ref="E4"/>
    <mergeCell ref="B13:E13"/>
    <mergeCell ref="B16:E16"/>
    <mergeCell ref="E7"/>
    <mergeCell ref="B15:E15"/>
    <mergeCell ref="E6"/>
    <mergeCell ref="B2:E2"/>
    <mergeCell ref="E10"/>
    <mergeCell ref="B19:E21"/>
    <mergeCell ref="B14:E14"/>
    <mergeCell ref="E5"/>
  </mergeCells>
  <printOptions horizontalCentered="1"/>
  <pageMargins left="0.75" right="0.75" top="1" bottom="1" header="0.5" footer="0.5"/>
  <pageSetup orientation="portrait" fitToHeight="0" fitToWidth="1"/>
  <headerFooter>
    <oddHeader/>
    <oddFooter>&amp;LElyon Solutions International Inc.&amp;CConfidential – Prepared for Vifel Ice Plant &amp; Cold Storage, Inc.&amp;RPage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Elyon Solutions International Inc.</dc:creator>
  <dc:title xmlns:dc="http://purl.org/dc/elements/1.1/">Merge Pallet Feature - UAT Test Script</dc:title>
  <dcterms:created xmlns:dcterms="http://purl.org/dc/terms/" xmlns:xsi="http://www.w3.org/2001/XMLSchema-instance" xsi:type="dcterms:W3CDTF">2026-08-02T11:11:05Z</dcterms:created>
  <dcterms:modified xmlns:dcterms="http://purl.org/dc/terms/" xmlns:xsi="http://www.w3.org/2001/XMLSchema-instance" xsi:type="dcterms:W3CDTF">2026-08-02T11:11:05Z</dcterms:modified>
</cp:coreProperties>
</file>