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ument Control" sheetId="1" state="visible" r:id="rId1"/>
    <sheet xmlns:r="http://schemas.openxmlformats.org/officeDocument/2006/relationships" name="Test Cases" sheetId="2" state="visible" r:id="rId2"/>
    <sheet xmlns:r="http://schemas.openxmlformats.org/officeDocument/2006/relationships" name="Summary &amp; Sign-off" sheetId="3" state="visible" r:id="rId3"/>
  </sheets>
  <definedNames>
    <definedName name="_xlnm._FilterDatabase" localSheetId="1" hidden="1">'Test Cases'!$A$3:$I$18</definedName>
    <definedName name="_xlnm.Print_Titles" localSheetId="1">'Test Cases'!$1:$3</definedName>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00FFFFFF"/>
      <sz val="15"/>
    </font>
    <font>
      <name val="Calibri"/>
      <b val="1"/>
      <color rgb="00FFFFFF"/>
      <sz val="12"/>
    </font>
    <font>
      <name val="Calibri"/>
      <b val="1"/>
      <color rgb="001F3864"/>
      <sz val="11"/>
    </font>
    <font>
      <name val="Calibri"/>
      <b val="1"/>
      <color rgb="00FFFFFF"/>
      <sz val="10.5"/>
    </font>
    <font>
      <name val="Calibri"/>
      <b val="1"/>
      <color rgb="001F3864"/>
      <sz val="10"/>
    </font>
    <font>
      <name val="Calibri"/>
      <color rgb="00000000"/>
      <sz val="10"/>
    </font>
    <font>
      <name val="Calibri"/>
      <b val="1"/>
      <color rgb="00006100"/>
      <sz val="10"/>
    </font>
    <font>
      <name val="Calibri"/>
      <b val="1"/>
      <color rgb="009C0006"/>
      <sz val="10"/>
    </font>
    <font>
      <name val="Calibri"/>
      <b val="1"/>
      <color rgb="009C6500"/>
      <sz val="10"/>
    </font>
    <font>
      <name val="Calibri"/>
      <b val="1"/>
      <color rgb="003F3F3F"/>
      <sz val="10"/>
    </font>
    <font>
      <name val="Calibri"/>
      <b val="1"/>
      <color rgb="00FFFFFF"/>
      <sz val="10"/>
    </font>
    <font>
      <name val="Calibri"/>
      <b val="1"/>
      <color rgb="00FFFFFF"/>
      <sz val="13"/>
    </font>
    <font>
      <name val="Calibri"/>
      <b val="1"/>
      <color rgb="001F3864"/>
      <sz val="9.5"/>
    </font>
    <font>
      <name val="Calibri"/>
      <color rgb="00000000"/>
      <sz val="9.5"/>
    </font>
    <font>
      <name val="Calibri"/>
      <b val="1"/>
      <color rgb="00FFFFFF"/>
      <sz val="9"/>
    </font>
    <font>
      <name val="Calibri"/>
      <color rgb="00000000"/>
      <sz val="9"/>
    </font>
    <font>
      <name val="Calibri"/>
      <b val="1"/>
      <color rgb="00000000"/>
      <sz val="10"/>
    </font>
  </fonts>
  <fills count="15">
    <fill>
      <patternFill/>
    </fill>
    <fill>
      <patternFill patternType="gray125"/>
    </fill>
    <fill>
      <patternFill patternType="solid">
        <fgColor rgb="001F3864"/>
      </patternFill>
    </fill>
    <fill>
      <patternFill patternType="solid">
        <fgColor rgb="002F5496"/>
      </patternFill>
    </fill>
    <fill>
      <patternFill patternType="solid">
        <fgColor rgb="00D9E1F2"/>
      </patternFill>
    </fill>
    <fill>
      <patternFill patternType="solid">
        <fgColor rgb="00F2F2F2"/>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D9D9"/>
      </patternFill>
    </fill>
    <fill>
      <patternFill patternType="solid">
        <fgColor rgb="00FFFFFF"/>
      </patternFill>
    </fill>
    <fill>
      <patternFill patternType="solid">
        <fgColor rgb="00E26B0A"/>
      </patternFill>
    </fill>
    <fill>
      <patternFill patternType="solid">
        <fgColor rgb="00EAF0FA"/>
      </patternFill>
    </fill>
    <fill>
      <patternFill patternType="solid">
        <fgColor rgb="00BF9000"/>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center" vertical="center"/>
    </xf>
    <xf numFmtId="0" fontId="4" fillId="2" borderId="1" applyAlignment="1" pivotButton="0" quotePrefix="0" xfId="0">
      <alignment horizontal="left" vertical="center"/>
    </xf>
    <xf numFmtId="0" fontId="0" fillId="0" borderId="1" pivotButton="0" quotePrefix="0" xfId="0"/>
    <xf numFmtId="0" fontId="5" fillId="5" borderId="1" applyAlignment="1" pivotButton="0" quotePrefix="0" xfId="0">
      <alignment horizontal="left" vertical="center" wrapText="1"/>
    </xf>
    <xf numFmtId="0" fontId="6" fillId="0" borderId="1" applyAlignment="1" pivotButton="0" quotePrefix="0" xfId="0">
      <alignment horizontal="left" vertical="center" wrapText="1"/>
    </xf>
    <xf numFmtId="0" fontId="6" fillId="0" borderId="1" applyAlignment="1" pivotButton="0" quotePrefix="0" xfId="0">
      <alignment horizontal="left" vertical="top" wrapText="1"/>
    </xf>
    <xf numFmtId="0" fontId="5" fillId="5" borderId="1" pivotButton="0" quotePrefix="0" xfId="0"/>
    <xf numFmtId="0" fontId="7" fillId="6" borderId="1" applyAlignment="1" pivotButton="0" quotePrefix="0" xfId="0">
      <alignment horizontal="center" vertical="center"/>
    </xf>
    <xf numFmtId="0" fontId="8" fillId="7" borderId="1" applyAlignment="1" pivotButton="0" quotePrefix="0" xfId="0">
      <alignment horizontal="center" vertical="center"/>
    </xf>
    <xf numFmtId="0" fontId="9" fillId="8" borderId="1" applyAlignment="1" pivotButton="0" quotePrefix="0" xfId="0">
      <alignment horizontal="center" vertical="center"/>
    </xf>
    <xf numFmtId="0" fontId="10" fillId="9" borderId="1" applyAlignment="1" pivotButton="0" quotePrefix="0" xfId="0">
      <alignment horizontal="center" vertical="center"/>
    </xf>
    <xf numFmtId="0" fontId="11" fillId="3" borderId="1" pivotButton="0" quotePrefix="0" xfId="0"/>
    <xf numFmtId="0" fontId="12" fillId="2" borderId="0" applyAlignment="1" pivotButton="0" quotePrefix="0" xfId="0">
      <alignment horizontal="center" vertical="center"/>
    </xf>
    <xf numFmtId="0" fontId="5" fillId="4" borderId="0" applyAlignment="1" pivotButton="0" quotePrefix="0" xfId="0">
      <alignment horizontal="center" vertical="center"/>
    </xf>
    <xf numFmtId="0" fontId="11" fillId="3" borderId="1" applyAlignment="1" pivotButton="0" quotePrefix="0" xfId="0">
      <alignment horizontal="center" vertical="center" wrapText="1"/>
    </xf>
    <xf numFmtId="0" fontId="13" fillId="10" borderId="1" applyAlignment="1" pivotButton="0" quotePrefix="0" xfId="0">
      <alignment horizontal="center" vertical="center" wrapText="1"/>
    </xf>
    <xf numFmtId="0" fontId="14" fillId="10" borderId="1" applyAlignment="1" pivotButton="0" quotePrefix="0" xfId="0">
      <alignment horizontal="left" vertical="top" wrapText="1"/>
    </xf>
    <xf numFmtId="0" fontId="15" fillId="11" borderId="1" applyAlignment="1" pivotButton="0" quotePrefix="0" xfId="0">
      <alignment horizontal="center" vertical="center" wrapText="1"/>
    </xf>
    <xf numFmtId="0" fontId="16" fillId="10" borderId="1" applyAlignment="1" pivotButton="0" quotePrefix="0" xfId="0">
      <alignment horizontal="center" vertical="center" wrapText="1"/>
    </xf>
    <xf numFmtId="0" fontId="13" fillId="12" borderId="1" applyAlignment="1" pivotButton="0" quotePrefix="0" xfId="0">
      <alignment horizontal="center" vertical="center" wrapText="1"/>
    </xf>
    <xf numFmtId="0" fontId="14" fillId="12" borderId="1" applyAlignment="1" pivotButton="0" quotePrefix="0" xfId="0">
      <alignment horizontal="left" vertical="top" wrapText="1"/>
    </xf>
    <xf numFmtId="0" fontId="16" fillId="12" borderId="1" applyAlignment="1" pivotButton="0" quotePrefix="0" xfId="0">
      <alignment horizontal="center" vertical="center" wrapText="1"/>
    </xf>
    <xf numFmtId="0" fontId="15" fillId="13" borderId="1" applyAlignment="1" pivotButton="0" quotePrefix="0" xfId="0">
      <alignment horizontal="center" vertical="center" wrapText="1"/>
    </xf>
    <xf numFmtId="0" fontId="15" fillId="14" borderId="1" applyAlignment="1" pivotButton="0" quotePrefix="0" xfId="0">
      <alignment horizontal="center" vertical="center" wrapText="1"/>
    </xf>
    <xf numFmtId="0" fontId="17" fillId="0" borderId="1" applyAlignment="1" pivotButton="0" quotePrefix="0" xfId="0">
      <alignment horizontal="center" vertical="center"/>
    </xf>
    <xf numFmtId="0" fontId="6" fillId="0" borderId="1" applyAlignment="1" pivotButton="0" quotePrefix="0" xfId="0">
      <alignment horizontal="center" vertical="center"/>
    </xf>
    <xf numFmtId="0" fontId="5" fillId="6" borderId="1" pivotButton="0" quotePrefix="0" xfId="0"/>
    <xf numFmtId="164" fontId="6" fillId="0" borderId="1" applyAlignment="1" pivotButton="0" quotePrefix="0" xfId="0">
      <alignment horizontal="center" vertical="center"/>
    </xf>
    <xf numFmtId="0" fontId="5" fillId="7" borderId="1" pivotButton="0" quotePrefix="0" xfId="0"/>
    <xf numFmtId="0" fontId="5" fillId="8" borderId="1" pivotButton="0" quotePrefix="0" xfId="0"/>
    <xf numFmtId="0" fontId="5" fillId="9" borderId="1" pivotButton="0" quotePrefix="0" xfId="0"/>
    <xf numFmtId="0" fontId="11" fillId="2" borderId="1" pivotButton="0" quotePrefix="0" xfId="0"/>
    <xf numFmtId="164" fontId="3" fillId="0" borderId="1" applyAlignment="1" pivotButton="0" quotePrefix="0" xfId="0">
      <alignment horizontal="center" vertical="center"/>
    </xf>
    <xf numFmtId="0" fontId="4" fillId="3" borderId="1" applyAlignment="1" pivotButton="0" quotePrefix="0" xfId="0">
      <alignment horizontal="left" vertical="center"/>
    </xf>
    <xf numFmtId="0" fontId="6" fillId="0" borderId="1" pivotButton="0" quotePrefix="0" xfId="0"/>
    <xf numFmtId="0" fontId="5" fillId="0" borderId="1" pivotButton="0" quotePrefix="0" xfId="0"/>
    <xf numFmtId="0" fontId="11" fillId="3" borderId="1" applyAlignment="1" pivotButton="0" quotePrefix="0" xfId="0">
      <alignment horizontal="center" vertical="center"/>
    </xf>
    <xf numFmtId="0" fontId="17" fillId="5" borderId="1"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9C0006"/>
        <sz val="9"/>
      </font>
      <fill>
        <patternFill patternType="solid">
          <fgColor rgb="00FFC7CE"/>
        </patternFill>
      </fill>
    </dxf>
    <dxf>
      <font>
        <name val="Calibri"/>
        <b val="1"/>
        <color rgb="009C6500"/>
        <sz val="9"/>
      </font>
      <fill>
        <patternFill patternType="solid">
          <fgColor rgb="00FFEB9C"/>
        </patternFill>
      </fill>
    </dxf>
    <dxf>
      <font>
        <name val="Calibri"/>
        <b val="1"/>
        <color rgb="003F3F3F"/>
        <sz val="9"/>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E31"/>
  <sheetViews>
    <sheetView showGridLines="0" workbookViewId="0">
      <selection activeCell="A1" sqref="A1"/>
    </sheetView>
  </sheetViews>
  <sheetFormatPr baseColWidth="8" defaultRowHeight="15"/>
  <cols>
    <col width="3" customWidth="1" min="1" max="1"/>
    <col width="26" customWidth="1" min="2" max="2"/>
    <col width="30" customWidth="1" min="3" max="3"/>
    <col width="26" customWidth="1" min="4" max="4"/>
    <col width="30" customWidth="1" min="5" max="5"/>
    <col width="3" customWidth="1" min="6" max="6"/>
  </cols>
  <sheetData>
    <row r="2" ht="26" customHeight="1">
      <c r="B2" s="1" t="inlineStr">
        <is>
          <t>ELYON SOLUTIONS INTERNATIONAL INC.</t>
        </is>
      </c>
    </row>
    <row r="3" ht="22" customHeight="1">
      <c r="B3" s="2" t="inlineStr">
        <is>
          <t>User Acceptance Testing (UAT) Test Script</t>
        </is>
      </c>
    </row>
    <row r="4" ht="20" customHeight="1">
      <c r="B4" s="3" t="inlineStr">
        <is>
          <t>Client-Specific Requirement Enhancement  –  Merge Pallet Feature</t>
        </is>
      </c>
    </row>
    <row r="6" ht="18" customHeight="1">
      <c r="B6" s="4" t="inlineStr">
        <is>
          <t>DOCUMENT INFORMATION</t>
        </is>
      </c>
      <c r="C6" s="5" t="n"/>
      <c r="D6" s="5" t="n"/>
      <c r="E6" s="5" t="n"/>
    </row>
    <row r="7" ht="17" customHeight="1">
      <c r="B7" s="6" t="inlineStr">
        <is>
          <t>Document Title</t>
        </is>
      </c>
      <c r="C7" s="7" t="inlineStr">
        <is>
          <t>Merge Pallet Feature – UAT Test Script</t>
        </is>
      </c>
      <c r="D7" s="6" t="inlineStr">
        <is>
          <t>Version</t>
        </is>
      </c>
      <c r="E7" s="7" t="inlineStr">
        <is>
          <t>1.0</t>
        </is>
      </c>
    </row>
    <row r="8" ht="17" customHeight="1">
      <c r="B8" s="6" t="inlineStr">
        <is>
          <t>System</t>
        </is>
      </c>
      <c r="C8" s="7" t="inlineStr">
        <is>
          <t>VIFEL Odoo 17 Enterprise – WMS</t>
        </is>
      </c>
      <c r="D8" s="6" t="inlineStr">
        <is>
          <t>Status</t>
        </is>
      </c>
      <c r="E8" s="7" t="inlineStr">
        <is>
          <t>For UAT Execution</t>
        </is>
      </c>
    </row>
    <row r="9" ht="17" customHeight="1">
      <c r="B9" s="6" t="inlineStr">
        <is>
          <t>Module</t>
        </is>
      </c>
      <c r="C9" s="7" t="inlineStr">
        <is>
          <t>vifel_client_requirements (Merge Pallet)</t>
        </is>
      </c>
      <c r="D9" s="6" t="inlineStr">
        <is>
          <t>Environment</t>
        </is>
      </c>
      <c r="E9" s="7" t="inlineStr">
        <is>
          <t>UAT / Staging</t>
        </is>
      </c>
    </row>
    <row r="10" ht="17" customHeight="1">
      <c r="B10" s="6" t="inlineStr">
        <is>
          <t>Prepared By (Vendor)</t>
        </is>
      </c>
      <c r="C10" s="7" t="inlineStr">
        <is>
          <t>Elyon Solutions International Inc.</t>
        </is>
      </c>
      <c r="D10" s="6" t="inlineStr">
        <is>
          <t>Date</t>
        </is>
      </c>
      <c r="E10" s="7" t="inlineStr">
        <is>
          <t>28-Jul-2026</t>
        </is>
      </c>
    </row>
    <row r="11" ht="17" customHeight="1">
      <c r="B11" s="6" t="inlineStr">
        <is>
          <t>Prepared For (Client)</t>
        </is>
      </c>
      <c r="C11" s="7" t="inlineStr">
        <is>
          <t>Vifel Ice Plant &amp; Cold Storage, Inc.</t>
        </is>
      </c>
      <c r="D11" s="6" t="inlineStr">
        <is>
          <t>Reference</t>
        </is>
      </c>
      <c r="E11" s="7" t="inlineStr">
        <is>
          <t>VIFEL-CR-MergePallet</t>
        </is>
      </c>
    </row>
    <row r="13" ht="18" customHeight="1">
      <c r="B13" s="4" t="inlineStr">
        <is>
          <t>1.  PURPOSE</t>
        </is>
      </c>
      <c r="C13" s="5" t="n"/>
      <c r="D13" s="5" t="n"/>
      <c r="E13" s="5" t="n"/>
    </row>
    <row r="14" ht="54" customHeight="1">
      <c r="B14" s="8" t="inlineStr">
        <is>
          <t>This test script lets Vifel Ice Plant &amp; Cold Storage, Inc. confirm that the Merge Pallet feature delivered by Elyon Solutions International Inc. behaves correctly against the agreed business requirements. Each row is a real business scenario phrased as a question; the tester performs it and records whether the system's behaviour matches the Expected Result.</t>
        </is>
      </c>
      <c r="C14" s="5" t="n"/>
      <c r="D14" s="5" t="n"/>
      <c r="E14" s="5" t="n"/>
    </row>
    <row r="16" ht="18" customHeight="1">
      <c r="B16" s="4" t="inlineStr">
        <is>
          <t>2.  SCOPE</t>
        </is>
      </c>
      <c r="C16" s="5" t="n"/>
      <c r="D16" s="5" t="n"/>
      <c r="E16" s="5" t="n"/>
    </row>
    <row r="17" ht="44" customHeight="1">
      <c r="B17" s="9" t="inlineStr">
        <is>
          <t>In Scope</t>
        </is>
      </c>
      <c r="C17" s="8" t="inlineStr">
        <is>
          <t>Pallet merging (existing, same-receipt, Fixed and Multiple modes); new special pallets; Un-merge; Lot No.; Batch # / Prodcode; partial withdrawal of merge pallets; and pallet-count integrity.</t>
        </is>
      </c>
      <c r="D17" s="5" t="n"/>
      <c r="E17" s="5" t="n"/>
    </row>
    <row r="18" ht="30" customHeight="1">
      <c r="B18" s="9" t="inlineStr">
        <is>
          <t>Out of Scope</t>
        </is>
      </c>
      <c r="C18" s="8" t="inlineStr">
        <is>
          <t>Standard Odoo features not changed by this enhancement, printer/hardware setup, and unrelated reports.</t>
        </is>
      </c>
      <c r="D18" s="5" t="n"/>
      <c r="E18" s="5" t="n"/>
    </row>
    <row r="20" ht="18" customHeight="1">
      <c r="B20" s="4" t="inlineStr">
        <is>
          <t>3.  HOW TO USE THIS SCRIPT</t>
        </is>
      </c>
      <c r="C20" s="5" t="n"/>
      <c r="D20" s="5" t="n"/>
      <c r="E20" s="5" t="n"/>
    </row>
    <row r="21" ht="50" customHeight="1">
      <c r="B21" s="8" t="inlineStr">
        <is>
          <t>1.  Go to the 'Test Cases' sheet.   2.  For each row, read the Scenario Question and perform the 'How to Test' steps in the UAT system.   3.  Record the Actual Result, then set Status to Pass / Fail / Blocked using the drop-down.   4.  Log any issue in Remarks.   5.  When done, complete the 'Summary &amp; Sign-off' sheet for acceptance.</t>
        </is>
      </c>
      <c r="C21" s="5" t="n"/>
      <c r="D21" s="5" t="n"/>
      <c r="E21" s="5" t="n"/>
    </row>
    <row r="23" ht="18" customHeight="1">
      <c r="B23" s="4" t="inlineStr">
        <is>
          <t>4.  STATUS LEGEND</t>
        </is>
      </c>
      <c r="C23" s="5" t="n"/>
      <c r="D23" s="5" t="n"/>
      <c r="E23" s="5" t="n"/>
    </row>
    <row r="24" ht="16" customHeight="1">
      <c r="B24" s="10" t="inlineStr">
        <is>
          <t>Pass</t>
        </is>
      </c>
      <c r="C24" s="7" t="inlineStr">
        <is>
          <t>Behaviour matches the Expected Result.</t>
        </is>
      </c>
      <c r="D24" s="5" t="n"/>
      <c r="E24" s="5" t="n"/>
    </row>
    <row r="25" ht="16" customHeight="1">
      <c r="B25" s="11" t="inlineStr">
        <is>
          <t>Fail</t>
        </is>
      </c>
      <c r="C25" s="7" t="inlineStr">
        <is>
          <t>Behaviour differs; log the issue in Remarks.</t>
        </is>
      </c>
      <c r="D25" s="5" t="n"/>
      <c r="E25" s="5" t="n"/>
    </row>
    <row r="26" ht="16" customHeight="1">
      <c r="B26" s="12" t="inlineStr">
        <is>
          <t>Blocked</t>
        </is>
      </c>
      <c r="C26" s="7" t="inlineStr">
        <is>
          <t>Cannot be executed (dependency / defect).</t>
        </is>
      </c>
      <c r="D26" s="5" t="n"/>
      <c r="E26" s="5" t="n"/>
    </row>
    <row r="27" ht="16" customHeight="1">
      <c r="B27" s="13" t="inlineStr">
        <is>
          <t>Not Executed</t>
        </is>
      </c>
      <c r="C27" s="7" t="inlineStr">
        <is>
          <t>Not yet run.</t>
        </is>
      </c>
      <c r="D27" s="5" t="n"/>
      <c r="E27" s="5" t="n"/>
    </row>
    <row r="29" ht="18" customHeight="1">
      <c r="B29" s="4" t="inlineStr">
        <is>
          <t>5.  REVISION HISTORY</t>
        </is>
      </c>
      <c r="C29" s="5" t="n"/>
      <c r="D29" s="5" t="n"/>
      <c r="E29" s="5" t="n"/>
    </row>
    <row r="30">
      <c r="B30" s="14" t="inlineStr">
        <is>
          <t>Version</t>
        </is>
      </c>
      <c r="C30" s="14" t="inlineStr">
        <is>
          <t>Date</t>
        </is>
      </c>
      <c r="D30" s="14" t="inlineStr">
        <is>
          <t>Author</t>
        </is>
      </c>
      <c r="E30" s="14" t="inlineStr">
        <is>
          <t>Description</t>
        </is>
      </c>
    </row>
    <row r="31">
      <c r="B31" s="7" t="inlineStr">
        <is>
          <t>1.0</t>
        </is>
      </c>
      <c r="C31" s="7" t="inlineStr">
        <is>
          <t>28-Jul-2026</t>
        </is>
      </c>
      <c r="D31" s="7" t="inlineStr">
        <is>
          <t>Elyon Solutions</t>
        </is>
      </c>
      <c r="E31" s="7" t="inlineStr">
        <is>
          <t>Initial scenario-based UAT test script.</t>
        </is>
      </c>
    </row>
  </sheetData>
  <mergeCells count="17">
    <mergeCell ref="B23:E23"/>
    <mergeCell ref="C27:E27"/>
    <mergeCell ref="B4:E4"/>
    <mergeCell ref="B13:E13"/>
    <mergeCell ref="B6:E6"/>
    <mergeCell ref="B21:E21"/>
    <mergeCell ref="B16:E16"/>
    <mergeCell ref="C18:E18"/>
    <mergeCell ref="B29:E29"/>
    <mergeCell ref="C17:E17"/>
    <mergeCell ref="C26:E26"/>
    <mergeCell ref="B3:E3"/>
    <mergeCell ref="B2:E2"/>
    <mergeCell ref="B20:E20"/>
    <mergeCell ref="C25:E25"/>
    <mergeCell ref="B14:E14"/>
    <mergeCell ref="C24:E24"/>
  </mergeCells>
  <printOptions horizontalCentered="1"/>
  <pageMargins left="0.75" right="0.75" top="1" bottom="1" header="0.5" footer="0.5"/>
  <pageSetup orientation="portrait" fitToHeight="0" fitToWidth="1"/>
  <headerFooter>
    <oddHeader/>
    <oddFooter>&amp;LElyon Solutions International Inc.&amp;CConfidential – Prepared for Vifel Ice Plant &amp; Cold Storage, Inc.&amp;RPage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18"/>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7" customWidth="1" min="1" max="1"/>
    <col width="18" customWidth="1" min="2" max="2"/>
    <col width="10" customWidth="1" min="3" max="3"/>
    <col width="46" customWidth="1" min="4" max="4"/>
    <col width="40" customWidth="1" min="5" max="5"/>
    <col width="40" customWidth="1" min="6" max="6"/>
    <col width="26" customWidth="1" min="7" max="7"/>
    <col width="14" customWidth="1" min="8" max="8"/>
    <col width="22" customWidth="1" min="9" max="9"/>
  </cols>
  <sheetData>
    <row r="1" ht="24" customHeight="1">
      <c r="A1" s="15" t="inlineStr">
        <is>
          <t>MERGE PALLET FEATURE  –  UAT SCENARIO CHECKLIST</t>
        </is>
      </c>
    </row>
    <row r="2" ht="18" customHeight="1">
      <c r="A2" s="16" t="inlineStr">
        <is>
          <t>Elyon Solutions International Inc.    •    Client: Vifel Ice Plant &amp; Cold Storage, Inc.    •    Version 1.0</t>
        </is>
      </c>
    </row>
    <row r="3" ht="32" customHeight="1">
      <c r="A3" s="17" t="inlineStr">
        <is>
          <t>Ref</t>
        </is>
      </c>
      <c r="B3" s="17" t="inlineStr">
        <is>
          <t>Requirement /
Feature</t>
        </is>
      </c>
      <c r="C3" s="17" t="inlineStr">
        <is>
          <t>Priority</t>
        </is>
      </c>
      <c r="D3" s="17" t="inlineStr">
        <is>
          <t>Scenario Question (What we are verifying)</t>
        </is>
      </c>
      <c r="E3" s="17" t="inlineStr">
        <is>
          <t>How to Test</t>
        </is>
      </c>
      <c r="F3" s="17" t="inlineStr">
        <is>
          <t>Expected Result</t>
        </is>
      </c>
      <c r="G3" s="17" t="inlineStr">
        <is>
          <t>Actual Result</t>
        </is>
      </c>
      <c r="H3" s="17" t="inlineStr">
        <is>
          <t>Status</t>
        </is>
      </c>
      <c r="I3" s="17" t="inlineStr">
        <is>
          <t>Remarks</t>
        </is>
      </c>
    </row>
    <row r="4" ht="76.5" customHeight="1">
      <c r="A4" s="18" t="inlineStr">
        <is>
          <t>MP-01</t>
        </is>
      </c>
      <c r="B4" s="19" t="inlineStr">
        <is>
          <t>Client Setup</t>
        </is>
      </c>
      <c r="C4" s="20" t="inlineStr">
        <is>
          <t>High</t>
        </is>
      </c>
      <c r="D4" s="19" t="inlineStr">
        <is>
          <t>When a Vifel client is switched on for merging, do the merge options appear only for that client?</t>
        </is>
      </c>
      <c r="E4" s="19" t="inlineStr">
        <is>
          <t>On the client's contact, tick 'Can Merge Pallets' in the VIFEL Configuration tab and save. Open a receipt (RR) for this client, then for a different (non-enabled) client.</t>
        </is>
      </c>
      <c r="F4" s="19" t="inlineStr">
        <is>
          <t>The VIFEL Configuration options (merge mode, PSI types) and the Merge feature appear ONLY for the enabled client; other clients are unaffected.</t>
        </is>
      </c>
      <c r="G4" s="19" t="inlineStr"/>
      <c r="H4" s="21" t="inlineStr"/>
      <c r="I4" s="19" t="inlineStr"/>
    </row>
    <row r="5" ht="64" customHeight="1">
      <c r="A5" s="22" t="inlineStr">
        <is>
          <t>MP-02</t>
        </is>
      </c>
      <c r="B5" s="23" t="inlineStr">
        <is>
          <t>Lot No.</t>
        </is>
      </c>
      <c r="C5" s="20" t="inlineStr">
        <is>
          <t>High</t>
        </is>
      </c>
      <c r="D5" s="23" t="inlineStr">
        <is>
          <t>Does the Lot No. really reflect – is the Lot No. typed on a receiving line saved and carried onto stock?</t>
        </is>
      </c>
      <c r="E5" s="23" t="inlineStr">
        <is>
          <t>Enable 'Show Lot No.' for the client. On an RR line, type a Lot No. Validate the RR. Check the resulting stock (quant) / withdrawal.</t>
        </is>
      </c>
      <c r="F5" s="23" t="inlineStr">
        <is>
          <t>The Lot No. column shows for this client, the typed value stays on the line, and it is stamped onto the received stock at validation.</t>
        </is>
      </c>
      <c r="G5" s="23" t="inlineStr"/>
      <c r="H5" s="24" t="inlineStr"/>
      <c r="I5" s="23" t="inlineStr"/>
    </row>
    <row r="6" ht="64" customHeight="1">
      <c r="A6" s="18" t="inlineStr">
        <is>
          <t>MP-03</t>
        </is>
      </c>
      <c r="B6" s="19" t="inlineStr">
        <is>
          <t>Batch # / Prodcode</t>
        </is>
      </c>
      <c r="C6" s="20" t="inlineStr">
        <is>
          <t>High</t>
        </is>
      </c>
      <c r="D6" s="19" t="inlineStr">
        <is>
          <t>Does the Batch # really reflect – does the Batch # become a Prodcode (DDMONYYYY + Batch # + Building)?</t>
        </is>
      </c>
      <c r="E6" s="19" t="inlineStr">
        <is>
          <t>Enable 'Show Batch # / Prodcode'. On an RR line with a production date, type a Batch # (e.g. 99). Validate the RR. Inspect the Prodcode on the stock.</t>
        </is>
      </c>
      <c r="F6" s="19" t="inlineStr">
        <is>
          <t>The Batch # is saved on the line and, at validation, is converted to a Prodcode in the format day+month+year+Batch#+building short name, e.g. 18MAY202699M.</t>
        </is>
      </c>
      <c r="G6" s="19" t="inlineStr"/>
      <c r="H6" s="21" t="inlineStr"/>
      <c r="I6" s="19" t="inlineStr"/>
    </row>
    <row r="7" ht="51.5" customHeight="1">
      <c r="A7" s="22" t="inlineStr">
        <is>
          <t>MP-04</t>
        </is>
      </c>
      <c r="B7" s="23" t="inlineStr">
        <is>
          <t>Prodcode at Withdrawal</t>
        </is>
      </c>
      <c r="C7" s="25" t="inlineStr">
        <is>
          <t>Medium</t>
        </is>
      </c>
      <c r="D7" s="23" t="inlineStr">
        <is>
          <t>On withdrawal, does the Prodcode created at receiving show on the WR?</t>
        </is>
      </c>
      <c r="E7" s="23" t="inlineStr">
        <is>
          <t>Withdraw stock that has a Prodcode. Open the WR Pallet Breakdown and show the 'Prodcode' column.</t>
        </is>
      </c>
      <c r="F7" s="23" t="inlineStr">
        <is>
          <t>The Prodcode frozen at receiving is displayed (read-only) on the matching withdrawal line.</t>
        </is>
      </c>
      <c r="G7" s="23" t="inlineStr"/>
      <c r="H7" s="24" t="inlineStr"/>
      <c r="I7" s="23" t="inlineStr"/>
    </row>
    <row r="8" ht="64" customHeight="1">
      <c r="A8" s="18" t="inlineStr">
        <is>
          <t>MP-05</t>
        </is>
      </c>
      <c r="B8" s="19" t="inlineStr">
        <is>
          <t>Merge onto Existing Pallet</t>
        </is>
      </c>
      <c r="C8" s="26" t="inlineStr">
        <is>
          <t>Critical</t>
        </is>
      </c>
      <c r="D8" s="19" t="inlineStr">
        <is>
          <t>On merge of an existing PSI pallet, does it NOT add a pallet to the count (+0)?</t>
        </is>
      </c>
      <c r="E8" s="19" t="inlineStr">
        <is>
          <t>On an RR line, click 'Merge Pallet' and pick an existing stocked pallet. Confirm. Compare the received pallet count before and after.</t>
        </is>
      </c>
      <c r="F8" s="19" t="inlineStr">
        <is>
          <t>The line adopts the target's Pallet Series and location; it is flagged 'Merged'; and the received pallet count does NOT increase (+0).</t>
        </is>
      </c>
      <c r="G8" s="19" t="inlineStr"/>
      <c r="H8" s="21" t="inlineStr"/>
      <c r="I8" s="19" t="inlineStr"/>
    </row>
    <row r="9" ht="51.5" customHeight="1">
      <c r="A9" s="22" t="inlineStr">
        <is>
          <t>MP-06</t>
        </is>
      </c>
      <c r="B9" s="23" t="inlineStr">
        <is>
          <t>Merge – Weight/Qty</t>
        </is>
      </c>
      <c r="C9" s="20" t="inlineStr">
        <is>
          <t>High</t>
        </is>
      </c>
      <c r="D9" s="23" t="inlineStr">
        <is>
          <t>When a line is merged (+0 pallet), do Weight (KG), Quantity and Packs still count in full?</t>
        </is>
      </c>
      <c r="E9" s="23" t="inlineStr">
        <is>
          <t>Review a merged line's Weight (KG), Quantity and Packs after the merge.</t>
        </is>
      </c>
      <c r="F9" s="23" t="inlineStr">
        <is>
          <t>Weight (KG), Quantity and Packs are recorded in full. Only the pallet count is +0; the goods are not lost.</t>
        </is>
      </c>
      <c r="G9" s="23" t="inlineStr"/>
      <c r="H9" s="24" t="inlineStr"/>
      <c r="I9" s="23" t="inlineStr"/>
    </row>
    <row r="10" ht="64" customHeight="1">
      <c r="A10" s="18" t="inlineStr">
        <is>
          <t>MP-07</t>
        </is>
      </c>
      <c r="B10" s="19" t="inlineStr">
        <is>
          <t>Same-Receipt Merge</t>
        </is>
      </c>
      <c r="C10" s="26" t="inlineStr">
        <is>
          <t>Critical</t>
        </is>
      </c>
      <c r="D10" s="19" t="inlineStr">
        <is>
          <t>If two lines of the SAME receipt sit on one pallet, is that counted as ONE pallet (+1), not two?</t>
        </is>
      </c>
      <c r="E10" s="19" t="inlineStr">
        <is>
          <t>On line 1 assign/start a pallet. On line 2 click 'Merge Pallet' and choose line 1's pallet ('On this receipt'). Validate and check the received pallet count.</t>
        </is>
      </c>
      <c r="F10" s="19" t="inlineStr">
        <is>
          <t>Both lines share one pallet and Pallet Series; the receipt counts them as exactly ONE received pallet (+1). Both lines show 'Merged'.</t>
        </is>
      </c>
      <c r="G10" s="19" t="inlineStr"/>
      <c r="H10" s="21" t="inlineStr"/>
      <c r="I10" s="19" t="inlineStr"/>
    </row>
    <row r="11" ht="64" customHeight="1">
      <c r="A11" s="22" t="inlineStr">
        <is>
          <t>MP-08</t>
        </is>
      </c>
      <c r="B11" s="23" t="inlineStr">
        <is>
          <t>Fixed Pallet – First Stock</t>
        </is>
      </c>
      <c r="C11" s="26" t="inlineStr">
        <is>
          <t>Critical</t>
        </is>
      </c>
      <c r="D11" s="23" t="inlineStr">
        <is>
          <t>For a Fixed client, does the FIRST stock onto the empty pinned pallet count as a received pallet (+1)?</t>
        </is>
      </c>
      <c r="E11" s="23" t="inlineStr">
        <is>
          <t>Configure Fixed mode with a pinned pallet (empty). On an RR line, Merge Pallet onto the pinned pallet. Validate. Check the count.</t>
        </is>
      </c>
      <c r="F11" s="23" t="inlineStr">
        <is>
          <t>The first stock births the pinned pallet and is counted as ONE received pallet (+1).</t>
        </is>
      </c>
      <c r="G11" s="23" t="inlineStr"/>
      <c r="H11" s="24" t="inlineStr"/>
      <c r="I11" s="23" t="inlineStr"/>
    </row>
    <row r="12" ht="51.5" customHeight="1">
      <c r="A12" s="18" t="inlineStr">
        <is>
          <t>MP-09</t>
        </is>
      </c>
      <c r="B12" s="19" t="inlineStr">
        <is>
          <t>Fixed Pallet – Later Merge</t>
        </is>
      </c>
      <c r="C12" s="26" t="inlineStr">
        <is>
          <t>Critical</t>
        </is>
      </c>
      <c r="D12" s="19" t="inlineStr">
        <is>
          <t>For the SAME pinned pallet, does a later receipt merge onto it count as +0 (no new pallet)?</t>
        </is>
      </c>
      <c r="E12" s="19" t="inlineStr">
        <is>
          <t>On a NEW RR for the same client, Merge Pallet onto the now-stocked pinned pallet. Validate. Check the count.</t>
        </is>
      </c>
      <c r="F12" s="19" t="inlineStr">
        <is>
          <t>The later line merges (+0); the pinned pallet is not counted again. Weight/Quantity/Packs still count in full.</t>
        </is>
      </c>
      <c r="G12" s="19" t="inlineStr"/>
      <c r="H12" s="21" t="inlineStr"/>
      <c r="I12" s="19" t="inlineStr"/>
    </row>
    <row r="13" ht="76.5" customHeight="1">
      <c r="A13" s="22" t="inlineStr">
        <is>
          <t>MP-10</t>
        </is>
      </c>
      <c r="B13" s="23" t="inlineStr">
        <is>
          <t>Un-merge</t>
        </is>
      </c>
      <c r="C13" s="20" t="inlineStr">
        <is>
          <t>High</t>
        </is>
      </c>
      <c r="D13" s="23" t="inlineStr">
        <is>
          <t>Can a merged / shared line be Un-merged, and does the pallet count stay correct?</t>
        </is>
      </c>
      <c r="E13" s="23" t="inlineStr">
        <is>
          <t>On a line that shows 'Merged', click 'Un-merge'. Observe the line and the pallet, then re-check the received count.</t>
        </is>
      </c>
      <c r="F13" s="23" t="inlineStr">
        <is>
          <t>The line is peeled off to its own blank pallet (re-assign a Pallet Series); the other line keeps the pallet; the pallet is STILL counted correctly (no double count, no loss).</t>
        </is>
      </c>
      <c r="G13" s="23" t="inlineStr"/>
      <c r="H13" s="24" t="inlineStr"/>
      <c r="I13" s="23" t="inlineStr"/>
    </row>
    <row r="14" ht="76.5" customHeight="1">
      <c r="A14" s="18" t="inlineStr">
        <is>
          <t>MP-11</t>
        </is>
      </c>
      <c r="B14" s="19" t="inlineStr">
        <is>
          <t>New Special Pallet</t>
        </is>
      </c>
      <c r="C14" s="20" t="inlineStr">
        <is>
          <t>High</t>
        </is>
      </c>
      <c r="D14" s="19" t="inlineStr">
        <is>
          <t>Starting a NEW special pallet (e.g. SDMG) – is it counted as +1, and is its location limited to the receipt's building?</t>
        </is>
      </c>
      <c r="E14" s="19" t="inlineStr">
        <is>
          <t>On an RR line choose 'Start a New Special Pallet', pick a PSI type, an empty pallet and a location. Try a location in another building, then a valid one. Confirm and check the count.</t>
        </is>
      </c>
      <c r="F14" s="19" t="inlineStr">
        <is>
          <t>Only locations under the receipt's destination building are offered/accepted; the new pallet is counted as ONE received pallet (+1).</t>
        </is>
      </c>
      <c r="G14" s="19" t="inlineStr"/>
      <c r="H14" s="21" t="inlineStr"/>
      <c r="I14" s="19" t="inlineStr"/>
    </row>
    <row r="15" ht="76.5" customHeight="1">
      <c r="A15" s="22" t="inlineStr">
        <is>
          <t>MP-12</t>
        </is>
      </c>
      <c r="B15" s="23" t="inlineStr">
        <is>
          <t>Partial Withdrawal</t>
        </is>
      </c>
      <c r="C15" s="26" t="inlineStr">
        <is>
          <t>Critical</t>
        </is>
      </c>
      <c r="D15" s="23" t="inlineStr">
        <is>
          <t>On WR, can a merge pallet be PARTIALLY withdrawn, and does it count -0 (only -1 when fully emptied)?</t>
        </is>
      </c>
      <c r="E15" s="23" t="inlineStr">
        <is>
          <t>Create a WR that withdraws SOME of the products on a merge pallet, leaving others. Validate. Then fully empty the pallet on another WR.</t>
        </is>
      </c>
      <c r="F15" s="23" t="inlineStr">
        <is>
          <t>The partial withdrawal is allowed (no 'incomplete package / still has available quantity' block) and counts -0. The pallet counts -1 only when it is fully emptied.</t>
        </is>
      </c>
      <c r="G15" s="23" t="inlineStr"/>
      <c r="H15" s="24" t="inlineStr"/>
      <c r="I15" s="23" t="inlineStr"/>
    </row>
    <row r="16" ht="64" customHeight="1">
      <c r="A16" s="18" t="inlineStr">
        <is>
          <t>MP-13</t>
        </is>
      </c>
      <c r="B16" s="19" t="inlineStr">
        <is>
          <t>Single Merge Target</t>
        </is>
      </c>
      <c r="C16" s="25" t="inlineStr">
        <is>
          <t>Medium</t>
        </is>
      </c>
      <c r="D16" s="19" t="inlineStr">
        <is>
          <t>In the merge wizard, if I toggle a second 'Merge Here' pallet, does the first one switch off (only one target)?</t>
        </is>
      </c>
      <c r="E16" s="19" t="inlineStr">
        <is>
          <t>Open Merge Pallet. Toggle 'Merge Here' on one candidate pallet, then toggle it on a second candidate.</t>
        </is>
      </c>
      <c r="F16" s="19" t="inlineStr">
        <is>
          <t>Only one 'Merge Here' can be active at a time; selecting a second automatically switches the first off. The system never merges onto two pallets.</t>
        </is>
      </c>
      <c r="G16" s="19" t="inlineStr"/>
      <c r="H16" s="21" t="inlineStr"/>
      <c r="I16" s="19" t="inlineStr"/>
    </row>
    <row r="17" ht="64" customHeight="1">
      <c r="A17" s="22" t="inlineStr">
        <is>
          <t>MP-14</t>
        </is>
      </c>
      <c r="B17" s="23" t="inlineStr">
        <is>
          <t>Repeated Merge Validates</t>
        </is>
      </c>
      <c r="C17" s="20" t="inlineStr">
        <is>
          <t>High</t>
        </is>
      </c>
      <c r="D17" s="23" t="inlineStr">
        <is>
          <t>Does a second (and later) merge onto the same pallet validate without a false 'Pallet Series already in stock' error?</t>
        </is>
      </c>
      <c r="E17" s="23" t="inlineStr">
        <is>
          <t>Merge a second, then a third receipt onto the same pallet / Pallet Series. Validate each receipt.</t>
        </is>
      </c>
      <c r="F17" s="23" t="inlineStr">
        <is>
          <t>Each receipt validates successfully; merged lines are exempt from the duplicate-series check, so no false error is raised.</t>
        </is>
      </c>
      <c r="G17" s="23" t="inlineStr"/>
      <c r="H17" s="24" t="inlineStr"/>
      <c r="I17" s="23" t="inlineStr"/>
    </row>
    <row r="18" ht="64" customHeight="1">
      <c r="A18" s="18" t="inlineStr">
        <is>
          <t>MP-15</t>
        </is>
      </c>
      <c r="B18" s="19" t="inlineStr">
        <is>
          <t>Plug-and-Play</t>
        </is>
      </c>
      <c r="C18" s="20" t="inlineStr">
        <is>
          <t>High</t>
        </is>
      </c>
      <c r="D18" s="19" t="inlineStr">
        <is>
          <t>After installing the feature, do the existing Pallet Breakdown workflow buttons still work?</t>
        </is>
      </c>
      <c r="E18" s="19" t="inlineStr">
        <is>
          <t>Open an RR Pallet Breakdown and use the existing buttons (Verify Transfer, Assign Pallet Series, Assign Locations, Auto-Fill, Delete).</t>
        </is>
      </c>
      <c r="F18" s="19" t="inlineStr">
        <is>
          <t>All existing workflow buttons remain present and functional; the feature is additive and does not break current operations.</t>
        </is>
      </c>
      <c r="G18" s="19" t="inlineStr"/>
      <c r="H18" s="21" t="inlineStr"/>
      <c r="I18" s="19" t="inlineStr"/>
    </row>
  </sheetData>
  <autoFilter ref="A3:I18"/>
  <mergeCells count="2">
    <mergeCell ref="A1:I1"/>
    <mergeCell ref="A2:I2"/>
  </mergeCells>
  <conditionalFormatting sqref="H4:H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Executed"</formula>
    </cfRule>
  </conditionalFormatting>
  <dataValidations count="1">
    <dataValidation sqref="H4:H18" showDropDown="0" showInputMessage="0" showErrorMessage="0" allowBlank="1" errorTitle="Invalid status" error="Select Pass, Fail, Blocked or Not Executed." promptTitle="Status" prompt="Choose the execution result" type="list">
      <formula1>"Pass,Fail,Blocked,Not Executed"</formula1>
    </dataValidation>
  </dataValidations>
  <printOptions horizontalCentered="1"/>
  <pageMargins left="0.75" right="0.75" top="1" bottom="1" header="0.5" footer="0.5"/>
  <pageSetup orientation="landscape" paperSize="9" fitToHeight="0" fitToWidth="1"/>
  <headerFooter>
    <oddHeader/>
    <oddFooter>&amp;LElyon Solutions International Inc.&amp;CConfidential – Prepared for Vifel Ice Plant &amp; Cold Storage, Inc.&amp;RPage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B2:E28"/>
  <sheetViews>
    <sheetView showGridLines="0" workbookViewId="0">
      <selection activeCell="A1" sqref="A1"/>
    </sheetView>
  </sheetViews>
  <sheetFormatPr baseColWidth="8" defaultRowHeight="15"/>
  <cols>
    <col width="3" customWidth="1" min="1" max="1"/>
    <col width="30" customWidth="1" min="2" max="2"/>
    <col width="16" customWidth="1" min="3" max="3"/>
    <col width="16" customWidth="1" min="4" max="4"/>
    <col width="30" customWidth="1" min="5" max="5"/>
    <col width="3" customWidth="1" min="6" max="6"/>
  </cols>
  <sheetData>
    <row r="2" ht="24" customHeight="1">
      <c r="B2" s="15" t="inlineStr">
        <is>
          <t>EXECUTION SUMMARY &amp; ACCEPTANCE SIGN-OFF</t>
        </is>
      </c>
    </row>
    <row r="4">
      <c r="B4" s="14" t="inlineStr">
        <is>
          <t>RESULT</t>
        </is>
      </c>
      <c r="C4" s="14" t="inlineStr">
        <is>
          <t>COUNT</t>
        </is>
      </c>
      <c r="D4" s="14" t="inlineStr">
        <is>
          <t>% OF TOTAL</t>
        </is>
      </c>
      <c r="E4" s="14" t="inlineStr"/>
    </row>
    <row r="5" ht="16" customHeight="1">
      <c r="B5" s="9" t="inlineStr">
        <is>
          <t>Total Test Cases</t>
        </is>
      </c>
      <c r="C5" s="27" t="inlineStr">
        <is>
          <t>15</t>
        </is>
      </c>
      <c r="D5" s="28" t="inlineStr">
        <is>
          <t>100%</t>
        </is>
      </c>
      <c r="E5" s="5" t="n"/>
    </row>
    <row r="6" ht="16" customHeight="1">
      <c r="B6" s="29" t="inlineStr">
        <is>
          <t>Pass</t>
        </is>
      </c>
      <c r="C6" s="27">
        <f>COUNTIF('Test Cases'!H4:H18,"Pass")</f>
        <v/>
      </c>
      <c r="D6" s="30">
        <f>IF($C$5=0,0,C6/$C$5)</f>
        <v/>
      </c>
      <c r="E6" s="5" t="n"/>
    </row>
    <row r="7" ht="16" customHeight="1">
      <c r="B7" s="31" t="inlineStr">
        <is>
          <t>Fail</t>
        </is>
      </c>
      <c r="C7" s="27">
        <f>COUNTIF('Test Cases'!H4:H18,"Fail")</f>
        <v/>
      </c>
      <c r="D7" s="30">
        <f>IF($C$5=0,0,C7/$C$5)</f>
        <v/>
      </c>
      <c r="E7" s="5" t="n"/>
    </row>
    <row r="8" ht="16" customHeight="1">
      <c r="B8" s="32" t="inlineStr">
        <is>
          <t>Blocked</t>
        </is>
      </c>
      <c r="C8" s="27">
        <f>COUNTIF('Test Cases'!H4:H18,"Blocked")</f>
        <v/>
      </c>
      <c r="D8" s="30">
        <f>IF($C$5=0,0,C8/$C$5)</f>
        <v/>
      </c>
      <c r="E8" s="5" t="n"/>
    </row>
    <row r="9" ht="16" customHeight="1">
      <c r="B9" s="33" t="inlineStr">
        <is>
          <t>Not Executed</t>
        </is>
      </c>
      <c r="C9" s="27">
        <f>COUNTIF('Test Cases'!H4:H18,"Not Executed")+COUNTBLANK('Test Cases'!H4:H18)</f>
        <v/>
      </c>
      <c r="D9" s="30">
        <f>IF($C$5=0,0,C9/$C$5)</f>
        <v/>
      </c>
      <c r="E9" s="5" t="n"/>
    </row>
    <row r="10" ht="18" customHeight="1">
      <c r="B10" s="34" t="inlineStr">
        <is>
          <t>Overall Pass Rate</t>
        </is>
      </c>
      <c r="C10" s="35">
        <f>IF($C$5=0,0,COUNTIF('Test Cases'!H4:H18,"Pass")/$C$5)</f>
        <v/>
      </c>
      <c r="D10" s="5" t="n"/>
      <c r="E10" s="5" t="n"/>
    </row>
    <row r="13">
      <c r="B13" s="36" t="inlineStr">
        <is>
          <t>OVERALL UAT ASSESSMENT</t>
        </is>
      </c>
      <c r="C13" s="5" t="n"/>
      <c r="D13" s="5" t="n"/>
      <c r="E13" s="5" t="n"/>
    </row>
    <row r="14" ht="16" customHeight="1">
      <c r="B14" s="37" t="inlineStr">
        <is>
          <t>☐   Accepted</t>
        </is>
      </c>
      <c r="C14" s="5" t="n"/>
      <c r="D14" s="5" t="n"/>
      <c r="E14" s="5" t="n"/>
    </row>
    <row r="15" ht="16" customHeight="1">
      <c r="B15" s="37" t="inlineStr">
        <is>
          <t>☐   Accepted with Conditions</t>
        </is>
      </c>
      <c r="C15" s="5" t="n"/>
      <c r="D15" s="5" t="n"/>
      <c r="E15" s="5" t="n"/>
    </row>
    <row r="16" ht="16" customHeight="1">
      <c r="B16" s="37" t="inlineStr">
        <is>
          <t>☐   Rejected</t>
        </is>
      </c>
      <c r="C16" s="5" t="n"/>
      <c r="D16" s="5" t="n"/>
      <c r="E16" s="5" t="n"/>
    </row>
    <row r="18">
      <c r="B18" s="38" t="inlineStr">
        <is>
          <t>Remarks / Conditions:</t>
        </is>
      </c>
      <c r="C18" s="5" t="n"/>
      <c r="D18" s="5" t="n"/>
      <c r="E18" s="5" t="n"/>
    </row>
    <row r="19">
      <c r="B19" s="5" t="n"/>
      <c r="C19" s="5" t="n"/>
      <c r="D19" s="5" t="n"/>
      <c r="E19" s="5" t="n"/>
    </row>
    <row r="20">
      <c r="B20" s="5" t="n"/>
      <c r="C20" s="5" t="n"/>
      <c r="D20" s="5" t="n"/>
      <c r="E20" s="5" t="n"/>
    </row>
    <row r="21">
      <c r="B21" s="5" t="n"/>
      <c r="C21" s="5" t="n"/>
      <c r="D21" s="5" t="n"/>
      <c r="E21" s="5" t="n"/>
    </row>
    <row r="23">
      <c r="B23" s="4" t="inlineStr">
        <is>
          <t>ACCEPTANCE SIGN-OFF</t>
        </is>
      </c>
      <c r="C23" s="5" t="n"/>
      <c r="D23" s="5" t="n"/>
      <c r="E23" s="5" t="n"/>
    </row>
    <row r="24">
      <c r="B24" s="39" t="inlineStr">
        <is>
          <t>Role</t>
        </is>
      </c>
      <c r="C24" s="39" t="inlineStr">
        <is>
          <t>Name</t>
        </is>
      </c>
      <c r="D24" s="39" t="inlineStr">
        <is>
          <t>Signature</t>
        </is>
      </c>
      <c r="E24" s="39" t="inlineStr">
        <is>
          <t>Date</t>
        </is>
      </c>
    </row>
    <row r="25" ht="30" customHeight="1">
      <c r="B25" s="40" t="inlineStr">
        <is>
          <t>Prepared by (Elyon)</t>
        </is>
      </c>
      <c r="C25" s="5" t="n"/>
      <c r="D25" s="5" t="n"/>
      <c r="E25" s="5" t="n"/>
    </row>
    <row r="26" ht="30" customHeight="1">
      <c r="B26" s="40" t="inlineStr">
        <is>
          <t>Tested by (Vifel)</t>
        </is>
      </c>
      <c r="C26" s="5" t="n"/>
      <c r="D26" s="5" t="n"/>
      <c r="E26" s="5" t="n"/>
    </row>
    <row r="27" ht="30" customHeight="1">
      <c r="B27" s="40" t="inlineStr">
        <is>
          <t>Reviewed by (Vifel)</t>
        </is>
      </c>
      <c r="C27" s="5" t="n"/>
      <c r="D27" s="5" t="n"/>
      <c r="E27" s="5" t="n"/>
    </row>
    <row r="28" ht="30" customHeight="1">
      <c r="B28" s="40" t="inlineStr">
        <is>
          <t>Approved by (Vifel)</t>
        </is>
      </c>
      <c r="C28" s="5" t="n"/>
      <c r="D28" s="5" t="n"/>
      <c r="E28" s="5" t="n"/>
    </row>
  </sheetData>
  <mergeCells count="16">
    <mergeCell ref="E9"/>
    <mergeCell ref="B23:E23"/>
    <mergeCell ref="E8"/>
    <mergeCell ref="B18:E18"/>
    <mergeCell ref="C10:D10"/>
    <mergeCell ref="E4"/>
    <mergeCell ref="B13:E13"/>
    <mergeCell ref="B16:E16"/>
    <mergeCell ref="E7"/>
    <mergeCell ref="B15:E15"/>
    <mergeCell ref="E6"/>
    <mergeCell ref="B2:E2"/>
    <mergeCell ref="E10"/>
    <mergeCell ref="B19:E21"/>
    <mergeCell ref="B14:E14"/>
    <mergeCell ref="E5"/>
  </mergeCells>
  <printOptions horizontalCentered="1"/>
  <pageMargins left="0.75" right="0.75" top="1" bottom="1" header="0.5" footer="0.5"/>
  <pageSetup orientation="portrait" fitToHeight="0" fitToWidth="1"/>
  <headerFooter>
    <oddHeader/>
    <oddFooter>&amp;LElyon Solutions International Inc.&amp;CConfidential – Prepared for Vifel Ice Plant &amp; Cold Storage, Inc.&amp;RPage &amp;P of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Elyon Solutions International Inc.</dc:creator>
  <dc:title xmlns:dc="http://purl.org/dc/elements/1.1/">Merge Pallet Feature - UAT Test Script</dc:title>
  <dc:subject xmlns:dc="http://purl.org/dc/elements/1.1/">UAT - Vifel Ice Plant &amp; Cold Storage, Inc.</dc:subject>
  <dcterms:created xmlns:dcterms="http://purl.org/dc/terms/" xmlns:xsi="http://www.w3.org/2001/XMLSchema-instance" xsi:type="dcterms:W3CDTF">2026-07-29T00:03:22Z</dcterms:created>
  <dcterms:modified xmlns:dcterms="http://purl.org/dc/terms/" xmlns:xsi="http://www.w3.org/2001/XMLSchema-instance" xsi:type="dcterms:W3CDTF">2026-07-29T00:03:22Z</dcterms:modified>
</cp:coreProperties>
</file>